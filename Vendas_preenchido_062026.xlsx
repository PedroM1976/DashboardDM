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08C17C9-83B7-4786-A07E-67E22B93A0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22" i="1" l="1"/>
  <c r="W2310" i="1"/>
  <c r="W1955" i="1"/>
  <c r="W1934" i="1"/>
  <c r="W1735" i="1"/>
  <c r="W1590" i="1"/>
  <c r="W1569" i="1"/>
  <c r="AK1569" i="1" s="1"/>
  <c r="W566" i="1"/>
  <c r="AK2335" i="1"/>
  <c r="W2328" i="1"/>
  <c r="W4436" i="1"/>
  <c r="AK4436" i="1" s="1"/>
  <c r="W4443" i="1"/>
  <c r="AK4443" i="1" s="1"/>
  <c r="W4442" i="1"/>
  <c r="AL4442" i="1" s="1"/>
  <c r="W4440" i="1"/>
  <c r="X4440" i="1" s="1"/>
  <c r="W4439" i="1"/>
  <c r="AK4439" i="1" s="1"/>
  <c r="AK4437" i="1"/>
  <c r="AL4437" i="1"/>
  <c r="AK4438" i="1"/>
  <c r="AL4438" i="1"/>
  <c r="AK4441" i="1"/>
  <c r="AL4441" i="1"/>
  <c r="AK4444" i="1"/>
  <c r="AL4444" i="1"/>
  <c r="AK4445" i="1"/>
  <c r="AL4445" i="1"/>
  <c r="W4435" i="1"/>
  <c r="X4435" i="1" s="1"/>
  <c r="X4437" i="1"/>
  <c r="X4438" i="1"/>
  <c r="X4441" i="1"/>
  <c r="X4444" i="1"/>
  <c r="X4445" i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45" i="1"/>
  <c r="V4445" i="1" s="1"/>
  <c r="U4435" i="1"/>
  <c r="V4435" i="1" s="1"/>
  <c r="W4190" i="1"/>
  <c r="AL4190" i="1" s="1"/>
  <c r="W4093" i="1"/>
  <c r="AL4093" i="1" s="1"/>
  <c r="W3872" i="1"/>
  <c r="X3872" i="1" s="1"/>
  <c r="W3398" i="1"/>
  <c r="AL3398" i="1" s="1"/>
  <c r="W951" i="1"/>
  <c r="X951" i="1" s="1"/>
  <c r="W87" i="1"/>
  <c r="X87" i="1" s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AK1506" i="1" s="1"/>
  <c r="W1505" i="1"/>
  <c r="AK1505" i="1" s="1"/>
  <c r="W1504" i="1"/>
  <c r="W1502" i="1"/>
  <c r="X4246" i="1"/>
  <c r="X4247" i="1"/>
  <c r="X4250" i="1"/>
  <c r="U4247" i="1"/>
  <c r="V4247" i="1" s="1"/>
  <c r="U4246" i="1"/>
  <c r="V4246" i="1" s="1"/>
  <c r="W4242" i="1"/>
  <c r="X4242" i="1" s="1"/>
  <c r="W4241" i="1"/>
  <c r="U4250" i="1"/>
  <c r="V4250" i="1" s="1"/>
  <c r="W4263" i="1"/>
  <c r="X4263" i="1" s="1"/>
  <c r="W4262" i="1"/>
  <c r="X4262" i="1" s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AL4218" i="1" s="1"/>
  <c r="W4217" i="1"/>
  <c r="AK4217" i="1" s="1"/>
  <c r="W4216" i="1"/>
  <c r="X4216" i="1" s="1"/>
  <c r="W4215" i="1"/>
  <c r="X4215" i="1" s="1"/>
  <c r="W4214" i="1"/>
  <c r="AL4214" i="1" s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6" i="1"/>
  <c r="AL4316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4" i="1"/>
  <c r="AL4144" i="1" s="1"/>
  <c r="W3481" i="1"/>
  <c r="AL3481" i="1" s="1"/>
  <c r="W4251" i="1"/>
  <c r="W2271" i="1"/>
  <c r="W4338" i="1"/>
  <c r="AL4338" i="1" s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20" i="1"/>
  <c r="AL4420" i="1" s="1"/>
  <c r="W4309" i="1"/>
  <c r="X4309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4" i="1"/>
  <c r="X4213" i="1"/>
  <c r="X4212" i="1"/>
  <c r="AL4220" i="1"/>
  <c r="AK4220" i="1"/>
  <c r="AL4215" i="1"/>
  <c r="AK4215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AL4422" i="1" s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5" i="1"/>
  <c r="AL4335" i="1"/>
  <c r="AK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1" i="1"/>
  <c r="AL4421" i="1"/>
  <c r="AK4422" i="1"/>
  <c r="AK4424" i="1"/>
  <c r="AL4424" i="1"/>
  <c r="AK4427" i="1"/>
  <c r="AL4427" i="1"/>
  <c r="AK4428" i="1"/>
  <c r="AL4428" i="1"/>
  <c r="X4241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7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AL317" i="1" s="1"/>
  <c r="W318" i="1"/>
  <c r="AL318" i="1" s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L457" i="1" s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J4144" i="1"/>
  <c r="AF4144" i="1" s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AL1971" i="1"/>
  <c r="AK1971" i="1"/>
  <c r="AJ1971" i="1"/>
  <c r="AF1971" i="1" s="1"/>
  <c r="AK1970" i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J1506" i="1"/>
  <c r="AF1506" i="1" s="1"/>
  <c r="AJ1505" i="1"/>
  <c r="AF1505" i="1" s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X318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436" i="1" l="1"/>
  <c r="AL4436" i="1"/>
  <c r="X1569" i="1"/>
  <c r="X3387" i="1"/>
  <c r="AL4439" i="1"/>
  <c r="AK87" i="1"/>
  <c r="AL87" i="1"/>
  <c r="X4086" i="1"/>
  <c r="AL4443" i="1"/>
  <c r="X4443" i="1"/>
  <c r="X4442" i="1"/>
  <c r="AK4442" i="1"/>
  <c r="AK939" i="1"/>
  <c r="X4439" i="1"/>
  <c r="AL4440" i="1"/>
  <c r="AK4440" i="1"/>
  <c r="X3398" i="1"/>
  <c r="AK3398" i="1"/>
  <c r="AL939" i="1"/>
  <c r="AK3771" i="1"/>
  <c r="AK951" i="1"/>
  <c r="AL951" i="1"/>
  <c r="X4190" i="1"/>
  <c r="AK3385" i="1"/>
  <c r="X4093" i="1"/>
  <c r="AK4093" i="1"/>
  <c r="AL4435" i="1"/>
  <c r="AK3872" i="1"/>
  <c r="AL3872" i="1"/>
  <c r="X3705" i="1"/>
  <c r="AK4435" i="1"/>
  <c r="AL4309" i="1"/>
  <c r="AK2494" i="1"/>
  <c r="AK4309" i="1"/>
  <c r="X3481" i="1"/>
  <c r="X795" i="1"/>
  <c r="X1829" i="1"/>
  <c r="X1924" i="1"/>
  <c r="X1970" i="1"/>
  <c r="X2646" i="1"/>
  <c r="X4422" i="1"/>
  <c r="X4338" i="1"/>
  <c r="AK4420" i="1"/>
  <c r="AL4334" i="1"/>
  <c r="AK4277" i="1"/>
  <c r="X4217" i="1"/>
  <c r="X1776" i="1"/>
  <c r="AK4334" i="1"/>
  <c r="AK795" i="1"/>
  <c r="X1505" i="1"/>
  <c r="AK1870" i="1"/>
  <c r="AL2646" i="1"/>
  <c r="AK2187" i="1"/>
  <c r="X3464" i="1"/>
  <c r="AK3851" i="1"/>
  <c r="X4144" i="1"/>
  <c r="AL4217" i="1"/>
  <c r="AK2981" i="1"/>
  <c r="AK3463" i="1"/>
  <c r="AK318" i="1"/>
  <c r="AL2981" i="1"/>
  <c r="AK4216" i="1"/>
  <c r="AL412" i="1"/>
  <c r="AK692" i="1"/>
  <c r="X930" i="1"/>
  <c r="AL1505" i="1"/>
  <c r="AL2187" i="1"/>
  <c r="AK4218" i="1"/>
  <c r="X692" i="1"/>
  <c r="X1506" i="1"/>
  <c r="AK1827" i="1"/>
  <c r="AL2076" i="1"/>
  <c r="AK4144" i="1"/>
  <c r="AK4278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<sst xmlns="http://schemas.openxmlformats.org/spreadsheetml/2006/main" count="54153" uniqueCount="3446">
  <si>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</si>
  <si>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</si>
  <si>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</si>
  <si>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</si>
  <si>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</si>
  <si>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</si>
  <si>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</si>
  <si>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</si>
  <si>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</si>
  <si>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</si>
  <si>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</si>
  <si>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</si>
  <si>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</si>
  <si>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</si>
  <si>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</si>
  <si>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</si>
  <si>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</si>
  <si>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</si>
  <si>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</si>
  <si>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</si>
  <si>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</si>
  <si>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</si>
  <si>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</si>
  <si>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</si>
  <si>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</si>
  <si>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</si>
  <si>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</si>
  <si>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</si>
  <si>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</si>
  <si>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</si>
  <si>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</si>
  <si>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</si>
  <si>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</si>
  <si>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</si>
  <si>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</si>
  <si>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</si>
  <si>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</si>
  <si>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</si>
  <si>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</si>
  <si>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</si>
  <si>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</si>
  <si>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</si>
  <si>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</si>
  <si>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</si>
  <si>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</si>
  <si>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</si>
  <si>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</si>
  <si>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</si>
  <si>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</si>
  <si>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</si>
  <si>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</si>
  <si>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</si>
  <si>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</si>
  <si>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</si>
  <si>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</si>
  <si>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</si>
  <si>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</si>
  <si>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</si>
  <si>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</si>
  <si>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</si>
  <si>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</si>
  <si>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</si>
  <si>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</si>
  <si>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</si>
  <si>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</si>
  <si>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</si>
  <si>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</si>
  <si>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</si>
  <si>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</si>
  <si>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</si>
  <si>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</si>
  <si>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</si>
  <si>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</si>
  <si>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</si>
  <si>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</si>
  <si>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</si>
  <si>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</si>
  <si>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</si>
  <si>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</si>
  <si>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</si>
  <si>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</si>
  <si>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</si>
  <si>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</si>
  <si>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</si>
  <si>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</si>
  <si>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</si>
  <si>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</si>
  <si>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</si>
  <si>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</si>
  <si>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</si>
  <si>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</si>
  <si>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</si>
  <si>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</si>
  <si>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</si>
  <si>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</si>
  <si>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</si>
  <si>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</si>
  <si>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</si>
  <si>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</si>
  <si>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</si>
  <si>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</si>
  <si>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</si>
  <si>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</si>
  <si>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</si>
  <si>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</si>
  <si>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</si>
  <si>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</si>
  <si>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</si>
  <si>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</si>
  <si>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</si>
  <si>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</si>
  <si>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</si>
  <si>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</si>
  <si>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</si>
  <si>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</si>
  <si>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</si>
  <si>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</si>
  <si>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</si>
  <si>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</si>
  <si>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</si>
  <si>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</si>
  <si>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</si>
  <si>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</si>
  <si>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</si>
  <si>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</si>
  <si>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</si>
  <si>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</si>
  <si>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</si>
  <si>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</si>
  <si>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</si>
  <si>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</si>
  <si>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</si>
  <si>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</si>
  <si>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</si>
  <si>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</si>
  <si>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</si>
  <si>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</si>
  <si>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</si>
  <si>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</si>
  <si>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</si>
  <si>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</si>
  <si>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</si>
  <si>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</si>
  <si>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</si>
  <si>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</si>
  <si>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</si>
  <si>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</si>
  <si>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</si>
  <si>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</si>
  <si>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</si>
  <si>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</si>
  <si>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</si>
  <si>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</si>
  <si>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</si>
  <si>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</si>
  <si>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</si>
  <si>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</si>
  <si>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</si>
  <si>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</si>
  <si>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</si>
  <si>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</si>
  <si>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</si>
  <si>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</si>
  <si>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</si>
  <si>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</si>
  <si>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</si>
  <si>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</si>
  <si>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</si>
  <si>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</si>
  <si>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</si>
  <si>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</si>
  <si>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</si>
  <si>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</si>
  <si>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</si>
  <si>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</si>
  <si>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</si>
  <si>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</si>
  <si>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</si>
  <si>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</si>
  <si>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</si>
  <si>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</si>
  <si>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</si>
  <si>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</si>
  <si>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</si>
  <si>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</si>
  <si>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</si>
  <si>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</si>
  <si>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</si>
  <si>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</si>
  <si>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</si>
  <si>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</si>
  <si>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</si>
  <si>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</si>
  <si>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</si>
  <si>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</si>
  <si>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</si>
  <si>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</si>
  <si>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</si>
  <si>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</si>
  <si>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</si>
  <si>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</si>
  <si>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</si>
  <si>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</si>
  <si>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</si>
  <si>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</si>
  <si>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</si>
  <si>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</si>
  <si>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</si>
  <si>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</si>
  <si>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</si>
  <si>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</si>
  <si>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</si>
  <si>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</si>
  <si>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</si>
  <si>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</si>
  <si>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</si>
  <si>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</si>
  <si>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</si>
  <si>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</si>
  <si>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</si>
  <si>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</si>
  <si>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</si>
  <si>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</si>
  <si>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</si>
  <si>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</si>
  <si>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</si>
  <si>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</si>
  <si>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</si>
  <si>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</si>
  <si>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</si>
  <si>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</si>
  <si>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</si>
  <si>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</si>
  <si>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</si>
  <si>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</si>
  <si>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</si>
  <si>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</si>
  <si>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</si>
  <si>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</si>
  <si>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</si>
  <si>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</si>
  <si>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</si>
  <si>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</si>
  <si>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</si>
  <si>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</si>
  <si>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</si>
  <si>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</si>
  <si>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</si>
  <si>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</si>
  <si>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</si>
  <si>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</si>
  <si>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</si>
  <si>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</si>
  <si>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</si>
  <si>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</si>
  <si>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</si>
  <si>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</si>
  <si>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</si>
  <si>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</si>
  <si>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</si>
  <si>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</si>
  <si>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</si>
  <si>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</si>
  <si>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</si>
  <si>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</si>
  <si>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</si>
  <si>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</si>
  <si>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</si>
  <si>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</si>
  <si>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</si>
  <si>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</si>
  <si>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</si>
  <si>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</si>
  <si>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</si>
  <si>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</si>
  <si>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</si>
  <si>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</si>
  <si>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</si>
  <si>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</si>
  <si>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</si>
  <si>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</si>
  <si>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</si>
  <si>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</si>
  <si>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</si>
  <si>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</si>
  <si>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</si>
  <si>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</si>
  <si>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</si>
  <si>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</si>
  <si>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</si>
  <si>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</si>
  <si>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</si>
  <si>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</si>
  <si>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</si>
  <si>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</si>
  <si>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</si>
  <si>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</si>
  <si>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</si>
  <si>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</si>
  <si>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</si>
  <si>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</si>
  <si>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</si>
  <si>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</si>
  <si>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</si>
  <si>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</si>
  <si>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</si>
  <si>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</si>
  <si>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</si>
  <si>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</si>
  <si>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</si>
  <si>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</si>
  <si>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</si>
  <si>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</si>
  <si>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</si>
  <si>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</si>
  <si>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</si>
  <si>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</si>
  <si>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</si>
  <si>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</si>
  <si>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</si>
  <si>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</si>
  <si>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</si>
  <si>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</si>
  <si>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</si>
  <si>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</si>
  <si>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</si>
  <si>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</si>
  <si>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</si>
  <si>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</si>
  <si>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</si>
  <si>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</si>
  <si>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</si>
  <si>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</si>
  <si>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</si>
  <si>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</si>
  <si>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</si>
  <si>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</si>
  <si>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</si>
  <si>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</si>
  <si>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</si>
  <si>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</si>
  <si>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</si>
  <si>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</si>
  <si>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</si>
  <si>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</si>
  <si>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</si>
  <si>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</si>
  <si>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</si>
  <si>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</si>
  <si>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</si>
  <si>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</si>
  <si>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</si>
  <si>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</si>
  <si>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</si>
  <si>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</si>
  <si>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</si>
  <si>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</si>
  <si>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</si>
  <si>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</si>
  <si>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</si>
  <si>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</si>
  <si>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</si>
  <si>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</si>
  <si>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</si>
  <si>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</si>
  <si>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</si>
  <si>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</si>
  <si>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</si>
  <si>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</si>
  <si>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</si>
  <si>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</si>
  <si>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</si>
  <si>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</si>
  <si>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</si>
  <si>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</si>
  <si>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</si>
  <si>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</si>
  <si>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</si>
  <si>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</si>
  <si>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</si>
  <si>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</si>
  <si>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</si>
  <si>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</si>
  <si>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</si>
  <si>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</si>
  <si>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</si>
  <si>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</si>
  <si>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</si>
  <si>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</si>
  <si>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</si>
  <si>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</si>
  <si>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</si>
  <si>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</si>
  <si>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</si>
  <si>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</si>
  <si>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</si>
  <si>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</si>
  <si>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</si>
  <si>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</si>
  <si>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</si>
  <si>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</si>
  <si>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</si>
  <si>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</si>
  <si>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</si>
  <si>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</si>
  <si>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</si>
  <si>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</si>
  <si>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</si>
  <si>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</si>
  <si>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</si>
  <si>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</si>
  <si>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</si>
  <si>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</si>
  <si>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</si>
  <si>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</si>
  <si>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</si>
  <si>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</si>
  <si>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</si>
  <si>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</si>
  <si>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</si>
  <si>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</si>
  <si>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</si>
  <si>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</si>
  <si>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</si>
  <si>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</si>
  <si>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</si>
  <si>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</si>
  <si>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</si>
  <si>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</si>
  <si>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</si>
  <si>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</si>
  <si>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</si>
  <si>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</si>
  <si>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</si>
  <si>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</si>
  <si>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</si>
  <si>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</si>
  <si>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</si>
  <si>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</si>
  <si>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</si>
  <si>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</si>
  <si>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</si>
  <si>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</si>
  <si>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</si>
  <si>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</si>
  <si>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</si>
  <si>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</si>
  <si>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</si>
  <si>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</si>
  <si>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</si>
  <si>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</si>
  <si>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</si>
  <si>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</si>
  <si>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</si>
  <si>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</si>
  <si>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</si>
  <si>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</si>
  <si>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</si>
  <si>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</si>
  <si>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</si>
  <si>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</si>
  <si>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</si>
  <si>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</si>
  <si>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</si>
  <si>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</si>
  <si>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</si>
  <si>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</si>
  <si>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</si>
  <si>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</si>
  <si>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</si>
  <si>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</si>
  <si>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</si>
  <si>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</si>
  <si>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</si>
  <si>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</si>
  <si>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</si>
  <si>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</si>
  <si>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</si>
  <si>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</si>
  <si>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</si>
  <si>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</si>
  <si>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</si>
  <si>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</si>
  <si>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</si>
  <si>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</si>
  <si>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</si>
  <si>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</si>
  <si>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</si>
  <si>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</si>
  <si>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</si>
  <si>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</si>
  <si>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</si>
  <si>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</si>
  <si>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</si>
  <si>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</si>
  <si>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</si>
  <si>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</si>
  <si>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</si>
  <si>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</si>
  <si>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</si>
  <si>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</si>
  <si>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</si>
  <si>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</si>
  <si>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</si>
  <si>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</si>
  <si>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</si>
  <si>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</si>
  <si>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</si>
  <si>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</si>
  <si>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</si>
  <si>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</si>
  <si>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</si>
  <si>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</si>
  <si>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</si>
  <si>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</si>
  <si>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</si>
  <si>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</si>
  <si>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</si>
  <si>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</si>
  <si>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</si>
  <si>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</si>
  <si>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</si>
  <si>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</si>
  <si>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</si>
  <si>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</si>
  <si>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</si>
  <si>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</si>
  <si>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</si>
  <si>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</si>
  <si>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</si>
  <si>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</si>
  <si>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</si>
  <si>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</si>
  <si>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</si>
  <si>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</si>
  <si>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</si>
  <si>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</si>
  <si>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</si>
  <si>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</si>
  <si>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</si>
  <si>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</si>
  <si>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</si>
  <si>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</si>
  <si>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</si>
  <si>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</si>
  <si>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</si>
  <si>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</si>
  <si>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</si>
  <si>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</si>
  <si>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</si>
  <si>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</si>
  <si>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</si>
  <si>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</si>
  <si>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</si>
  <si>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</si>
  <si>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</si>
  <si>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</si>
  <si>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</si>
  <si>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</si>
  <si>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</si>
  <si>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</si>
  <si>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</si>
  <si>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</si>
  <si>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</si>
  <si>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</si>
  <si>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</si>
  <si>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</si>
  <si>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</si>
  <si>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</si>
  <si>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</si>
  <si>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</si>
  <si>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</si>
  <si>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</si>
  <si>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</si>
  <si>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</si>
  <si>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</si>
  <si>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</si>
  <si>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</si>
  <si>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</si>
  <si>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</si>
  <si>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</si>
  <si>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</si>
  <si>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</si>
  <si>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</si>
  <si>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</si>
  <si>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</si>
  <si>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</si>
  <si>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</si>
  <si>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</si>
  <si>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</si>
  <si>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</si>
  <si>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</si>
  <si>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</si>
  <si>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</si>
  <si>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</si>
  <si>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</si>
  <si>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</si>
  <si>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</si>
  <si>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</si>
  <si>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</si>
  <si>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</si>
  <si>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</si>
  <si>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</si>
  <si>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</si>
  <si>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</si>
  <si>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</si>
  <si>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</si>
  <si>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</si>
  <si>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</si>
  <si>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</si>
  <si>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</si>
  <si>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</si>
  <si>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</si>
  <si>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</si>
  <si>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</si>
  <si>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</si>
  <si>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</si>
  <si>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</si>
  <si>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</si>
  <si>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</si>
  <si>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</si>
  <si>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</si>
  <si>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</si>
  <si>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</si>
  <si>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</si>
  <si>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</si>
  <si>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</si>
  <si>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</si>
  <si>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</si>
  <si>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</si>
  <si>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</si>
  <si>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</si>
  <si>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</si>
  <si>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</si>
  <si>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</si>
  <si>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</si>
  <si>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</si>
  <si>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</si>
  <si>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</si>
  <si>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</si>
  <si>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</si>
  <si>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</si>
  <si>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</si>
  <si>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</si>
  <si>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</si>
  <si>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</si>
  <si>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</si>
  <si>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</si>
  <si>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</si>
  <si>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</si>
  <si>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</si>
  <si>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</si>
  <si>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</si>
  <si>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</si>
  <si>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</si>
  <si>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</si>
  <si>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</si>
  <si>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</si>
  <si>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</si>
  <si>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</si>
  <si>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</si>
  <si>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</si>
  <si>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</si>
  <si>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</si>
  <si>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</si>
  <si>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</si>
  <si>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</si>
  <si>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</si>
  <si>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</si>
  <si>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</si>
  <si>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</si>
  <si>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</si>
  <si>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</si>
  <si>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</si>
  <si>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</si>
  <si>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</si>
  <si>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</si>
  <si>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</si>
  <si>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</si>
  <si>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</si>
  <si>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</si>
  <si>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</si>
  <si>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</si>
  <si>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</si>
  <si>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</si>
  <si>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</si>
  <si>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</si>
  <si>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</si>
  <si>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</si>
  <si>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</si>
  <si>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</si>
  <si>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</si>
  <si>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</si>
  <si>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</si>
  <si>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</si>
  <si>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</si>
  <si>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</si>
  <si>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</si>
  <si>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</si>
  <si>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</si>
  <si>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</si>
  <si>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</si>
  <si>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</si>
  <si>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</si>
  <si>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</si>
  <si>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</si>
  <si>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</si>
  <si>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</si>
  <si>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</si>
  <si>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</si>
  <si>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</si>
  <si>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</si>
  <si>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</si>
  <si>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</si>
  <si>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</si>
  <si>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</si>
  <si>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</si>
  <si>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</si>
  <si>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</si>
  <si>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</si>
  <si>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</si>
  <si>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</si>
  <si>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</si>
  <si>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</si>
  <si>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</si>
  <si>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</si>
  <si>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</si>
  <si>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</si>
  <si>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</si>
  <si>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</si>
  <si>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</si>
  <si>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</si>
  <si>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</si>
  <si>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</si>
  <si>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</si>
  <si>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</si>
  <si>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</si>
  <si>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</si>
  <si>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</si>
  <si>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</si>
  <si>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</si>
  <si>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</si>
  <si>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</si>
  <si>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</si>
  <si>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</si>
  <si>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</si>
  <si>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</si>
  <si>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</si>
  <si>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</si>
  <si>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</si>
  <si>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</si>
  <si>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</si>
  <si>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</si>
  <si>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</si>
  <si>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</si>
  <si>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</si>
  <si>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</si>
  <si>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</si>
  <si>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</si>
  <si>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</si>
  <si>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</si>
  <si>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</si>
  <si>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</si>
  <si>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</si>
  <si>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</si>
  <si>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</si>
  <si>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</si>
  <si>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</si>
  <si>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</si>
  <si>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</si>
  <si>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</si>
  <si>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</si>
  <si>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</si>
  <si>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</si>
  <si>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</si>
  <si>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</si>
  <si>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</si>
  <si>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</si>
  <si>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</si>
  <si>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</si>
  <si>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</si>
  <si>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</si>
  <si>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</si>
  <si>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</si>
  <si>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</si>
  <si>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</si>
  <si>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</si>
  <si>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</si>
  <si>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</si>
  <si>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</si>
  <si>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</si>
  <si>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</si>
  <si>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</si>
  <si>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</si>
  <si>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</si>
  <si>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</si>
  <si>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</si>
  <si>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</si>
  <si>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</si>
  <si>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</si>
  <si>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</si>
  <si>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</si>
  <si>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</si>
  <si>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</si>
  <si>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</si>
  <si>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</si>
  <si>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</si>
  <si>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</si>
  <si>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</si>
  <si>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</si>
  <si>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</si>
  <si>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</si>
  <si>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</si>
  <si>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</si>
  <si>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</si>
  <si>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</si>
  <si>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</si>
  <si>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</si>
  <si>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</si>
  <si>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</si>
  <si>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</si>
  <si>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</si>
  <si>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</si>
  <si>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</si>
  <si>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</si>
  <si>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</si>
  <si>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</si>
  <si>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</si>
  <si>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</si>
  <si>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</si>
  <si>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</si>
  <si>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</si>
  <si>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</si>
  <si>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</si>
  <si>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</si>
  <si>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</si>
  <si>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</si>
  <si>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</si>
  <si>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</si>
  <si>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</si>
  <si>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</si>
  <si>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</si>
  <si>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</si>
  <si>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</si>
  <si>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</si>
  <si>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</si>
  <si>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</si>
  <si>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</si>
  <si>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</si>
  <si>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</si>
  <si>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</si>
  <si>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</si>
  <si>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</si>
  <si>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</si>
  <si>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</si>
  <si>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</si>
  <si>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</si>
  <si>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</si>
  <si>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</si>
  <si>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</si>
  <si>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</si>
  <si>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</si>
  <si>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</si>
  <si>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</si>
  <si>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</si>
  <si>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</si>
  <si>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</si>
  <si>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</si>
  <si>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</si>
  <si>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</si>
  <si>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</si>
  <si>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</si>
  <si>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</si>
  <si>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</si>
  <si>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</si>
  <si>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</si>
  <si>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</si>
  <si>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</si>
  <si>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</si>
  <si>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</si>
  <si>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</si>
  <si>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</si>
  <si>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</si>
  <si>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</si>
  <si>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</si>
  <si>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</si>
  <si>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</si>
  <si>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</si>
  <si>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</si>
  <si>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</si>
  <si>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</si>
  <si>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</si>
  <si>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</si>
  <si>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</si>
  <si>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</si>
  <si>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</si>
  <si>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</si>
  <si>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</si>
  <si>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</si>
  <si>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</si>
  <si>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</si>
  <si>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</si>
  <si>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</si>
  <si>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</si>
  <si>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</si>
  <si>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</si>
  <si>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</si>
  <si>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</si>
  <si>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</si>
  <si>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</si>
  <si>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</si>
  <si>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</si>
  <si>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</si>
  <si>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</si>
  <si>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</si>
  <si>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</si>
  <si>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</si>
  <si>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</si>
  <si>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</si>
  <si>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</si>
  <si>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</si>
  <si>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</si>
  <si>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</si>
  <si>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</si>
  <si>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</si>
  <si>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</si>
  <si>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</si>
  <si>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</si>
  <si>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</si>
  <si>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</si>
  <si>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</si>
  <si>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</si>
  <si>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</si>
  <si>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</si>
  <si>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</si>
  <si>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</si>
  <si>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</si>
  <si>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</si>
  <si>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</si>
  <si>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</si>
  <si>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</si>
  <si>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</si>
  <si>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</si>
  <si>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</si>
  <si>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</si>
  <si>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</si>
  <si>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</si>
  <si>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</si>
  <si>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</si>
  <si>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</si>
  <si>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</si>
  <si>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</si>
  <si>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</si>
  <si>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</si>
  <si>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</si>
  <si>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</si>
  <si>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</si>
  <si>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</si>
  <si>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</si>
  <si>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</si>
  <si>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</si>
  <si>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</si>
  <si>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</si>
  <si>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</si>
  <si>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</si>
  <si>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</si>
  <si>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</si>
  <si>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</si>
  <si>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</si>
  <si>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</si>
  <si>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</si>
  <si>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</si>
  <si>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</si>
  <si>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</si>
  <si>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</si>
  <si>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</si>
  <si>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</si>
  <si>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</si>
  <si>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</si>
  <si>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</si>
  <si>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</si>
  <si>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</si>
  <si>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</si>
  <si>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</si>
  <si>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</si>
  <si>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</si>
  <si>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</si>
  <si>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</si>
  <si>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</si>
  <si>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</si>
  <si>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</si>
  <si>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</si>
  <si>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</si>
  <si>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</si>
  <si>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</si>
  <si>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</si>
  <si>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</si>
  <si>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</si>
  <si>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</si>
  <si>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</si>
  <si>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</si>
  <si>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</si>
  <si>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</si>
  <si>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</si>
  <si>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</si>
  <si>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</si>
  <si>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</si>
  <si>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</si>
  <si>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</si>
  <si>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</si>
  <si>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</si>
  <si>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</si>
  <si>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</si>
  <si>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</si>
  <si>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</si>
  <si>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</si>
  <si>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</si>
  <si>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</si>
  <si>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</si>
  <si>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</si>
  <si>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</si>
  <si>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</si>
  <si>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</si>
  <si>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</si>
  <si>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</si>
  <si>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</si>
  <si>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</si>
  <si>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</si>
  <si>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</si>
  <si>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</si>
  <si>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</si>
  <si>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</si>
  <si>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</si>
  <si>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</si>
  <si>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</si>
  <si>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</si>
  <si>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</si>
  <si>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</si>
  <si>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</si>
  <si>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</si>
  <si>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</si>
  <si>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</si>
  <si>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</si>
  <si>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</si>
  <si>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</si>
  <si>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</si>
  <si>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</si>
  <si>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</si>
  <si>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</si>
  <si>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</si>
  <si>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</si>
  <si>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</si>
  <si>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</si>
  <si>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</si>
  <si>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</si>
  <si>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</si>
  <si>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</si>
  <si>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</si>
  <si>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</si>
  <si>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</si>
  <si>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</si>
  <si>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</si>
  <si>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</si>
  <si>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</si>
  <si>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</si>
  <si>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</si>
  <si>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</si>
  <si>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</si>
  <si>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</si>
  <si>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</si>
  <si>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</si>
  <si>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</si>
  <si>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</si>
  <si>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</si>
  <si>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</si>
  <si>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</si>
  <si>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</si>
  <si>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</si>
  <si>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</si>
  <si>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</si>
  <si>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</si>
  <si>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</si>
  <si>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</si>
  <si>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</si>
  <si>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</si>
  <si>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</si>
  <si>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</si>
  <si>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</si>
  <si>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</si>
  <si>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</si>
  <si>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</si>
  <si>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</si>
  <si>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</si>
  <si>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</si>
  <si>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</si>
  <si>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</si>
  <si>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</si>
  <si>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</si>
  <si>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</si>
  <si>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</si>
  <si>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</si>
  <si>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</si>
  <si>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</si>
  <si>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</si>
  <si>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</si>
  <si>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</si>
  <si>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</si>
  <si>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</si>
  <si>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</si>
  <si>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</si>
  <si>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</si>
  <si>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</si>
  <si>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</si>
  <si>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</si>
  <si>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</si>
  <si>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</si>
  <si>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</si>
  <si>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</si>
  <si>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</si>
  <si>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</si>
  <si>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</si>
  <si>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</si>
  <si>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</si>
  <si>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</si>
  <si>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</si>
  <si>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</si>
  <si>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</si>
  <si>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</si>
  <si>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</si>
  <si>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</si>
  <si>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</si>
  <si>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</si>
  <si>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</si>
  <si>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</si>
  <si>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</si>
  <si>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</si>
  <si>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</si>
  <si>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</si>
  <si>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</si>
  <si>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</si>
  <si>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</si>
  <si>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</si>
  <si>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</si>
  <si>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</si>
  <si>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</si>
  <si>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</si>
  <si>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</si>
  <si>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</si>
  <si>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</si>
  <si>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</si>
  <si>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</si>
  <si>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</si>
  <si>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</si>
  <si>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</si>
  <si>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</si>
  <si>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</si>
  <si>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</si>
  <si>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</si>
  <si>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</si>
  <si>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</si>
  <si>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</si>
  <si>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</si>
  <si>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</si>
  <si>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</si>
  <si>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</si>
  <si>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</si>
  <si>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</si>
  <si>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</si>
  <si>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</si>
  <si>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</si>
  <si>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</si>
  <si>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</si>
  <si>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</si>
  <si>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</si>
  <si>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</si>
  <si>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</si>
  <si>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</si>
  <si>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</si>
  <si>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</si>
  <si>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</si>
  <si>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</si>
  <si>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</si>
  <si>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</si>
  <si>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</si>
  <si>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</si>
  <si>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</si>
  <si>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</si>
  <si>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</si>
  <si>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</si>
  <si>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</si>
  <si>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</si>
  <si>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</si>
  <si>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</si>
  <si>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</si>
  <si>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</si>
  <si>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</si>
  <si>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</si>
  <si>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</si>
  <si>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</si>
  <si>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</si>
  <si>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</si>
  <si>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</si>
  <si>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</si>
  <si>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</si>
  <si>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</si>
  <si>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</si>
  <si>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</si>
  <si>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</si>
  <si>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</si>
  <si>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</si>
  <si>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</si>
  <si>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</si>
  <si>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</si>
  <si>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</si>
  <si>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</si>
  <si>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</si>
  <si>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</si>
  <si>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</si>
  <si>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</si>
  <si>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</si>
  <si>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</si>
  <si>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</si>
  <si>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</si>
  <si>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</si>
  <si>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</si>
  <si>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</si>
  <si>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</si>
  <si>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</si>
  <si>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</si>
  <si>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</si>
  <si>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</si>
  <si>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</si>
  <si>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</si>
  <si>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</si>
  <si>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</si>
  <si>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</si>
  <si>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</si>
  <si>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</si>
  <si>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</si>
  <si>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</si>
  <si>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</si>
  <si>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</si>
  <si>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</si>
  <si>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</si>
  <si>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</si>
  <si>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</si>
  <si>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</si>
  <si>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</si>
  <si>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</si>
  <si>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</si>
  <si>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</si>
  <si>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</si>
  <si>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</si>
  <si>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</si>
  <si>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</si>
  <si>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</si>
  <si>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</si>
  <si>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</si>
  <si>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</si>
  <si>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</si>
  <si>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</si>
  <si>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</si>
  <si>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</si>
  <si>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</si>
  <si>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</si>
  <si>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</si>
  <si>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</si>
  <si>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</si>
  <si>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</si>
  <si>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</si>
  <si>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</si>
  <si>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</si>
  <si>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</si>
  <si>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</si>
  <si>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</si>
  <si>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</si>
  <si>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</si>
  <si>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</si>
  <si>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</si>
  <si>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</si>
  <si>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</si>
  <si>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</si>
  <si>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</si>
  <si>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</si>
  <si>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</si>
  <si>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</si>
  <si>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</si>
  <si>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</si>
  <si>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</si>
  <si>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</si>
  <si>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</si>
  <si>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</si>
  <si>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</si>
  <si>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</si>
  <si>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</si>
  <si>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</si>
  <si>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</si>
  <si>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</si>
  <si>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</si>
  <si>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</si>
  <si>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</si>
  <si>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</si>
  <si>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</si>
  <si>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</si>
  <si>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</si>
  <si>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</si>
  <si>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</si>
  <si>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</si>
  <si>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</si>
  <si>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</si>
  <si>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</si>
  <si>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</si>
  <si>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</si>
  <si>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</si>
  <si>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</si>
  <si>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</si>
  <si>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</si>
  <si>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</si>
  <si>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</si>
  <si>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</si>
  <si>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</si>
  <si>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</si>
  <si>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</si>
  <si>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</si>
  <si>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</si>
  <si>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</si>
  <si>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</si>
  <si>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</si>
  <si>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</si>
  <si>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</si>
  <si>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</si>
  <si>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</si>
  <si>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</si>
  <si>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</si>
  <si>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</si>
  <si>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</si>
  <si>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</si>
  <si>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</si>
  <si>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</si>
  <si>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</si>
  <si>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</si>
  <si>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</si>
  <si>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</si>
  <si>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</si>
  <si>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</si>
  <si>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</si>
  <si>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</si>
  <si>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</si>
  <si>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</si>
  <si>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</si>
  <si>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</si>
  <si>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</si>
  <si>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</si>
  <si>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</si>
  <si>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</si>
  <si>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</si>
  <si>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</si>
  <si>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</si>
  <si>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</si>
  <si>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</si>
  <si>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</si>
  <si>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</si>
  <si>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</si>
  <si>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</si>
  <si>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</si>
  <si>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</si>
  <si>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</si>
  <si>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</si>
  <si>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</si>
  <si>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</si>
  <si>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</si>
  <si>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</si>
  <si>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</si>
  <si>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</si>
  <si>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</si>
  <si>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</si>
  <si>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</si>
  <si>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</si>
  <si>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</si>
  <si>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</si>
  <si>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</si>
  <si>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</si>
  <si>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</si>
  <si>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</si>
  <si>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</si>
  <si>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</si>
  <si>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</si>
  <si>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</si>
  <si>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</si>
  <si>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</si>
  <si>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</si>
  <si>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</si>
  <si>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</si>
  <si>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</si>
  <si>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</si>
  <si>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</si>
  <si>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</si>
  <si>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</si>
  <si>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</si>
  <si>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</si>
  <si>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</si>
  <si>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</si>
  <si>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</si>
  <si>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</si>
  <si>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</si>
  <si>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</si>
  <si>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</si>
  <si>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</si>
  <si>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</si>
  <si>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</si>
  <si>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</si>
  <si>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</si>
  <si>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</si>
  <si>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</si>
  <si>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</si>
  <si>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</si>
  <si>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</si>
  <si>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</si>
  <si>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</si>
  <si>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</si>
  <si>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</si>
  <si>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</si>
  <si>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</si>
  <si>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</si>
  <si>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</si>
  <si>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</si>
  <si>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</si>
  <si>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</si>
  <si>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</si>
  <si>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</si>
  <si>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</si>
  <si>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</si>
  <si>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</si>
  <si>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</si>
  <si>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</si>
  <si>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</si>
  <si>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</si>
  <si>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</si>
  <si>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</si>
  <si>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</si>
  <si>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</si>
  <si>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</si>
  <si>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</si>
  <si>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</si>
  <si>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</si>
  <si>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</si>
  <si>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</si>
  <si>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</si>
  <si>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</si>
  <si>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</si>
  <si>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</si>
  <si>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</si>
  <si>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</si>
  <si>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</si>
  <si>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</si>
  <si>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</si>
  <si>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</si>
  <si>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</si>
  <si>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</si>
  <si>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</si>
  <si>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</si>
  <si>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</si>
  <si>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</si>
  <si>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</si>
  <si>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</si>
  <si>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</si>
  <si>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</si>
  <si>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</si>
  <si>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</si>
  <si>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</si>
  <si>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</si>
  <si>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</si>
  <si>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</si>
  <si>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</si>
  <si>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</si>
  <si>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</si>
  <si>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</si>
  <si>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</si>
  <si>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</si>
  <si>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</si>
  <si>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</si>
  <si>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</si>
  <si>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</si>
  <si>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</si>
  <si>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</si>
  <si>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</si>
  <si>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</si>
  <si>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</si>
  <si>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</si>
  <si>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</si>
  <si>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</si>
  <si>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</si>
  <si>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</si>
  <si>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</si>
  <si>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</si>
  <si>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</si>
  <si>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</si>
  <si>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</si>
  <si>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</si>
  <si>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</si>
  <si>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</si>
  <si>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</si>
  <si>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</si>
  <si>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</si>
  <si>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</si>
  <si>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</si>
  <si>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</si>
  <si>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</si>
  <si>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</si>
  <si>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</si>
  <si>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</si>
  <si>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</si>
  <si>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</si>
  <si>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</si>
  <si>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</si>
  <si>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</si>
  <si>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</si>
  <si>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</si>
  <si>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</si>
  <si>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</si>
  <si>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</si>
  <si>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</si>
  <si>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</si>
  <si>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</si>
  <si>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</si>
  <si>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</si>
  <si>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</si>
  <si>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</si>
  <si>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</si>
  <si>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</si>
  <si>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</si>
  <si>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</si>
  <si>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</si>
  <si>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</si>
  <si>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</si>
  <si>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</si>
  <si>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</si>
  <si>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</si>
  <si>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</si>
  <si>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</si>
  <si>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</si>
  <si>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</si>
  <si>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</si>
  <si>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</si>
  <si>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</si>
  <si>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</si>
  <si>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</si>
  <si>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</si>
  <si>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</si>
  <si>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</si>
  <si>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</si>
  <si>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</si>
  <si>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</si>
  <si>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</si>
  <si>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</si>
  <si>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</si>
  <si>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</si>
  <si>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</si>
  <si>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</si>
  <si>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</si>
  <si>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</si>
  <si>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</si>
  <si>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</si>
  <si>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</si>
  <si>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</si>
  <si>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</si>
  <si>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</si>
  <si>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</si>
  <si>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</si>
  <si>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</si>
  <si>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</si>
  <si>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</si>
  <si>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</si>
  <si>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</si>
  <si>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</si>
  <si>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</si>
  <si>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</si>
  <si>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</si>
  <si>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</si>
  <si>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</si>
  <si>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</si>
  <si>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</si>
  <si>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</si>
  <si>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</si>
  <si>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</si>
  <si>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</si>
  <si>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</si>
  <si>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</si>
  <si>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</si>
  <si>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</si>
  <si>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</si>
  <si>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</si>
  <si>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</si>
  <si>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</si>
  <si>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</si>
  <si>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</si>
  <si>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</si>
  <si>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</si>
  <si>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</si>
  <si>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</si>
  <si>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</si>
  <si>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</si>
  <si>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</si>
  <si>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</si>
  <si>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</si>
  <si>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</si>
  <si>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</si>
  <si>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</si>
  <si>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</si>
  <si>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</si>
  <si>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</si>
  <si>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</si>
  <si>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</si>
  <si>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</si>
  <si>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</si>
  <si>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</si>
  <si>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</si>
  <si>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</si>
  <si>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</si>
  <si>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</si>
  <si>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</si>
  <si>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</si>
  <si>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</si>
  <si>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</si>
  <si>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</si>
  <si>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</si>
  <si>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</si>
  <si>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</si>
  <si>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</si>
  <si>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</si>
  <si>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</si>
  <si>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</si>
  <si>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</si>
  <si>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</si>
  <si>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</si>
  <si>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</si>
  <si>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</si>
  <si>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</si>
  <si>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</si>
  <si>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</si>
  <si>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</si>
  <si>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</si>
  <si>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</si>
  <si>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</si>
  <si>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</si>
  <si>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</si>
  <si>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</si>
  <si>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</si>
  <si>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</si>
  <si>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</si>
  <si>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</si>
  <si>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</si>
  <si>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</si>
  <si>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</si>
  <si>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</si>
  <si>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</si>
  <si>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</si>
  <si>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</si>
  <si>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</si>
  <si>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</si>
  <si>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</si>
  <si>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</si>
  <si>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</si>
  <si>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</si>
  <si>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</si>
  <si>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</si>
  <si>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</si>
  <si>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</si>
  <si>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</si>
  <si>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</si>
  <si>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</si>
  <si>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</si>
  <si>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</si>
  <si>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</si>
  <si>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</si>
  <si>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</si>
  <si>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</si>
  <si>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</si>
  <si>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</si>
  <si>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</si>
  <si>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</si>
  <si>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</si>
  <si>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</si>
  <si>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</si>
  <si>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</si>
  <si>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</si>
  <si>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</si>
  <si>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</si>
  <si>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</si>
  <si>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</si>
  <si>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</si>
  <si>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</si>
  <si>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</si>
  <si>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</si>
  <si>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</si>
  <si>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</si>
  <si>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</si>
  <si>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</si>
  <si>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</si>
  <si>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</si>
  <si>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</si>
  <si>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</si>
  <si>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</si>
  <si>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</si>
  <si>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</si>
  <si>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</si>
  <si>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</si>
  <si>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</si>
  <si>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</si>
  <si>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</si>
  <si>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</si>
  <si>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</si>
  <si>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</si>
  <si>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</si>
  <si>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</si>
  <si>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</si>
  <si>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</si>
  <si>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</si>
  <si>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</si>
  <si>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</si>
  <si>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</si>
  <si>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</si>
  <si>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</si>
  <si>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</si>
  <si>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</si>
  <si>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</si>
  <si>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</si>
  <si>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</si>
  <si>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</si>
  <si>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</si>
  <si>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</si>
  <si>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</si>
  <si>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</si>
  <si>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</si>
  <si>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</si>
  <si>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</si>
  <si>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</si>
  <si>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</si>
  <si>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</si>
  <si>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</si>
  <si>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</si>
  <si>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</si>
  <si>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</si>
  <si>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</si>
  <si>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</si>
  <si>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</si>
  <si>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</si>
  <si>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</si>
  <si>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</si>
  <si>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</si>
  <si>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</si>
  <si>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</si>
  <si>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</si>
  <si>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</si>
  <si>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</si>
  <si>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</si>
  <si>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</si>
  <si>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</si>
  <si>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</si>
  <si>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</si>
  <si>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</si>
  <si>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</si>
  <si>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</si>
  <si>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</si>
  <si>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</si>
  <si>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</si>
  <si>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</si>
  <si>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</si>
  <si>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</si>
  <si>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</si>
  <si>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</si>
  <si>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</si>
  <si>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</si>
  <si>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</si>
  <si>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</si>
  <si>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</si>
  <si>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</si>
  <si>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</si>
  <si>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</si>
  <si>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</si>
  <si>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</si>
  <si>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</si>
  <si>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</si>
  <si>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</si>
  <si>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</si>
  <si>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</si>
  <si>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</si>
  <si>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</si>
  <si>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</si>
  <si>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</si>
  <si>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</si>
  <si>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</si>
  <si>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</si>
  <si>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</si>
  <si>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</si>
  <si>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</si>
  <si>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</si>
  <si>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</si>
  <si>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</si>
  <si>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</si>
  <si>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</si>
  <si>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</si>
  <si>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</si>
  <si>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</si>
  <si>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</si>
  <si>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</si>
  <si>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</si>
  <si>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</si>
  <si>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</si>
  <si>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</si>
  <si>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</si>
  <si>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</si>
  <si>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</si>
  <si>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</si>
  <si>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</si>
  <si>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</si>
  <si>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</si>
  <si>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</si>
  <si>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</si>
  <si>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</si>
  <si>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</si>
  <si>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</si>
  <si>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</si>
  <si>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</si>
  <si>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</si>
  <si>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</si>
  <si>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</si>
  <si>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</si>
  <si>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</si>
  <si>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</si>
  <si>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</si>
  <si>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</si>
  <si>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</si>
  <si>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</si>
  <si>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</si>
  <si>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</si>
  <si>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</si>
  <si>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</si>
  <si>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</si>
  <si>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</si>
  <si>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</si>
  <si>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</si>
  <si>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</si>
  <si>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</si>
  <si>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</si>
  <si>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</si>
  <si>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</si>
  <si>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</si>
  <si>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</si>
  <si>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</si>
  <si>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</si>
  <si>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</si>
  <si>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</si>
  <si>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</si>
  <si>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</si>
  <si>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</si>
  <si>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</si>
  <si>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</si>
  <si>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</si>
  <si>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</si>
  <si>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</si>
  <si>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</si>
  <si>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</si>
  <si>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</si>
  <si>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</si>
  <si>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</si>
  <si>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</si>
  <si>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</si>
  <si>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</si>
  <si>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</si>
  <si>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</si>
  <si>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</si>
  <si>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</si>
  <si>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</si>
  <si>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</si>
  <si>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</si>
  <si>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</si>
  <si>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</si>
  <si>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</si>
  <si>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</si>
  <si>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</si>
  <si>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</si>
  <si>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</si>
  <si>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</si>
  <si>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</si>
  <si>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</si>
  <si>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</si>
  <si>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</si>
  <si>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</si>
  <si>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</si>
  <si>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</si>
  <si>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</si>
  <si>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</si>
  <si>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</si>
  <si>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</si>
  <si>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</si>
  <si>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</si>
  <si>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</si>
  <si>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</si>
  <si>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</si>
  <si>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</si>
  <si>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</si>
  <si>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</si>
  <si>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</si>
  <si>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</si>
  <si>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</si>
  <si>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</si>
  <si>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</si>
  <si>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</si>
  <si>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</si>
  <si>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</si>
  <si>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</si>
  <si>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</si>
  <si>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</si>
  <si>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</si>
  <si>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</si>
  <si>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</si>
  <si>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</si>
  <si>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</si>
  <si>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</si>
  <si>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</si>
  <si>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</si>
  <si>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</si>
  <si>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</si>
  <si>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</si>
  <si>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</si>
  <si>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</si>
  <si>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</si>
  <si>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</si>
  <si>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</si>
  <si>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</si>
  <si>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</si>
  <si>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</si>
  <si>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</si>
  <si>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</si>
  <si>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</si>
  <si>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</si>
  <si>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</si>
  <si>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</si>
  <si>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</si>
  <si>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</si>
  <si>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</si>
  <si>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</si>
  <si>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</si>
  <si>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</si>
  <si>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</si>
  <si>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</si>
  <si>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</si>
  <si>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</si>
  <si>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</si>
  <si>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</si>
  <si>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</si>
  <si>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</si>
  <si>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</si>
  <si>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</si>
  <si>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</si>
  <si>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</si>
  <si>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</si>
  <si>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</si>
  <si>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</si>
  <si>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</si>
  <si>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</si>
  <si>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</si>
  <si>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</si>
  <si>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</si>
  <si>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</si>
  <si>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</si>
  <si>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</si>
  <si>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</si>
  <si>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</si>
  <si>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</si>
  <si>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</si>
  <si>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</si>
  <si>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</si>
  <si>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</si>
  <si>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</si>
  <si>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</si>
  <si>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</si>
  <si>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</si>
  <si>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</si>
  <si>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</si>
  <si>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</si>
  <si>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</si>
  <si>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</si>
  <si>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</si>
  <si>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</si>
  <si>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</si>
  <si>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</si>
  <si>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</si>
  <si>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</si>
  <si>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</si>
  <si>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</si>
  <si>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</si>
  <si>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</si>
  <si>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</si>
  <si>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</si>
  <si>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</si>
  <si>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</si>
  <si>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</si>
  <si>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</si>
  <si>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</si>
  <si>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</si>
  <si>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</si>
  <si>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</si>
  <si>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</si>
  <si>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</si>
  <si>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</si>
  <si>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</si>
  <si>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</si>
  <si>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</si>
  <si>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</si>
  <si>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</si>
  <si>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</si>
  <si>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</si>
  <si>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</si>
  <si>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</si>
  <si>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</si>
  <si>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</si>
  <si>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</si>
  <si>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</si>
  <si>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</si>
  <si>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</si>
  <si>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</si>
  <si>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</si>
  <si>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</si>
  <si>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</si>
  <si>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</si>
  <si>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</si>
  <si>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</si>
  <si>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</si>
  <si>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</si>
  <si>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</si>
  <si>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</si>
  <si>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</si>
  <si>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</si>
  <si>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</si>
  <si>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</si>
  <si>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</si>
  <si>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</si>
  <si>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</si>
  <si>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</si>
  <si>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</si>
  <si>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</si>
  <si>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</si>
  <si>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</si>
  <si>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</si>
  <si>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</si>
  <si>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</si>
  <si>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</si>
  <si>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</si>
  <si>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</si>
  <si>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</si>
  <si>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</si>
  <si>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</si>
  <si>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</si>
  <si>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</si>
  <si>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</si>
  <si>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</si>
  <si>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</si>
  <si>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</si>
  <si>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</si>
  <si>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</si>
  <si>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</si>
  <si>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</si>
  <si>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</si>
  <si>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</si>
  <si>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</si>
  <si>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</si>
  <si>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</si>
  <si>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</si>
  <si>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</si>
  <si>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</si>
  <si>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</si>
  <si>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</si>
  <si>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</si>
  <si>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</si>
  <si>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</si>
  <si>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</si>
  <si>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</si>
  <si>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</si>
  <si>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</si>
  <si>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</si>
  <si>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</si>
  <si>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</si>
  <si>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</si>
  <si>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</si>
  <si>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</si>
  <si>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</si>
  <si>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</si>
  <si>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</si>
  <si>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</si>
  <si>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</si>
  <si>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</si>
  <si>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</si>
  <si>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</si>
  <si>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</si>
  <si>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</si>
  <si>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</si>
  <si>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</si>
  <si>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</si>
  <si>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</si>
  <si>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</si>
  <si>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</si>
  <si>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</si>
  <si>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</si>
  <si>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</si>
  <si>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</si>
  <si>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</si>
  <si>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</si>
  <si>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</si>
  <si>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</si>
  <si>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</si>
  <si>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</si>
  <si>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</si>
  <si>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</si>
  <si>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</si>
  <si>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</si>
  <si>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</si>
  <si>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</si>
  <si>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</si>
  <si>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</si>
  <si>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</si>
  <si>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</si>
  <si>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</si>
  <si>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</si>
  <si>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</si>
  <si>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</si>
  <si>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</si>
  <si>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</si>
  <si>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</si>
  <si>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</si>
  <si>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</si>
  <si>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</si>
  <si>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</si>
  <si>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</si>
  <si>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</si>
  <si>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</si>
  <si>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</si>
  <si>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</si>
  <si>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</si>
  <si>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</si>
  <si>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</si>
  <si>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</si>
  <si>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</si>
  <si>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</si>
  <si>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</si>
  <si>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</si>
  <si>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</si>
  <si>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</si>
  <si>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</si>
  <si>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</si>
  <si>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</si>
  <si>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</si>
  <si>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</si>
  <si>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</si>
  <si>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</si>
  <si>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</si>
  <si>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</si>
  <si>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</si>
  <si>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</si>
  <si>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</si>
  <si>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</si>
  <si>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</si>
  <si>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</si>
  <si>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</si>
  <si>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</si>
  <si>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</si>
  <si>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</si>
  <si>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</si>
  <si>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</si>
  <si>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</si>
  <si>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</si>
  <si>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</si>
  <si>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</si>
  <si>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</si>
  <si>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</si>
  <si>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</si>
  <si>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</si>
  <si>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</si>
  <si>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</si>
  <si>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</si>
  <si>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</si>
  <si>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</si>
  <si>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</si>
  <si>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</si>
  <si>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</si>
  <si>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</si>
  <si>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</si>
  <si>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</si>
  <si>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</si>
  <si>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</si>
  <si>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</si>
  <si>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</si>
  <si>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</si>
  <si>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</si>
  <si>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</si>
  <si>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</si>
  <si>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</si>
  <si>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</si>
  <si>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</si>
  <si>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</si>
  <si>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</si>
  <si>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</si>
  <si>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</si>
  <si>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</si>
  <si>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</si>
  <si>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</si>
  <si>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</si>
  <si>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</si>
  <si>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</si>
  <si>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</si>
  <si>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</si>
  <si>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</si>
  <si>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</si>
  <si>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</si>
  <si>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</si>
  <si>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</si>
  <si>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</si>
  <si>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</si>
  <si>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</si>
  <si>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</si>
  <si>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</si>
  <si>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</si>
  <si>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</si>
  <si>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</si>
  <si>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</si>
  <si>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</si>
  <si>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</si>
  <si>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</si>
  <si>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</si>
  <si>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</si>
  <si>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</si>
  <si>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</si>
  <si>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</si>
  <si>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</si>
  <si>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</si>
  <si>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</si>
  <si>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</si>
  <si>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</si>
  <si>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</si>
  <si>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</si>
  <si>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</si>
  <si>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</si>
  <si>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</si>
  <si>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</si>
  <si>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</si>
  <si>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</si>
  <si>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</si>
  <si>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</si>
  <si>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</si>
  <si>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</si>
  <si>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</si>
  <si>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</si>
  <si>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</si>
  <si>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</si>
  <si>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</si>
  <si>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</si>
  <si>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</si>
  <si>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</si>
  <si>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</si>
  <si>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</si>
  <si>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</si>
  <si>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</si>
  <si>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</si>
  <si>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</si>
  <si>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</si>
  <si>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</si>
  <si>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</si>
  <si>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</si>
  <si>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</si>
  <si>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</si>
  <si>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</si>
  <si>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</si>
  <si>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</si>
  <si>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</si>
  <si>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</si>
  <si>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</si>
  <si>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</si>
  <si>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</si>
  <si>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</si>
  <si>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</si>
  <si>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</si>
  <si>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</si>
  <si>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</si>
  <si>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</si>
  <si>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</si>
  <si>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</si>
  <si>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</si>
  <si>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</si>
  <si>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</si>
  <si>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</si>
  <si>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</si>
  <si>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</si>
  <si>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</si>
  <si>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</si>
  <si>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</si>
  <si>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</si>
  <si>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</si>
  <si>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</si>
  <si>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</si>
  <si>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</si>
  <si>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</si>
  <si>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</si>
  <si>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</si>
  <si>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</si>
  <si>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</si>
  <si>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</si>
  <si>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</si>
  <si>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</si>
  <si>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</si>
  <si>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</si>
  <si>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</si>
  <si>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</si>
  <si>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</si>
  <si>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</si>
  <si>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</si>
  <si>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</si>
  <si>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</si>
  <si>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</si>
  <si>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</si>
  <si>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</si>
  <si>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</si>
  <si>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</si>
  <si>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</si>
  <si>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</si>
  <si>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</si>
  <si>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</si>
  <si>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</si>
  <si>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</si>
  <si>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</si>
  <si>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</si>
  <si>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</si>
  <si>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</si>
  <si>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</si>
  <si>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</si>
  <si>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</si>
  <si>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</si>
  <si>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</si>
  <si>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</si>
  <si>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</si>
  <si>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</si>
  <si>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</si>
  <si>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</si>
  <si>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</si>
  <si>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</si>
  <si>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</si>
  <si>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</si>
  <si>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</si>
  <si>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</si>
  <si>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</si>
  <si>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</si>
  <si>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</si>
  <si>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</si>
  <si>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</si>
  <si>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</si>
  <si>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</si>
  <si>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</si>
  <si>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</si>
  <si>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</si>
  <si>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</si>
  <si>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</si>
  <si>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</si>
  <si>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</si>
  <si>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</si>
  <si>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</si>
  <si>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</si>
  <si>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</si>
  <si>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</si>
  <si>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</si>
  <si>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</si>
  <si>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</si>
  <si>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</si>
  <si>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</si>
  <si>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</si>
  <si>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</si>
  <si>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</si>
  <si>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</si>
  <si>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</si>
  <si>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</si>
  <si>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</si>
  <si>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</si>
  <si>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</si>
  <si>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</si>
  <si>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</si>
  <si>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</si>
  <si>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</si>
  <si>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</si>
  <si>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</si>
  <si>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</si>
  <si>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</si>
  <si>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</si>
  <si>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</si>
  <si>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</si>
  <si>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</si>
  <si>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</si>
  <si>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</si>
  <si>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</si>
  <si>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</si>
  <si>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</si>
  <si>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</si>
  <si>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</si>
  <si>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</si>
  <si>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</si>
  <si>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</si>
  <si>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</si>
  <si>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</si>
  <si>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</si>
  <si>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</si>
  <si>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</si>
  <si>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</si>
  <si>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</si>
  <si>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</si>
  <si>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</si>
  <si>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</si>
  <si>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</si>
  <si>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</si>
  <si>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</si>
  <si>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</si>
  <si>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</si>
  <si>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</si>
  <si>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</si>
  <si>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</si>
  <si>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</si>
  <si>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</si>
  <si>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</si>
  <si>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</si>
  <si>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</si>
  <si>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</si>
  <si>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</si>
  <si>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</si>
  <si>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</si>
  <si>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</si>
  <si>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</si>
  <si>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</si>
  <si>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</si>
  <si>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</si>
  <si>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</si>
  <si>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</si>
  <si>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</si>
  <si>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</si>
  <si>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</si>
  <si>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</si>
  <si>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</si>
  <si>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</si>
  <si>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</si>
  <si>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</si>
  <si>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</si>
  <si>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</si>
  <si>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</si>
  <si>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</si>
  <si>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</si>
  <si>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</si>
  <si>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</si>
  <si>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</si>
  <si>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</si>
  <si>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</si>
  <si>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</si>
  <si>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</si>
  <si>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</si>
  <si>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</si>
  <si>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</si>
  <si>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</si>
  <si>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</si>
  <si>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</si>
  <si>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</si>
  <si>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</si>
  <si>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</si>
  <si>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</si>
  <si>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</si>
  <si>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</si>
  <si>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</si>
  <si>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</si>
  <si>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</si>
  <si>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</si>
  <si>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</si>
  <si>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</si>
  <si>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</si>
  <si>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</si>
  <si>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</si>
  <si>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</si>
  <si>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</si>
  <si>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</si>
  <si>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</si>
  <si>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</si>
  <si>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</si>
  <si>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</si>
  <si>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</si>
  <si>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</si>
  <si>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</si>
  <si>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</si>
  <si>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</si>
  <si>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</si>
  <si>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</si>
  <si>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</si>
  <si>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</si>
  <si>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</si>
  <si>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</si>
  <si>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</si>
  <si>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</si>
  <si>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</si>
  <si>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</si>
  <si>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</si>
  <si>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</si>
  <si>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</si>
  <si>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</si>
  <si>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</si>
  <si>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</si>
  <si>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</si>
  <si>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</si>
  <si>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</si>
  <si>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</si>
  <si>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</si>
  <si>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</si>
  <si>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</si>
  <si>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</si>
  <si>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</si>
  <si>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</si>
  <si>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</si>
  <si>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</si>
  <si>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</si>
  <si>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</si>
  <si>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</si>
  <si>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</si>
  <si>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</si>
  <si>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</si>
  <si>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</si>
  <si>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</si>
  <si>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</si>
  <si>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</si>
  <si>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</si>
  <si>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</si>
  <si>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</si>
  <si>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</si>
  <si>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</si>
  <si>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</si>
  <si>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</si>
  <si>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</si>
  <si>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</si>
  <si>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</si>
  <si>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</si>
  <si>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</si>
  <si>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</si>
  <si>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</si>
  <si>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</si>
  <si>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</si>
  <si>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</si>
  <si>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</si>
  <si>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</si>
  <si>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</si>
  <si>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</si>
  <si>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</si>
  <si>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</si>
  <si>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</si>
  <si>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</si>
  <si>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</si>
  <si>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</si>
  <si>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</si>
  <si>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</si>
  <si>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</si>
  <si>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</si>
  <si>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</si>
  <si>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</si>
  <si>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</si>
  <si>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</si>
  <si>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</si>
  <si>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</si>
  <si>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</si>
  <si>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</si>
  <si>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</si>
  <si>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</si>
  <si>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</si>
  <si>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</si>
  <si>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</si>
  <si>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</si>
  <si>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</si>
  <si>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</si>
  <si>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</si>
  <si>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</si>
  <si>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</si>
  <si>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</si>
  <si>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</si>
  <si>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</si>
  <si>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</si>
  <si>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</si>
  <si>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</si>
  <si>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</si>
  <si>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</si>
  <si>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</si>
  <si>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</si>
  <si>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</si>
  <si>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</si>
  <si>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</si>
  <si>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</si>
  <si>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</si>
  <si>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</si>
  <si>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</si>
  <si>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</si>
  <si>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</si>
  <si>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</si>
  <si>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</si>
  <si>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</si>
  <si>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</si>
  <si>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</si>
  <si>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</si>
  <si>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</si>
  <si>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</si>
  <si>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</si>
  <si>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</si>
  <si>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</si>
  <si>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</si>
  <si>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</si>
  <si>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</si>
  <si>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</si>
  <si>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</si>
  <si>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</si>
  <si>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</si>
  <si>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</si>
  <si>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</si>
  <si>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</si>
  <si>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</si>
  <si>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</si>
  <si>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</si>
  <si>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</si>
  <si>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</si>
  <si>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</si>
  <si>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</si>
  <si>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</si>
  <si>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</si>
  <si>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</si>
  <si>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</si>
  <si>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</si>
  <si>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</si>
  <si>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</si>
  <si>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</si>
  <si>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</si>
  <si>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</si>
  <si>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</si>
  <si>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</si>
  <si>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</si>
  <si>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</si>
  <si>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</si>
  <si>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</si>
  <si>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</si>
  <si>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</si>
  <si>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</si>
  <si>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</si>
  <si>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</si>
  <si>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</si>
  <si>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</si>
  <si>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</si>
  <si>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</si>
  <si>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</si>
  <si>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</si>
  <si>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</si>
  <si>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</si>
  <si>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</si>
  <si>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</si>
  <si>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</si>
  <si>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</si>
  <si>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</si>
  <si>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</si>
  <si>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</si>
  <si>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</si>
  <si>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</si>
  <si>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</si>
  <si>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</si>
  <si>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</si>
  <si>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</si>
  <si>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</si>
  <si>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</si>
  <si>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</si>
  <si>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</si>
  <si>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</si>
  <si>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</si>
  <si>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</si>
  <si>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</si>
  <si>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</si>
  <si>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</si>
  <si>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</si>
  <si>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</si>
  <si>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</si>
  <si>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</si>
  <si>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</si>
  <si>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</si>
  <si>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</si>
  <si>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</si>
  <si>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</si>
  <si>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</si>
  <si>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</si>
  <si>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</si>
  <si>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</si>
  <si>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</si>
  <si>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</si>
  <si>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</si>
  <si>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</si>
  <si>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</si>
  <si>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</si>
  <si>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</si>
  <si>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</si>
  <si>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</si>
  <si>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</si>
  <si>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</si>
  <si>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</si>
  <si>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</si>
  <si>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</si>
  <si>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</si>
  <si>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</si>
  <si>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</si>
  <si>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</si>
  <si>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</si>
  <si>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</si>
  <si>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</si>
  <si>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</si>
  <si>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</si>
  <si>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</si>
  <si>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</si>
  <si>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</si>
  <si>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</si>
  <si>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</si>
  <si>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</si>
  <si>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</si>
  <si>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</si>
  <si>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</si>
  <si>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</si>
  <si>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</si>
  <si>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</si>
  <si>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</si>
  <si>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</si>
  <si>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</si>
  <si>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</si>
  <si>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</si>
  <si>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</si>
  <si>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</si>
  <si>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</si>
  <si>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</si>
  <si>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</si>
  <si>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</si>
  <si>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</si>
  <si>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</si>
  <si>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</si>
  <si>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</si>
  <si>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</si>
  <si>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</si>
  <si>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</si>
  <si>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</si>
  <si>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</si>
  <si>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</si>
  <si>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</si>
  <si>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</si>
  <si>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</si>
  <si>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</si>
  <si>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</si>
  <si>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</si>
  <si>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</si>
  <si>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</si>
  <si>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</si>
  <si>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</si>
  <si>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</si>
  <si>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</si>
  <si>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</si>
  <si>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</si>
  <si>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</si>
  <si>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</si>
  <si>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</si>
  <si>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</si>
  <si>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</si>
  <si>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</si>
  <si>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</si>
  <si>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</si>
  <si>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</si>
  <si>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</si>
  <si>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</si>
  <si>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</si>
  <si>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</si>
  <si>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</si>
  <si>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</si>
  <si>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</si>
  <si>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</si>
  <si>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</si>
  <si>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</si>
  <si>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</si>
  <si>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</si>
  <si>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</si>
  <si>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</si>
  <si>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</si>
  <si>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</si>
  <si>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</si>
  <si>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</si>
  <si>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</si>
  <si>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</si>
  <si>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</si>
  <si>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</si>
  <si>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</si>
  <si>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</si>
  <si>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</si>
  <si>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</si>
  <si>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</si>
  <si>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</si>
  <si>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</si>
  <si>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</si>
  <si>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</si>
  <si>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</si>
  <si>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</si>
  <si>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</si>
  <si>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</si>
  <si>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</si>
  <si>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</si>
  <si>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</si>
  <si>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</si>
  <si>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</si>
  <si>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</si>
  <si>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</si>
  <si>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</si>
  <si>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</si>
  <si>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</si>
  <si>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</si>
  <si>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</si>
  <si>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</si>
  <si>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</si>
  <si>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</si>
  <si>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</si>
  <si>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</si>
  <si>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</si>
  <si>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</si>
  <si>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</si>
  <si>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</si>
  <si>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</si>
  <si>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</si>
  <si>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</si>
  <si>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</si>
  <si>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</si>
  <si>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</si>
  <si>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</si>
  <si>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</si>
  <si>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</si>
  <si>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</si>
  <si>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</si>
  <si>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</si>
  <si>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</si>
  <si>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</si>
  <si>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</si>
  <si>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</si>
  <si>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</si>
  <si>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</si>
  <si>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</si>
  <si>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</si>
  <si>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</si>
  <si>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</si>
  <si>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</si>
  <si>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</si>
  <si>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</si>
  <si>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</si>
  <si>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</si>
  <si>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</si>
  <si>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</si>
  <si>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</si>
  <si>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</si>
  <si>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</si>
  <si>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</si>
  <si>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</si>
  <si>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</si>
  <si>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</si>
  <si>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</si>
  <si>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</si>
  <si>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</si>
  <si>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</si>
  <si>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</si>
  <si>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</si>
  <si>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</si>
  <si>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</si>
  <si>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</si>
  <si>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</si>
  <si>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</si>
  <si>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</si>
  <si>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</si>
  <si>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</si>
  <si>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</si>
  <si>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</si>
  <si>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</si>
  <si>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</si>
  <si>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</si>
  <si>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</si>
  <si>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</si>
  <si>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</si>
  <si>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</si>
  <si>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</si>
  <si>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</si>
  <si>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</si>
  <si>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</si>
  <si>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</si>
  <si>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</si>
  <si>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</si>
  <si>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</si>
  <si>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</si>
  <si>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</si>
  <si>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</si>
  <si>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</si>
  <si>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</si>
  <si>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</si>
  <si>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</si>
  <si>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</si>
  <si>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</si>
  <si>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</si>
  <si>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</si>
  <si>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</si>
  <si>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</si>
  <si>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</si>
  <si>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</si>
  <si>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</si>
  <si>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</si>
  <si>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</si>
  <si>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</si>
  <si>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</si>
  <si>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</si>
  <si>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</si>
  <si>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</si>
  <si>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</si>
  <si>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</si>
  <si>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</si>
  <si>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</si>
  <si>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</si>
  <si>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</si>
  <si>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</si>
  <si>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</si>
  <si>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</si>
  <si>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</si>
  <si>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</si>
  <si>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</si>
  <si>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</si>
  <si>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</si>
  <si>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</si>
  <si>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</si>
  <si>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</si>
  <si>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</si>
  <si>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</si>
  <si>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</si>
  <si>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</si>
  <si>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</si>
  <si>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</si>
  <si>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</si>
  <si>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</si>
  <si>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</si>
  <si>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</si>
  <si>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</si>
  <si>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</si>
  <si>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</si>
  <si>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</si>
  <si>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</si>
  <si>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</si>
  <si>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</si>
  <si>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</si>
  <si>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</si>
  <si>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</si>
  <si>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</si>
  <si>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</si>
  <si>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</si>
  <si>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</si>
  <si>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</si>
  <si>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</si>
  <si>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</si>
  <si>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</si>
  <si>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</si>
  <si>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</si>
  <si>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</si>
  <si>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</si>
  <si>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</si>
  <si>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</si>
  <si>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</si>
  <si>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</si>
  <si>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</si>
  <si>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</si>
  <si>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</si>
  <si>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</si>
  <si>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</si>
  <si>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</si>
  <si>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</si>
  <si>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</si>
  <si>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</si>
  <si>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</si>
  <si>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</si>
  <si>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</si>
  <si>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</si>
  <si>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</si>
  <si>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</si>
  <si>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</si>
  <si>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</si>
  <si>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</si>
  <si>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</si>
  <si>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</si>
  <si>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</si>
  <si>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</si>
  <si>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</si>
  <si>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</si>
  <si>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</si>
  <si>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</si>
  <si>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</si>
  <si>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</si>
  <si>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</si>
  <si>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</si>
  <si>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</si>
  <si>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</si>
  <si>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</si>
  <si>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</si>
  <si>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</si>
  <si>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</si>
  <si>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</si>
  <si>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</si>
  <si>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</si>
  <si>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</si>
  <si>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</si>
  <si>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</si>
  <si>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</si>
  <si>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</si>
  <si>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</si>
  <si>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</si>
  <si>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</si>
  <si>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</si>
  <si>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</si>
  <si>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</si>
  <si>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</si>
  <si>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</si>
  <si>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</si>
  <si>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</si>
  <si>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</si>
  <si>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</si>
  <si>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</si>
  <si>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</si>
  <si>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</si>
  <si>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</si>
  <si>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</si>
  <si>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</si>
  <si>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</si>
  <si>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</si>
  <si>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</si>
  <si>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</si>
  <si>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</si>
  <si>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</si>
  <si>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</si>
  <si>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</si>
  <si>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</si>
  <si>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</si>
  <si>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</si>
  <si>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</si>
  <si>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</si>
  <si>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</si>
  <si>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</si>
  <si>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</si>
  <si>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</si>
  <si>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</si>
  <si>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</si>
  <si>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</si>
  <si>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</si>
  <si>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</si>
  <si>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</si>
  <si>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</si>
  <si>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</si>
  <si>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</si>
  <si>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</si>
  <si>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</si>
  <si>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</si>
  <si>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</si>
  <si>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</si>
  <si>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</si>
  <si>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</si>
  <si>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</si>
  <si>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</si>
  <si>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</si>
  <si>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</si>
  <si>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</si>
  <si>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</si>
  <si>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</si>
  <si>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</si>
  <si>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</si>
  <si>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</si>
  <si>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</si>
  <si>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</si>
  <si>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</si>
  <si>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</si>
  <si>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</si>
  <si>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</si>
  <si>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</si>
  <si>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</si>
  <si>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</si>
  <si>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</si>
  <si>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</si>
  <si>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</si>
  <si>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</si>
  <si>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</si>
  <si>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</si>
  <si>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</si>
  <si>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</si>
  <si>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</si>
  <si>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</si>
  <si>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</si>
  <si>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</si>
  <si>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</si>
  <si>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</si>
  <si>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</si>
  <si>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</si>
  <si>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</si>
  <si>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</si>
  <si>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</si>
  <si>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</si>
  <si>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</si>
  <si>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</si>
  <si>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</si>
  <si>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</si>
  <si>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</si>
  <si>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</si>
  <si>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</si>
  <si>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</si>
  <si>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</si>
  <si>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</si>
  <si>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</si>
  <si>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</si>
  <si>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</si>
  <si>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</si>
  <si>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</si>
  <si>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</si>
  <si>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</si>
  <si>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</si>
  <si>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</si>
  <si>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</si>
  <si>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</si>
  <si>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</si>
  <si>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</si>
  <si>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</si>
  <si>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</si>
  <si>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</si>
  <si>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</si>
  <si>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</si>
  <si>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</si>
  <si>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</si>
  <si>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</si>
  <si>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</si>
  <si>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</si>
  <si>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</si>
  <si>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</si>
  <si>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</si>
  <si>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</si>
  <si>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</si>
  <si>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</si>
  <si>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</si>
  <si>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</si>
  <si>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</si>
  <si>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</si>
  <si>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</si>
  <si>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</si>
  <si>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</si>
  <si>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</si>
  <si>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</si>
  <si>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</si>
  <si>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</si>
  <si>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</si>
  <si>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</si>
  <si>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</si>
  <si>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</si>
  <si>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</si>
  <si>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</si>
  <si>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</si>
  <si>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</si>
  <si>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</si>
  <si>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</si>
  <si>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</si>
  <si>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</si>
  <si>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</si>
  <si>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</si>
  <si>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</si>
  <si>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</si>
  <si>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</si>
  <si>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</si>
  <si>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</si>
  <si>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</si>
  <si>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</si>
  <si>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</si>
  <si>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</si>
  <si>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</si>
  <si>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</si>
  <si>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</si>
  <si>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</si>
  <si>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</si>
  <si>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</si>
  <si>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</si>
  <si>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</si>
  <si>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</si>
  <si>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</si>
  <si>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</si>
  <si>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</si>
  <si>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</si>
  <si>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</si>
  <si>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</si>
  <si>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</si>
  <si>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</si>
  <si>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</si>
  <si>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</si>
  <si>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</si>
  <si>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</si>
  <si>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</si>
  <si>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</si>
  <si>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</si>
  <si>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</si>
  <si>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</si>
  <si>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</si>
  <si>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</si>
  <si>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</si>
  <si>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</si>
  <si>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</si>
  <si>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</si>
  <si>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</si>
  <si>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</si>
  <si>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</si>
  <si>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</si>
  <si>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</si>
  <si>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</si>
  <si>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</si>
  <si>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</si>
  <si>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</si>
  <si>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</si>
  <si>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</si>
  <si>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</si>
  <si>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</si>
  <si>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</si>
  <si>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</si>
  <si>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</si>
  <si>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</si>
  <si>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</si>
  <si>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</si>
  <si>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</si>
  <si>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</si>
  <si>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</si>
  <si>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</si>
  <si>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</si>
  <si>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</si>
  <si>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</si>
  <si>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</si>
  <si>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</si>
  <si>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</si>
  <si>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</si>
  <si>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</si>
  <si>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</si>
  <si>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</si>
  <si>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</si>
  <si>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</si>
  <si>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</si>
  <si>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</si>
  <si>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</si>
  <si>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</si>
  <si>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</si>
  <si>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</si>
  <si>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</si>
  <si>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</si>
  <si>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</si>
  <si>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</si>
  <si>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</si>
  <si>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</si>
  <si>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</si>
  <si>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</si>
  <si>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</si>
  <si>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</si>
  <si>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</si>
  <si>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</si>
  <si>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</si>
  <si>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</si>
  <si>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</si>
  <si>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</si>
  <si>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</si>
  <si>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</si>
  <si>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</si>
  <si>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</si>
  <si>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</si>
  <si>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</si>
  <si>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</si>
  <si>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</si>
  <si>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</si>
  <si>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</si>
  <si>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</si>
  <si>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</si>
  <si>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</si>
  <si>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</si>
  <si>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</si>
  <si>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</si>
  <si>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</si>
  <si>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</si>
  <si>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</si>
  <si>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</si>
  <si>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</si>
  <si>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</si>
  <si>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</si>
  <si>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</si>
  <si>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</si>
  <si>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</si>
  <si>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</si>
  <si>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</si>
  <si>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</si>
  <si>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</si>
  <si>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</si>
  <si>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</si>
  <si>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</si>
  <si>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</si>
  <si>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</si>
  <si>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</si>
  <si>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</si>
  <si>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</si>
  <si>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</si>
  <si>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</si>
  <si>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</si>
  <si>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</si>
  <si>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</si>
  <si>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</si>
  <si>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</si>
  <si>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</si>
  <si>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</si>
  <si>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</si>
  <si>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</si>
  <si>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</si>
  <si>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</si>
  <si>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</si>
  <si>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</si>
  <si>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</si>
  <si>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</si>
  <si>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</si>
  <si>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</si>
  <si>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</si>
  <si>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</si>
  <si>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</si>
  <si>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</si>
  <si>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</si>
  <si>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</si>
  <si>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</si>
  <si>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</si>
  <si>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</si>
  <si>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</si>
  <si>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</si>
  <si>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</si>
  <si>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</si>
  <si>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</si>
  <si>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</si>
  <si>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</si>
  <si>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</si>
  <si>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</si>
  <si>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</si>
  <si>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</si>
  <si>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</si>
  <si>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</si>
  <si>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</si>
  <si>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</si>
  <si>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</si>
  <si>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</si>
  <si>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</si>
  <si>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</si>
  <si>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</si>
  <si>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</si>
  <si>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</si>
  <si>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</si>
  <si>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</si>
  <si>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</si>
  <si>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</si>
  <si>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</si>
  <si>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</si>
  <si>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</si>
  <si>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</si>
  <si>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</si>
  <si>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</si>
  <si>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</si>
  <si>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</si>
  <si>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</si>
  <si>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</si>
  <si>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</si>
  <si>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</si>
  <si>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</si>
  <si>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</si>
  <si>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</si>
  <si>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</si>
  <si>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</si>
  <si>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</si>
  <si>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</si>
  <si>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</si>
  <si>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</si>
  <si>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</si>
  <si>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</si>
  <si>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</si>
  <si>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</si>
  <si>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</si>
  <si>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</si>
  <si>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</si>
  <si>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</si>
  <si>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</si>
  <si>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</si>
  <si>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</si>
  <si>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</si>
  <si>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</si>
  <si>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</si>
  <si>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</si>
  <si>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</si>
  <si>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</si>
  <si>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</si>
  <si>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</si>
  <si>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</si>
  <si>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</si>
  <si>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</si>
  <si>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</si>
  <si>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</si>
  <si>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</si>
  <si>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</si>
  <si>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</si>
  <si>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</si>
  <si>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</si>
  <si>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</si>
  <si>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</si>
  <si>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</si>
  <si>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</si>
  <si>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</si>
  <si>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</si>
  <si>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</si>
  <si>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</si>
  <si>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</si>
  <si>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</si>
  <si>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</si>
  <si>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</si>
  <si>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</si>
  <si>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</si>
  <si>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</si>
  <si>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</si>
  <si>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</si>
  <si>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</si>
  <si>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</si>
  <si>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</si>
  <si>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</si>
  <si>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</si>
  <si>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</si>
  <si>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</si>
  <si>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</si>
  <si>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</si>
  <si>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</si>
  <si>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</si>
  <si>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</si>
  <si>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</si>
  <si>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</si>
  <si>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</si>
  <si>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>S30(20JULHO-25JULHO 2026)</t>
  </si>
  <si>
    <t xml:space="preserve">MAQUINAS DE EQUILIBRAR </t>
  </si>
  <si>
    <t>600P</t>
  </si>
  <si>
    <t>MAO DE OBRA</t>
  </si>
  <si>
    <t>S30(21JULHO-27JULHO 2025)</t>
  </si>
  <si>
    <t>S30(20JULHO-26JULHO 2026)</t>
  </si>
  <si>
    <t>MAQUINAS DESMONTAR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</si>
</sst>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5" applyNumberFormat="0" applyAlignment="0" applyProtection="0"/>
    <xf numFmtId="0" fontId="12" fillId="8" borderId="6" applyNumberFormat="0" applyAlignment="0" applyProtection="0"/>
    <xf numFmtId="0" fontId="13" fillId="8" borderId="5" applyNumberFormat="0" applyAlignment="0" applyProtection="0"/>
    <xf numFmtId="0" fontId="14" fillId="0" borderId="7" applyNumberFormat="0" applyFill="0" applyAlignment="0" applyProtection="0"/>
    <xf numFmtId="0" fontId="15" fillId="9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9" applyNumberFormat="0" applyFont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1" xfId="0" applyFont="1" applyBorder="1" applyAlignment="1">
      <alignment horizontal="left" vertical="top"/>
    </xf>
    <xf numFmtId="10" fontId="2" fillId="0" borderId="1" xfId="0" applyNumberFormat="1" applyFont="1" applyBorder="1" applyAlignment="1">
      <alignment horizontal="center" vertical="top"/>
    </xf>
    <xf numFmtId="10" fontId="3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/>
    <xf numFmtId="10" fontId="3" fillId="2" borderId="0" xfId="0" applyNumberFormat="1" applyFont="1" applyFill="1"/>
    <xf numFmtId="10" fontId="3" fillId="3" borderId="0" xfId="0" applyNumberFormat="1" applyFont="1" applyFill="1"/>
    <xf numFmtId="10" fontId="3" fillId="0" borderId="0" xfId="0" quotePrefix="1" applyNumberFormat="1" applyFont="1"/>
    <xf numFmtId="164" fontId="3" fillId="0" borderId="0" xfId="41" applyNumberFormat="1" applyFont="1"/>
    <xf numFmtId="165" fontId="3" fillId="0" borderId="0" xfId="41" applyNumberFormat="1" applyFont="1"/>
    <xf numFmtId="0" fontId="3" fillId="0" borderId="0" xfId="41" applyFont="1"/>
  </cellXfs>
  <cellStyles count="43">
    <cellStyle name="20% - Cor1" xfId="18" builtinId="30" customBuiltin="1"/>
    <cellStyle name="20% - Cor2" xfId="22" builtinId="34" customBuiltin="1"/>
    <cellStyle name="20% - Cor3" xfId="26" builtinId="38" customBuiltin="1"/>
    <cellStyle name="20% - Cor4" xfId="30" builtinId="42" customBuiltin="1"/>
    <cellStyle name="20% - Cor5" xfId="34" builtinId="46" customBuiltin="1"/>
    <cellStyle name="20% - Cor6" xfId="38" builtinId="50" customBuiltin="1"/>
    <cellStyle name="40% - Cor1" xfId="19" builtinId="31" customBuiltin="1"/>
    <cellStyle name="40% - Cor2" xfId="23" builtinId="35" customBuiltin="1"/>
    <cellStyle name="40% - Cor3" xfId="27" builtinId="39" customBuiltin="1"/>
    <cellStyle name="40% - Cor4" xfId="31" builtinId="43" customBuiltin="1"/>
    <cellStyle name="40% - Cor5" xfId="35" builtinId="47" customBuiltin="1"/>
    <cellStyle name="40% - Cor6" xfId="39" builtinId="51" customBuiltin="1"/>
    <cellStyle name="60% - Cor1" xfId="20" builtinId="32" customBuiltin="1"/>
    <cellStyle name="60% - Cor2" xfId="24" builtinId="36" customBuiltin="1"/>
    <cellStyle name="60% - Cor3" xfId="28" builtinId="40" customBuiltin="1"/>
    <cellStyle name="60% - Cor4" xfId="32" builtinId="44" customBuiltin="1"/>
    <cellStyle name="60% - Cor5" xfId="36" builtinId="48" customBuiltin="1"/>
    <cellStyle name="60% - Cor6" xfId="40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ta 2" xfId="42" xr:uid="{B10ED945-6AC2-457D-9920-F6FD2C78ABDB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45"/>
  <sheetViews>
    <sheetView tabSelected="1" workbookViewId="0">
      <pane ySplit="1" topLeftCell="A519" activePane="bottomLeft" state="frozen"/>
      <selection pane="bottomLeft" activeCell="D550" sqref="D55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M316" s="2" t="s">
        <v>40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M318" s="2" t="s">
        <v>40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703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x14ac:dyDescent="0.2">
      <c r="A548" s="2">
        <v>2025</v>
      </c>
      <c r="B548" s="2">
        <v>3</v>
      </c>
      <c r="D548" s="2" t="s">
        <v>944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703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C854" s="2" t="s">
        <v>3322</v>
      </c>
      <c r="D854" s="2" t="s">
        <v>1245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C1272" s="2" t="s">
        <v>3443</v>
      </c>
      <c r="D1272" s="2" t="s">
        <v>1550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L1295" s="2" t="s">
        <v>100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1580</v>
      </c>
      <c r="E1331" s="2" t="s">
        <v>754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1580</v>
      </c>
      <c r="E1332" s="2" t="s">
        <v>754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1581</v>
      </c>
      <c r="AB1332" s="2" t="s">
        <v>389</v>
      </c>
      <c r="AC1332" s="2" t="s">
        <v>1331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1580</v>
      </c>
      <c r="E1333" s="2" t="s">
        <v>754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1580</v>
      </c>
      <c r="E1334" s="2" t="s">
        <v>754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1580</v>
      </c>
      <c r="E1335" s="2" t="s">
        <v>754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1581</v>
      </c>
      <c r="AB1335" s="2" t="s">
        <v>389</v>
      </c>
      <c r="AC1335" s="2" t="s">
        <v>1331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3237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3237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3237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3237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3237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3392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3237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7"/>
        <v>1</v>
      </c>
      <c r="AF1901" s="2">
        <f t="shared" si="223"/>
        <v>0</v>
      </c>
      <c r="AJ1901" s="2">
        <f t="shared" si="224"/>
        <v>0</v>
      </c>
      <c r="AK1901" s="2">
        <f t="shared" si="225"/>
        <v>97.81</v>
      </c>
      <c r="AL1901" s="5">
        <f t="shared" si="222"/>
        <v>1</v>
      </c>
    </row>
    <row r="1902" spans="1:38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3242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3237</v>
      </c>
      <c r="AC1946" s="2" t="s">
        <v>3242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1314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1314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3392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3392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3392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3392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3237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1314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3392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3237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3237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3242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3242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3237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2103</v>
      </c>
      <c r="AC2313" s="2" t="s">
        <v>3242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3392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3445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1314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1314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3392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3"/>
        <v>0</v>
      </c>
      <c r="AJ2351" s="2">
        <f t="shared" si="264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3392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3237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3237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3392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3392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3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6</v>
      </c>
      <c r="AL2408" s="5">
        <f t="shared" si="268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3392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3392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3392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1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2"/>
        <v>0</v>
      </c>
      <c r="AJ2533" s="2">
        <f t="shared" si="283"/>
        <v>0</v>
      </c>
      <c r="AK2533" s="2">
        <f t="shared" si="284"/>
        <v>32</v>
      </c>
      <c r="AL2533" s="5">
        <f t="shared" si="290"/>
        <v>1</v>
      </c>
    </row>
    <row r="2534" spans="1:38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3392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3392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3392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3392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3392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1314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3392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3392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3392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3392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3392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3392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x14ac:dyDescent="0.2">
      <c r="A2694" s="2">
        <v>2025</v>
      </c>
      <c r="B2694" s="2">
        <v>9</v>
      </c>
      <c r="D2694" s="2" t="s">
        <v>1580</v>
      </c>
      <c r="E2694" s="2" t="s">
        <v>754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1581</v>
      </c>
      <c r="AB2694" s="2" t="s">
        <v>389</v>
      </c>
      <c r="AC2694" s="2" t="s">
        <v>1331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3392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3237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3237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5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2"/>
        <v>0</v>
      </c>
      <c r="AJ2730" s="2">
        <f t="shared" si="303"/>
        <v>0</v>
      </c>
      <c r="AK2730" s="2">
        <f t="shared" si="304"/>
        <v>52.98</v>
      </c>
      <c r="AL2730" s="5">
        <f t="shared" si="306"/>
        <v>1</v>
      </c>
    </row>
    <row r="2731" spans="1:38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5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2"/>
        <v>0</v>
      </c>
      <c r="AJ2731" s="2">
        <f t="shared" si="303"/>
        <v>0</v>
      </c>
      <c r="AK2731" s="2">
        <f t="shared" si="304"/>
        <v>42</v>
      </c>
      <c r="AL2731" s="5">
        <f t="shared" si="306"/>
        <v>1</v>
      </c>
    </row>
    <row r="2732" spans="1:38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3392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3392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1314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1314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1314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1314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3392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3237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3"/>
        <v>0</v>
      </c>
      <c r="AJ3130" s="2">
        <f t="shared" si="354"/>
        <v>0</v>
      </c>
    </row>
    <row r="3131" spans="1:38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1314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3392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3237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3237</v>
      </c>
      <c r="AC3449" s="2" t="s">
        <v>3242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3237</v>
      </c>
      <c r="AC3450" s="2" t="s">
        <v>3242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3237</v>
      </c>
      <c r="AC3451" s="2" t="s">
        <v>3242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1314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3392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3392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x14ac:dyDescent="0.2">
      <c r="A3575" s="2">
        <v>2026</v>
      </c>
      <c r="B3575" s="2">
        <v>3</v>
      </c>
      <c r="C3575" s="2" t="s">
        <v>3438</v>
      </c>
      <c r="D3575" s="2" t="s">
        <v>2782</v>
      </c>
      <c r="E3575" s="2" t="s">
        <v>109</v>
      </c>
      <c r="F3575" s="2" t="s">
        <v>39</v>
      </c>
      <c r="L3575" s="2" t="s">
        <v>2446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105</v>
      </c>
      <c r="AA3575" s="2" t="s">
        <v>3440</v>
      </c>
      <c r="AB3575" s="2" t="s">
        <v>3441</v>
      </c>
      <c r="AC3575" s="2" t="s">
        <v>115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3392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3392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7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44"/>
        <v>0</v>
      </c>
      <c r="AJ3625" s="2">
        <f t="shared" si="445"/>
        <v>0</v>
      </c>
      <c r="AK3625" s="2">
        <f t="shared" si="442"/>
        <v>11.2</v>
      </c>
      <c r="AL3625" s="5">
        <f t="shared" si="441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7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44"/>
        <v>0</v>
      </c>
      <c r="AJ3626" s="2">
        <f t="shared" si="445"/>
        <v>0</v>
      </c>
      <c r="AK3626" s="2">
        <f t="shared" si="442"/>
        <v>88.8</v>
      </c>
      <c r="AL3626" s="5">
        <f t="shared" si="441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x14ac:dyDescent="0.2">
      <c r="A3633" s="2">
        <v>2026</v>
      </c>
      <c r="B3633" s="2">
        <v>4</v>
      </c>
      <c r="D3633" s="2" t="s">
        <v>1580</v>
      </c>
      <c r="E3633" s="2" t="s">
        <v>754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A3633" s="2" t="s">
        <v>1581</v>
      </c>
      <c r="AB3633" s="2" t="s">
        <v>389</v>
      </c>
      <c r="AC3633" s="2" t="s">
        <v>1331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2929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3392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1314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1314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3392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23">T4080*23%</f>
        <v>2.4840000000000004</v>
      </c>
      <c r="V4080" s="10">
        <f t="shared" ref="V4080:V4107" si="524">T4080+U4080</f>
        <v>13.284000000000001</v>
      </c>
      <c r="W4080" s="2">
        <v>5.23</v>
      </c>
      <c r="X4080" s="5">
        <f t="shared" ref="X4080:X4109" si="525">(T4080-W4080)/T4080</f>
        <v>0.51574074074074072</v>
      </c>
      <c r="Z4080" s="2" t="s">
        <v>3237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6">T4080-W4080</f>
        <v>5.57</v>
      </c>
      <c r="AL4080" s="5">
        <f t="shared" ref="AL4080:AL4109" si="527">(T4080-W4080)/T4080</f>
        <v>0.51574074074074072</v>
      </c>
    </row>
    <row r="4081" spans="1:38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23"/>
        <v>0.82800000000000007</v>
      </c>
      <c r="V4081" s="10">
        <f t="shared" si="524"/>
        <v>4.4279999999999999</v>
      </c>
      <c r="W4081" s="2">
        <f>0.97*S4081</f>
        <v>0.97</v>
      </c>
      <c r="X4081" s="5">
        <f t="shared" si="525"/>
        <v>0.73055555555555551</v>
      </c>
      <c r="Z4081" s="2" t="s">
        <v>3237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6"/>
        <v>2.63</v>
      </c>
      <c r="AL4081" s="5">
        <f t="shared" si="527"/>
        <v>0.73055555555555551</v>
      </c>
    </row>
    <row r="4082" spans="1:38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3"/>
        <v>4.83</v>
      </c>
      <c r="V4082" s="10">
        <f t="shared" si="524"/>
        <v>25.83</v>
      </c>
      <c r="W4082" s="2">
        <f>10.67*S4082</f>
        <v>10.67</v>
      </c>
      <c r="X4082" s="5">
        <f t="shared" si="525"/>
        <v>0.4919047619047619</v>
      </c>
      <c r="Z4082" s="2" t="s">
        <v>3237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6"/>
        <v>10.33</v>
      </c>
      <c r="AL4082" s="5">
        <f t="shared" si="527"/>
        <v>0.4919047619047619</v>
      </c>
    </row>
    <row r="4083" spans="1:38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3"/>
        <v>4.83</v>
      </c>
      <c r="V4083" s="10">
        <f t="shared" si="524"/>
        <v>25.83</v>
      </c>
      <c r="W4083" s="2">
        <f>9.3*S4083</f>
        <v>9.3000000000000007</v>
      </c>
      <c r="X4083" s="5">
        <f t="shared" si="525"/>
        <v>0.55714285714285716</v>
      </c>
      <c r="Z4083" s="2" t="s">
        <v>3237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6"/>
        <v>11.7</v>
      </c>
      <c r="AL4083" s="5">
        <f t="shared" si="527"/>
        <v>0.55714285714285716</v>
      </c>
    </row>
    <row r="4084" spans="1:38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3"/>
        <v>2.0700000000000003</v>
      </c>
      <c r="V4084" s="10">
        <f t="shared" si="524"/>
        <v>11.07</v>
      </c>
      <c r="W4084" s="2">
        <f>3.7358*S4084</f>
        <v>3.7357999999999998</v>
      </c>
      <c r="X4084" s="5">
        <f t="shared" si="525"/>
        <v>0.58491111111111116</v>
      </c>
      <c r="Z4084" s="2" t="s">
        <v>3237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6"/>
        <v>5.2642000000000007</v>
      </c>
      <c r="AL4084" s="5">
        <f t="shared" si="527"/>
        <v>0.58491111111111116</v>
      </c>
    </row>
    <row r="4085" spans="1:38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3"/>
        <v>3.3120000000000003</v>
      </c>
      <c r="V4085" s="10">
        <f t="shared" si="524"/>
        <v>17.712</v>
      </c>
      <c r="X4085" s="5">
        <f t="shared" si="525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6"/>
        <v>14.4</v>
      </c>
      <c r="AL4085" s="5">
        <f t="shared" si="527"/>
        <v>1</v>
      </c>
    </row>
    <row r="4086" spans="1:38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3"/>
        <v>4.0019999999999998</v>
      </c>
      <c r="V4086" s="10">
        <f t="shared" si="524"/>
        <v>21.401999999999997</v>
      </c>
      <c r="W4086" s="2">
        <f>9.075*S4086</f>
        <v>9.0749999999999993</v>
      </c>
      <c r="X4086" s="5">
        <f t="shared" si="525"/>
        <v>0.47844827586206895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6"/>
        <v>8.3249999999999993</v>
      </c>
      <c r="AL4086" s="5">
        <f t="shared" si="527"/>
        <v>0.47844827586206895</v>
      </c>
    </row>
    <row r="4087" spans="1:38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3"/>
        <v>4.83</v>
      </c>
      <c r="V4087" s="10">
        <f t="shared" si="524"/>
        <v>25.83</v>
      </c>
      <c r="X4087" s="5">
        <f t="shared" si="525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6"/>
        <v>21</v>
      </c>
      <c r="AL4087" s="5">
        <f t="shared" si="527"/>
        <v>1</v>
      </c>
    </row>
    <row r="4088" spans="1:38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3"/>
        <v>5.7960000000000003</v>
      </c>
      <c r="V4088" s="10">
        <f t="shared" si="524"/>
        <v>30.995999999999999</v>
      </c>
      <c r="X4088" s="5">
        <f t="shared" si="525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6"/>
        <v>25.2</v>
      </c>
      <c r="AL4088" s="5">
        <f t="shared" si="527"/>
        <v>1</v>
      </c>
    </row>
    <row r="4089" spans="1:38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3"/>
        <v>6.9</v>
      </c>
      <c r="V4089" s="10">
        <f t="shared" si="524"/>
        <v>36.9</v>
      </c>
      <c r="X4089" s="5">
        <f t="shared" si="525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6"/>
        <v>30</v>
      </c>
      <c r="AL4089" s="5">
        <f t="shared" si="527"/>
        <v>1</v>
      </c>
    </row>
    <row r="4090" spans="1:38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3"/>
        <v>4.1400000000000006</v>
      </c>
      <c r="V4090" s="10">
        <f t="shared" si="524"/>
        <v>22.14</v>
      </c>
      <c r="X4090" s="5">
        <f t="shared" si="525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6"/>
        <v>18</v>
      </c>
      <c r="AL4090" s="5">
        <f t="shared" si="527"/>
        <v>1</v>
      </c>
    </row>
    <row r="4091" spans="1:38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3"/>
        <v>4.5540000000000003</v>
      </c>
      <c r="V4091" s="10">
        <f t="shared" si="524"/>
        <v>24.353999999999999</v>
      </c>
      <c r="X4091" s="5">
        <f t="shared" si="525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6"/>
        <v>19.8</v>
      </c>
      <c r="AL4091" s="5">
        <f t="shared" si="527"/>
        <v>1</v>
      </c>
    </row>
    <row r="4092" spans="1:38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3"/>
        <v>5.2440000000000007</v>
      </c>
      <c r="V4092" s="10">
        <f t="shared" si="524"/>
        <v>28.044</v>
      </c>
      <c r="X4092" s="5">
        <f t="shared" si="525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6"/>
        <v>22.8</v>
      </c>
      <c r="AL4092" s="5">
        <f t="shared" si="527"/>
        <v>1</v>
      </c>
    </row>
    <row r="4093" spans="1:38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3"/>
        <v>5.5200000000000005</v>
      </c>
      <c r="V4093" s="10">
        <f t="shared" si="524"/>
        <v>29.52</v>
      </c>
      <c r="W4093" s="2">
        <f>12.71*S4093</f>
        <v>12.71</v>
      </c>
      <c r="X4093" s="5">
        <f t="shared" si="525"/>
        <v>0.47041666666666665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6"/>
        <v>11.29</v>
      </c>
      <c r="AL4093" s="5">
        <f t="shared" si="527"/>
        <v>0.47041666666666665</v>
      </c>
    </row>
    <row r="4094" spans="1:38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3"/>
        <v>0</v>
      </c>
      <c r="V4094" s="10">
        <f t="shared" si="524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3"/>
        <v>3.22</v>
      </c>
      <c r="V4095" s="10">
        <f t="shared" si="524"/>
        <v>17.22</v>
      </c>
      <c r="W4095" s="2">
        <f>0.0914*S4095</f>
        <v>9.1399999999999988</v>
      </c>
      <c r="X4095" s="5">
        <f t="shared" si="525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6"/>
        <v>4.8600000000000012</v>
      </c>
      <c r="AL4095" s="5">
        <f t="shared" si="527"/>
        <v>0.34714285714285725</v>
      </c>
    </row>
    <row r="4096" spans="1:38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3"/>
        <v>2.99</v>
      </c>
      <c r="V4096" s="10">
        <f t="shared" si="524"/>
        <v>15.99</v>
      </c>
      <c r="W4096" s="2">
        <f>0.082*S4096</f>
        <v>8.2000000000000011</v>
      </c>
      <c r="X4096" s="5">
        <f t="shared" si="525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6"/>
        <v>4.7999999999999989</v>
      </c>
      <c r="AL4096" s="5">
        <f t="shared" si="527"/>
        <v>0.36923076923076914</v>
      </c>
    </row>
    <row r="4097" spans="1:38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3"/>
        <v>3.22</v>
      </c>
      <c r="V4097" s="10">
        <f t="shared" si="524"/>
        <v>17.22</v>
      </c>
      <c r="W4097" s="2">
        <f>0.0914*S4097</f>
        <v>9.1399999999999988</v>
      </c>
      <c r="X4097" s="5">
        <f t="shared" si="525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6"/>
        <v>4.8600000000000012</v>
      </c>
      <c r="AL4097" s="5">
        <f t="shared" si="527"/>
        <v>0.34714285714285725</v>
      </c>
    </row>
    <row r="4098" spans="1:38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23"/>
        <v>0</v>
      </c>
      <c r="V4098" s="10">
        <f t="shared" si="524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23"/>
        <v>9.2000000000000011</v>
      </c>
      <c r="V4099" s="10">
        <f t="shared" si="524"/>
        <v>49.2</v>
      </c>
      <c r="X4099" s="5">
        <f t="shared" si="525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6"/>
        <v>40</v>
      </c>
      <c r="AL4099" s="5">
        <f t="shared" si="527"/>
        <v>1</v>
      </c>
    </row>
    <row r="4100" spans="1:38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3"/>
        <v>0.69000000000000006</v>
      </c>
      <c r="V4100" s="10">
        <f t="shared" si="524"/>
        <v>3.69</v>
      </c>
      <c r="X4100" s="5">
        <f t="shared" si="525"/>
        <v>1</v>
      </c>
      <c r="Z4100" s="2" t="s">
        <v>3237</v>
      </c>
      <c r="AA4100" s="2" t="s">
        <v>46</v>
      </c>
      <c r="AI4100" s="2"/>
      <c r="AK4100" s="2">
        <f t="shared" si="526"/>
        <v>3</v>
      </c>
      <c r="AL4100" s="5">
        <f t="shared" si="527"/>
        <v>1</v>
      </c>
    </row>
    <row r="4101" spans="1:38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3"/>
        <v>4.83</v>
      </c>
      <c r="V4101" s="10">
        <f t="shared" si="524"/>
        <v>25.83</v>
      </c>
      <c r="X4101" s="5">
        <f t="shared" si="525"/>
        <v>1</v>
      </c>
      <c r="Z4101" s="2" t="s">
        <v>3237</v>
      </c>
      <c r="AA4101" s="2" t="s">
        <v>46</v>
      </c>
      <c r="AI4101" s="2"/>
      <c r="AK4101" s="2">
        <f t="shared" si="526"/>
        <v>21</v>
      </c>
      <c r="AL4101" s="5">
        <f t="shared" si="527"/>
        <v>1</v>
      </c>
    </row>
    <row r="4102" spans="1:38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3"/>
        <v>3.3120000000000003</v>
      </c>
      <c r="V4102" s="10">
        <f t="shared" si="524"/>
        <v>17.712</v>
      </c>
      <c r="X4102" s="5">
        <f t="shared" si="525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6"/>
        <v>14.4</v>
      </c>
      <c r="AL4102" s="5">
        <f t="shared" si="527"/>
        <v>1</v>
      </c>
    </row>
    <row r="4103" spans="1:38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3"/>
        <v>2.7600000000000002</v>
      </c>
      <c r="V4103" s="10">
        <f t="shared" si="524"/>
        <v>14.76</v>
      </c>
      <c r="X4103" s="5">
        <f t="shared" si="525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6"/>
        <v>12</v>
      </c>
      <c r="AL4103" s="5">
        <f t="shared" si="527"/>
        <v>1</v>
      </c>
    </row>
    <row r="4104" spans="1:38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3"/>
        <v>2.7600000000000002</v>
      </c>
      <c r="V4104" s="10">
        <f t="shared" si="524"/>
        <v>14.76</v>
      </c>
      <c r="X4104" s="5">
        <f t="shared" si="525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6"/>
        <v>12</v>
      </c>
      <c r="AL4104" s="5">
        <f t="shared" si="527"/>
        <v>1</v>
      </c>
    </row>
    <row r="4105" spans="1:38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3"/>
        <v>5.29</v>
      </c>
      <c r="V4105" s="10">
        <f t="shared" si="524"/>
        <v>28.29</v>
      </c>
      <c r="X4105" s="5">
        <f t="shared" si="525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6"/>
        <v>23</v>
      </c>
      <c r="AL4105" s="5">
        <f t="shared" si="527"/>
        <v>1</v>
      </c>
    </row>
    <row r="4106" spans="1:38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23"/>
        <v>1.794</v>
      </c>
      <c r="V4106" s="10">
        <f t="shared" si="524"/>
        <v>9.5939999999999994</v>
      </c>
      <c r="X4106" s="5">
        <f t="shared" si="525"/>
        <v>1</v>
      </c>
      <c r="Z4106" s="2" t="s">
        <v>3237</v>
      </c>
      <c r="AA4106" s="2" t="s">
        <v>46</v>
      </c>
      <c r="AI4106" s="2"/>
      <c r="AK4106" s="2">
        <f t="shared" si="526"/>
        <v>7.8</v>
      </c>
      <c r="AL4106" s="5">
        <f t="shared" si="527"/>
        <v>1</v>
      </c>
    </row>
    <row r="4107" spans="1:38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24"/>
        <v>14.76</v>
      </c>
      <c r="X4107" s="5">
        <f t="shared" si="525"/>
        <v>1</v>
      </c>
      <c r="Z4107" s="2" t="s">
        <v>3237</v>
      </c>
      <c r="AA4107" s="2" t="s">
        <v>3391</v>
      </c>
      <c r="AI4107" s="2"/>
      <c r="AK4107" s="2">
        <f t="shared" si="526"/>
        <v>12</v>
      </c>
      <c r="AL4107" s="5">
        <f t="shared" si="527"/>
        <v>1</v>
      </c>
    </row>
    <row r="4108" spans="1:38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8">T4108*23%</f>
        <v>2.7600000000000002</v>
      </c>
      <c r="V4108" s="2">
        <f t="shared" ref="V4108:V4109" si="529">T4108+U4108</f>
        <v>14.76</v>
      </c>
      <c r="X4108" s="5">
        <f t="shared" si="525"/>
        <v>1</v>
      </c>
      <c r="Z4108" s="2" t="s">
        <v>3237</v>
      </c>
      <c r="AA4108" s="2" t="s">
        <v>3391</v>
      </c>
      <c r="AI4108" s="2"/>
      <c r="AK4108" s="2">
        <f t="shared" si="526"/>
        <v>12</v>
      </c>
      <c r="AL4108" s="5">
        <f t="shared" si="527"/>
        <v>1</v>
      </c>
    </row>
    <row r="4109" spans="1:38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8"/>
        <v>0.69000000000000006</v>
      </c>
      <c r="V4109" s="2">
        <f t="shared" si="529"/>
        <v>3.69</v>
      </c>
      <c r="X4109" s="5">
        <f t="shared" si="525"/>
        <v>1</v>
      </c>
      <c r="Z4109" s="2" t="s">
        <v>3237</v>
      </c>
      <c r="AA4109" s="2" t="s">
        <v>3391</v>
      </c>
      <c r="AI4109" s="2"/>
      <c r="AK4109" s="2">
        <f t="shared" si="526"/>
        <v>3</v>
      </c>
      <c r="AL4109" s="5">
        <f t="shared" si="5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30">(T4120-W4120)/T4120</f>
        <v>1</v>
      </c>
      <c r="Z4120" s="2" t="s">
        <v>170</v>
      </c>
      <c r="AA4120" s="2" t="s">
        <v>170</v>
      </c>
      <c r="AI4120" s="2"/>
      <c r="AK4120" s="2">
        <f t="shared" ref="AK4120" si="531">T4120-W4120</f>
        <v>8</v>
      </c>
      <c r="AL4120" s="5">
        <f t="shared" ref="AL4120" si="532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33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34">T4124-W4124</f>
        <v>612</v>
      </c>
      <c r="AL4124" s="5">
        <f t="shared" ref="AL4124" si="535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36">(T4133-W4133)/T4133</f>
        <v>1</v>
      </c>
      <c r="Z4133" s="2" t="s">
        <v>170</v>
      </c>
      <c r="AA4133" s="2" t="s">
        <v>170</v>
      </c>
      <c r="AI4133" s="2"/>
      <c r="AK4133" s="2">
        <f t="shared" ref="AK4133" si="537">T4133-W4133</f>
        <v>5</v>
      </c>
      <c r="AL4133" s="5">
        <f t="shared" ref="AL4133" si="538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9">T4136*23%</f>
        <v>13.8</v>
      </c>
      <c r="V4136" s="2">
        <f t="shared" ref="V4136:V4146" si="540">T4136+U4136</f>
        <v>73.8</v>
      </c>
      <c r="W4136" s="2">
        <f>T4136*40%</f>
        <v>24</v>
      </c>
      <c r="X4136" s="5">
        <f t="shared" ref="X4136:X4141" si="54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9"/>
        <v>12.65</v>
      </c>
      <c r="V4137" s="2">
        <f t="shared" si="540"/>
        <v>67.650000000000006</v>
      </c>
      <c r="W4137" s="2">
        <f>T4137*50%</f>
        <v>27.5</v>
      </c>
      <c r="X4137" s="5">
        <f t="shared" si="54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9"/>
        <v>51.313000000000002</v>
      </c>
      <c r="V4138" s="2">
        <f t="shared" si="540"/>
        <v>274.41300000000001</v>
      </c>
      <c r="W4138" s="2">
        <v>141.18</v>
      </c>
      <c r="X4138" s="5">
        <f t="shared" si="541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9"/>
        <v>0.34040000000000004</v>
      </c>
      <c r="V4139" s="10">
        <f t="shared" si="540"/>
        <v>1.8204</v>
      </c>
      <c r="W4139" s="2">
        <f>1.48*S4139</f>
        <v>1.48</v>
      </c>
      <c r="X4139" s="5">
        <f t="shared" si="541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9"/>
        <v>4.1400000000000006</v>
      </c>
      <c r="V4140" s="10">
        <f t="shared" si="540"/>
        <v>22.14</v>
      </c>
      <c r="X4140" s="5">
        <f t="shared" si="541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9"/>
        <v>4.83</v>
      </c>
      <c r="V4141" s="10">
        <f t="shared" si="540"/>
        <v>25.83</v>
      </c>
      <c r="W4141" s="2">
        <f>10.67*S4141</f>
        <v>10.67</v>
      </c>
      <c r="X4141" s="5">
        <f t="shared" si="541"/>
        <v>0.4919047619047619</v>
      </c>
      <c r="Z4141" s="2" t="s">
        <v>3237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42">T4141-W4141</f>
        <v>10.33</v>
      </c>
      <c r="AL4141" s="5">
        <f t="shared" ref="AL4141" si="543">(T4141-W4141)/T4141</f>
        <v>0.4919047619047619</v>
      </c>
    </row>
    <row r="4142" spans="1:38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9"/>
        <v>52.900000000000006</v>
      </c>
      <c r="V4142" s="10">
        <f t="shared" si="540"/>
        <v>282.89999999999998</v>
      </c>
      <c r="W4142" s="2">
        <f>115.92+6.06</f>
        <v>121.98</v>
      </c>
      <c r="X4142" s="5">
        <f t="shared" ref="X4142:X4151" si="544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9"/>
        <v>0.34040000000000004</v>
      </c>
      <c r="V4143" s="10">
        <f t="shared" si="540"/>
        <v>1.8204</v>
      </c>
      <c r="W4143" s="2">
        <f>1.48*S4143</f>
        <v>1.48</v>
      </c>
      <c r="X4143" s="5">
        <f t="shared" si="544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9"/>
        <v>92</v>
      </c>
      <c r="V4144" s="10">
        <f t="shared" si="540"/>
        <v>492</v>
      </c>
      <c r="W4144" s="2">
        <f>271.66+19.93</f>
        <v>291.59000000000003</v>
      </c>
      <c r="X4144" s="5">
        <f t="shared" si="544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9"/>
        <v>0.34040000000000004</v>
      </c>
      <c r="V4145" s="10">
        <f t="shared" si="540"/>
        <v>1.8204</v>
      </c>
      <c r="W4145" s="2">
        <f>1.48*S4145</f>
        <v>1.48</v>
      </c>
      <c r="X4145" s="5">
        <f t="shared" si="544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9"/>
        <v>92</v>
      </c>
      <c r="V4146" s="10">
        <f t="shared" si="540"/>
        <v>492</v>
      </c>
      <c r="W4146" s="2">
        <v>290</v>
      </c>
      <c r="X4146" s="5">
        <f t="shared" si="544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45">T4146-W4146</f>
        <v>110</v>
      </c>
      <c r="AL4146" s="5">
        <f t="shared" ref="AL4146" si="546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47">T4147*23%</f>
        <v>1285.7</v>
      </c>
      <c r="V4147" s="10">
        <f t="shared" ref="V4147:V4154" si="548">T4147+U4147</f>
        <v>6875.7</v>
      </c>
      <c r="W4147" s="2">
        <v>4275.9799999999996</v>
      </c>
      <c r="X4147" s="5">
        <f t="shared" si="544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47"/>
        <v>1021.2</v>
      </c>
      <c r="V4148" s="10">
        <f t="shared" si="548"/>
        <v>5461.2</v>
      </c>
      <c r="W4148" s="2">
        <v>3345.125</v>
      </c>
      <c r="X4148" s="5">
        <f t="shared" si="544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47"/>
        <v>2300</v>
      </c>
      <c r="V4149" s="10">
        <f t="shared" si="548"/>
        <v>12300</v>
      </c>
      <c r="W4149" s="2">
        <f>3681.98*2</f>
        <v>7363.96</v>
      </c>
      <c r="X4149" s="5">
        <f t="shared" si="544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47"/>
        <v>602.6</v>
      </c>
      <c r="V4150" s="10">
        <f t="shared" si="548"/>
        <v>3222.6</v>
      </c>
      <c r="W4150" s="2">
        <v>1978.46</v>
      </c>
      <c r="X4150" s="5">
        <f t="shared" si="544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47"/>
        <v>114.77000000000001</v>
      </c>
      <c r="V4151" s="10">
        <f t="shared" si="548"/>
        <v>613.77</v>
      </c>
      <c r="W4151" s="2">
        <v>297</v>
      </c>
      <c r="X4151" s="5">
        <f t="shared" si="544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9">T4151-W4151</f>
        <v>202</v>
      </c>
      <c r="AL4151" s="5">
        <f t="shared" ref="AL4151" si="550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47"/>
        <v>0</v>
      </c>
      <c r="V4152" s="10">
        <f t="shared" si="548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47"/>
        <v>0</v>
      </c>
      <c r="V4153" s="10">
        <f t="shared" si="548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51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47"/>
        <v>8.2800000000000011</v>
      </c>
      <c r="V4154" s="10">
        <f t="shared" si="548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52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3237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53">T4156-W4156</f>
        <v>30.990000000000002</v>
      </c>
      <c r="AL4156" s="5">
        <f t="shared" ref="AL4156:AL4157" si="554">(T4156-W4156)/T4156</f>
        <v>0.49190476190476196</v>
      </c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3237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53"/>
        <v>15.7926</v>
      </c>
      <c r="AL4157" s="5">
        <f t="shared" si="554"/>
        <v>0.58491111111111116</v>
      </c>
    </row>
    <row r="4158" spans="1:38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55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56">T4158-W4158</f>
        <v>18.917999999999999</v>
      </c>
      <c r="AL4158" s="5">
        <f t="shared" ref="AL4158" si="557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58">T4159*23%</f>
        <v>92</v>
      </c>
      <c r="V4159" s="10">
        <f t="shared" ref="V4159:V4160" si="559">T4159+U4159</f>
        <v>492</v>
      </c>
      <c r="W4159" s="2">
        <f t="shared" ref="W4159:W4160" si="560">14.5099*S4159</f>
        <v>290.19799999999998</v>
      </c>
      <c r="X4159" s="5">
        <f t="shared" ref="X4159:X4160" si="561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62">T4159-W4159</f>
        <v>109.80200000000002</v>
      </c>
      <c r="AL4159" s="5">
        <f t="shared" ref="AL4159:AL4160" si="563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58"/>
        <v>92</v>
      </c>
      <c r="V4160" s="10">
        <f t="shared" si="559"/>
        <v>492</v>
      </c>
      <c r="W4160" s="2">
        <f t="shared" si="560"/>
        <v>290.19799999999998</v>
      </c>
      <c r="X4160" s="5">
        <f t="shared" si="561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62"/>
        <v>109.80200000000002</v>
      </c>
      <c r="AL4160" s="5">
        <f t="shared" si="563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64">T4161*23%</f>
        <v>46</v>
      </c>
      <c r="V4161" s="10">
        <f t="shared" ref="V4161:V4166" si="565">T4161+U4161</f>
        <v>246</v>
      </c>
      <c r="W4161" s="2">
        <f>110.125+11.77</f>
        <v>121.895</v>
      </c>
      <c r="X4161" s="5">
        <f t="shared" ref="X4161:X4166" si="566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67">AI4161*T4161</f>
        <v>0</v>
      </c>
      <c r="AK4161" s="2">
        <f t="shared" ref="AK4161:AK4166" si="568">T4161-W4161</f>
        <v>78.105000000000004</v>
      </c>
      <c r="AL4161" s="5">
        <f t="shared" ref="AL4161:AL4166" si="569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64"/>
        <v>0.34040000000000004</v>
      </c>
      <c r="V4162" s="10">
        <f t="shared" si="565"/>
        <v>1.8204</v>
      </c>
      <c r="W4162" s="2">
        <f>1.48*S4162</f>
        <v>1.48</v>
      </c>
      <c r="X4162" s="5">
        <f t="shared" si="566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67"/>
        <v>0</v>
      </c>
      <c r="AK4162" s="2">
        <f t="shared" si="568"/>
        <v>0</v>
      </c>
      <c r="AL4162" s="5">
        <f t="shared" si="569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64"/>
        <v>31.51</v>
      </c>
      <c r="V4163" s="2">
        <f t="shared" si="565"/>
        <v>168.51</v>
      </c>
      <c r="W4163" s="2">
        <f>T4163*40%</f>
        <v>54.800000000000004</v>
      </c>
      <c r="X4163" s="5">
        <f t="shared" si="566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67"/>
        <v>0</v>
      </c>
      <c r="AK4163" s="2">
        <f t="shared" si="568"/>
        <v>82.199999999999989</v>
      </c>
      <c r="AL4163" s="5">
        <f t="shared" si="569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64"/>
        <v>18.975000000000001</v>
      </c>
      <c r="V4164" s="2">
        <f t="shared" si="565"/>
        <v>101.47499999999999</v>
      </c>
      <c r="W4164" s="2">
        <f>T4164*50%</f>
        <v>41.25</v>
      </c>
      <c r="X4164" s="5">
        <f t="shared" si="566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67"/>
        <v>0</v>
      </c>
      <c r="AK4164" s="2">
        <f t="shared" si="568"/>
        <v>41.25</v>
      </c>
      <c r="AL4164" s="5">
        <f t="shared" si="569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64"/>
        <v>62.1</v>
      </c>
      <c r="V4165" s="10">
        <f t="shared" si="565"/>
        <v>332.1</v>
      </c>
      <c r="W4165" s="2">
        <v>139.46</v>
      </c>
      <c r="X4165" s="5">
        <f t="shared" si="566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67"/>
        <v>0</v>
      </c>
      <c r="AK4165" s="2">
        <f t="shared" si="568"/>
        <v>130.54</v>
      </c>
      <c r="AL4165" s="5">
        <f t="shared" si="569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64"/>
        <v>0.34040000000000004</v>
      </c>
      <c r="V4166" s="10">
        <f t="shared" si="565"/>
        <v>1.8204</v>
      </c>
      <c r="W4166" s="2">
        <f>1.48*S4166</f>
        <v>1.48</v>
      </c>
      <c r="X4166" s="5">
        <f t="shared" si="566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67"/>
        <v>0</v>
      </c>
      <c r="AK4166" s="2">
        <f t="shared" si="568"/>
        <v>0</v>
      </c>
      <c r="AL4166" s="5">
        <f t="shared" si="569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0">T4171+U4171</f>
        <v>236.16</v>
      </c>
      <c r="W4171" s="2">
        <f>14.5099*S4171</f>
        <v>116.0792</v>
      </c>
      <c r="X4171" s="5">
        <f t="shared" ref="X4171" si="571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72">T4171-W4171</f>
        <v>75.9208</v>
      </c>
      <c r="AL4171" s="5">
        <f t="shared" ref="AL4171:AL4172" si="573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0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72"/>
        <v>24.300000000000004</v>
      </c>
      <c r="AL4172" s="5">
        <f t="shared" si="573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0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0"/>
        <v>36.9</v>
      </c>
      <c r="W4174" s="2">
        <v>28</v>
      </c>
      <c r="X4174" s="5">
        <f t="shared" ref="X4174" si="574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75">T4175*23%</f>
        <v>0.34040000000000004</v>
      </c>
      <c r="V4175" s="10">
        <f t="shared" si="570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75"/>
        <v>-565.80000000000007</v>
      </c>
      <c r="V4176" s="10">
        <f t="shared" si="570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75"/>
        <v>1377.7</v>
      </c>
      <c r="V4177" s="10">
        <f>U4177+T4177</f>
        <v>7367.7</v>
      </c>
      <c r="W4177" s="2">
        <v>4214</v>
      </c>
      <c r="X4177" s="5">
        <f t="shared" ref="X4177" si="576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75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75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75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75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77">T4183*23%</f>
        <v>23</v>
      </c>
      <c r="V4183" s="10">
        <f t="shared" ref="V4183:V4184" si="578">T4183+U4183</f>
        <v>123</v>
      </c>
      <c r="W4183" s="2">
        <f t="shared" ref="W4183:W4184" si="579">14.5099*S4183</f>
        <v>58.0396</v>
      </c>
      <c r="X4183" s="5">
        <f t="shared" ref="X4183:X4185" si="580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81">T4183-W4183</f>
        <v>41.9604</v>
      </c>
      <c r="AL4183" s="5">
        <f t="shared" ref="AL4183:AL4185" si="582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77"/>
        <v>23</v>
      </c>
      <c r="V4184" s="10">
        <f t="shared" si="578"/>
        <v>123</v>
      </c>
      <c r="W4184" s="2">
        <f t="shared" si="579"/>
        <v>58.0396</v>
      </c>
      <c r="X4184" s="5">
        <f t="shared" si="580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81"/>
        <v>41.9604</v>
      </c>
      <c r="AL4184" s="5">
        <f t="shared" si="582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0"/>
        <v>1</v>
      </c>
      <c r="Z4185" s="2" t="s">
        <v>120</v>
      </c>
      <c r="AA4185" s="2" t="s">
        <v>493</v>
      </c>
      <c r="AI4185" s="2"/>
      <c r="AK4185" s="2">
        <f t="shared" si="581"/>
        <v>678.91</v>
      </c>
      <c r="AL4185" s="5">
        <f t="shared" si="582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83">T4186*23%</f>
        <v>13.8</v>
      </c>
      <c r="V4186" s="2">
        <f t="shared" ref="V4186:V4190" si="584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83"/>
        <v>50.6</v>
      </c>
      <c r="V4187" s="2">
        <f t="shared" si="584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83"/>
        <v>12.42</v>
      </c>
      <c r="V4188" s="10">
        <f t="shared" si="584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85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86">T4189-W4189</f>
        <v>8</v>
      </c>
      <c r="AL4189" s="5">
        <f t="shared" ref="AL4189:AL4190" si="587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83"/>
        <v>23</v>
      </c>
      <c r="V4190" s="10">
        <f t="shared" si="584"/>
        <v>123</v>
      </c>
      <c r="W4190" s="2">
        <f>W3923*S4190</f>
        <v>71.56</v>
      </c>
      <c r="X4190" s="5">
        <f>(T4190-W4190)/T4190</f>
        <v>0.28439999999999999</v>
      </c>
      <c r="Z4190" s="2" t="s">
        <v>3237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86"/>
        <v>28.439999999999998</v>
      </c>
      <c r="AL4190" s="5">
        <f t="shared" si="587"/>
        <v>0.28439999999999999</v>
      </c>
    </row>
    <row r="4191" spans="1:38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88">(T4191-W4191)/T4191</f>
        <v>1</v>
      </c>
      <c r="Z4191" s="2" t="s">
        <v>170</v>
      </c>
      <c r="AA4191" s="2" t="s">
        <v>170</v>
      </c>
      <c r="AI4191" s="2"/>
      <c r="AK4191" s="2">
        <f t="shared" ref="AK4191" si="589">T4191-W4191</f>
        <v>8</v>
      </c>
      <c r="AL4191" s="5">
        <f t="shared" ref="AL4191" si="590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1">T4197*23%</f>
        <v>11.040000000000001</v>
      </c>
      <c r="V4197" s="10">
        <f t="shared" ref="V4197:V4202" si="592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1"/>
        <v>50.6</v>
      </c>
      <c r="V4198" s="10">
        <f t="shared" si="592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1"/>
        <v>0.34040000000000004</v>
      </c>
      <c r="V4199" s="10">
        <f t="shared" si="592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1"/>
        <v>-73.160699999999991</v>
      </c>
      <c r="V4200" s="10">
        <f t="shared" si="592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1"/>
        <v>15.019</v>
      </c>
      <c r="V4201" s="10">
        <f t="shared" si="592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91"/>
        <v>482.56070000000005</v>
      </c>
      <c r="V4202" s="10">
        <f t="shared" si="592"/>
        <v>2580.6507000000001</v>
      </c>
      <c r="X4202" s="5">
        <f t="shared" ref="X4202" si="593">(T4202-W4202)/T4202</f>
        <v>1</v>
      </c>
      <c r="Z4202" s="2" t="s">
        <v>120</v>
      </c>
      <c r="AA4202" s="2" t="s">
        <v>3303</v>
      </c>
      <c r="AI4202" s="2"/>
      <c r="AK4202" s="2">
        <f t="shared" ref="AK4202" si="594">T4202-W4202</f>
        <v>2098.09</v>
      </c>
      <c r="AL4202" s="5">
        <f t="shared" ref="AL4202" si="595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96">T4203*23%</f>
        <v>42.398200000000003</v>
      </c>
      <c r="V4203" s="10">
        <f t="shared" ref="V4203:V4211" si="597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96"/>
        <v>5.98</v>
      </c>
      <c r="V4204" s="10">
        <f t="shared" si="59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98">AI4204*T4204</f>
        <v>0</v>
      </c>
      <c r="AK4204" s="2">
        <f t="shared" ref="AK4204:AK4211" si="599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96"/>
        <v>2.0286</v>
      </c>
      <c r="V4205" s="10">
        <f t="shared" si="597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98"/>
        <v>0</v>
      </c>
      <c r="AK4205" s="2">
        <f t="shared" si="599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96"/>
        <v>3.3809999999999998</v>
      </c>
      <c r="V4206" s="10">
        <f t="shared" si="597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98"/>
        <v>0</v>
      </c>
      <c r="AK4206" s="2">
        <f t="shared" si="599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96"/>
        <v>0</v>
      </c>
      <c r="V4207" s="2">
        <f t="shared" si="597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98"/>
        <v>0</v>
      </c>
      <c r="AK4207" s="2">
        <f t="shared" si="599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96"/>
        <v>12.65</v>
      </c>
      <c r="V4208" s="2">
        <f t="shared" si="59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98"/>
        <v>0</v>
      </c>
      <c r="AK4208" s="2">
        <f t="shared" si="599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96"/>
        <v>28.75</v>
      </c>
      <c r="V4209" s="2">
        <f t="shared" si="59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98"/>
        <v>0</v>
      </c>
      <c r="AK4209" s="2">
        <f t="shared" si="599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96"/>
        <v>12.65</v>
      </c>
      <c r="V4210" s="2">
        <f t="shared" si="59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98"/>
        <v>0</v>
      </c>
      <c r="AK4210" s="2">
        <f t="shared" si="599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97"/>
        <v>8.4870000000000001</v>
      </c>
      <c r="W4211" s="2">
        <f>5.135*S4211</f>
        <v>5.1349999999999998</v>
      </c>
      <c r="X4211" s="5">
        <f t="shared" ref="X4211:X4220" si="600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99"/>
        <v>1.7650000000000006</v>
      </c>
      <c r="AL4211" s="5">
        <f t="shared" ref="AL4211" si="601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602">T4212*23%</f>
        <v>1.6652</v>
      </c>
      <c r="V4212" s="2">
        <f t="shared" ref="V4212:V4220" si="603">T4212+U4212</f>
        <v>8.9052000000000007</v>
      </c>
      <c r="W4212" s="2">
        <v>5.07</v>
      </c>
      <c r="X4212" s="5">
        <f t="shared" si="600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604">T4212-W4212</f>
        <v>2.17</v>
      </c>
      <c r="AL4212" s="5">
        <f t="shared" ref="AL4212:AL4218" si="605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602"/>
        <v>1.6652</v>
      </c>
      <c r="V4213" s="2">
        <f t="shared" si="603"/>
        <v>8.9052000000000007</v>
      </c>
      <c r="W4213" s="2">
        <v>5.07</v>
      </c>
      <c r="X4213" s="5">
        <f t="shared" si="600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604"/>
        <v>2.17</v>
      </c>
      <c r="AL4213" s="5">
        <f t="shared" si="605"/>
        <v>0.29972375690607733</v>
      </c>
    </row>
    <row r="4214" spans="1:38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602"/>
        <v>1.6652</v>
      </c>
      <c r="V4214" s="2">
        <f t="shared" si="603"/>
        <v>8.9052000000000007</v>
      </c>
      <c r="W4214" s="2">
        <f>5.07</f>
        <v>5.07</v>
      </c>
      <c r="X4214" s="5">
        <f t="shared" si="600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604"/>
        <v>2.17</v>
      </c>
      <c r="AL4214" s="5">
        <f t="shared" si="605"/>
        <v>0.29972375690607733</v>
      </c>
    </row>
    <row r="4215" spans="1:38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602"/>
        <v>3.887</v>
      </c>
      <c r="V4215" s="2">
        <f t="shared" si="603"/>
        <v>20.786999999999999</v>
      </c>
      <c r="W4215" s="2">
        <f>12.68</f>
        <v>12.68</v>
      </c>
      <c r="X4215" s="5">
        <f t="shared" si="600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604"/>
        <v>4.2199999999999989</v>
      </c>
      <c r="AL4215" s="5">
        <f t="shared" si="605"/>
        <v>0.24970414201183427</v>
      </c>
    </row>
    <row r="4216" spans="1:38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602"/>
        <v>4.37</v>
      </c>
      <c r="V4216" s="2">
        <f t="shared" si="603"/>
        <v>23.37</v>
      </c>
      <c r="W4216" s="2">
        <f>14.25</f>
        <v>14.25</v>
      </c>
      <c r="X4216" s="5">
        <f t="shared" si="600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604"/>
        <v>4.75</v>
      </c>
      <c r="AL4216" s="5">
        <f t="shared" si="605"/>
        <v>0.25</v>
      </c>
    </row>
    <row r="4217" spans="1:38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602"/>
        <v>10.005000000000001</v>
      </c>
      <c r="V4217" s="2">
        <f t="shared" si="603"/>
        <v>53.505000000000003</v>
      </c>
      <c r="W4217" s="2">
        <f>32.63</f>
        <v>32.630000000000003</v>
      </c>
      <c r="X4217" s="5">
        <f t="shared" si="600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604"/>
        <v>10.869999999999997</v>
      </c>
      <c r="AL4217" s="5">
        <f t="shared" si="605"/>
        <v>0.2498850574712643</v>
      </c>
    </row>
    <row r="4218" spans="1:38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602"/>
        <v>3.1280000000000001</v>
      </c>
      <c r="V4218" s="2">
        <f t="shared" si="603"/>
        <v>16.728000000000002</v>
      </c>
      <c r="W4218" s="2">
        <f>10.2</f>
        <v>10.199999999999999</v>
      </c>
      <c r="X4218" s="5">
        <f t="shared" si="600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604"/>
        <v>3.4000000000000004</v>
      </c>
      <c r="AL4218" s="5">
        <f t="shared" si="605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602"/>
        <v>9.89</v>
      </c>
      <c r="V4219" s="2">
        <f t="shared" si="603"/>
        <v>52.89</v>
      </c>
      <c r="X4219" s="5">
        <f t="shared" si="600"/>
        <v>1</v>
      </c>
      <c r="Z4219" s="2" t="s">
        <v>3237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602"/>
        <v>45.54</v>
      </c>
      <c r="V4220" s="2">
        <f t="shared" si="603"/>
        <v>243.54</v>
      </c>
      <c r="W4220" s="2">
        <v>148.5</v>
      </c>
      <c r="X4220" s="5">
        <f t="shared" si="600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606">T4220-W4220</f>
        <v>49.5</v>
      </c>
      <c r="AL4220" s="5">
        <f t="shared" ref="AL4220" si="607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08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09">T4226*23%</f>
        <v>33.81</v>
      </c>
      <c r="V4226" s="2">
        <f t="shared" ref="V4226:V4231" si="610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09"/>
        <v>25.3</v>
      </c>
      <c r="V4227" s="2">
        <f t="shared" si="610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09"/>
        <v>13.34</v>
      </c>
      <c r="V4228" s="2">
        <f t="shared" si="610"/>
        <v>71.34</v>
      </c>
      <c r="W4228" s="2">
        <f t="shared" ref="W4228" si="611">14.5099*S4228</f>
        <v>29.0198</v>
      </c>
      <c r="X4228" s="5">
        <f t="shared" ref="X4228" si="612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13">T4228-W4228</f>
        <v>28.9802</v>
      </c>
      <c r="AL4228" s="5">
        <f t="shared" ref="AL4228" si="614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09"/>
        <v>50.572400000000002</v>
      </c>
      <c r="V4229" s="10">
        <f t="shared" si="610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609"/>
        <v>61.998800000000003</v>
      </c>
      <c r="V4230" s="2">
        <f t="shared" si="610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09"/>
        <v>-4.7495000000000003</v>
      </c>
      <c r="V4231" s="10">
        <f t="shared" si="610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15">T4232*23%</f>
        <v>0.68080000000000007</v>
      </c>
      <c r="V4232" s="10">
        <f t="shared" ref="V4232:V4237" si="616">T4232+U4232</f>
        <v>3.6408</v>
      </c>
      <c r="W4232" s="2">
        <f>1.48*S4232</f>
        <v>2.96</v>
      </c>
      <c r="X4232" s="5">
        <f t="shared" ref="X4232:X4237" si="617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15"/>
        <v>5.3819999999999997</v>
      </c>
      <c r="V4233" s="10">
        <f t="shared" si="616"/>
        <v>28.781999999999996</v>
      </c>
      <c r="W4233" s="2">
        <v>12.4434</v>
      </c>
      <c r="X4233" s="5">
        <f t="shared" si="617"/>
        <v>0.46823076923076917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18">T4233-W4233</f>
        <v>10.956599999999998</v>
      </c>
      <c r="AL4233" s="5">
        <f t="shared" ref="AL4233" si="619">(T4233-W4233)/T4233</f>
        <v>0.46823076923076917</v>
      </c>
    </row>
    <row r="4234" spans="1:38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15"/>
        <v>6.9</v>
      </c>
      <c r="V4234" s="10">
        <f t="shared" si="616"/>
        <v>36.9</v>
      </c>
      <c r="X4234" s="5">
        <f t="shared" si="617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15"/>
        <v>4.83</v>
      </c>
      <c r="V4235" s="10">
        <f t="shared" si="616"/>
        <v>25.83</v>
      </c>
      <c r="X4235" s="5">
        <f t="shared" si="617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15"/>
        <v>8.9700000000000006</v>
      </c>
      <c r="V4236" s="10">
        <f t="shared" si="616"/>
        <v>47.97</v>
      </c>
      <c r="W4236" s="2">
        <f>0.082*S4236</f>
        <v>24.6</v>
      </c>
      <c r="X4236" s="5">
        <f t="shared" si="617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20">T4236-W4236</f>
        <v>14.399999999999999</v>
      </c>
      <c r="AL4236" s="5">
        <f t="shared" ref="AL4236" si="621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15"/>
        <v>8.2800000000000011</v>
      </c>
      <c r="V4237" s="10">
        <f t="shared" si="616"/>
        <v>44.28</v>
      </c>
      <c r="X4237" s="5">
        <f t="shared" si="617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22">T4239*23%</f>
        <v>62.1</v>
      </c>
      <c r="V4239" s="2">
        <f t="shared" ref="V4239:V4245" si="623">T4239+U4239</f>
        <v>332.1</v>
      </c>
      <c r="W4239" s="2">
        <v>141.16</v>
      </c>
      <c r="X4239" s="5">
        <f t="shared" ref="X4239:X4250" si="624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22"/>
        <v>0.34040000000000004</v>
      </c>
      <c r="V4240" s="10">
        <f t="shared" si="623"/>
        <v>1.8204</v>
      </c>
      <c r="W4240" s="2">
        <f>1.48*S4240</f>
        <v>1.48</v>
      </c>
      <c r="X4240" s="5">
        <f t="shared" si="624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22"/>
        <v>572.70000000000005</v>
      </c>
      <c r="V4241" s="10">
        <f t="shared" si="623"/>
        <v>3062.7</v>
      </c>
      <c r="W4241" s="2">
        <f>1970.05+49</f>
        <v>2019.05</v>
      </c>
      <c r="X4241" s="5">
        <f t="shared" si="624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22"/>
        <v>572.70000000000005</v>
      </c>
      <c r="V4242" s="10">
        <f t="shared" si="623"/>
        <v>3062.7</v>
      </c>
      <c r="W4242" s="2">
        <f>1995.2+43.97</f>
        <v>2039.17</v>
      </c>
      <c r="X4242" s="5">
        <f t="shared" si="624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22"/>
        <v>36.151400000000002</v>
      </c>
      <c r="V4243" s="10">
        <f t="shared" si="623"/>
        <v>193.3314</v>
      </c>
      <c r="X4243" s="5">
        <f t="shared" si="624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22"/>
        <v>6.5711000000000004</v>
      </c>
      <c r="V4244" s="10">
        <f t="shared" si="623"/>
        <v>35.141100000000002</v>
      </c>
      <c r="X4244" s="5">
        <f t="shared" si="624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22"/>
        <v>25.3</v>
      </c>
      <c r="V4245" s="10">
        <f t="shared" si="623"/>
        <v>135.30000000000001</v>
      </c>
      <c r="W4245" s="2">
        <f>0.082*S4245</f>
        <v>82</v>
      </c>
      <c r="X4245" s="5">
        <f t="shared" si="624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25">T4245-W4245</f>
        <v>28</v>
      </c>
      <c r="AL4245" s="5">
        <f t="shared" ref="AL4245" si="626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24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24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24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24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24"/>
        <v>1</v>
      </c>
      <c r="Z4250" s="2" t="s">
        <v>120</v>
      </c>
      <c r="AA4250" s="2" t="s">
        <v>3392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27">T4251*23%</f>
        <v>59.248000000000005</v>
      </c>
      <c r="V4251" s="10">
        <f t="shared" ref="V4251:V4261" si="628">T4251+U4251</f>
        <v>316.84800000000001</v>
      </c>
      <c r="W4251" s="2">
        <f>130.03+6.8</f>
        <v>136.83000000000001</v>
      </c>
      <c r="X4251" s="5">
        <f t="shared" ref="X4251:X4263" si="629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27"/>
        <v>95.22</v>
      </c>
      <c r="V4252" s="2">
        <f t="shared" si="628"/>
        <v>509.22</v>
      </c>
      <c r="W4252" s="2">
        <v>270.60000000000002</v>
      </c>
      <c r="X4252" s="5">
        <f t="shared" si="629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27"/>
        <v>0.68080000000000007</v>
      </c>
      <c r="V4253" s="10">
        <f t="shared" si="628"/>
        <v>3.6408</v>
      </c>
      <c r="W4253" s="2">
        <f>1.48*S4253</f>
        <v>2.96</v>
      </c>
      <c r="X4253" s="5">
        <f t="shared" si="629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27"/>
        <v>2.0700000000000003</v>
      </c>
      <c r="V4254" s="10">
        <f t="shared" si="628"/>
        <v>11.07</v>
      </c>
      <c r="W4254" s="2">
        <f>3.7358*S4254</f>
        <v>3.7357999999999998</v>
      </c>
      <c r="X4254" s="5">
        <f t="shared" si="629"/>
        <v>0.58491111111111116</v>
      </c>
      <c r="Z4254" s="2" t="s">
        <v>3237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30">T4254-W4254</f>
        <v>5.2642000000000007</v>
      </c>
      <c r="AL4254" s="5">
        <f t="shared" ref="AL4254" si="631">(T4254-W4254)/T4254</f>
        <v>0.58491111111111116</v>
      </c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27"/>
        <v>48.667999999999999</v>
      </c>
      <c r="V4255" s="10">
        <f t="shared" si="628"/>
        <v>260.26799999999997</v>
      </c>
      <c r="W4255" s="2">
        <f>115.92+6.06</f>
        <v>121.98</v>
      </c>
      <c r="X4255" s="5">
        <f t="shared" si="629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27"/>
        <v>0.34040000000000004</v>
      </c>
      <c r="V4256" s="10">
        <f t="shared" si="628"/>
        <v>1.8204</v>
      </c>
      <c r="W4256" s="2">
        <f>1.48*S4256</f>
        <v>1.48</v>
      </c>
      <c r="X4256" s="5">
        <f t="shared" si="629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27"/>
        <v>2.99</v>
      </c>
      <c r="V4257" s="10">
        <f t="shared" si="628"/>
        <v>15.99</v>
      </c>
      <c r="W4257" s="2">
        <f>0.082*S4257</f>
        <v>8.2000000000000011</v>
      </c>
      <c r="X4257" s="5">
        <f t="shared" si="629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32">T4257-W4257</f>
        <v>4.7999999999999989</v>
      </c>
      <c r="AL4257" s="5">
        <f t="shared" ref="AL4257:AL4258" si="633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27"/>
        <v>29.900000000000002</v>
      </c>
      <c r="V4258" s="10">
        <f t="shared" si="628"/>
        <v>159.9</v>
      </c>
      <c r="W4258" s="2">
        <f>0.0914*S4258</f>
        <v>91.399999999999991</v>
      </c>
      <c r="X4258" s="5">
        <f t="shared" si="629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32"/>
        <v>38.600000000000009</v>
      </c>
      <c r="AL4258" s="5">
        <f t="shared" si="633"/>
        <v>0.29692307692307701</v>
      </c>
    </row>
    <row r="4259" spans="1:38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27"/>
        <v>46.850999999999999</v>
      </c>
      <c r="V4259" s="10">
        <f t="shared" si="628"/>
        <v>250.55099999999999</v>
      </c>
      <c r="W4259" s="2">
        <f>110.125+11.77</f>
        <v>121.895</v>
      </c>
      <c r="X4259" s="5">
        <f t="shared" si="629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27"/>
        <v>0.34040000000000004</v>
      </c>
      <c r="V4260" s="10">
        <f t="shared" si="628"/>
        <v>1.8204</v>
      </c>
      <c r="W4260" s="2">
        <f>1.48*S4260</f>
        <v>1.48</v>
      </c>
      <c r="X4260" s="5">
        <f t="shared" si="629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34">T4261*23%</f>
        <v>107.111</v>
      </c>
      <c r="V4261" s="2">
        <f t="shared" si="628"/>
        <v>572.81100000000004</v>
      </c>
      <c r="W4261" s="2">
        <v>345.20339999999999</v>
      </c>
      <c r="X4261" s="5">
        <f t="shared" si="629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34"/>
        <v>5485.5</v>
      </c>
      <c r="V4262" s="2">
        <f t="shared" ref="V4262:V4278" si="635">T4262+U4262</f>
        <v>29335.5</v>
      </c>
      <c r="W4262" s="2">
        <f>16602.97+398</f>
        <v>17000.97</v>
      </c>
      <c r="X4262" s="5">
        <f t="shared" si="629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34"/>
        <v>172.62879999999998</v>
      </c>
      <c r="V4263" s="2">
        <f t="shared" si="635"/>
        <v>923.1887999999999</v>
      </c>
      <c r="W4263" s="2">
        <f>376.4</f>
        <v>376.4</v>
      </c>
      <c r="X4263" s="5">
        <f t="shared" si="629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34"/>
        <v>12.65</v>
      </c>
      <c r="V4264" s="2">
        <f t="shared" si="635"/>
        <v>67.650000000000006</v>
      </c>
      <c r="W4264" s="2">
        <f>T4264*40%</f>
        <v>22</v>
      </c>
      <c r="X4264" s="5">
        <f t="shared" ref="X4264:X4272" si="636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37">T4264-W4264</f>
        <v>33</v>
      </c>
      <c r="AL4264" s="5">
        <f t="shared" ref="AL4264:AL4272" si="638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34"/>
        <v>12.65</v>
      </c>
      <c r="V4265" s="2">
        <f t="shared" si="635"/>
        <v>67.650000000000006</v>
      </c>
      <c r="W4265" s="2">
        <f>T4265*50%</f>
        <v>27.5</v>
      </c>
      <c r="X4265" s="5">
        <f t="shared" si="636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37"/>
        <v>27.5</v>
      </c>
      <c r="AL4265" s="5">
        <f t="shared" si="638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34"/>
        <v>26.220000000000002</v>
      </c>
      <c r="V4266" s="2">
        <f t="shared" si="635"/>
        <v>140.22</v>
      </c>
      <c r="W4266" s="2">
        <f>T4266*40%</f>
        <v>45.6</v>
      </c>
      <c r="X4266" s="5">
        <f t="shared" si="636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37"/>
        <v>68.400000000000006</v>
      </c>
      <c r="AL4266" s="5">
        <f t="shared" si="638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34"/>
        <v>11.385</v>
      </c>
      <c r="V4267" s="2">
        <f t="shared" si="635"/>
        <v>60.884999999999998</v>
      </c>
      <c r="W4267" s="2">
        <f>T4267*50%</f>
        <v>24.75</v>
      </c>
      <c r="X4267" s="5">
        <f t="shared" si="636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37"/>
        <v>24.75</v>
      </c>
      <c r="AL4267" s="5">
        <f t="shared" si="638"/>
        <v>0.5</v>
      </c>
    </row>
    <row r="4268" spans="1:38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34"/>
        <v>137.86199999999999</v>
      </c>
      <c r="V4268" s="2">
        <f t="shared" si="635"/>
        <v>737.26199999999994</v>
      </c>
      <c r="W4268" s="2">
        <v>346.57</v>
      </c>
      <c r="X4268" s="5">
        <f t="shared" si="636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37"/>
        <v>252.82999999999998</v>
      </c>
      <c r="AL4268" s="5">
        <f t="shared" si="638"/>
        <v>0.42180513847180512</v>
      </c>
    </row>
    <row r="4269" spans="1:38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34"/>
        <v>1607.7</v>
      </c>
      <c r="V4269" s="2">
        <f t="shared" si="635"/>
        <v>8597.7000000000007</v>
      </c>
      <c r="W4269" s="2">
        <f>4893.23+171</f>
        <v>5064.2299999999996</v>
      </c>
      <c r="X4269" s="5">
        <f t="shared" si="636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37"/>
        <v>1925.7700000000004</v>
      </c>
      <c r="AL4269" s="5">
        <f t="shared" si="638"/>
        <v>0.27550357653791135</v>
      </c>
    </row>
    <row r="4270" spans="1:38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34"/>
        <v>160.839</v>
      </c>
      <c r="V4270" s="2">
        <f t="shared" si="635"/>
        <v>860.1389999999999</v>
      </c>
      <c r="W4270" s="2">
        <v>345.20339999999999</v>
      </c>
      <c r="X4270" s="5">
        <f t="shared" si="636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37"/>
        <v>354.09659999999997</v>
      </c>
      <c r="AL4270" s="5">
        <f t="shared" si="638"/>
        <v>0.50635864435864431</v>
      </c>
    </row>
    <row r="4271" spans="1:38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34"/>
        <v>34.96</v>
      </c>
      <c r="V4271" s="2">
        <f t="shared" si="635"/>
        <v>186.96</v>
      </c>
      <c r="W4271" s="2">
        <f>T4271*40%</f>
        <v>60.800000000000004</v>
      </c>
      <c r="X4271" s="5">
        <f t="shared" si="636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37"/>
        <v>91.199999999999989</v>
      </c>
      <c r="AL4271" s="5">
        <f t="shared" si="638"/>
        <v>0.6</v>
      </c>
    </row>
    <row r="4272" spans="1:38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34"/>
        <v>12.65</v>
      </c>
      <c r="V4272" s="2">
        <f t="shared" si="635"/>
        <v>67.650000000000006</v>
      </c>
      <c r="W4272" s="2">
        <f>T4272*50%</f>
        <v>27.5</v>
      </c>
      <c r="X4272" s="5">
        <f t="shared" si="636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37"/>
        <v>27.5</v>
      </c>
      <c r="AL4272" s="5">
        <f t="shared" si="638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34"/>
        <v>457.70000000000005</v>
      </c>
      <c r="V4273" s="10">
        <f t="shared" si="635"/>
        <v>2447.6999999999998</v>
      </c>
      <c r="W4273" s="2">
        <v>1492.7</v>
      </c>
      <c r="X4273" s="5">
        <f t="shared" ref="X4273:X4336" si="639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40">T4273-W4273</f>
        <v>497.29999999999995</v>
      </c>
      <c r="AL4273" s="5">
        <f t="shared" ref="AL4273:AL4303" si="641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34"/>
        <v>457.70000000000005</v>
      </c>
      <c r="V4274" s="10">
        <f t="shared" si="635"/>
        <v>2447.6999999999998</v>
      </c>
      <c r="W4274" s="2">
        <v>1578</v>
      </c>
      <c r="X4274" s="5">
        <f t="shared" si="639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40"/>
        <v>412</v>
      </c>
      <c r="AL4274" s="5">
        <f t="shared" si="641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34"/>
        <v>966</v>
      </c>
      <c r="V4275" s="10">
        <f t="shared" si="635"/>
        <v>5166</v>
      </c>
      <c r="W4275" s="2">
        <f>3203.85+43</f>
        <v>3246.85</v>
      </c>
      <c r="X4275" s="5">
        <f t="shared" si="639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40"/>
        <v>953.15000000000009</v>
      </c>
      <c r="AL4275" s="5">
        <f t="shared" si="641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34"/>
        <v>494.5</v>
      </c>
      <c r="V4276" s="10">
        <f t="shared" si="635"/>
        <v>2644.5</v>
      </c>
      <c r="W4276" s="2">
        <v>1578</v>
      </c>
      <c r="X4276" s="5">
        <f t="shared" si="639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40"/>
        <v>572</v>
      </c>
      <c r="AL4276" s="5">
        <f t="shared" si="641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34"/>
        <v>-184</v>
      </c>
      <c r="V4277" s="10">
        <f t="shared" si="635"/>
        <v>-984</v>
      </c>
      <c r="W4277" s="2">
        <f>124*4</f>
        <v>496</v>
      </c>
      <c r="X4277" s="18">
        <f t="shared" ref="X4277:X4278" si="642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43">T4277+(W4277)</f>
        <v>-304</v>
      </c>
      <c r="AL4277" s="18">
        <f t="shared" ref="AL4277:AL4278" si="644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34"/>
        <v>-164.31200000000001</v>
      </c>
      <c r="V4278" s="10">
        <f t="shared" si="635"/>
        <v>-878.71199999999999</v>
      </c>
      <c r="W4278" s="2">
        <f>125*4</f>
        <v>500</v>
      </c>
      <c r="X4278" s="18">
        <f t="shared" si="642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43"/>
        <v>-214.39999999999998</v>
      </c>
      <c r="AL4278" s="18">
        <f t="shared" si="644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34"/>
        <v>667</v>
      </c>
      <c r="V4279" s="10">
        <f>U4279+T4279</f>
        <v>3567</v>
      </c>
      <c r="W4279" s="2">
        <v>2190</v>
      </c>
      <c r="X4279" s="5">
        <f t="shared" si="639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40"/>
        <v>710</v>
      </c>
      <c r="AL4279" s="5">
        <f t="shared" si="641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40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39"/>
        <v>0.42321428571428571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40"/>
        <v>10.664999999999999</v>
      </c>
      <c r="AL4281" s="5">
        <f t="shared" si="641"/>
        <v>0.42321428571428571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45">T4282*23%</f>
        <v>4.83</v>
      </c>
      <c r="V4282" s="12">
        <f t="shared" ref="V4282:V4288" si="646">T4282+U4282</f>
        <v>25.83</v>
      </c>
      <c r="W4282" s="2">
        <f>9.3*S4282</f>
        <v>9.3000000000000007</v>
      </c>
      <c r="X4282" s="5">
        <f t="shared" si="639"/>
        <v>0.55714285714285716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40"/>
        <v>11.7</v>
      </c>
      <c r="AL4282" s="5">
        <f t="shared" si="641"/>
        <v>0.55714285714285716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45"/>
        <v>2.99</v>
      </c>
      <c r="V4283" s="12">
        <f t="shared" si="646"/>
        <v>15.99</v>
      </c>
      <c r="W4283" s="2">
        <f>6.6267*S4283</f>
        <v>6.6266999999999996</v>
      </c>
      <c r="X4283" s="5">
        <f t="shared" si="639"/>
        <v>0.49025384615384621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40"/>
        <v>6.3733000000000004</v>
      </c>
      <c r="AL4283" s="5">
        <f t="shared" si="641"/>
        <v>0.49025384615384621</v>
      </c>
    </row>
    <row r="4284" spans="1:38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45"/>
        <v>4.1400000000000006</v>
      </c>
      <c r="V4284" s="12">
        <f t="shared" si="646"/>
        <v>22.14</v>
      </c>
      <c r="W4284" s="2">
        <f>14.4*S4284</f>
        <v>14.4</v>
      </c>
      <c r="X4284" s="5">
        <f t="shared" si="639"/>
        <v>0.19999999999999998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40"/>
        <v>3.5999999999999996</v>
      </c>
      <c r="AL4284" s="5">
        <f t="shared" si="641"/>
        <v>0.19999999999999998</v>
      </c>
    </row>
    <row r="4285" spans="1:38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45"/>
        <v>6.9</v>
      </c>
      <c r="V4285" s="12">
        <f t="shared" si="646"/>
        <v>36.9</v>
      </c>
      <c r="X4285" s="5">
        <f t="shared" si="639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40"/>
        <v>30</v>
      </c>
      <c r="AL4285" s="5">
        <f t="shared" si="641"/>
        <v>1</v>
      </c>
    </row>
    <row r="4286" spans="1:38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45"/>
        <v>5.5200000000000005</v>
      </c>
      <c r="V4286" s="12">
        <f t="shared" si="646"/>
        <v>29.52</v>
      </c>
      <c r="X4286" s="5">
        <f t="shared" si="639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40"/>
        <v>24</v>
      </c>
      <c r="AL4286" s="5">
        <f t="shared" si="641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45"/>
        <v>43.010000000000005</v>
      </c>
      <c r="V4287" s="12">
        <f t="shared" si="646"/>
        <v>230.01</v>
      </c>
      <c r="W4287" s="2">
        <v>141.16</v>
      </c>
      <c r="X4287" s="5">
        <f t="shared" si="639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40"/>
        <v>45.84</v>
      </c>
      <c r="AL4287" s="5">
        <f t="shared" si="641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5"/>
        <v>0.34040000000000004</v>
      </c>
      <c r="V4288" s="12">
        <f t="shared" si="646"/>
        <v>1.8204</v>
      </c>
      <c r="W4288" s="2">
        <v>1.48</v>
      </c>
      <c r="X4288" s="5">
        <f t="shared" si="639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40"/>
        <v>0</v>
      </c>
      <c r="AL4288" s="5">
        <f t="shared" si="641"/>
        <v>0</v>
      </c>
    </row>
    <row r="4289" spans="1:38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45"/>
        <v>50.6</v>
      </c>
      <c r="V4289" s="12">
        <f t="shared" ref="V4289:V4304" si="647">T4289+U4289</f>
        <v>270.60000000000002</v>
      </c>
      <c r="W4289" s="2">
        <v>113.4</v>
      </c>
      <c r="X4289" s="5">
        <f t="shared" si="639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40"/>
        <v>106.6</v>
      </c>
      <c r="AL4289" s="5">
        <f t="shared" si="641"/>
        <v>0.4845454545454545</v>
      </c>
    </row>
    <row r="4290" spans="1:38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45"/>
        <v>0.34040000000000004</v>
      </c>
      <c r="V4290" s="12">
        <f t="shared" si="647"/>
        <v>1.8204</v>
      </c>
      <c r="W4290" s="2">
        <v>1.48</v>
      </c>
      <c r="X4290" s="5">
        <f t="shared" si="639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40"/>
        <v>0</v>
      </c>
      <c r="AL4290" s="5">
        <f t="shared" si="641"/>
        <v>0</v>
      </c>
    </row>
    <row r="4291" spans="1:38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45"/>
        <v>273.7</v>
      </c>
      <c r="V4291" s="12">
        <f t="shared" si="647"/>
        <v>1463.7</v>
      </c>
      <c r="W4291" s="2">
        <v>773.5</v>
      </c>
      <c r="X4291" s="5">
        <f t="shared" si="639"/>
        <v>0.35</v>
      </c>
      <c r="Z4291" s="2" t="s">
        <v>118</v>
      </c>
      <c r="AK4291" s="2">
        <f t="shared" si="640"/>
        <v>416.5</v>
      </c>
      <c r="AL4291" s="5">
        <f t="shared" si="641"/>
        <v>0.35</v>
      </c>
    </row>
    <row r="4292" spans="1:38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45"/>
        <v>52.9529</v>
      </c>
      <c r="V4292" s="12">
        <f t="shared" si="647"/>
        <v>283.18290000000002</v>
      </c>
      <c r="W4292" s="2">
        <f>115.92+6.06</f>
        <v>121.98</v>
      </c>
      <c r="X4292" s="5">
        <f t="shared" si="639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40"/>
        <v>108.24999999999999</v>
      </c>
      <c r="AL4292" s="5">
        <f t="shared" si="641"/>
        <v>0.47018199192112231</v>
      </c>
    </row>
    <row r="4293" spans="1:38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45"/>
        <v>0.34040000000000004</v>
      </c>
      <c r="V4293" s="12">
        <f t="shared" si="647"/>
        <v>1.8204</v>
      </c>
      <c r="W4293" s="2">
        <v>1.48</v>
      </c>
      <c r="X4293" s="5">
        <f t="shared" si="639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40"/>
        <v>0</v>
      </c>
      <c r="AL4293" s="5">
        <f t="shared" si="641"/>
        <v>0</v>
      </c>
    </row>
    <row r="4294" spans="1:38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45"/>
        <v>160.839</v>
      </c>
      <c r="V4294" s="12">
        <f t="shared" si="647"/>
        <v>860.1389999999999</v>
      </c>
      <c r="W4294" s="2">
        <v>345.20339999999999</v>
      </c>
      <c r="X4294" s="5">
        <f t="shared" si="639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40"/>
        <v>354.09659999999997</v>
      </c>
      <c r="AL4294" s="5">
        <f t="shared" si="641"/>
        <v>0.50635864435864431</v>
      </c>
    </row>
    <row r="4295" spans="1:38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45"/>
        <v>12.65</v>
      </c>
      <c r="V4295" s="12">
        <f t="shared" si="647"/>
        <v>67.650000000000006</v>
      </c>
      <c r="W4295" s="2">
        <f>T4295*40%</f>
        <v>22</v>
      </c>
      <c r="X4295" s="5">
        <f t="shared" si="639"/>
        <v>0.6</v>
      </c>
      <c r="Z4295" s="2" t="s">
        <v>118</v>
      </c>
      <c r="AA4295" s="2" t="s">
        <v>191</v>
      </c>
      <c r="AK4295" s="2">
        <f t="shared" si="640"/>
        <v>33</v>
      </c>
      <c r="AL4295" s="5">
        <f t="shared" si="641"/>
        <v>0.6</v>
      </c>
    </row>
    <row r="4296" spans="1:38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45"/>
        <v>6.3250000000000002</v>
      </c>
      <c r="V4296" s="12">
        <f t="shared" si="647"/>
        <v>33.825000000000003</v>
      </c>
      <c r="W4296" s="2">
        <f>T4296*50%</f>
        <v>13.75</v>
      </c>
      <c r="X4296" s="5">
        <f t="shared" si="639"/>
        <v>0.5</v>
      </c>
      <c r="Z4296" s="2" t="s">
        <v>118</v>
      </c>
      <c r="AA4296" s="2" t="s">
        <v>191</v>
      </c>
      <c r="AK4296" s="2">
        <f t="shared" si="640"/>
        <v>13.75</v>
      </c>
      <c r="AL4296" s="5">
        <f t="shared" si="641"/>
        <v>0.5</v>
      </c>
    </row>
    <row r="4297" spans="1:38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45"/>
        <v>50.6</v>
      </c>
      <c r="V4297" s="12">
        <f t="shared" si="647"/>
        <v>270.60000000000002</v>
      </c>
      <c r="W4297" s="2">
        <v>119.95</v>
      </c>
      <c r="X4297" s="5">
        <f t="shared" si="639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40"/>
        <v>100.05</v>
      </c>
      <c r="AL4297" s="5">
        <f t="shared" si="641"/>
        <v>0.45477272727272727</v>
      </c>
    </row>
    <row r="4298" spans="1:38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45"/>
        <v>0.34040000000000004</v>
      </c>
      <c r="V4298" s="12">
        <f t="shared" si="647"/>
        <v>1.8204</v>
      </c>
      <c r="W4298" s="2">
        <v>1.48</v>
      </c>
      <c r="X4298" s="5">
        <f t="shared" si="639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40"/>
        <v>0</v>
      </c>
      <c r="AL4298" s="5">
        <f t="shared" si="641"/>
        <v>0</v>
      </c>
    </row>
    <row r="4299" spans="1:38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45"/>
        <v>2990</v>
      </c>
      <c r="V4299" s="12">
        <f t="shared" si="647"/>
        <v>15990</v>
      </c>
      <c r="W4299" s="2">
        <v>8765.42</v>
      </c>
      <c r="X4299" s="5">
        <f t="shared" si="639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40"/>
        <v>4234.58</v>
      </c>
      <c r="AL4299" s="5">
        <f t="shared" si="641"/>
        <v>0.32573692307692309</v>
      </c>
    </row>
    <row r="4300" spans="1:38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45"/>
        <v>1380</v>
      </c>
      <c r="V4300" s="12">
        <f t="shared" si="647"/>
        <v>7380</v>
      </c>
      <c r="W4300" s="2">
        <v>4221.5600000000004</v>
      </c>
      <c r="X4300" s="5">
        <f t="shared" si="639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40"/>
        <v>1778.4399999999996</v>
      </c>
      <c r="AL4300" s="5">
        <f t="shared" si="641"/>
        <v>0.2964066666666666</v>
      </c>
    </row>
    <row r="4301" spans="1:38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45"/>
        <v>230</v>
      </c>
      <c r="V4301" s="12">
        <f t="shared" si="647"/>
        <v>1230</v>
      </c>
      <c r="W4301" s="2">
        <v>802.73</v>
      </c>
      <c r="X4301" s="5">
        <f t="shared" si="639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40"/>
        <v>197.26999999999998</v>
      </c>
      <c r="AL4301" s="5">
        <f t="shared" si="641"/>
        <v>0.19726999999999997</v>
      </c>
    </row>
    <row r="4302" spans="1:38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45"/>
        <v>13.8</v>
      </c>
      <c r="V4302" s="12">
        <f t="shared" si="647"/>
        <v>73.8</v>
      </c>
      <c r="W4302" s="2">
        <f>T4302*40%</f>
        <v>24</v>
      </c>
      <c r="X4302" s="5">
        <f t="shared" si="639"/>
        <v>0.6</v>
      </c>
      <c r="Z4302" s="2" t="s">
        <v>118</v>
      </c>
      <c r="AA4302" s="2" t="s">
        <v>191</v>
      </c>
      <c r="AK4302" s="2">
        <f t="shared" si="640"/>
        <v>36</v>
      </c>
      <c r="AL4302" s="5">
        <f t="shared" si="641"/>
        <v>0.6</v>
      </c>
    </row>
    <row r="4303" spans="1:38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45"/>
        <v>12.65</v>
      </c>
      <c r="V4303" s="12">
        <f t="shared" si="647"/>
        <v>67.650000000000006</v>
      </c>
      <c r="W4303" s="2">
        <f>T4303*50%</f>
        <v>27.5</v>
      </c>
      <c r="X4303" s="5">
        <f t="shared" si="639"/>
        <v>0.5</v>
      </c>
      <c r="Z4303" s="2" t="s">
        <v>118</v>
      </c>
      <c r="AA4303" s="2" t="s">
        <v>191</v>
      </c>
      <c r="AK4303" s="2">
        <f t="shared" si="640"/>
        <v>27.5</v>
      </c>
      <c r="AL4303" s="5">
        <f t="shared" si="641"/>
        <v>0.5</v>
      </c>
    </row>
    <row r="4304" spans="1:38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47"/>
        <v>860.1389999999999</v>
      </c>
      <c r="W4304" s="2">
        <v>345.20339999999999</v>
      </c>
      <c r="X4304" s="5">
        <f t="shared" si="639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48">T4304-W4304</f>
        <v>354.09659999999997</v>
      </c>
      <c r="AL4304" s="5">
        <f t="shared" ref="AL4304:AL4367" si="649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50">T4305*23%</f>
        <v>72.22</v>
      </c>
      <c r="V4305" s="2">
        <f t="shared" ref="V4305:V4368" si="651">T4305+U4305</f>
        <v>386.22</v>
      </c>
      <c r="W4305" s="2">
        <f>T4305*40%</f>
        <v>125.60000000000001</v>
      </c>
      <c r="X4305" s="5">
        <f t="shared" si="639"/>
        <v>0.6</v>
      </c>
      <c r="Z4305" s="2" t="s">
        <v>118</v>
      </c>
      <c r="AA4305" s="2" t="s">
        <v>191</v>
      </c>
      <c r="AK4305" s="2">
        <f t="shared" si="648"/>
        <v>188.39999999999998</v>
      </c>
      <c r="AL4305" s="5">
        <f t="shared" si="649"/>
        <v>0.6</v>
      </c>
    </row>
    <row r="4306" spans="1:38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50"/>
        <v>12.65</v>
      </c>
      <c r="V4306" s="2">
        <f t="shared" si="651"/>
        <v>67.650000000000006</v>
      </c>
      <c r="W4306" s="2">
        <f>T4306*50%</f>
        <v>27.5</v>
      </c>
      <c r="X4306" s="5">
        <f t="shared" si="639"/>
        <v>0.5</v>
      </c>
      <c r="Z4306" s="2" t="s">
        <v>118</v>
      </c>
      <c r="AA4306" s="2" t="s">
        <v>191</v>
      </c>
      <c r="AK4306" s="2">
        <f t="shared" si="648"/>
        <v>27.5</v>
      </c>
      <c r="AL4306" s="5">
        <f t="shared" si="649"/>
        <v>0.5</v>
      </c>
    </row>
    <row r="4307" spans="1:38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50"/>
        <v>13.8</v>
      </c>
      <c r="V4307" s="2">
        <f t="shared" si="651"/>
        <v>73.8</v>
      </c>
      <c r="W4307" s="2">
        <f>T4307*40%</f>
        <v>24</v>
      </c>
      <c r="X4307" s="5">
        <f t="shared" si="639"/>
        <v>0.6</v>
      </c>
      <c r="Z4307" s="2" t="s">
        <v>118</v>
      </c>
      <c r="AA4307" s="2" t="s">
        <v>191</v>
      </c>
      <c r="AK4307" s="2">
        <f t="shared" si="648"/>
        <v>36</v>
      </c>
      <c r="AL4307" s="5">
        <f t="shared" si="649"/>
        <v>0.6</v>
      </c>
    </row>
    <row r="4308" spans="1:38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50"/>
        <v>12.65</v>
      </c>
      <c r="V4308" s="2">
        <f t="shared" si="651"/>
        <v>67.650000000000006</v>
      </c>
      <c r="W4308" s="2">
        <f>T4308*50%</f>
        <v>27.5</v>
      </c>
      <c r="X4308" s="5">
        <f t="shared" si="639"/>
        <v>0.5</v>
      </c>
      <c r="Z4308" s="2" t="s">
        <v>118</v>
      </c>
      <c r="AA4308" s="2" t="s">
        <v>191</v>
      </c>
      <c r="AK4308" s="2">
        <f t="shared" si="648"/>
        <v>27.5</v>
      </c>
      <c r="AL4308" s="5">
        <f t="shared" si="649"/>
        <v>0.5</v>
      </c>
    </row>
    <row r="4309" spans="1:38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50"/>
        <v>50.6</v>
      </c>
      <c r="V4309" s="2">
        <f t="shared" si="651"/>
        <v>270.60000000000002</v>
      </c>
      <c r="W4309" s="2">
        <f>113.905+11.25</f>
        <v>125.155</v>
      </c>
      <c r="X4309" s="5">
        <f t="shared" si="639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48"/>
        <v>94.844999999999999</v>
      </c>
      <c r="AL4309" s="5">
        <f t="shared" si="649"/>
        <v>0.43111363636363637</v>
      </c>
    </row>
    <row r="4310" spans="1:38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50"/>
        <v>0.34040000000000004</v>
      </c>
      <c r="V4310" s="2">
        <f t="shared" si="651"/>
        <v>1.8204</v>
      </c>
      <c r="W4310" s="2">
        <v>1.48</v>
      </c>
      <c r="X4310" s="5">
        <f t="shared" si="639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48"/>
        <v>0</v>
      </c>
      <c r="AL4310" s="5">
        <f t="shared" si="649"/>
        <v>0</v>
      </c>
    </row>
    <row r="4311" spans="1:38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50"/>
        <v>145.82</v>
      </c>
      <c r="V4311" s="2">
        <f t="shared" si="651"/>
        <v>779.81999999999994</v>
      </c>
      <c r="W4311" s="2">
        <f>T4311*40%</f>
        <v>253.60000000000002</v>
      </c>
      <c r="X4311" s="5">
        <f t="shared" si="639"/>
        <v>0.6</v>
      </c>
      <c r="Z4311" s="2" t="s">
        <v>118</v>
      </c>
      <c r="AA4311" s="2" t="s">
        <v>191</v>
      </c>
      <c r="AK4311" s="2">
        <f t="shared" si="648"/>
        <v>380.4</v>
      </c>
      <c r="AL4311" s="5">
        <f t="shared" si="649"/>
        <v>0.6</v>
      </c>
    </row>
    <row r="4312" spans="1:38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50"/>
        <v>44.274999999999999</v>
      </c>
      <c r="V4312" s="2">
        <f t="shared" si="651"/>
        <v>236.77500000000001</v>
      </c>
      <c r="W4312" s="2">
        <f>T4312*50%</f>
        <v>96.25</v>
      </c>
      <c r="X4312" s="5">
        <f t="shared" si="639"/>
        <v>0.5</v>
      </c>
      <c r="Z4312" s="2" t="s">
        <v>118</v>
      </c>
      <c r="AA4312" s="2" t="s">
        <v>191</v>
      </c>
      <c r="AK4312" s="2">
        <f t="shared" si="648"/>
        <v>96.25</v>
      </c>
      <c r="AL4312" s="5">
        <f t="shared" si="649"/>
        <v>0.5</v>
      </c>
    </row>
    <row r="4313" spans="1:38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50"/>
        <v>13.8</v>
      </c>
      <c r="V4313" s="2">
        <f t="shared" si="651"/>
        <v>73.8</v>
      </c>
      <c r="W4313" s="2">
        <f>T4313*40%</f>
        <v>24</v>
      </c>
      <c r="X4313" s="5">
        <f t="shared" si="639"/>
        <v>0.6</v>
      </c>
      <c r="Z4313" s="2" t="s">
        <v>118</v>
      </c>
      <c r="AA4313" s="2" t="s">
        <v>191</v>
      </c>
      <c r="AK4313" s="2">
        <f t="shared" si="648"/>
        <v>36</v>
      </c>
      <c r="AL4313" s="5">
        <f t="shared" si="649"/>
        <v>0.6</v>
      </c>
    </row>
    <row r="4314" spans="1:38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50"/>
        <v>18.975000000000001</v>
      </c>
      <c r="V4314" s="2">
        <f t="shared" si="651"/>
        <v>101.47499999999999</v>
      </c>
      <c r="W4314" s="2">
        <f>T4314*50%</f>
        <v>41.25</v>
      </c>
      <c r="X4314" s="5">
        <f t="shared" si="639"/>
        <v>0.5</v>
      </c>
      <c r="Z4314" s="2" t="s">
        <v>118</v>
      </c>
      <c r="AA4314" s="2" t="s">
        <v>191</v>
      </c>
      <c r="AK4314" s="2">
        <f t="shared" si="648"/>
        <v>41.25</v>
      </c>
      <c r="AL4314" s="5">
        <f t="shared" si="649"/>
        <v>0.5</v>
      </c>
    </row>
    <row r="4315" spans="1:38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50"/>
        <v>18.278100000000002</v>
      </c>
      <c r="V4315" s="2">
        <f t="shared" si="651"/>
        <v>97.748099999999994</v>
      </c>
      <c r="W4315" s="2">
        <v>25.2</v>
      </c>
      <c r="X4315" s="5">
        <f t="shared" si="639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48"/>
        <v>54.269999999999996</v>
      </c>
      <c r="AL4315" s="5">
        <f t="shared" si="649"/>
        <v>0.68289920724801811</v>
      </c>
    </row>
    <row r="4316" spans="1:38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50"/>
        <v>64.400000000000006</v>
      </c>
      <c r="V4316" s="2">
        <f t="shared" si="651"/>
        <v>344.4</v>
      </c>
      <c r="W4316" s="2">
        <f>144.32+16.82</f>
        <v>161.13999999999999</v>
      </c>
      <c r="X4316" s="5">
        <f t="shared" si="639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48"/>
        <v>118.86000000000001</v>
      </c>
      <c r="AL4316" s="5">
        <f t="shared" si="649"/>
        <v>0.42450000000000004</v>
      </c>
    </row>
    <row r="4317" spans="1:38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50"/>
        <v>0.34040000000000004</v>
      </c>
      <c r="V4317" s="2">
        <f t="shared" si="651"/>
        <v>1.8204</v>
      </c>
      <c r="W4317" s="2">
        <v>1.48</v>
      </c>
      <c r="X4317" s="5">
        <f t="shared" si="639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48"/>
        <v>0</v>
      </c>
      <c r="AL4317" s="5">
        <f t="shared" si="649"/>
        <v>0</v>
      </c>
    </row>
    <row r="4318" spans="1:38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50"/>
        <v>273.7</v>
      </c>
      <c r="V4318" s="2">
        <f t="shared" si="651"/>
        <v>1463.7</v>
      </c>
      <c r="W4318" s="2">
        <v>773.5</v>
      </c>
      <c r="X4318" s="5">
        <f t="shared" si="639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48"/>
        <v>416.5</v>
      </c>
      <c r="AL4318" s="5">
        <f t="shared" si="649"/>
        <v>0.35</v>
      </c>
    </row>
    <row r="4319" spans="1:38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50"/>
        <v>41.4</v>
      </c>
      <c r="V4319" s="2">
        <f t="shared" si="651"/>
        <v>221.4</v>
      </c>
      <c r="W4319" s="2">
        <v>125.51600000000001</v>
      </c>
      <c r="X4319" s="5">
        <f t="shared" si="639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48"/>
        <v>54.483999999999995</v>
      </c>
      <c r="AL4319" s="5">
        <f t="shared" si="649"/>
        <v>0.30268888888888884</v>
      </c>
    </row>
    <row r="4320" spans="1:38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W4320" s="2">
        <v>1.48</v>
      </c>
      <c r="X4320" s="5">
        <f t="shared" si="639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48"/>
        <v>0</v>
      </c>
      <c r="AL4320" s="5">
        <f t="shared" si="649"/>
        <v>0</v>
      </c>
    </row>
    <row r="4321" spans="1:38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50"/>
        <v>52.900000000000006</v>
      </c>
      <c r="V4321" s="2">
        <f t="shared" si="651"/>
        <v>282.89999999999998</v>
      </c>
      <c r="W4321" s="2">
        <v>135.68</v>
      </c>
      <c r="X4321" s="5">
        <f t="shared" si="639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48"/>
        <v>94.32</v>
      </c>
      <c r="AL4321" s="5">
        <f t="shared" si="649"/>
        <v>0.4100869565217391</v>
      </c>
    </row>
    <row r="4322" spans="1:38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50"/>
        <v>0.34040000000000004</v>
      </c>
      <c r="V4322" s="2">
        <f t="shared" si="651"/>
        <v>1.8204</v>
      </c>
      <c r="X4322" s="5">
        <f t="shared" si="639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48"/>
        <v>1.48</v>
      </c>
      <c r="AL4322" s="5">
        <f t="shared" si="649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50"/>
        <v>8.6480000000000015</v>
      </c>
      <c r="V4323" s="2">
        <f t="shared" si="651"/>
        <v>46.248000000000005</v>
      </c>
      <c r="W4323" s="2">
        <v>21.71</v>
      </c>
      <c r="X4323" s="5">
        <f t="shared" si="639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48"/>
        <v>15.89</v>
      </c>
      <c r="AL4323" s="5">
        <f t="shared" si="649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50"/>
        <v>13.8</v>
      </c>
      <c r="V4324" s="2">
        <f t="shared" si="651"/>
        <v>73.8</v>
      </c>
      <c r="W4324" s="2">
        <f>T4324*40%</f>
        <v>24</v>
      </c>
      <c r="X4324" s="5">
        <f t="shared" si="639"/>
        <v>0.6</v>
      </c>
      <c r="Z4324" s="2" t="s">
        <v>118</v>
      </c>
      <c r="AA4324" s="2" t="s">
        <v>191</v>
      </c>
      <c r="AK4324" s="2">
        <f t="shared" si="648"/>
        <v>36</v>
      </c>
      <c r="AL4324" s="5">
        <f t="shared" si="649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50"/>
        <v>12.65</v>
      </c>
      <c r="V4325" s="2">
        <f t="shared" si="651"/>
        <v>67.650000000000006</v>
      </c>
      <c r="W4325" s="2">
        <f>T4325*50%</f>
        <v>27.5</v>
      </c>
      <c r="X4325" s="5">
        <f t="shared" si="639"/>
        <v>0.5</v>
      </c>
      <c r="Z4325" s="2" t="s">
        <v>118</v>
      </c>
      <c r="AA4325" s="2" t="s">
        <v>191</v>
      </c>
      <c r="AK4325" s="2">
        <f t="shared" si="648"/>
        <v>27.5</v>
      </c>
      <c r="AL4325" s="5">
        <f t="shared" si="649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50"/>
        <v>1.84</v>
      </c>
      <c r="V4326" s="2">
        <f t="shared" si="651"/>
        <v>9.84</v>
      </c>
      <c r="X4326" s="5">
        <f t="shared" si="639"/>
        <v>1</v>
      </c>
      <c r="Z4326" s="2" t="s">
        <v>170</v>
      </c>
      <c r="AA4326" s="2" t="s">
        <v>170</v>
      </c>
      <c r="AK4326" s="2">
        <f t="shared" si="648"/>
        <v>8</v>
      </c>
      <c r="AL4326" s="5">
        <f t="shared" si="649"/>
        <v>1</v>
      </c>
    </row>
    <row r="4327" spans="1:38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50"/>
        <v>55.2</v>
      </c>
      <c r="V4327" s="2">
        <f t="shared" si="651"/>
        <v>295.2</v>
      </c>
      <c r="W4327" s="2">
        <v>119.95</v>
      </c>
      <c r="X4327" s="5">
        <f t="shared" si="639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48"/>
        <v>120.05</v>
      </c>
      <c r="AL4327" s="5">
        <f t="shared" si="649"/>
        <v>0.50020833333333337</v>
      </c>
    </row>
    <row r="4328" spans="1:38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W4328" s="2">
        <v>1.48</v>
      </c>
      <c r="X4328" s="5">
        <f t="shared" si="639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48"/>
        <v>0</v>
      </c>
      <c r="AL4328" s="5">
        <f t="shared" si="649"/>
        <v>0</v>
      </c>
    </row>
    <row r="4329" spans="1:38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50"/>
        <v>46</v>
      </c>
      <c r="V4329" s="2">
        <f t="shared" si="651"/>
        <v>246</v>
      </c>
      <c r="W4329" s="2">
        <v>124.6</v>
      </c>
      <c r="X4329" s="5">
        <f t="shared" si="639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48"/>
        <v>75.400000000000006</v>
      </c>
      <c r="AL4329" s="5">
        <f t="shared" si="649"/>
        <v>0.377</v>
      </c>
    </row>
    <row r="4330" spans="1:38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50"/>
        <v>0.34040000000000004</v>
      </c>
      <c r="V4330" s="2">
        <f t="shared" si="651"/>
        <v>1.8204</v>
      </c>
      <c r="X4330" s="5">
        <f t="shared" si="639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48"/>
        <v>1.48</v>
      </c>
      <c r="AL4330" s="5">
        <f t="shared" si="649"/>
        <v>1</v>
      </c>
    </row>
    <row r="4331" spans="1:38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50"/>
        <v>460</v>
      </c>
      <c r="V4331" s="2">
        <f t="shared" si="651"/>
        <v>2460</v>
      </c>
      <c r="W4331" s="2">
        <v>1150</v>
      </c>
      <c r="X4331" s="5">
        <f t="shared" si="639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48"/>
        <v>850</v>
      </c>
      <c r="AL4331" s="5">
        <f t="shared" si="649"/>
        <v>0.42499999999999999</v>
      </c>
    </row>
    <row r="4332" spans="1:38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50"/>
        <v>0</v>
      </c>
      <c r="V4332" s="2">
        <f t="shared" si="651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48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50"/>
        <v>0</v>
      </c>
      <c r="V4333" s="2">
        <f t="shared" si="651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48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50"/>
        <v>62.1</v>
      </c>
      <c r="V4334" s="2">
        <f t="shared" si="651"/>
        <v>332.1</v>
      </c>
      <c r="W4334" s="2">
        <f>118.44+11.7</f>
        <v>130.13999999999999</v>
      </c>
      <c r="X4334" s="5">
        <f t="shared" si="639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48"/>
        <v>139.86000000000001</v>
      </c>
      <c r="AL4334" s="5">
        <f t="shared" si="649"/>
        <v>0.51800000000000002</v>
      </c>
    </row>
    <row r="4335" spans="1:38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50"/>
        <v>0.34040000000000004</v>
      </c>
      <c r="V4335" s="2">
        <f t="shared" si="651"/>
        <v>1.8204</v>
      </c>
      <c r="X4335" s="5">
        <f t="shared" si="639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48"/>
        <v>1.48</v>
      </c>
      <c r="AL4335" s="5">
        <f t="shared" si="649"/>
        <v>1</v>
      </c>
    </row>
    <row r="4336" spans="1:38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50"/>
        <v>16.79</v>
      </c>
      <c r="V4336" s="2">
        <f t="shared" si="651"/>
        <v>89.789999999999992</v>
      </c>
      <c r="W4336" s="2">
        <f>T4336*40%</f>
        <v>29.200000000000003</v>
      </c>
      <c r="X4336" s="5">
        <f t="shared" si="639"/>
        <v>0.6</v>
      </c>
      <c r="Z4336" s="2" t="s">
        <v>118</v>
      </c>
      <c r="AA4336" s="2" t="s">
        <v>191</v>
      </c>
      <c r="AK4336" s="2">
        <f t="shared" si="648"/>
        <v>43.8</v>
      </c>
      <c r="AL4336" s="5">
        <f t="shared" si="649"/>
        <v>0.6</v>
      </c>
    </row>
    <row r="4337" spans="1:38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50"/>
        <v>12.65</v>
      </c>
      <c r="V4337" s="2">
        <f t="shared" si="651"/>
        <v>67.650000000000006</v>
      </c>
      <c r="W4337" s="2">
        <f>T4337*50%</f>
        <v>27.5</v>
      </c>
      <c r="X4337" s="5">
        <f t="shared" ref="X4337:X4400" si="652">(T4337-W4337)/T4337</f>
        <v>0.5</v>
      </c>
      <c r="Z4337" s="2" t="s">
        <v>118</v>
      </c>
      <c r="AA4337" s="2" t="s">
        <v>191</v>
      </c>
      <c r="AK4337" s="2">
        <f t="shared" si="648"/>
        <v>27.5</v>
      </c>
      <c r="AL4337" s="5">
        <f t="shared" si="649"/>
        <v>0.5</v>
      </c>
    </row>
    <row r="4338" spans="1:38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50"/>
        <v>50.6</v>
      </c>
      <c r="V4338" s="2">
        <f t="shared" si="651"/>
        <v>270.60000000000002</v>
      </c>
      <c r="W4338" s="2">
        <f>118.44+11.7</f>
        <v>130.13999999999999</v>
      </c>
      <c r="X4338" s="5">
        <f t="shared" si="652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48"/>
        <v>89.860000000000014</v>
      </c>
      <c r="AL4338" s="5">
        <f t="shared" si="649"/>
        <v>0.40845454545454551</v>
      </c>
    </row>
    <row r="4339" spans="1:38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50"/>
        <v>0.34040000000000004</v>
      </c>
      <c r="V4339" s="2">
        <f t="shared" si="651"/>
        <v>1.8204</v>
      </c>
      <c r="X4339" s="5">
        <f t="shared" si="652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48"/>
        <v>1.48</v>
      </c>
      <c r="AL4339" s="5">
        <f t="shared" si="649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50"/>
        <v>13.609100000000002</v>
      </c>
      <c r="V4340" s="2">
        <f t="shared" si="651"/>
        <v>72.7791</v>
      </c>
      <c r="W4340" s="2">
        <v>28.25</v>
      </c>
      <c r="X4340" s="5">
        <f t="shared" si="652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48"/>
        <v>30.92</v>
      </c>
      <c r="AL4340" s="5">
        <f t="shared" si="649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50"/>
        <v>13.8</v>
      </c>
      <c r="V4341" s="2">
        <f t="shared" si="651"/>
        <v>73.8</v>
      </c>
      <c r="W4341" s="2">
        <f>T4341*40%</f>
        <v>24</v>
      </c>
      <c r="X4341" s="5">
        <f t="shared" si="652"/>
        <v>0.6</v>
      </c>
      <c r="Z4341" s="2" t="s">
        <v>118</v>
      </c>
      <c r="AA4341" s="2" t="s">
        <v>191</v>
      </c>
      <c r="AK4341" s="2">
        <f t="shared" si="648"/>
        <v>36</v>
      </c>
      <c r="AL4341" s="5">
        <f t="shared" si="649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50"/>
        <v>12.65</v>
      </c>
      <c r="V4342" s="2">
        <f t="shared" si="651"/>
        <v>67.650000000000006</v>
      </c>
      <c r="W4342" s="2">
        <f>T4342*50%</f>
        <v>27.5</v>
      </c>
      <c r="X4342" s="5">
        <f t="shared" si="652"/>
        <v>0.5</v>
      </c>
      <c r="Z4342" s="2" t="s">
        <v>118</v>
      </c>
      <c r="AA4342" s="2" t="s">
        <v>191</v>
      </c>
      <c r="AK4342" s="2">
        <f t="shared" si="648"/>
        <v>27.5</v>
      </c>
      <c r="AL4342" s="5">
        <f t="shared" si="649"/>
        <v>0.5</v>
      </c>
    </row>
    <row r="4343" spans="1:38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50"/>
        <v>50.6</v>
      </c>
      <c r="V4343" s="2">
        <f t="shared" si="651"/>
        <v>270.60000000000002</v>
      </c>
      <c r="W4343" s="2">
        <v>125.51600000000001</v>
      </c>
      <c r="X4343" s="5">
        <f t="shared" si="652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48"/>
        <v>94.483999999999995</v>
      </c>
      <c r="AL4343" s="5">
        <f t="shared" si="649"/>
        <v>0.42947272727272723</v>
      </c>
    </row>
    <row r="4344" spans="1:38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0"/>
        <v>0.34040000000000004</v>
      </c>
      <c r="V4344" s="2">
        <f t="shared" si="651"/>
        <v>1.8204</v>
      </c>
      <c r="W4344" s="2">
        <v>1.48</v>
      </c>
      <c r="X4344" s="5">
        <f t="shared" si="652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48"/>
        <v>0</v>
      </c>
      <c r="AL4344" s="5">
        <f t="shared" si="649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50"/>
        <v>50.6</v>
      </c>
      <c r="V4345" s="2">
        <f t="shared" si="651"/>
        <v>270.60000000000002</v>
      </c>
      <c r="W4345" s="2">
        <v>125.51600000000001</v>
      </c>
      <c r="X4345" s="5">
        <f t="shared" si="652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48"/>
        <v>94.483999999999995</v>
      </c>
      <c r="AL4345" s="5">
        <f t="shared" si="649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50"/>
        <v>0.34040000000000004</v>
      </c>
      <c r="V4346" s="2">
        <f t="shared" si="651"/>
        <v>1.8204</v>
      </c>
      <c r="X4346" s="5">
        <f t="shared" si="652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48"/>
        <v>1.48</v>
      </c>
      <c r="AL4346" s="5">
        <f t="shared" si="649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50"/>
        <v>116.99640000000001</v>
      </c>
      <c r="V4347" s="2">
        <f t="shared" si="651"/>
        <v>625.67640000000006</v>
      </c>
      <c r="W4347" s="2">
        <v>178.3383</v>
      </c>
      <c r="X4347" s="5">
        <f t="shared" si="652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48"/>
        <v>330.3417</v>
      </c>
      <c r="AL4347" s="5">
        <f t="shared" si="649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50"/>
        <v>20.851800000000001</v>
      </c>
      <c r="V4348" s="2">
        <f t="shared" si="651"/>
        <v>111.51179999999999</v>
      </c>
      <c r="W4348" s="2">
        <v>30.61</v>
      </c>
      <c r="X4348" s="5">
        <f t="shared" si="652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48"/>
        <v>60.05</v>
      </c>
      <c r="AL4348" s="5">
        <f t="shared" si="649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50"/>
        <v>84.64</v>
      </c>
      <c r="V4349" s="2">
        <f t="shared" si="651"/>
        <v>452.64</v>
      </c>
      <c r="W4349" s="2">
        <f>T4349*40%</f>
        <v>147.20000000000002</v>
      </c>
      <c r="X4349" s="5">
        <f t="shared" si="652"/>
        <v>0.6</v>
      </c>
      <c r="Z4349" s="2" t="s">
        <v>118</v>
      </c>
      <c r="AA4349" s="2" t="s">
        <v>191</v>
      </c>
      <c r="AK4349" s="2">
        <f t="shared" si="648"/>
        <v>220.79999999999998</v>
      </c>
      <c r="AL4349" s="5">
        <f t="shared" si="649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50"/>
        <v>50.6</v>
      </c>
      <c r="V4350" s="2">
        <f t="shared" si="651"/>
        <v>270.60000000000002</v>
      </c>
      <c r="W4350" s="2">
        <f>T4350*50%</f>
        <v>110</v>
      </c>
      <c r="X4350" s="5">
        <f t="shared" si="652"/>
        <v>0.5</v>
      </c>
      <c r="Z4350" s="2" t="s">
        <v>118</v>
      </c>
      <c r="AA4350" s="2" t="s">
        <v>191</v>
      </c>
      <c r="AK4350" s="2">
        <f t="shared" si="648"/>
        <v>110</v>
      </c>
      <c r="AL4350" s="5">
        <f t="shared" si="649"/>
        <v>0.5</v>
      </c>
    </row>
    <row r="4351" spans="1:38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50"/>
        <v>17.25</v>
      </c>
      <c r="V4351" s="2">
        <f t="shared" si="651"/>
        <v>92.25</v>
      </c>
      <c r="W4351" s="2">
        <f>T4351*40%</f>
        <v>30</v>
      </c>
      <c r="X4351" s="5">
        <f t="shared" si="652"/>
        <v>0.6</v>
      </c>
      <c r="Z4351" s="2" t="s">
        <v>118</v>
      </c>
      <c r="AA4351" s="2" t="s">
        <v>191</v>
      </c>
      <c r="AK4351" s="2">
        <f t="shared" si="648"/>
        <v>45</v>
      </c>
      <c r="AL4351" s="5">
        <f t="shared" si="649"/>
        <v>0.6</v>
      </c>
    </row>
    <row r="4352" spans="1:38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50"/>
        <v>22.137499999999999</v>
      </c>
      <c r="V4352" s="2">
        <f t="shared" si="651"/>
        <v>118.3875</v>
      </c>
      <c r="W4352" s="2">
        <f>T4352*50%</f>
        <v>48.125</v>
      </c>
      <c r="X4352" s="5">
        <f t="shared" si="652"/>
        <v>0.5</v>
      </c>
      <c r="Z4352" s="2" t="s">
        <v>118</v>
      </c>
      <c r="AA4352" s="2" t="s">
        <v>191</v>
      </c>
      <c r="AK4352" s="2">
        <f t="shared" si="648"/>
        <v>48.125</v>
      </c>
      <c r="AL4352" s="5">
        <f t="shared" si="649"/>
        <v>0.5</v>
      </c>
    </row>
    <row r="4353" spans="1:38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50"/>
        <v>68.424999999999997</v>
      </c>
      <c r="V4353" s="2">
        <f t="shared" si="651"/>
        <v>365.92500000000001</v>
      </c>
      <c r="X4353" s="5">
        <f t="shared" si="652"/>
        <v>1</v>
      </c>
      <c r="Z4353" s="2" t="s">
        <v>120</v>
      </c>
      <c r="AA4353" s="2" t="s">
        <v>3392</v>
      </c>
      <c r="AK4353" s="2">
        <f t="shared" si="648"/>
        <v>297.5</v>
      </c>
      <c r="AL4353" s="5">
        <f t="shared" si="649"/>
        <v>1</v>
      </c>
    </row>
    <row r="4354" spans="1:38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50"/>
        <v>115</v>
      </c>
      <c r="V4354" s="2">
        <f t="shared" si="651"/>
        <v>615</v>
      </c>
      <c r="X4354" s="5">
        <f t="shared" si="652"/>
        <v>1</v>
      </c>
      <c r="Z4354" s="2" t="s">
        <v>120</v>
      </c>
      <c r="AA4354" s="2" t="s">
        <v>3392</v>
      </c>
      <c r="AK4354" s="2">
        <f t="shared" si="648"/>
        <v>500</v>
      </c>
      <c r="AL4354" s="5">
        <f t="shared" si="649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50"/>
        <v>13.34</v>
      </c>
      <c r="V4355" s="2">
        <f t="shared" si="651"/>
        <v>71.34</v>
      </c>
      <c r="W4355" s="2">
        <f t="shared" ref="W4355:W4356" si="653">14.5099*S4355</f>
        <v>29.0198</v>
      </c>
      <c r="X4355" s="5">
        <f t="shared" si="652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48"/>
        <v>28.9802</v>
      </c>
      <c r="AL4355" s="5">
        <f t="shared" si="649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50"/>
        <v>22.080000000000002</v>
      </c>
      <c r="V4356" s="2">
        <f t="shared" si="651"/>
        <v>118.08</v>
      </c>
      <c r="W4356" s="2">
        <f t="shared" si="653"/>
        <v>58.0396</v>
      </c>
      <c r="X4356" s="5">
        <f t="shared" si="652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48"/>
        <v>37.9604</v>
      </c>
      <c r="AL4356" s="5">
        <f t="shared" si="649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50"/>
        <v>40.71</v>
      </c>
      <c r="V4357" s="2">
        <f t="shared" si="651"/>
        <v>217.71</v>
      </c>
      <c r="W4357" s="2">
        <f>T4357*40%</f>
        <v>70.8</v>
      </c>
      <c r="X4357" s="5">
        <f t="shared" si="652"/>
        <v>0.6</v>
      </c>
      <c r="Z4357" s="2" t="s">
        <v>118</v>
      </c>
      <c r="AA4357" s="2" t="s">
        <v>191</v>
      </c>
      <c r="AK4357" s="2">
        <f t="shared" si="648"/>
        <v>106.2</v>
      </c>
      <c r="AL4357" s="5">
        <f t="shared" si="649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50"/>
        <v>12.65</v>
      </c>
      <c r="V4358" s="2">
        <f t="shared" si="651"/>
        <v>67.650000000000006</v>
      </c>
      <c r="W4358" s="2">
        <f>T4358*50%</f>
        <v>27.5</v>
      </c>
      <c r="X4358" s="5">
        <f t="shared" si="652"/>
        <v>0.5</v>
      </c>
      <c r="Z4358" s="2" t="s">
        <v>118</v>
      </c>
      <c r="AA4358" s="2" t="s">
        <v>191</v>
      </c>
      <c r="AK4358" s="2">
        <f t="shared" si="648"/>
        <v>27.5</v>
      </c>
      <c r="AL4358" s="5">
        <f t="shared" si="649"/>
        <v>0.5</v>
      </c>
    </row>
    <row r="4359" spans="1:38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50"/>
        <v>0</v>
      </c>
      <c r="V4359" s="2">
        <f t="shared" si="651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48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50"/>
        <v>0</v>
      </c>
      <c r="V4360" s="2">
        <f t="shared" si="651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48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50"/>
        <v>2760</v>
      </c>
      <c r="V4361" s="2">
        <f t="shared" si="651"/>
        <v>14760</v>
      </c>
      <c r="W4361" s="2">
        <f>10440+150</f>
        <v>10590</v>
      </c>
      <c r="X4361" s="5">
        <f t="shared" si="652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48"/>
        <v>1410</v>
      </c>
      <c r="AL4361" s="5">
        <f t="shared" si="649"/>
        <v>0.11749999999999999</v>
      </c>
    </row>
    <row r="4362" spans="1:38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50"/>
        <v>43.7</v>
      </c>
      <c r="V4362" s="2">
        <f t="shared" si="651"/>
        <v>233.7</v>
      </c>
      <c r="W4362" s="2">
        <v>125.51600000000001</v>
      </c>
      <c r="X4362" s="5">
        <f t="shared" si="652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48"/>
        <v>64.483999999999995</v>
      </c>
      <c r="AL4362" s="5">
        <f t="shared" si="649"/>
        <v>0.33938947368421052</v>
      </c>
    </row>
    <row r="4363" spans="1:38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50"/>
        <v>0</v>
      </c>
      <c r="V4363" s="2">
        <f t="shared" si="651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48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50"/>
        <v>0.34040000000000004</v>
      </c>
      <c r="V4364" s="2">
        <f t="shared" si="651"/>
        <v>1.8204</v>
      </c>
      <c r="W4364" s="2">
        <v>1.48</v>
      </c>
      <c r="X4364" s="5">
        <f t="shared" si="652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48"/>
        <v>0</v>
      </c>
      <c r="AL4364" s="5">
        <f t="shared" si="649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50"/>
        <v>18.075700000000001</v>
      </c>
      <c r="V4365" s="2">
        <f t="shared" si="651"/>
        <v>96.665700000000001</v>
      </c>
      <c r="W4365" s="2">
        <f>36.2258</f>
        <v>36.2258</v>
      </c>
      <c r="X4365" s="5">
        <f t="shared" si="652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48"/>
        <v>42.364200000000004</v>
      </c>
      <c r="AL4365" s="5">
        <f t="shared" si="649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50"/>
        <v>1.61</v>
      </c>
      <c r="V4366" s="2">
        <f t="shared" si="651"/>
        <v>8.61</v>
      </c>
      <c r="X4366" s="5">
        <f t="shared" si="652"/>
        <v>1</v>
      </c>
      <c r="Z4366" s="2" t="s">
        <v>170</v>
      </c>
      <c r="AA4366" s="2" t="s">
        <v>170</v>
      </c>
      <c r="AK4366" s="2">
        <f t="shared" si="648"/>
        <v>7</v>
      </c>
      <c r="AL4366" s="5">
        <f t="shared" si="649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50"/>
        <v>368</v>
      </c>
      <c r="V4367" s="2">
        <f t="shared" si="651"/>
        <v>1968</v>
      </c>
      <c r="W4367" s="2">
        <v>1244.2445</v>
      </c>
      <c r="X4367" s="5">
        <f t="shared" si="652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48"/>
        <v>355.75549999999998</v>
      </c>
      <c r="AL4367" s="5">
        <f t="shared" si="649"/>
        <v>0.22234718749999999</v>
      </c>
    </row>
    <row r="4368" spans="1:38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50"/>
        <v>1012</v>
      </c>
      <c r="V4368" s="2">
        <f t="shared" si="651"/>
        <v>5412</v>
      </c>
      <c r="W4368" s="2">
        <f>3229.76+112.87</f>
        <v>3342.63</v>
      </c>
      <c r="X4368" s="5">
        <f t="shared" si="652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54">T4368-W4368</f>
        <v>1057.3699999999999</v>
      </c>
      <c r="AL4368" s="5">
        <f t="shared" ref="AL4368:AL4431" si="655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E4369" s="2" t="s">
        <v>109</v>
      </c>
      <c r="F4369" s="2" t="s">
        <v>843</v>
      </c>
      <c r="G4369" s="2">
        <v>504981285</v>
      </c>
      <c r="H4369" s="2" t="s">
        <v>291</v>
      </c>
      <c r="I4369" s="2" t="s">
        <v>844</v>
      </c>
      <c r="J4369" s="2" t="s">
        <v>845</v>
      </c>
      <c r="K4369" s="2">
        <v>932209225</v>
      </c>
      <c r="L4369" s="2" t="s">
        <v>340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56">T4369*23%</f>
        <v>13.510200000000001</v>
      </c>
      <c r="V4369" s="2">
        <f t="shared" ref="V4369:V4432" si="657">T4369+U4369</f>
        <v>72.250200000000007</v>
      </c>
      <c r="W4369" s="2">
        <v>27.86</v>
      </c>
      <c r="X4369" s="5">
        <f t="shared" si="652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54"/>
        <v>30.880000000000003</v>
      </c>
      <c r="AL4369" s="5">
        <f t="shared" si="655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E4370" s="2" t="s">
        <v>109</v>
      </c>
      <c r="F4370" s="2" t="s">
        <v>843</v>
      </c>
      <c r="G4370" s="2">
        <v>504981285</v>
      </c>
      <c r="H4370" s="2" t="s">
        <v>291</v>
      </c>
      <c r="I4370" s="2" t="s">
        <v>844</v>
      </c>
      <c r="J4370" s="2" t="s">
        <v>845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56"/>
        <v>12.65</v>
      </c>
      <c r="V4370" s="2">
        <f t="shared" si="657"/>
        <v>67.650000000000006</v>
      </c>
      <c r="W4370" s="2">
        <f>T4370*40%</f>
        <v>22</v>
      </c>
      <c r="X4370" s="5">
        <f t="shared" si="652"/>
        <v>0.6</v>
      </c>
      <c r="Z4370" s="2" t="s">
        <v>118</v>
      </c>
      <c r="AA4370" s="2" t="s">
        <v>191</v>
      </c>
      <c r="AK4370" s="2">
        <f t="shared" si="654"/>
        <v>33</v>
      </c>
      <c r="AL4370" s="5">
        <f t="shared" si="655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E4371" s="2" t="s">
        <v>109</v>
      </c>
      <c r="F4371" s="2" t="s">
        <v>843</v>
      </c>
      <c r="G4371" s="2">
        <v>504981285</v>
      </c>
      <c r="H4371" s="2" t="s">
        <v>291</v>
      </c>
      <c r="I4371" s="2" t="s">
        <v>844</v>
      </c>
      <c r="J4371" s="2" t="s">
        <v>845</v>
      </c>
      <c r="K4371" s="2">
        <v>932209225</v>
      </c>
      <c r="L4371" s="2" t="s">
        <v>340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56"/>
        <v>18.975000000000001</v>
      </c>
      <c r="V4371" s="2">
        <f t="shared" si="657"/>
        <v>101.47499999999999</v>
      </c>
      <c r="W4371" s="2">
        <f>T4371*50%</f>
        <v>41.25</v>
      </c>
      <c r="X4371" s="5">
        <f t="shared" si="652"/>
        <v>0.5</v>
      </c>
      <c r="Z4371" s="2" t="s">
        <v>118</v>
      </c>
      <c r="AA4371" s="2" t="s">
        <v>191</v>
      </c>
      <c r="AK4371" s="2">
        <f t="shared" si="654"/>
        <v>41.25</v>
      </c>
      <c r="AL4371" s="5">
        <f t="shared" si="655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E4372" s="2" t="s">
        <v>109</v>
      </c>
      <c r="F4372" s="2" t="s">
        <v>843</v>
      </c>
      <c r="G4372" s="2">
        <v>504981285</v>
      </c>
      <c r="H4372" s="2" t="s">
        <v>291</v>
      </c>
      <c r="I4372" s="2" t="s">
        <v>844</v>
      </c>
      <c r="J4372" s="2" t="s">
        <v>845</v>
      </c>
      <c r="K4372" s="2">
        <v>932209225</v>
      </c>
      <c r="L4372" s="2" t="s">
        <v>340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56"/>
        <v>2.1482000000000001</v>
      </c>
      <c r="V4372" s="2">
        <f t="shared" si="657"/>
        <v>11.488199999999999</v>
      </c>
      <c r="X4372" s="5">
        <f t="shared" si="652"/>
        <v>1</v>
      </c>
      <c r="Z4372" s="2" t="s">
        <v>120</v>
      </c>
      <c r="AA4372" s="2" t="s">
        <v>3392</v>
      </c>
      <c r="AK4372" s="2">
        <f t="shared" si="654"/>
        <v>9.34</v>
      </c>
      <c r="AL4372" s="5">
        <f t="shared" si="655"/>
        <v>1</v>
      </c>
    </row>
    <row r="4373" spans="1:38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56"/>
        <v>160.839</v>
      </c>
      <c r="V4373" s="2">
        <f t="shared" si="657"/>
        <v>860.1389999999999</v>
      </c>
      <c r="W4373" s="2">
        <v>343.38580000000002</v>
      </c>
      <c r="X4373" s="5">
        <f t="shared" si="652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54"/>
        <v>355.91419999999994</v>
      </c>
      <c r="AL4373" s="5">
        <f t="shared" si="655"/>
        <v>0.50895781495781489</v>
      </c>
    </row>
    <row r="4374" spans="1:38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56"/>
        <v>40.25</v>
      </c>
      <c r="V4374" s="2">
        <f t="shared" si="657"/>
        <v>215.25</v>
      </c>
      <c r="W4374" s="2">
        <f>T4374*40%</f>
        <v>70</v>
      </c>
      <c r="X4374" s="5">
        <f t="shared" si="652"/>
        <v>0.6</v>
      </c>
      <c r="Z4374" s="2" t="s">
        <v>118</v>
      </c>
      <c r="AA4374" s="2" t="s">
        <v>191</v>
      </c>
      <c r="AK4374" s="2">
        <f t="shared" si="654"/>
        <v>105</v>
      </c>
      <c r="AL4374" s="5">
        <f t="shared" si="655"/>
        <v>0.6</v>
      </c>
    </row>
    <row r="4375" spans="1:38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56"/>
        <v>12.65</v>
      </c>
      <c r="V4375" s="2">
        <f t="shared" si="657"/>
        <v>67.650000000000006</v>
      </c>
      <c r="W4375" s="2">
        <f>T4375*50%</f>
        <v>27.5</v>
      </c>
      <c r="X4375" s="5">
        <f t="shared" si="652"/>
        <v>0.5</v>
      </c>
      <c r="Z4375" s="2" t="s">
        <v>118</v>
      </c>
      <c r="AA4375" s="2" t="s">
        <v>191</v>
      </c>
      <c r="AK4375" s="2">
        <f t="shared" si="654"/>
        <v>27.5</v>
      </c>
      <c r="AL4375" s="5">
        <f t="shared" si="655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56"/>
        <v>2.99</v>
      </c>
      <c r="V4376" s="2">
        <f t="shared" si="657"/>
        <v>15.99</v>
      </c>
      <c r="W4376" s="2">
        <f>6.6267*S4376</f>
        <v>6.6266999999999996</v>
      </c>
      <c r="X4376" s="5">
        <f t="shared" si="652"/>
        <v>0.49025384615384621</v>
      </c>
      <c r="Z4376" s="2" t="s">
        <v>3237</v>
      </c>
      <c r="AA4376" s="2" t="s">
        <v>46</v>
      </c>
      <c r="AB4376" s="2" t="s">
        <v>47</v>
      </c>
      <c r="AC4376" s="2" t="s">
        <v>48</v>
      </c>
      <c r="AK4376" s="2">
        <f t="shared" si="654"/>
        <v>6.3733000000000004</v>
      </c>
      <c r="AL4376" s="5">
        <f t="shared" si="655"/>
        <v>0.49025384615384621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56"/>
        <v>8.2800000000000011</v>
      </c>
      <c r="V4377" s="2">
        <f t="shared" si="657"/>
        <v>44.28</v>
      </c>
      <c r="X4377" s="5">
        <f t="shared" si="652"/>
        <v>1</v>
      </c>
      <c r="Z4377" s="2" t="s">
        <v>3237</v>
      </c>
      <c r="AK4377" s="2">
        <f t="shared" si="654"/>
        <v>36</v>
      </c>
      <c r="AL4377" s="5">
        <f t="shared" si="655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56"/>
        <v>2.99</v>
      </c>
      <c r="V4378" s="2">
        <f t="shared" si="657"/>
        <v>15.99</v>
      </c>
      <c r="W4378" s="2">
        <f>0.0914*S4378</f>
        <v>9.1399999999999988</v>
      </c>
      <c r="X4378" s="5">
        <f t="shared" si="652"/>
        <v>0.29692307692307701</v>
      </c>
      <c r="Z4378" s="2" t="s">
        <v>3237</v>
      </c>
      <c r="AA4378" s="2" t="s">
        <v>46</v>
      </c>
      <c r="AB4378" s="2" t="s">
        <v>61</v>
      </c>
      <c r="AC4378" s="2" t="s">
        <v>58</v>
      </c>
      <c r="AK4378" s="2">
        <f t="shared" si="654"/>
        <v>3.8600000000000012</v>
      </c>
      <c r="AL4378" s="5">
        <f t="shared" si="655"/>
        <v>0.29692307692307701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56"/>
        <v>1.84</v>
      </c>
      <c r="V4379" s="2">
        <f t="shared" si="657"/>
        <v>9.84</v>
      </c>
      <c r="X4379" s="5">
        <f t="shared" si="652"/>
        <v>1</v>
      </c>
      <c r="Z4379" s="2" t="s">
        <v>170</v>
      </c>
      <c r="AA4379" s="2" t="s">
        <v>170</v>
      </c>
      <c r="AK4379" s="2">
        <f t="shared" si="654"/>
        <v>8</v>
      </c>
      <c r="AL4379" s="5">
        <f t="shared" si="655"/>
        <v>1</v>
      </c>
    </row>
    <row r="4380" spans="1:38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56"/>
        <v>9.66</v>
      </c>
      <c r="V4380" s="2">
        <f t="shared" si="657"/>
        <v>51.66</v>
      </c>
      <c r="W4380" s="2">
        <f>14.4*S4380</f>
        <v>28.8</v>
      </c>
      <c r="X4380" s="5">
        <f t="shared" si="652"/>
        <v>0.31428571428571428</v>
      </c>
      <c r="Z4380" s="2" t="s">
        <v>3237</v>
      </c>
      <c r="AA4380" s="2" t="s">
        <v>46</v>
      </c>
      <c r="AB4380" s="2" t="s">
        <v>47</v>
      </c>
      <c r="AC4380" s="2" t="s">
        <v>48</v>
      </c>
      <c r="AK4380" s="2">
        <f t="shared" si="654"/>
        <v>13.2</v>
      </c>
      <c r="AL4380" s="5">
        <f t="shared" si="655"/>
        <v>0.31428571428571428</v>
      </c>
    </row>
    <row r="4381" spans="1:38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56"/>
        <v>19.55</v>
      </c>
      <c r="V4381" s="2">
        <f t="shared" si="657"/>
        <v>104.55</v>
      </c>
      <c r="X4381" s="5">
        <f t="shared" si="652"/>
        <v>1</v>
      </c>
      <c r="Z4381" s="2" t="s">
        <v>3237</v>
      </c>
      <c r="AK4381" s="2">
        <f t="shared" si="654"/>
        <v>85</v>
      </c>
      <c r="AL4381" s="5">
        <f t="shared" si="655"/>
        <v>1</v>
      </c>
    </row>
    <row r="4382" spans="1:38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56"/>
        <v>10.58</v>
      </c>
      <c r="V4382" s="2">
        <f t="shared" si="657"/>
        <v>56.58</v>
      </c>
      <c r="W4382" s="2">
        <f>0.082*S4382</f>
        <v>32.800000000000004</v>
      </c>
      <c r="X4382" s="5">
        <f t="shared" si="652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54"/>
        <v>13.199999999999996</v>
      </c>
      <c r="AL4382" s="5">
        <f t="shared" si="655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56"/>
        <v>156.14930000000001</v>
      </c>
      <c r="V4383" s="2">
        <f t="shared" si="657"/>
        <v>835.05930000000001</v>
      </c>
      <c r="X4383" s="5">
        <f t="shared" si="652"/>
        <v>1</v>
      </c>
      <c r="Z4383" s="2" t="s">
        <v>120</v>
      </c>
      <c r="AA4383" s="2" t="s">
        <v>493</v>
      </c>
      <c r="AK4383" s="2">
        <f t="shared" si="654"/>
        <v>678.91</v>
      </c>
      <c r="AL4383" s="5">
        <f t="shared" si="655"/>
        <v>1</v>
      </c>
    </row>
    <row r="4384" spans="1:38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56"/>
        <v>160.839</v>
      </c>
      <c r="V4384" s="2">
        <f t="shared" si="657"/>
        <v>860.1389999999999</v>
      </c>
      <c r="W4384" s="2">
        <v>343.38580000000002</v>
      </c>
      <c r="X4384" s="5">
        <f t="shared" si="652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54"/>
        <v>355.91419999999994</v>
      </c>
      <c r="AL4384" s="5">
        <f t="shared" si="655"/>
        <v>0.50895781495781489</v>
      </c>
    </row>
    <row r="4385" spans="1:38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56"/>
        <v>13.8</v>
      </c>
      <c r="V4385" s="2">
        <f t="shared" si="657"/>
        <v>73.8</v>
      </c>
      <c r="W4385" s="2">
        <f>T4385*40%</f>
        <v>24</v>
      </c>
      <c r="X4385" s="5">
        <f t="shared" si="652"/>
        <v>0.6</v>
      </c>
      <c r="Z4385" s="2" t="s">
        <v>118</v>
      </c>
      <c r="AA4385" s="2" t="s">
        <v>191</v>
      </c>
      <c r="AK4385" s="2">
        <f t="shared" si="654"/>
        <v>36</v>
      </c>
      <c r="AL4385" s="5">
        <f t="shared" si="655"/>
        <v>0.6</v>
      </c>
    </row>
    <row r="4386" spans="1:38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56"/>
        <v>12.65</v>
      </c>
      <c r="V4386" s="2">
        <f t="shared" si="657"/>
        <v>67.650000000000006</v>
      </c>
      <c r="W4386" s="2">
        <f>T4386*50%</f>
        <v>27.5</v>
      </c>
      <c r="X4386" s="5">
        <f t="shared" si="652"/>
        <v>0.5</v>
      </c>
      <c r="Z4386" s="2" t="s">
        <v>118</v>
      </c>
      <c r="AA4386" s="2" t="s">
        <v>191</v>
      </c>
      <c r="AK4386" s="2">
        <f t="shared" si="654"/>
        <v>27.5</v>
      </c>
      <c r="AL4386" s="5">
        <f t="shared" si="655"/>
        <v>0.5</v>
      </c>
    </row>
    <row r="4387" spans="1:38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56"/>
        <v>92.69</v>
      </c>
      <c r="V4387" s="2">
        <f t="shared" si="657"/>
        <v>495.69</v>
      </c>
      <c r="W4387" s="2">
        <f>T4387*40%</f>
        <v>161.20000000000002</v>
      </c>
      <c r="X4387" s="5">
        <f t="shared" si="652"/>
        <v>0.6</v>
      </c>
      <c r="Z4387" s="2" t="s">
        <v>118</v>
      </c>
      <c r="AA4387" s="2" t="s">
        <v>191</v>
      </c>
      <c r="AK4387" s="2">
        <f t="shared" si="654"/>
        <v>241.79999999999998</v>
      </c>
      <c r="AL4387" s="5">
        <f t="shared" si="655"/>
        <v>0.6</v>
      </c>
    </row>
    <row r="4388" spans="1:38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56"/>
        <v>12.65</v>
      </c>
      <c r="V4388" s="2">
        <f t="shared" si="657"/>
        <v>67.650000000000006</v>
      </c>
      <c r="W4388" s="2">
        <f>T4388*50%</f>
        <v>27.5</v>
      </c>
      <c r="X4388" s="5">
        <f t="shared" si="652"/>
        <v>0.5</v>
      </c>
      <c r="Z4388" s="2" t="s">
        <v>118</v>
      </c>
      <c r="AA4388" s="2" t="s">
        <v>191</v>
      </c>
      <c r="AK4388" s="2">
        <f t="shared" si="654"/>
        <v>27.5</v>
      </c>
      <c r="AL4388" s="5">
        <f t="shared" si="655"/>
        <v>0.5</v>
      </c>
    </row>
    <row r="4389" spans="1:38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56"/>
        <v>7.4864999999999995</v>
      </c>
      <c r="V4389" s="2">
        <f t="shared" si="657"/>
        <v>40.036499999999997</v>
      </c>
      <c r="X4389" s="5">
        <f t="shared" si="652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54"/>
        <v>32.549999999999997</v>
      </c>
      <c r="AL4389" s="5">
        <f t="shared" si="655"/>
        <v>1</v>
      </c>
    </row>
    <row r="4390" spans="1:38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56"/>
        <v>6.67</v>
      </c>
      <c r="V4390" s="2">
        <f t="shared" si="657"/>
        <v>35.67</v>
      </c>
      <c r="W4390" s="2">
        <f>14.5099*S4390</f>
        <v>14.5099</v>
      </c>
      <c r="X4390" s="5">
        <f t="shared" si="652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54"/>
        <v>14.4901</v>
      </c>
      <c r="AL4390" s="5">
        <f t="shared" si="655"/>
        <v>0.49965862068965516</v>
      </c>
    </row>
    <row r="4391" spans="1:38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56"/>
        <v>50.6</v>
      </c>
      <c r="V4391" s="2">
        <f t="shared" si="657"/>
        <v>270.60000000000002</v>
      </c>
      <c r="W4391" s="2">
        <v>125.15</v>
      </c>
      <c r="X4391" s="5">
        <f t="shared" si="652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54"/>
        <v>94.85</v>
      </c>
      <c r="AL4391" s="5">
        <f t="shared" si="655"/>
        <v>0.4311363636363636</v>
      </c>
    </row>
    <row r="4392" spans="1:38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56"/>
        <v>0.34040000000000004</v>
      </c>
      <c r="V4392" s="2">
        <f t="shared" si="657"/>
        <v>1.8204</v>
      </c>
      <c r="X4392" s="5">
        <f t="shared" si="652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54"/>
        <v>1.48</v>
      </c>
      <c r="AL4392" s="5">
        <f t="shared" si="655"/>
        <v>1</v>
      </c>
    </row>
    <row r="4393" spans="1:38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56"/>
        <v>68.08</v>
      </c>
      <c r="V4393" s="2">
        <f t="shared" si="657"/>
        <v>364.08</v>
      </c>
      <c r="W4393" s="2">
        <f>T4393*40%</f>
        <v>118.4</v>
      </c>
      <c r="X4393" s="5">
        <f t="shared" si="652"/>
        <v>0.6</v>
      </c>
      <c r="Z4393" s="2" t="s">
        <v>118</v>
      </c>
      <c r="AA4393" s="2" t="s">
        <v>191</v>
      </c>
      <c r="AK4393" s="2">
        <f t="shared" si="654"/>
        <v>177.6</v>
      </c>
      <c r="AL4393" s="5">
        <f t="shared" si="655"/>
        <v>0.6</v>
      </c>
    </row>
    <row r="4394" spans="1:38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56"/>
        <v>12.65</v>
      </c>
      <c r="V4394" s="2">
        <f t="shared" si="657"/>
        <v>67.650000000000006</v>
      </c>
      <c r="W4394" s="2">
        <f>T4394*50%</f>
        <v>27.5</v>
      </c>
      <c r="X4394" s="5">
        <f t="shared" si="652"/>
        <v>0.5</v>
      </c>
      <c r="Z4394" s="2" t="s">
        <v>118</v>
      </c>
      <c r="AA4394" s="2" t="s">
        <v>191</v>
      </c>
      <c r="AK4394" s="2">
        <f t="shared" si="654"/>
        <v>27.5</v>
      </c>
      <c r="AL4394" s="5">
        <f t="shared" si="655"/>
        <v>0.5</v>
      </c>
    </row>
    <row r="4395" spans="1:38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56"/>
        <v>51.75</v>
      </c>
      <c r="V4395" s="2">
        <f t="shared" si="657"/>
        <v>276.75</v>
      </c>
      <c r="W4395" s="2">
        <v>125.51600000000001</v>
      </c>
      <c r="X4395" s="5">
        <f t="shared" si="652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54"/>
        <v>99.483999999999995</v>
      </c>
      <c r="AL4395" s="5">
        <f t="shared" si="655"/>
        <v>0.44215111111111111</v>
      </c>
    </row>
    <row r="4396" spans="1:38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56"/>
        <v>0.34040000000000004</v>
      </c>
      <c r="V4396" s="2">
        <f t="shared" si="657"/>
        <v>1.8204</v>
      </c>
      <c r="W4396" s="2">
        <v>1.48</v>
      </c>
      <c r="X4396" s="5">
        <f t="shared" si="652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54"/>
        <v>0</v>
      </c>
      <c r="AL4396" s="5">
        <f t="shared" si="655"/>
        <v>0</v>
      </c>
    </row>
    <row r="4397" spans="1:38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56"/>
        <v>86.25</v>
      </c>
      <c r="V4397" s="2">
        <f t="shared" si="657"/>
        <v>461.25</v>
      </c>
      <c r="W4397" s="2">
        <v>227.14</v>
      </c>
      <c r="X4397" s="5">
        <f t="shared" si="652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54"/>
        <v>147.86000000000001</v>
      </c>
      <c r="AL4397" s="5">
        <f t="shared" si="655"/>
        <v>0.39429333333333338</v>
      </c>
    </row>
    <row r="4398" spans="1:38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56"/>
        <v>0.34040000000000004</v>
      </c>
      <c r="V4398" s="2">
        <f t="shared" si="657"/>
        <v>1.8204</v>
      </c>
      <c r="W4398" s="2">
        <v>1.48</v>
      </c>
      <c r="X4398" s="5">
        <f t="shared" si="652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54"/>
        <v>0</v>
      </c>
      <c r="AL4398" s="5">
        <f t="shared" si="655"/>
        <v>0</v>
      </c>
    </row>
    <row r="4399" spans="1:38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56"/>
        <v>51.75</v>
      </c>
      <c r="V4399" s="2">
        <f t="shared" si="657"/>
        <v>276.75</v>
      </c>
      <c r="W4399" s="2">
        <v>132.35499999999999</v>
      </c>
      <c r="X4399" s="5">
        <f t="shared" si="652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54"/>
        <v>92.64500000000001</v>
      </c>
      <c r="AL4399" s="5">
        <f t="shared" si="655"/>
        <v>0.4117555555555556</v>
      </c>
    </row>
    <row r="4400" spans="1:38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56"/>
        <v>0.34040000000000004</v>
      </c>
      <c r="V4400" s="2">
        <f t="shared" si="657"/>
        <v>1.8204</v>
      </c>
      <c r="W4400" s="2">
        <v>1.48</v>
      </c>
      <c r="X4400" s="5">
        <f t="shared" si="652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54"/>
        <v>0</v>
      </c>
      <c r="AL4400" s="5">
        <f t="shared" si="655"/>
        <v>0</v>
      </c>
    </row>
    <row r="4401" spans="1:38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56"/>
        <v>8.2800000000000011</v>
      </c>
      <c r="V4401" s="2">
        <f t="shared" si="657"/>
        <v>44.28</v>
      </c>
      <c r="X4401" s="5">
        <f t="shared" ref="X4401:X4445" si="658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54"/>
        <v>36</v>
      </c>
      <c r="AL4401" s="5">
        <f t="shared" si="655"/>
        <v>1</v>
      </c>
    </row>
    <row r="4402" spans="1:38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56"/>
        <v>13.8</v>
      </c>
      <c r="V4402" s="2">
        <f t="shared" si="657"/>
        <v>73.8</v>
      </c>
      <c r="X4402" s="5">
        <f t="shared" si="658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54"/>
        <v>60</v>
      </c>
      <c r="AL4402" s="5">
        <f t="shared" si="655"/>
        <v>1</v>
      </c>
    </row>
    <row r="4403" spans="1:38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56"/>
        <v>43.221600000000002</v>
      </c>
      <c r="V4403" s="2">
        <f t="shared" si="657"/>
        <v>231.14159999999998</v>
      </c>
      <c r="W4403" s="2">
        <v>49.96</v>
      </c>
      <c r="X4403" s="5">
        <f t="shared" si="658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54"/>
        <v>137.95999999999998</v>
      </c>
      <c r="AL4403" s="5">
        <f t="shared" si="655"/>
        <v>0.73414218816517662</v>
      </c>
    </row>
    <row r="4404" spans="1:38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56"/>
        <v>124.00909999999999</v>
      </c>
      <c r="V4404" s="2">
        <f t="shared" si="657"/>
        <v>663.17909999999995</v>
      </c>
      <c r="W4404" s="2">
        <v>257.3</v>
      </c>
      <c r="X4404" s="5">
        <f t="shared" si="658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54"/>
        <v>281.86999999999995</v>
      </c>
      <c r="AL4404" s="5">
        <f t="shared" si="655"/>
        <v>0.52278502142181493</v>
      </c>
    </row>
    <row r="4405" spans="1:38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56"/>
        <v>34.270000000000003</v>
      </c>
      <c r="V4405" s="2">
        <f t="shared" si="657"/>
        <v>183.27</v>
      </c>
      <c r="W4405" s="2">
        <f>T4405*40%</f>
        <v>59.6</v>
      </c>
      <c r="X4405" s="5">
        <f t="shared" si="658"/>
        <v>0.60000000000000009</v>
      </c>
      <c r="Z4405" s="2" t="s">
        <v>118</v>
      </c>
      <c r="AA4405" s="2" t="s">
        <v>191</v>
      </c>
      <c r="AK4405" s="2">
        <f t="shared" si="654"/>
        <v>89.4</v>
      </c>
      <c r="AL4405" s="5">
        <f t="shared" si="655"/>
        <v>0.60000000000000009</v>
      </c>
    </row>
    <row r="4406" spans="1:38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56"/>
        <v>25.3</v>
      </c>
      <c r="V4406" s="2">
        <f t="shared" si="657"/>
        <v>135.30000000000001</v>
      </c>
      <c r="W4406" s="2">
        <f>T4406*50%</f>
        <v>55</v>
      </c>
      <c r="X4406" s="5">
        <f t="shared" si="658"/>
        <v>0.5</v>
      </c>
      <c r="Z4406" s="2" t="s">
        <v>118</v>
      </c>
      <c r="AA4406" s="2" t="s">
        <v>191</v>
      </c>
      <c r="AK4406" s="2">
        <f t="shared" si="654"/>
        <v>55</v>
      </c>
      <c r="AL4406" s="5">
        <f t="shared" si="655"/>
        <v>0.5</v>
      </c>
    </row>
    <row r="4407" spans="1:38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56"/>
        <v>23.184000000000001</v>
      </c>
      <c r="V4407" s="2">
        <f t="shared" si="657"/>
        <v>123.98399999999999</v>
      </c>
      <c r="W4407" s="2">
        <f>3*S4407</f>
        <v>24</v>
      </c>
      <c r="X4407" s="5">
        <f t="shared" si="658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54"/>
        <v>76.8</v>
      </c>
      <c r="AL4407" s="5">
        <f t="shared" si="655"/>
        <v>0.76190476190476186</v>
      </c>
    </row>
    <row r="4408" spans="1:38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56"/>
        <v>11.258500000000002</v>
      </c>
      <c r="V4408" s="2">
        <f t="shared" si="657"/>
        <v>60.208500000000001</v>
      </c>
      <c r="W4408" s="2">
        <f>23.042*S4408</f>
        <v>23.042000000000002</v>
      </c>
      <c r="X4408" s="5">
        <f t="shared" si="658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54"/>
        <v>25.908000000000001</v>
      </c>
      <c r="AL4408" s="5">
        <f t="shared" si="655"/>
        <v>0.52927477017364655</v>
      </c>
    </row>
    <row r="4409" spans="1:38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56"/>
        <v>8.9700000000000006</v>
      </c>
      <c r="V4409" s="2">
        <f t="shared" si="657"/>
        <v>47.97</v>
      </c>
      <c r="W4409" s="2">
        <f>6.6267*S4409</f>
        <v>19.880099999999999</v>
      </c>
      <c r="X4409" s="5">
        <f t="shared" si="658"/>
        <v>0.49025384615384621</v>
      </c>
      <c r="Z4409" s="2" t="s">
        <v>3237</v>
      </c>
      <c r="AA4409" s="2" t="s">
        <v>46</v>
      </c>
      <c r="AB4409" s="2" t="s">
        <v>47</v>
      </c>
      <c r="AC4409" s="2" t="s">
        <v>48</v>
      </c>
      <c r="AK4409" s="2">
        <f t="shared" si="654"/>
        <v>19.119900000000001</v>
      </c>
      <c r="AL4409" s="5">
        <f t="shared" si="655"/>
        <v>0.49025384615384621</v>
      </c>
    </row>
    <row r="4410" spans="1:38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56"/>
        <v>34.5</v>
      </c>
      <c r="V4410" s="2">
        <f t="shared" si="657"/>
        <v>184.5</v>
      </c>
      <c r="W4410" s="2">
        <f>10.6*S4410</f>
        <v>106</v>
      </c>
      <c r="X4410" s="5">
        <f t="shared" si="658"/>
        <v>0.29333333333333333</v>
      </c>
      <c r="Z4410" s="2" t="s">
        <v>3237</v>
      </c>
      <c r="AK4410" s="2">
        <f t="shared" si="654"/>
        <v>44</v>
      </c>
      <c r="AL4410" s="5">
        <f t="shared" si="655"/>
        <v>0.29333333333333333</v>
      </c>
    </row>
    <row r="4411" spans="1:38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56"/>
        <v>3.22</v>
      </c>
      <c r="V4411" s="2">
        <f t="shared" si="657"/>
        <v>17.22</v>
      </c>
      <c r="W4411" s="2">
        <f>0.0914*S4411</f>
        <v>9.1399999999999988</v>
      </c>
      <c r="X4411" s="5">
        <f t="shared" si="658"/>
        <v>0.34714285714285725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54"/>
        <v>4.8600000000000012</v>
      </c>
      <c r="AL4411" s="5">
        <f t="shared" si="655"/>
        <v>0.34714285714285725</v>
      </c>
    </row>
    <row r="4412" spans="1:38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56"/>
        <v>17.48</v>
      </c>
      <c r="V4412" s="2">
        <f t="shared" si="657"/>
        <v>93.48</v>
      </c>
      <c r="W4412" s="2">
        <f>T4412*40%</f>
        <v>30.400000000000002</v>
      </c>
      <c r="X4412" s="5">
        <f t="shared" si="658"/>
        <v>0.6</v>
      </c>
      <c r="Z4412" s="2" t="s">
        <v>118</v>
      </c>
      <c r="AA4412" s="2" t="s">
        <v>191</v>
      </c>
      <c r="AK4412" s="2">
        <f t="shared" si="654"/>
        <v>45.599999999999994</v>
      </c>
      <c r="AL4412" s="5">
        <f t="shared" si="655"/>
        <v>0.6</v>
      </c>
    </row>
    <row r="4413" spans="1:38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56"/>
        <v>12.65</v>
      </c>
      <c r="V4413" s="2">
        <f t="shared" si="657"/>
        <v>67.650000000000006</v>
      </c>
      <c r="W4413" s="2">
        <f>T4413*50%</f>
        <v>27.5</v>
      </c>
      <c r="X4413" s="5">
        <f t="shared" si="658"/>
        <v>0.5</v>
      </c>
      <c r="Z4413" s="2" t="s">
        <v>118</v>
      </c>
      <c r="AA4413" s="2" t="s">
        <v>191</v>
      </c>
      <c r="AK4413" s="2">
        <f t="shared" si="654"/>
        <v>27.5</v>
      </c>
      <c r="AL4413" s="5">
        <f t="shared" si="655"/>
        <v>0.5</v>
      </c>
    </row>
    <row r="4414" spans="1:38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56"/>
        <v>10.143000000000001</v>
      </c>
      <c r="V4414" s="2">
        <f t="shared" si="657"/>
        <v>54.243000000000002</v>
      </c>
      <c r="W4414" s="2">
        <f>11.098*S4414</f>
        <v>22.196000000000002</v>
      </c>
      <c r="X4414" s="5">
        <f t="shared" si="658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54"/>
        <v>21.904</v>
      </c>
      <c r="AL4414" s="5">
        <f t="shared" si="655"/>
        <v>0.49668934240362811</v>
      </c>
    </row>
    <row r="4415" spans="1:38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56"/>
        <v>1.84</v>
      </c>
      <c r="V4415" s="2">
        <f t="shared" si="657"/>
        <v>9.84</v>
      </c>
      <c r="X4415" s="5">
        <f t="shared" si="658"/>
        <v>1</v>
      </c>
      <c r="Z4415" s="2" t="s">
        <v>170</v>
      </c>
      <c r="AA4415" s="2" t="s">
        <v>170</v>
      </c>
      <c r="AK4415" s="2">
        <f t="shared" si="654"/>
        <v>8</v>
      </c>
      <c r="AL4415" s="5">
        <f t="shared" si="655"/>
        <v>1</v>
      </c>
    </row>
    <row r="4416" spans="1:38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56"/>
        <v>13.144500000000001</v>
      </c>
      <c r="V4416" s="2">
        <f t="shared" si="657"/>
        <v>70.294499999999999</v>
      </c>
      <c r="W4416" s="2">
        <f>5.3525*S4416</f>
        <v>21.41</v>
      </c>
      <c r="X4416" s="5">
        <f t="shared" si="658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54"/>
        <v>35.739999999999995</v>
      </c>
      <c r="AL4416" s="5">
        <f t="shared" si="655"/>
        <v>0.62537182852143469</v>
      </c>
    </row>
    <row r="4417" spans="1:38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56"/>
        <v>1.84</v>
      </c>
      <c r="V4417" s="2">
        <f t="shared" si="657"/>
        <v>9.84</v>
      </c>
      <c r="X4417" s="5">
        <f t="shared" si="658"/>
        <v>1</v>
      </c>
      <c r="Z4417" s="2" t="s">
        <v>170</v>
      </c>
      <c r="AA4417" s="2" t="s">
        <v>170</v>
      </c>
      <c r="AK4417" s="2">
        <f t="shared" si="654"/>
        <v>8</v>
      </c>
      <c r="AL4417" s="5">
        <f t="shared" si="655"/>
        <v>1</v>
      </c>
    </row>
    <row r="4418" spans="1:38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57"/>
        <v>577.91999999999996</v>
      </c>
      <c r="W4418" s="2">
        <v>344.89339999999999</v>
      </c>
      <c r="X4418" s="5">
        <f t="shared" si="658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54"/>
        <v>233.02659999999997</v>
      </c>
      <c r="AL4418" s="5">
        <f t="shared" si="655"/>
        <v>0.40321601605758584</v>
      </c>
    </row>
    <row r="4419" spans="1:38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56"/>
        <v>3220</v>
      </c>
      <c r="V4419" s="2">
        <f t="shared" si="657"/>
        <v>17220</v>
      </c>
      <c r="W4419" s="2">
        <f>10699.41+285.74</f>
        <v>10985.15</v>
      </c>
      <c r="X4419" s="5">
        <f t="shared" si="658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54"/>
        <v>3014.8500000000004</v>
      </c>
      <c r="AL4419" s="5">
        <f t="shared" si="655"/>
        <v>0.21534642857142861</v>
      </c>
    </row>
    <row r="4420" spans="1:38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56"/>
        <v>48.300000000000004</v>
      </c>
      <c r="V4420" s="2">
        <f t="shared" si="657"/>
        <v>258.3</v>
      </c>
      <c r="W4420" s="2">
        <f>113.905+11.25</f>
        <v>125.155</v>
      </c>
      <c r="X4420" s="5">
        <f t="shared" si="658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54"/>
        <v>84.844999999999999</v>
      </c>
      <c r="AL4420" s="5">
        <f t="shared" si="655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56"/>
        <v>0.34040000000000004</v>
      </c>
      <c r="V4421" s="2">
        <f t="shared" si="657"/>
        <v>1.8204</v>
      </c>
      <c r="W4421" s="2">
        <v>1.48</v>
      </c>
      <c r="X4421" s="5">
        <f t="shared" si="658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54"/>
        <v>0</v>
      </c>
      <c r="AL4421" s="5">
        <f t="shared" si="655"/>
        <v>0</v>
      </c>
    </row>
    <row r="4422" spans="1:38" x14ac:dyDescent="0.2">
      <c r="A4422" s="2">
        <v>2026</v>
      </c>
      <c r="B4422" s="2">
        <v>7</v>
      </c>
      <c r="C4422" s="2" t="s">
        <v>3306</v>
      </c>
      <c r="D4422" s="15" t="s">
        <v>636</v>
      </c>
      <c r="E4422" s="2" t="s">
        <v>109</v>
      </c>
      <c r="F4422" s="2" t="s">
        <v>396</v>
      </c>
      <c r="G4422" s="2">
        <v>502967056</v>
      </c>
      <c r="H4422" s="2" t="s">
        <v>110</v>
      </c>
      <c r="I4422" s="2" t="s">
        <v>637</v>
      </c>
      <c r="J4422" s="2" t="s">
        <v>638</v>
      </c>
      <c r="L4422" s="2" t="s">
        <v>113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56"/>
        <v>23.816500000000001</v>
      </c>
      <c r="V4422" s="2">
        <f t="shared" si="657"/>
        <v>127.3665</v>
      </c>
      <c r="W4422" s="2">
        <f>57.53+1</f>
        <v>58.53</v>
      </c>
      <c r="X4422" s="5">
        <f t="shared" si="658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54"/>
        <v>45.019999999999996</v>
      </c>
      <c r="AL4422" s="5">
        <f t="shared" si="655"/>
        <v>0.43476581361661032</v>
      </c>
    </row>
    <row r="4423" spans="1:38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56"/>
        <v>572.70000000000005</v>
      </c>
      <c r="V4423" s="2">
        <f t="shared" si="657"/>
        <v>3062.7</v>
      </c>
      <c r="W4423" s="2">
        <f>1907.5+49</f>
        <v>1956.5</v>
      </c>
      <c r="X4423" s="5">
        <f t="shared" si="658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54"/>
        <v>533.5</v>
      </c>
      <c r="AL4423" s="5">
        <f t="shared" si="655"/>
        <v>0.21425702811244979</v>
      </c>
    </row>
    <row r="4424" spans="1:38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56"/>
        <v>160.839</v>
      </c>
      <c r="V4424" s="2">
        <f t="shared" si="657"/>
        <v>860.1389999999999</v>
      </c>
      <c r="W4424" s="2">
        <v>343.38580000000002</v>
      </c>
      <c r="X4424" s="5">
        <f t="shared" si="658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54"/>
        <v>355.91419999999994</v>
      </c>
      <c r="AL4424" s="5">
        <f t="shared" si="655"/>
        <v>0.50895781495781489</v>
      </c>
    </row>
    <row r="4425" spans="1:38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56"/>
        <v>56.580000000000005</v>
      </c>
      <c r="V4425" s="2">
        <f t="shared" si="657"/>
        <v>302.58</v>
      </c>
      <c r="W4425" s="2">
        <f>T4425*40%</f>
        <v>98.4</v>
      </c>
      <c r="X4425" s="5">
        <f t="shared" si="658"/>
        <v>0.6</v>
      </c>
      <c r="Z4425" s="2" t="s">
        <v>118</v>
      </c>
      <c r="AA4425" s="2" t="s">
        <v>191</v>
      </c>
      <c r="AK4425" s="2">
        <f t="shared" si="654"/>
        <v>147.6</v>
      </c>
      <c r="AL4425" s="5">
        <f t="shared" si="655"/>
        <v>0.6</v>
      </c>
    </row>
    <row r="4426" spans="1:38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56"/>
        <v>18.975000000000001</v>
      </c>
      <c r="V4426" s="2">
        <f t="shared" si="657"/>
        <v>101.47499999999999</v>
      </c>
      <c r="W4426" s="2">
        <f>T4426*50%</f>
        <v>41.25</v>
      </c>
      <c r="X4426" s="5">
        <f t="shared" si="658"/>
        <v>0.5</v>
      </c>
      <c r="Z4426" s="2" t="s">
        <v>118</v>
      </c>
      <c r="AA4426" s="2" t="s">
        <v>191</v>
      </c>
      <c r="AK4426" s="2">
        <f t="shared" si="654"/>
        <v>41.25</v>
      </c>
      <c r="AL4426" s="5">
        <f t="shared" si="655"/>
        <v>0.5</v>
      </c>
    </row>
    <row r="4427" spans="1:38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56"/>
        <v>52.900000000000006</v>
      </c>
      <c r="V4427" s="2">
        <f t="shared" si="657"/>
        <v>282.89999999999998</v>
      </c>
      <c r="W4427" s="2">
        <v>125.51600000000001</v>
      </c>
      <c r="X4427" s="5">
        <f t="shared" si="658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54"/>
        <v>104.48399999999999</v>
      </c>
      <c r="AL4427" s="5">
        <f t="shared" si="655"/>
        <v>0.45427826086956519</v>
      </c>
    </row>
    <row r="4428" spans="1:38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56"/>
        <v>0.34040000000000004</v>
      </c>
      <c r="V4428" s="2">
        <f t="shared" si="657"/>
        <v>1.8204</v>
      </c>
      <c r="W4428" s="2">
        <v>1.48</v>
      </c>
      <c r="X4428" s="5">
        <f t="shared" si="658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54"/>
        <v>0</v>
      </c>
      <c r="AL4428" s="5">
        <f t="shared" si="655"/>
        <v>0</v>
      </c>
    </row>
    <row r="4429" spans="1:38" x14ac:dyDescent="0.2">
      <c r="A4429" s="2">
        <v>2026</v>
      </c>
      <c r="B4429" s="2">
        <v>7</v>
      </c>
      <c r="C4429" s="2" t="s">
        <v>3307</v>
      </c>
      <c r="D4429" s="15" t="s">
        <v>1316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1317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56"/>
        <v>4.83</v>
      </c>
      <c r="V4429" s="2">
        <f t="shared" si="657"/>
        <v>25.83</v>
      </c>
      <c r="W4429" s="2">
        <f>9.3*S4429</f>
        <v>9.3000000000000007</v>
      </c>
      <c r="X4429" s="5">
        <f t="shared" si="658"/>
        <v>0.55714285714285716</v>
      </c>
      <c r="Z4429" s="2" t="s">
        <v>3237</v>
      </c>
      <c r="AA4429" s="2" t="s">
        <v>46</v>
      </c>
      <c r="AB4429" s="2" t="s">
        <v>47</v>
      </c>
      <c r="AC4429" s="2" t="s">
        <v>48</v>
      </c>
      <c r="AK4429" s="2">
        <f t="shared" si="654"/>
        <v>11.7</v>
      </c>
      <c r="AL4429" s="5">
        <f t="shared" si="655"/>
        <v>0.55714285714285716</v>
      </c>
    </row>
    <row r="4430" spans="1:38" x14ac:dyDescent="0.2">
      <c r="A4430" s="2">
        <v>2026</v>
      </c>
      <c r="B4430" s="2">
        <v>7</v>
      </c>
      <c r="C4430" s="2" t="s">
        <v>3307</v>
      </c>
      <c r="D4430" s="15" t="s">
        <v>1316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1317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56"/>
        <v>8.2800000000000011</v>
      </c>
      <c r="V4430" s="2">
        <f t="shared" si="657"/>
        <v>44.28</v>
      </c>
      <c r="W4430" s="2">
        <f>10.6*S4430</f>
        <v>21.2</v>
      </c>
      <c r="X4430" s="5">
        <f t="shared" si="658"/>
        <v>0.41111111111111115</v>
      </c>
      <c r="Z4430" s="2" t="s">
        <v>3237</v>
      </c>
      <c r="AK4430" s="2">
        <f t="shared" si="654"/>
        <v>14.8</v>
      </c>
      <c r="AL4430" s="5">
        <f t="shared" si="655"/>
        <v>0.41111111111111115</v>
      </c>
    </row>
    <row r="4431" spans="1:38" x14ac:dyDescent="0.2">
      <c r="A4431" s="2">
        <v>2026</v>
      </c>
      <c r="B4431" s="2">
        <v>7</v>
      </c>
      <c r="C4431" s="2" t="s">
        <v>3307</v>
      </c>
      <c r="D4431" s="15" t="s">
        <v>1316</v>
      </c>
      <c r="E4431" s="2" t="s">
        <v>38</v>
      </c>
      <c r="F4431" s="2" t="s">
        <v>39</v>
      </c>
      <c r="G4431" s="2">
        <v>509512739</v>
      </c>
      <c r="H4431" s="2" t="s">
        <v>41</v>
      </c>
      <c r="I4431" s="2" t="s">
        <v>178</v>
      </c>
      <c r="J4431" s="2" t="s">
        <v>1317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56"/>
        <v>3.22</v>
      </c>
      <c r="V4431" s="2">
        <f t="shared" si="657"/>
        <v>17.22</v>
      </c>
      <c r="W4431" s="2">
        <f>0.0914*S4431</f>
        <v>9.1399999999999988</v>
      </c>
      <c r="X4431" s="5">
        <f t="shared" si="658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54"/>
        <v>4.8600000000000012</v>
      </c>
      <c r="AL4431" s="5">
        <f t="shared" si="655"/>
        <v>0.34714285714285725</v>
      </c>
    </row>
    <row r="4432" spans="1:38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56"/>
        <v>36.282499999999999</v>
      </c>
      <c r="V4432" s="2">
        <f t="shared" si="657"/>
        <v>194.0325</v>
      </c>
      <c r="W4432" s="2">
        <f>6.26*S4432</f>
        <v>75.12</v>
      </c>
      <c r="X4432" s="5">
        <f t="shared" si="658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58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58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4435" s="2">
        <v>2026</v>
      </c>
      <c r="B4435" s="2">
        <v>7</v>
      </c>
      <c r="C4435" s="2" t="s">
        <v>3444</v>
      </c>
      <c r="D4435" s="2" t="s">
        <v>37</v>
      </c>
      <c r="E4435" s="2" t="s">
        <v>38</v>
      </c>
      <c r="F4435" s="2" t="s">
        <v>39</v>
      </c>
      <c r="L4435" s="2" t="s">
        <v>3281</v>
      </c>
      <c r="M4435" s="2" t="s">
        <v>81</v>
      </c>
      <c r="P4435" s="2" t="s">
        <v>43</v>
      </c>
      <c r="Q4435" s="23" t="s">
        <v>55</v>
      </c>
      <c r="R4435" s="23" t="s">
        <v>56</v>
      </c>
      <c r="S4435" s="21">
        <v>3</v>
      </c>
      <c r="T4435" s="22">
        <v>48</v>
      </c>
      <c r="U4435" s="2">
        <f>T4435*23%</f>
        <v>11.040000000000001</v>
      </c>
      <c r="V4435" s="2">
        <f>T4435+U4435</f>
        <v>59.04</v>
      </c>
      <c r="W4435" s="2">
        <f>10.6*S4435</f>
        <v>31.799999999999997</v>
      </c>
      <c r="X4435" s="5">
        <f t="shared" si="658"/>
        <v>0.33750000000000008</v>
      </c>
      <c r="Z4435" s="2" t="s">
        <v>3237</v>
      </c>
      <c r="AK4435" s="2">
        <f t="shared" ref="AK4435:AK4445" si="659">T4435-W4435</f>
        <v>16.200000000000003</v>
      </c>
      <c r="AL4435" s="5">
        <f t="shared" ref="AL4435:AL4445" si="660">(T4435-W4435)/T4435</f>
        <v>0.33750000000000008</v>
      </c>
    </row>
    <row r="4436" spans="1:38" x14ac:dyDescent="0.2">
      <c r="A4436" s="2">
        <v>2026</v>
      </c>
      <c r="B4436" s="2">
        <v>7</v>
      </c>
      <c r="C4436" s="2" t="s">
        <v>3444</v>
      </c>
      <c r="D4436" s="2" t="s">
        <v>37</v>
      </c>
      <c r="E4436" s="2" t="s">
        <v>38</v>
      </c>
      <c r="F4436" s="2" t="s">
        <v>39</v>
      </c>
      <c r="L4436" s="2" t="s">
        <v>3281</v>
      </c>
      <c r="M4436" s="2" t="s">
        <v>81</v>
      </c>
      <c r="P4436" s="2" t="s">
        <v>43</v>
      </c>
      <c r="Q4436" s="23" t="s">
        <v>62</v>
      </c>
      <c r="R4436" s="23" t="s">
        <v>63</v>
      </c>
      <c r="S4436" s="21">
        <v>700</v>
      </c>
      <c r="T4436" s="22">
        <v>70</v>
      </c>
      <c r="U4436" s="2">
        <f t="shared" ref="U4436:U4445" si="661">T4436*23%</f>
        <v>16.100000000000001</v>
      </c>
      <c r="V4436" s="2">
        <f t="shared" ref="V4436:V4445" si="662">T4436+U4436</f>
        <v>86.1</v>
      </c>
      <c r="W4436" s="2">
        <f>0.082*S4436</f>
        <v>57.400000000000006</v>
      </c>
      <c r="X4436" s="5">
        <f t="shared" si="658"/>
        <v>0.17999999999999991</v>
      </c>
      <c r="Z4436" s="2" t="s">
        <v>3237</v>
      </c>
      <c r="AK4436" s="2">
        <f t="shared" si="659"/>
        <v>12.599999999999994</v>
      </c>
      <c r="AL4436" s="5">
        <f t="shared" si="660"/>
        <v>0.17999999999999991</v>
      </c>
    </row>
    <row r="4437" spans="1:38" x14ac:dyDescent="0.2">
      <c r="A4437" s="2">
        <v>2026</v>
      </c>
      <c r="B4437" s="2">
        <v>7</v>
      </c>
      <c r="C4437" s="2" t="s">
        <v>3444</v>
      </c>
      <c r="D4437" s="23" t="s">
        <v>1550</v>
      </c>
      <c r="E4437" s="2" t="s">
        <v>109</v>
      </c>
      <c r="F4437" s="2" t="s">
        <v>39</v>
      </c>
      <c r="L4437" s="2" t="s">
        <v>178</v>
      </c>
      <c r="M4437" s="2" t="s">
        <v>40</v>
      </c>
      <c r="P4437" s="2" t="s">
        <v>115</v>
      </c>
      <c r="Q4437" s="23" t="s">
        <v>562</v>
      </c>
      <c r="R4437" s="23" t="s">
        <v>563</v>
      </c>
      <c r="S4437" s="21">
        <v>1</v>
      </c>
      <c r="T4437" s="22">
        <v>14.29</v>
      </c>
      <c r="U4437" s="2">
        <f t="shared" si="661"/>
        <v>3.2866999999999997</v>
      </c>
      <c r="V4437" s="2">
        <f t="shared" si="662"/>
        <v>17.576699999999999</v>
      </c>
      <c r="W4437" s="2">
        <v>5.3525</v>
      </c>
      <c r="X4437" s="5">
        <f t="shared" si="658"/>
        <v>0.62543736878936318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659"/>
        <v>8.9375</v>
      </c>
      <c r="AL4437" s="5">
        <f t="shared" si="660"/>
        <v>0.62543736878936318</v>
      </c>
    </row>
    <row r="4438" spans="1:38" x14ac:dyDescent="0.2">
      <c r="A4438" s="2">
        <v>2026</v>
      </c>
      <c r="B4438" s="2">
        <v>7</v>
      </c>
      <c r="C4438" s="2" t="s">
        <v>3439</v>
      </c>
      <c r="D4438" s="23" t="s">
        <v>2782</v>
      </c>
      <c r="E4438" s="2" t="s">
        <v>109</v>
      </c>
      <c r="F4438" s="2" t="s">
        <v>39</v>
      </c>
      <c r="L4438" s="2" t="s">
        <v>2446</v>
      </c>
      <c r="M4438" s="2" t="s">
        <v>40</v>
      </c>
      <c r="P4438" s="2" t="s">
        <v>115</v>
      </c>
      <c r="Q4438" s="23" t="s">
        <v>468</v>
      </c>
      <c r="R4438" s="23" t="s">
        <v>469</v>
      </c>
      <c r="S4438" s="21">
        <v>1</v>
      </c>
      <c r="T4438" s="22">
        <v>418.99</v>
      </c>
      <c r="U4438" s="2">
        <f t="shared" si="661"/>
        <v>96.367699999999999</v>
      </c>
      <c r="V4438" s="2">
        <f t="shared" si="662"/>
        <v>515.35770000000002</v>
      </c>
      <c r="W4438" s="2">
        <v>237.8466</v>
      </c>
      <c r="X4438" s="5">
        <f t="shared" si="658"/>
        <v>0.43233346857920241</v>
      </c>
      <c r="Z4438" s="2" t="s">
        <v>118</v>
      </c>
      <c r="AA4438" s="2" t="s">
        <v>119</v>
      </c>
      <c r="AB4438" s="2" t="s">
        <v>120</v>
      </c>
      <c r="AC4438" s="2" t="s">
        <v>115</v>
      </c>
      <c r="AK4438" s="2">
        <f t="shared" si="659"/>
        <v>181.14340000000001</v>
      </c>
      <c r="AL4438" s="5">
        <f t="shared" si="660"/>
        <v>0.43233346857920241</v>
      </c>
    </row>
    <row r="4439" spans="1:38" x14ac:dyDescent="0.2">
      <c r="A4439" s="2">
        <v>2026</v>
      </c>
      <c r="B4439" s="2">
        <v>7</v>
      </c>
      <c r="C4439" s="2" t="s">
        <v>3444</v>
      </c>
      <c r="D4439" s="23" t="s">
        <v>2782</v>
      </c>
      <c r="E4439" s="2" t="s">
        <v>109</v>
      </c>
      <c r="F4439" s="2" t="s">
        <v>39</v>
      </c>
      <c r="L4439" s="2" t="s">
        <v>2446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99</v>
      </c>
      <c r="U4439" s="2">
        <f t="shared" si="661"/>
        <v>22.77</v>
      </c>
      <c r="V4439" s="2">
        <f t="shared" si="662"/>
        <v>121.77</v>
      </c>
      <c r="W4439" s="2">
        <f>T4439*40%</f>
        <v>39.6</v>
      </c>
      <c r="X4439" s="5">
        <f t="shared" si="658"/>
        <v>0.6</v>
      </c>
      <c r="Z4439" s="2" t="s">
        <v>118</v>
      </c>
      <c r="AA4439" s="2" t="s">
        <v>3442</v>
      </c>
      <c r="AK4439" s="2">
        <f t="shared" si="659"/>
        <v>59.4</v>
      </c>
      <c r="AL4439" s="5">
        <f t="shared" si="660"/>
        <v>0.6</v>
      </c>
    </row>
    <row r="4440" spans="1:38" x14ac:dyDescent="0.2">
      <c r="A4440" s="2">
        <v>2026</v>
      </c>
      <c r="B4440" s="2">
        <v>7</v>
      </c>
      <c r="C4440" s="2" t="s">
        <v>3444</v>
      </c>
      <c r="D4440" s="23" t="s">
        <v>2782</v>
      </c>
      <c r="E4440" s="2" t="s">
        <v>109</v>
      </c>
      <c r="F4440" s="2" t="s">
        <v>39</v>
      </c>
      <c r="L4440" s="2" t="s">
        <v>2446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1</v>
      </c>
      <c r="T4440" s="22">
        <v>49.5</v>
      </c>
      <c r="U4440" s="2">
        <f t="shared" si="661"/>
        <v>11.385</v>
      </c>
      <c r="V4440" s="2">
        <f t="shared" si="662"/>
        <v>60.884999999999998</v>
      </c>
      <c r="W4440" s="2">
        <f>T4440*50%</f>
        <v>24.75</v>
      </c>
      <c r="X4440" s="5">
        <f t="shared" si="658"/>
        <v>0.5</v>
      </c>
      <c r="Z4440" s="2" t="s">
        <v>118</v>
      </c>
      <c r="AA4440" s="2" t="s">
        <v>3442</v>
      </c>
      <c r="AK4440" s="2">
        <f t="shared" si="659"/>
        <v>24.75</v>
      </c>
      <c r="AL4440" s="5">
        <f t="shared" si="660"/>
        <v>0.5</v>
      </c>
    </row>
    <row r="4441" spans="1:38" x14ac:dyDescent="0.2">
      <c r="A4441" s="2">
        <v>2026</v>
      </c>
      <c r="B4441" s="2">
        <v>7</v>
      </c>
      <c r="C4441" s="2" t="s">
        <v>3444</v>
      </c>
      <c r="D4441" s="23" t="s">
        <v>1580</v>
      </c>
      <c r="E4441" s="2" t="s">
        <v>754</v>
      </c>
      <c r="F4441" s="2" t="s">
        <v>39</v>
      </c>
      <c r="L4441" s="2" t="s">
        <v>462</v>
      </c>
      <c r="M4441" s="2" t="s">
        <v>110</v>
      </c>
      <c r="P4441" s="2" t="s">
        <v>283</v>
      </c>
      <c r="Q4441" s="23" t="s">
        <v>3005</v>
      </c>
      <c r="R4441" s="23" t="s">
        <v>3006</v>
      </c>
      <c r="S4441" s="21">
        <v>1</v>
      </c>
      <c r="T4441" s="22">
        <v>1130.5</v>
      </c>
      <c r="U4441" s="2">
        <f t="shared" si="661"/>
        <v>260.01499999999999</v>
      </c>
      <c r="V4441" s="2">
        <f t="shared" si="662"/>
        <v>1390.5149999999999</v>
      </c>
      <c r="W4441" s="2">
        <v>773.5</v>
      </c>
      <c r="X4441" s="5">
        <f t="shared" si="658"/>
        <v>0.31578947368421051</v>
      </c>
      <c r="Z4441" s="2" t="s">
        <v>105</v>
      </c>
      <c r="AA4441" s="2" t="s">
        <v>182</v>
      </c>
      <c r="AB4441" s="2" t="s">
        <v>120</v>
      </c>
      <c r="AC4441" s="2" t="s">
        <v>1331</v>
      </c>
      <c r="AK4441" s="2">
        <f t="shared" si="659"/>
        <v>357</v>
      </c>
      <c r="AL4441" s="5">
        <f t="shared" si="660"/>
        <v>0.31578947368421051</v>
      </c>
    </row>
    <row r="4442" spans="1:38" x14ac:dyDescent="0.2">
      <c r="A4442" s="2">
        <v>2026</v>
      </c>
      <c r="B4442" s="2">
        <v>7</v>
      </c>
      <c r="C4442" s="2" t="s">
        <v>3444</v>
      </c>
      <c r="D4442" s="23" t="s">
        <v>842</v>
      </c>
      <c r="E4442" s="2" t="s">
        <v>109</v>
      </c>
      <c r="F4442" s="2" t="s">
        <v>843</v>
      </c>
      <c r="G4442" s="2">
        <v>504981285</v>
      </c>
      <c r="H4442" s="2" t="s">
        <v>291</v>
      </c>
      <c r="I4442" s="2" t="s">
        <v>844</v>
      </c>
      <c r="J4442" s="2" t="s">
        <v>845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189</v>
      </c>
      <c r="R4442" s="23" t="s">
        <v>190</v>
      </c>
      <c r="S4442" s="21">
        <v>1</v>
      </c>
      <c r="T4442" s="22">
        <v>60</v>
      </c>
      <c r="U4442" s="2">
        <f t="shared" si="661"/>
        <v>13.8</v>
      </c>
      <c r="V4442" s="2">
        <f t="shared" si="662"/>
        <v>73.8</v>
      </c>
      <c r="W4442" s="2">
        <f>T4442*40%</f>
        <v>24</v>
      </c>
      <c r="X4442" s="5">
        <f t="shared" si="658"/>
        <v>0.6</v>
      </c>
      <c r="Z4442" s="2" t="s">
        <v>118</v>
      </c>
      <c r="AA4442" s="2" t="s">
        <v>191</v>
      </c>
      <c r="AK4442" s="2">
        <f t="shared" si="659"/>
        <v>36</v>
      </c>
      <c r="AL4442" s="5">
        <f t="shared" si="660"/>
        <v>0.6</v>
      </c>
    </row>
    <row r="4443" spans="1:38" x14ac:dyDescent="0.2">
      <c r="A4443" s="2">
        <v>2026</v>
      </c>
      <c r="B4443" s="2">
        <v>7</v>
      </c>
      <c r="C4443" s="2" t="s">
        <v>3444</v>
      </c>
      <c r="D4443" s="23" t="s">
        <v>842</v>
      </c>
      <c r="E4443" s="2" t="s">
        <v>109</v>
      </c>
      <c r="F4443" s="2" t="s">
        <v>843</v>
      </c>
      <c r="G4443" s="2">
        <v>504981285</v>
      </c>
      <c r="H4443" s="2" t="s">
        <v>291</v>
      </c>
      <c r="I4443" s="2" t="s">
        <v>844</v>
      </c>
      <c r="J4443" s="2" t="s">
        <v>845</v>
      </c>
      <c r="K4443" s="2">
        <v>932209225</v>
      </c>
      <c r="L4443" s="2" t="s">
        <v>340</v>
      </c>
      <c r="M4443" s="2" t="s">
        <v>40</v>
      </c>
      <c r="P4443" s="2" t="s">
        <v>188</v>
      </c>
      <c r="Q4443" s="23" t="s">
        <v>192</v>
      </c>
      <c r="R4443" s="23" t="s">
        <v>191</v>
      </c>
      <c r="S4443" s="21">
        <v>2</v>
      </c>
      <c r="T4443" s="22">
        <v>110</v>
      </c>
      <c r="U4443" s="2">
        <f t="shared" si="661"/>
        <v>25.3</v>
      </c>
      <c r="V4443" s="2">
        <f t="shared" si="662"/>
        <v>135.30000000000001</v>
      </c>
      <c r="W4443" s="2">
        <f>T4443*50%</f>
        <v>55</v>
      </c>
      <c r="X4443" s="5">
        <f t="shared" si="658"/>
        <v>0.5</v>
      </c>
      <c r="Z4443" s="2" t="s">
        <v>118</v>
      </c>
      <c r="AA4443" s="2" t="s">
        <v>191</v>
      </c>
      <c r="AK4443" s="2">
        <f t="shared" si="659"/>
        <v>55</v>
      </c>
      <c r="AL4443" s="5">
        <f t="shared" si="660"/>
        <v>0.5</v>
      </c>
    </row>
    <row r="4444" spans="1:38" x14ac:dyDescent="0.2">
      <c r="A4444" s="2">
        <v>2026</v>
      </c>
      <c r="B4444" s="2">
        <v>7</v>
      </c>
      <c r="C4444" s="2" t="s">
        <v>3444</v>
      </c>
      <c r="D4444" s="23" t="s">
        <v>1629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1630</v>
      </c>
      <c r="J4444" s="2" t="s">
        <v>1631</v>
      </c>
      <c r="L4444" s="2" t="s">
        <v>294</v>
      </c>
      <c r="M4444" s="2" t="s">
        <v>81</v>
      </c>
      <c r="P4444" s="2" t="s">
        <v>73</v>
      </c>
      <c r="Q4444" s="23" t="s">
        <v>307</v>
      </c>
      <c r="R4444" s="23" t="s">
        <v>308</v>
      </c>
      <c r="S4444" s="21">
        <v>1</v>
      </c>
      <c r="T4444" s="22">
        <v>230</v>
      </c>
      <c r="U4444" s="2">
        <f t="shared" si="661"/>
        <v>52.900000000000006</v>
      </c>
      <c r="V4444" s="2">
        <f t="shared" si="662"/>
        <v>282.89999999999998</v>
      </c>
      <c r="W4444" s="2">
        <v>134.57</v>
      </c>
      <c r="X4444" s="5">
        <f t="shared" si="658"/>
        <v>0.41491304347826091</v>
      </c>
      <c r="Z4444" s="2" t="s">
        <v>3237</v>
      </c>
      <c r="AA4444" s="2" t="s">
        <v>76</v>
      </c>
      <c r="AB4444" s="2" t="s">
        <v>77</v>
      </c>
      <c r="AC4444" s="2" t="s">
        <v>78</v>
      </c>
      <c r="AK4444" s="2">
        <f t="shared" si="659"/>
        <v>95.43</v>
      </c>
      <c r="AL4444" s="5">
        <f t="shared" si="660"/>
        <v>0.41491304347826091</v>
      </c>
    </row>
    <row r="4445" spans="1:38" x14ac:dyDescent="0.2">
      <c r="A4445" s="2">
        <v>2026</v>
      </c>
      <c r="B4445" s="2">
        <v>7</v>
      </c>
      <c r="C4445" s="2" t="s">
        <v>3444</v>
      </c>
      <c r="D4445" s="23" t="s">
        <v>1629</v>
      </c>
      <c r="E4445" s="2" t="s">
        <v>109</v>
      </c>
      <c r="F4445" s="2" t="s">
        <v>478</v>
      </c>
      <c r="G4445" s="2">
        <v>504161342</v>
      </c>
      <c r="H4445" s="2" t="s">
        <v>291</v>
      </c>
      <c r="I4445" s="2" t="s">
        <v>1630</v>
      </c>
      <c r="J4445" s="2" t="s">
        <v>1631</v>
      </c>
      <c r="L4445" s="2" t="s">
        <v>294</v>
      </c>
      <c r="M4445" s="2" t="s">
        <v>81</v>
      </c>
      <c r="P4445" s="2" t="s">
        <v>94</v>
      </c>
      <c r="Q4445" s="23" t="s">
        <v>95</v>
      </c>
      <c r="R4445" s="23" t="s">
        <v>96</v>
      </c>
      <c r="S4445" s="21">
        <v>1</v>
      </c>
      <c r="T4445" s="22">
        <v>1.48</v>
      </c>
      <c r="U4445" s="2">
        <f t="shared" si="661"/>
        <v>0.34040000000000004</v>
      </c>
      <c r="V4445" s="2">
        <f t="shared" si="662"/>
        <v>1.8204</v>
      </c>
      <c r="W4445" s="2">
        <v>1.48</v>
      </c>
      <c r="X4445" s="5">
        <f t="shared" si="658"/>
        <v>0</v>
      </c>
      <c r="Z4445" s="2" t="s">
        <v>3237</v>
      </c>
      <c r="AA4445" s="2" t="s">
        <v>97</v>
      </c>
      <c r="AB4445" s="2" t="s">
        <v>77</v>
      </c>
      <c r="AC4445" s="2" t="s">
        <v>94</v>
      </c>
      <c r="AK4445" s="2">
        <f t="shared" si="659"/>
        <v>0</v>
      </c>
      <c r="AL4445" s="5">
        <f t="shared" si="660"/>
        <v>0</v>
      </c>
    </row>
  </sheetData>
  <autoFilter ref="A1:AL445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2026-07-21T17:30:35Z</dcterms:modified>
</cp:coreProperties>
</file>