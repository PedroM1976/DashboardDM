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86FCD849-E251-4961-A52B-767BA401D9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Sheet1!$A$1:$AL$4707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675" i="1" l="1"/>
  <c r="AL4675" i="1"/>
  <c r="AK4676" i="1"/>
  <c r="AL4676" i="1"/>
  <c r="AK4677" i="1"/>
  <c r="AL4677" i="1"/>
  <c r="AK4678" i="1"/>
  <c r="AL4678" i="1"/>
  <c r="AK4679" i="1"/>
  <c r="AL4679" i="1"/>
  <c r="AK4680" i="1"/>
  <c r="AL4680" i="1"/>
  <c r="AK4681" i="1"/>
  <c r="AL4681" i="1"/>
  <c r="AK4682" i="1"/>
  <c r="AL4682" i="1"/>
  <c r="AK4683" i="1"/>
  <c r="AL4683" i="1"/>
  <c r="AK4684" i="1"/>
  <c r="AL4684" i="1"/>
  <c r="AK4685" i="1"/>
  <c r="AL4685" i="1"/>
  <c r="AK4686" i="1"/>
  <c r="AL4686" i="1"/>
  <c r="AK4687" i="1"/>
  <c r="AL4687" i="1"/>
  <c r="AK4688" i="1"/>
  <c r="AL4688" i="1"/>
  <c r="AK4689" i="1"/>
  <c r="AL4689" i="1"/>
  <c r="AK4690" i="1"/>
  <c r="AL4690" i="1"/>
  <c r="AK4691" i="1"/>
  <c r="AL4691" i="1"/>
  <c r="AK4692" i="1"/>
  <c r="AL4692" i="1"/>
  <c r="AK4693" i="1"/>
  <c r="AL4693" i="1"/>
  <c r="AK4694" i="1"/>
  <c r="AL4694" i="1"/>
  <c r="AK4695" i="1"/>
  <c r="AL4695" i="1"/>
  <c r="AK4696" i="1"/>
  <c r="AL4696" i="1"/>
  <c r="AK4697" i="1"/>
  <c r="AL4697" i="1"/>
  <c r="AK4698" i="1"/>
  <c r="AL4698" i="1"/>
  <c r="AK4699" i="1"/>
  <c r="AL4699" i="1"/>
  <c r="AK4700" i="1"/>
  <c r="AL4700" i="1"/>
  <c r="AK4701" i="1"/>
  <c r="AL4701" i="1"/>
  <c r="AK4702" i="1"/>
  <c r="AL4702" i="1"/>
  <c r="AK4703" i="1"/>
  <c r="AL4703" i="1"/>
  <c r="AK4704" i="1"/>
  <c r="AL4704" i="1"/>
  <c r="AK4705" i="1"/>
  <c r="AL4705" i="1"/>
  <c r="AK4706" i="1"/>
  <c r="AL4706" i="1"/>
  <c r="AL3534" i="1"/>
  <c r="X3534" i="1"/>
  <c r="W4694" i="1"/>
  <c r="X4694" i="1" s="1"/>
  <c r="W4693" i="1"/>
  <c r="W4692" i="1"/>
  <c r="X4692" i="1" s="1"/>
  <c r="W4691" i="1"/>
  <c r="W4687" i="1"/>
  <c r="W4705" i="1"/>
  <c r="W4704" i="1"/>
  <c r="X4704" i="1" s="1"/>
  <c r="W4706" i="1"/>
  <c r="W4701" i="1"/>
  <c r="AF4677" i="1"/>
  <c r="W4676" i="1"/>
  <c r="X4676" i="1" s="1"/>
  <c r="W4675" i="1"/>
  <c r="X4675" i="1" s="1"/>
  <c r="W4703" i="1"/>
  <c r="X4703" i="1" s="1"/>
  <c r="W4698" i="1"/>
  <c r="X4698" i="1" s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3" i="1"/>
  <c r="X4695" i="1"/>
  <c r="X4696" i="1"/>
  <c r="X4697" i="1"/>
  <c r="X4699" i="1"/>
  <c r="X4700" i="1"/>
  <c r="X4701" i="1"/>
  <c r="X4702" i="1"/>
  <c r="X4706" i="1"/>
  <c r="X4707" i="1"/>
  <c r="U4676" i="1"/>
  <c r="V4676" i="1" s="1"/>
  <c r="U4677" i="1"/>
  <c r="V4677" i="1" s="1"/>
  <c r="U4678" i="1"/>
  <c r="V4678" i="1" s="1"/>
  <c r="U4679" i="1"/>
  <c r="V4679" i="1" s="1"/>
  <c r="U4680" i="1"/>
  <c r="V4680" i="1" s="1"/>
  <c r="U4681" i="1"/>
  <c r="V4681" i="1" s="1"/>
  <c r="U4682" i="1"/>
  <c r="V4682" i="1" s="1"/>
  <c r="U4683" i="1"/>
  <c r="V4683" i="1" s="1"/>
  <c r="U4684" i="1"/>
  <c r="V4684" i="1" s="1"/>
  <c r="U4685" i="1"/>
  <c r="V4685" i="1" s="1"/>
  <c r="U4686" i="1"/>
  <c r="V4686" i="1" s="1"/>
  <c r="U4687" i="1"/>
  <c r="V4687" i="1" s="1"/>
  <c r="U4688" i="1"/>
  <c r="V4688" i="1" s="1"/>
  <c r="U4689" i="1"/>
  <c r="V4689" i="1" s="1"/>
  <c r="U4690" i="1"/>
  <c r="V4690" i="1" s="1"/>
  <c r="U4691" i="1"/>
  <c r="V4691" i="1" s="1"/>
  <c r="U4692" i="1"/>
  <c r="V4692" i="1" s="1"/>
  <c r="U4693" i="1"/>
  <c r="V4693" i="1" s="1"/>
  <c r="U4694" i="1"/>
  <c r="V4694" i="1" s="1"/>
  <c r="U4695" i="1"/>
  <c r="V4695" i="1" s="1"/>
  <c r="U4696" i="1"/>
  <c r="V4696" i="1" s="1"/>
  <c r="U4697" i="1"/>
  <c r="V4697" i="1" s="1"/>
  <c r="U4698" i="1"/>
  <c r="V4698" i="1" s="1"/>
  <c r="U4699" i="1"/>
  <c r="V4699" i="1" s="1"/>
  <c r="U4700" i="1"/>
  <c r="V4700" i="1" s="1"/>
  <c r="U4701" i="1"/>
  <c r="V4701" i="1" s="1"/>
  <c r="U4702" i="1"/>
  <c r="V4702" i="1" s="1"/>
  <c r="U4703" i="1"/>
  <c r="V4703" i="1" s="1"/>
  <c r="U4704" i="1"/>
  <c r="V4704" i="1" s="1"/>
  <c r="U4705" i="1"/>
  <c r="V4705" i="1" s="1"/>
  <c r="U4706" i="1"/>
  <c r="V4706" i="1" s="1"/>
  <c r="U4707" i="1"/>
  <c r="V4707" i="1" s="1"/>
  <c r="U4675" i="1"/>
  <c r="V4675" i="1" s="1"/>
  <c r="W2751" i="1"/>
  <c r="AK2751" i="1" s="1"/>
  <c r="W4669" i="1"/>
  <c r="X4669" i="1" s="1"/>
  <c r="W4668" i="1"/>
  <c r="X4668" i="1" s="1"/>
  <c r="W4667" i="1"/>
  <c r="AK4667" i="1" s="1"/>
  <c r="W4653" i="1"/>
  <c r="AK4653" i="1" s="1"/>
  <c r="AK4666" i="1"/>
  <c r="AL4666" i="1"/>
  <c r="AK4670" i="1"/>
  <c r="AL4670" i="1"/>
  <c r="AK4671" i="1"/>
  <c r="AL4671" i="1"/>
  <c r="AK4672" i="1"/>
  <c r="AL4672" i="1"/>
  <c r="W4674" i="1"/>
  <c r="AL4674" i="1" s="1"/>
  <c r="W4673" i="1"/>
  <c r="X4673" i="1" s="1"/>
  <c r="X4666" i="1"/>
  <c r="X4670" i="1"/>
  <c r="X4671" i="1"/>
  <c r="X4672" i="1"/>
  <c r="U4667" i="1"/>
  <c r="V4667" i="1" s="1"/>
  <c r="U4668" i="1"/>
  <c r="V4668" i="1" s="1"/>
  <c r="U4669" i="1"/>
  <c r="V4669" i="1" s="1"/>
  <c r="U4670" i="1"/>
  <c r="V4670" i="1" s="1"/>
  <c r="U4671" i="1"/>
  <c r="V4671" i="1" s="1"/>
  <c r="U4672" i="1"/>
  <c r="V4672" i="1" s="1"/>
  <c r="U4673" i="1"/>
  <c r="V4673" i="1" s="1"/>
  <c r="U4674" i="1"/>
  <c r="V4674" i="1" s="1"/>
  <c r="U4666" i="1"/>
  <c r="V4666" i="1" s="1"/>
  <c r="W4654" i="1"/>
  <c r="AK4654" i="1" s="1"/>
  <c r="W4663" i="1"/>
  <c r="X4663" i="1" s="1"/>
  <c r="W4665" i="1"/>
  <c r="AL4665" i="1" s="1"/>
  <c r="W4662" i="1"/>
  <c r="W4661" i="1"/>
  <c r="W4656" i="1"/>
  <c r="X4656" i="1" s="1"/>
  <c r="W4660" i="1"/>
  <c r="X4660" i="1" s="1"/>
  <c r="X4655" i="1"/>
  <c r="X4657" i="1"/>
  <c r="X4658" i="1"/>
  <c r="X4659" i="1"/>
  <c r="X4661" i="1"/>
  <c r="X4662" i="1"/>
  <c r="X4664" i="1"/>
  <c r="AK4655" i="1"/>
  <c r="AL4655" i="1"/>
  <c r="AK4657" i="1"/>
  <c r="AL4657" i="1"/>
  <c r="AK4658" i="1"/>
  <c r="AL4658" i="1"/>
  <c r="AK4659" i="1"/>
  <c r="AL4659" i="1"/>
  <c r="AK4661" i="1"/>
  <c r="AL4661" i="1"/>
  <c r="AK4662" i="1"/>
  <c r="AL4662" i="1"/>
  <c r="AK4663" i="1"/>
  <c r="AL4663" i="1"/>
  <c r="AK4664" i="1"/>
  <c r="AL4664" i="1"/>
  <c r="U4654" i="1"/>
  <c r="V4654" i="1" s="1"/>
  <c r="U4655" i="1"/>
  <c r="V4655" i="1" s="1"/>
  <c r="U4656" i="1"/>
  <c r="V4656" i="1" s="1"/>
  <c r="U4657" i="1"/>
  <c r="V4657" i="1" s="1"/>
  <c r="U4658" i="1"/>
  <c r="V4658" i="1" s="1"/>
  <c r="U4659" i="1"/>
  <c r="V4659" i="1" s="1"/>
  <c r="U4660" i="1"/>
  <c r="V4660" i="1" s="1"/>
  <c r="U4661" i="1"/>
  <c r="V4661" i="1" s="1"/>
  <c r="U4662" i="1"/>
  <c r="V4662" i="1" s="1"/>
  <c r="U4663" i="1"/>
  <c r="V4663" i="1" s="1"/>
  <c r="U4664" i="1"/>
  <c r="V4664" i="1" s="1"/>
  <c r="U4665" i="1"/>
  <c r="V4665" i="1" s="1"/>
  <c r="U4653" i="1"/>
  <c r="V4653" i="1" s="1"/>
  <c r="W4643" i="1"/>
  <c r="X4643" i="1" s="1"/>
  <c r="AL4651" i="1"/>
  <c r="AL4652" i="1"/>
  <c r="AK4641" i="1"/>
  <c r="AL4641" i="1"/>
  <c r="AK4642" i="1"/>
  <c r="AL4642" i="1"/>
  <c r="AK4644" i="1"/>
  <c r="AL4644" i="1"/>
  <c r="AK4645" i="1"/>
  <c r="AL4645" i="1"/>
  <c r="AK4646" i="1"/>
  <c r="AL4646" i="1"/>
  <c r="AK4647" i="1"/>
  <c r="AL4647" i="1"/>
  <c r="AK4648" i="1"/>
  <c r="AL4648" i="1"/>
  <c r="AK4649" i="1"/>
  <c r="AK4650" i="1"/>
  <c r="AK4651" i="1"/>
  <c r="AK4652" i="1"/>
  <c r="X4639" i="1"/>
  <c r="X4640" i="1"/>
  <c r="X4641" i="1"/>
  <c r="X4642" i="1"/>
  <c r="X4644" i="1"/>
  <c r="X4645" i="1"/>
  <c r="X4646" i="1"/>
  <c r="X4647" i="1"/>
  <c r="X4648" i="1"/>
  <c r="X4651" i="1"/>
  <c r="X4652" i="1"/>
  <c r="W4650" i="1"/>
  <c r="W4649" i="1"/>
  <c r="U4642" i="1"/>
  <c r="V4642" i="1" s="1"/>
  <c r="U4643" i="1"/>
  <c r="V4643" i="1" s="1"/>
  <c r="U4644" i="1"/>
  <c r="V4644" i="1" s="1"/>
  <c r="U4645" i="1"/>
  <c r="V4645" i="1" s="1"/>
  <c r="U4646" i="1"/>
  <c r="V4646" i="1" s="1"/>
  <c r="U4647" i="1"/>
  <c r="V4647" i="1" s="1"/>
  <c r="U4648" i="1"/>
  <c r="V4648" i="1" s="1"/>
  <c r="U4649" i="1"/>
  <c r="V4649" i="1" s="1"/>
  <c r="U4650" i="1"/>
  <c r="V4650" i="1" s="1"/>
  <c r="U4651" i="1"/>
  <c r="V4651" i="1" s="1"/>
  <c r="U4652" i="1"/>
  <c r="V4652" i="1" s="1"/>
  <c r="U4641" i="1"/>
  <c r="V4641" i="1" s="1"/>
  <c r="AL4640" i="1"/>
  <c r="AK4640" i="1"/>
  <c r="AL4639" i="1"/>
  <c r="AK4639" i="1"/>
  <c r="U4640" i="1"/>
  <c r="V4640" i="1" s="1"/>
  <c r="U4639" i="1"/>
  <c r="V4639" i="1" s="1"/>
  <c r="W4624" i="1"/>
  <c r="AK4624" i="1" s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3" i="1"/>
  <c r="AL4623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L4634" i="1"/>
  <c r="AK4635" i="1"/>
  <c r="AL4635" i="1"/>
  <c r="AK4636" i="1"/>
  <c r="AL4636" i="1"/>
  <c r="AK4637" i="1"/>
  <c r="AL4637" i="1"/>
  <c r="AK4638" i="1"/>
  <c r="AL4638" i="1"/>
  <c r="W4637" i="1"/>
  <c r="X4637" i="1" s="1"/>
  <c r="W4636" i="1"/>
  <c r="X4620" i="1"/>
  <c r="X4621" i="1"/>
  <c r="X4623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37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L3839" i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K3534" i="1"/>
  <c r="AJ3534" i="1"/>
  <c r="AF3534" i="1" s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J2751" i="1"/>
  <c r="AF2751" i="1" s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705" i="1" l="1"/>
  <c r="AL2751" i="1"/>
  <c r="X2751" i="1"/>
  <c r="AL4668" i="1"/>
  <c r="X4653" i="1"/>
  <c r="AK4669" i="1"/>
  <c r="X4667" i="1"/>
  <c r="AK4668" i="1"/>
  <c r="AL4667" i="1"/>
  <c r="AL4653" i="1"/>
  <c r="AL4669" i="1"/>
  <c r="X2928" i="1"/>
  <c r="AL4673" i="1"/>
  <c r="AK4674" i="1"/>
  <c r="AK4673" i="1"/>
  <c r="X4674" i="1"/>
  <c r="X4654" i="1"/>
  <c r="AL4654" i="1"/>
  <c r="AL4660" i="1"/>
  <c r="AK4665" i="1"/>
  <c r="AK4660" i="1"/>
  <c r="X4665" i="1"/>
  <c r="AK4656" i="1"/>
  <c r="AL4656" i="1"/>
  <c r="AL4643" i="1"/>
  <c r="AK4643" i="1"/>
  <c r="X4626" i="1"/>
  <c r="X4624" i="1"/>
  <c r="AL4624" i="1"/>
  <c r="AK4622" i="1"/>
  <c r="AL4622" i="1"/>
  <c r="X4625" i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<sst xmlns="http://schemas.openxmlformats.org/spreadsheetml/2006/main" count="63946" uniqueCount="3555">
  <si>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</si>
  <si>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</si>
  <si>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</si>
  <si>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</si>
  <si>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</si>
  <si>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</si>
  <si>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</si>
  <si>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</si>
  <si>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</si>
  <si>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</si>
  <si>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</si>
  <si>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</si>
  <si>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</si>
  <si>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</si>
  <si>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</si>
  <si>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</si>
  <si>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</si>
  <si>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</si>
  <si>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</si>
  <si>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</si>
  <si>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</si>
  <si>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</si>
  <si>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</si>
  <si>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</si>
  <si>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</si>
  <si>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</si>
  <si>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</si>
  <si>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</si>
  <si>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</si>
  <si>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</si>
  <si>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</si>
  <si>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</si>
  <si>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</si>
  <si>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</si>
  <si>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</si>
  <si>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</si>
  <si>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</si>
  <si>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</si>
  <si>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</si>
  <si>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</si>
  <si>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</si>
  <si>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</si>
  <si>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</si>
  <si>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</si>
  <si>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</si>
  <si>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</si>
  <si>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</si>
  <si>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</si>
  <si>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</si>
  <si>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</si>
  <si>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</si>
  <si>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</si>
  <si>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</si>
  <si>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</si>
  <si>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</si>
  <si>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</si>
  <si>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</si>
  <si>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</si>
  <si>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</si>
  <si>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</si>
  <si>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</si>
  <si>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</si>
  <si>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</si>
  <si>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</si>
  <si>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</si>
  <si>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</si>
  <si>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</si>
  <si>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</si>
  <si>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</si>
  <si>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</si>
  <si>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</si>
  <si>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</si>
  <si>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</si>
  <si>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</si>
  <si>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</si>
  <si>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</si>
  <si>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</si>
  <si>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</si>
  <si>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</si>
  <si>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</si>
  <si>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</si>
  <si>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</si>
  <si>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</si>
  <si>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</si>
  <si>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</si>
  <si>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</si>
  <si>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</si>
  <si>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</si>
  <si>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</si>
  <si>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</si>
  <si>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</si>
  <si>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</si>
  <si>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</si>
  <si>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</si>
  <si>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</si>
  <si>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</si>
  <si>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</si>
  <si>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</si>
  <si>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</si>
  <si>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</si>
  <si>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</si>
  <si>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</si>
  <si>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</si>
  <si>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</si>
  <si>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</si>
  <si>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</si>
  <si>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</si>
  <si>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</si>
  <si>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</si>
  <si>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</si>
  <si>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</si>
  <si>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</si>
  <si>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</si>
  <si>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</si>
  <si>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</si>
  <si>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</si>
  <si>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</si>
  <si>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</si>
  <si>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</si>
  <si>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</si>
  <si>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</si>
  <si>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</si>
  <si>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</si>
  <si>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</si>
  <si>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</si>
  <si>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</si>
  <si>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</si>
  <si>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</si>
  <si>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</si>
  <si>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</si>
  <si>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</si>
  <si>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</si>
  <si>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</si>
  <si>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</si>
  <si>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</si>
  <si>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</si>
  <si>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</si>
  <si>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</si>
  <si>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</si>
  <si>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</si>
  <si>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</si>
  <si>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</si>
  <si>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</si>
  <si>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</si>
  <si>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</si>
  <si>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</si>
  <si>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</si>
  <si>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</si>
  <si>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</si>
  <si>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</si>
  <si>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</si>
  <si>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</si>
  <si>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</si>
  <si>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</si>
  <si>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</si>
  <si>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</si>
  <si>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</si>
  <si>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</si>
  <si>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</si>
  <si>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</si>
  <si>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</si>
  <si>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</si>
  <si>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</si>
  <si>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</si>
  <si>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</si>
  <si>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</si>
  <si>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</si>
  <si>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</si>
  <si>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</si>
  <si>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</si>
  <si>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</si>
  <si>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</si>
  <si>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</si>
  <si>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</si>
  <si>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</si>
  <si>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</si>
  <si>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</si>
  <si>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</si>
  <si>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</si>
  <si>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</si>
  <si>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</si>
  <si>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</si>
  <si>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</si>
  <si>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</si>
  <si>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</si>
  <si>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</si>
  <si>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</si>
  <si>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</si>
  <si>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</si>
  <si>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</si>
  <si>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</si>
  <si>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</si>
  <si>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</si>
  <si>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</si>
  <si>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</si>
  <si>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</si>
  <si>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</si>
  <si>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</si>
  <si>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</si>
  <si>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</si>
  <si>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</si>
  <si>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</si>
  <si>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</si>
  <si>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</si>
  <si>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</si>
  <si>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</si>
  <si>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</si>
  <si>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</si>
  <si>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</si>
  <si>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</si>
  <si>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</si>
  <si>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</si>
  <si>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</si>
  <si>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</si>
  <si>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</si>
  <si>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</si>
  <si>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</si>
  <si>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</si>
  <si>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</si>
  <si>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</si>
  <si>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</si>
  <si>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</si>
  <si>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</si>
  <si>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</si>
  <si>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</si>
  <si>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</si>
  <si>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</si>
  <si>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</si>
  <si>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</si>
  <si>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</si>
  <si>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</si>
  <si>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</si>
  <si>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</si>
  <si>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</si>
  <si>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</si>
  <si>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</si>
  <si>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</si>
  <si>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</si>
  <si>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</si>
  <si>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</si>
  <si>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</si>
  <si>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</si>
  <si>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</si>
  <si>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</si>
  <si>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</si>
  <si>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</si>
  <si>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</si>
  <si>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</si>
  <si>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</si>
  <si>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</si>
  <si>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</si>
  <si>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</si>
  <si>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</si>
  <si>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</si>
  <si>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</si>
  <si>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</si>
  <si>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</si>
  <si>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</si>
  <si>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</si>
  <si>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</si>
  <si>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</si>
  <si>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</si>
  <si>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</si>
  <si>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</si>
  <si>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</si>
  <si>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</si>
  <si>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</si>
  <si>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</si>
  <si>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</si>
  <si>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</si>
  <si>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</si>
  <si>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</si>
  <si>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</si>
  <si>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</si>
  <si>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</si>
  <si>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</si>
  <si>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</si>
  <si>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</si>
  <si>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</si>
  <si>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</si>
  <si>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</si>
  <si>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</si>
  <si>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</si>
  <si>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</si>
  <si>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</si>
  <si>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</si>
  <si>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</si>
  <si>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</si>
  <si>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</si>
  <si>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</si>
  <si>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</si>
  <si>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</si>
  <si>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</si>
  <si>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</si>
  <si>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</si>
  <si>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</si>
  <si>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</si>
  <si>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</si>
  <si>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</si>
  <si>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</si>
  <si>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</si>
  <si>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</si>
  <si>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</si>
  <si>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</si>
  <si>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</si>
  <si>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</si>
  <si>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</si>
  <si>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</si>
  <si>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</si>
  <si>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</si>
  <si>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</si>
  <si>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</si>
  <si>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</si>
  <si>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</si>
  <si>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</si>
  <si>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</si>
  <si>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</si>
  <si>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</si>
  <si>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</si>
  <si>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</si>
  <si>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</si>
  <si>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</si>
  <si>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</si>
  <si>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</si>
  <si>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</si>
  <si>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</si>
  <si>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</si>
  <si>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</si>
  <si>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</si>
  <si>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</si>
  <si>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</si>
  <si>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</si>
  <si>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</si>
  <si>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</si>
  <si>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</si>
  <si>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</si>
  <si>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</si>
  <si>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</si>
  <si>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</si>
  <si>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</si>
  <si>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</si>
  <si>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</si>
  <si>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</si>
  <si>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</si>
  <si>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</si>
  <si>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</si>
  <si>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</si>
  <si>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</si>
  <si>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</si>
  <si>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</si>
  <si>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</si>
  <si>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</si>
  <si>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</si>
  <si>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</si>
  <si>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</si>
  <si>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</si>
  <si>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</si>
  <si>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</si>
  <si>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</si>
  <si>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</si>
  <si>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</si>
  <si>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</si>
  <si>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</si>
  <si>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</si>
  <si>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</si>
  <si>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</si>
  <si>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</si>
  <si>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</si>
  <si>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</si>
  <si>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</si>
  <si>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</si>
  <si>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</si>
  <si>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</si>
  <si>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</si>
  <si>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</si>
  <si>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</si>
  <si>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</si>
  <si>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</si>
  <si>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</si>
  <si>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</si>
  <si>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</si>
  <si>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</si>
  <si>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</si>
  <si>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</si>
  <si>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</si>
  <si>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</si>
  <si>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</si>
  <si>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</si>
  <si>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</si>
  <si>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</si>
  <si>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</si>
  <si>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</si>
  <si>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</si>
  <si>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</si>
  <si>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</si>
  <si>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</si>
  <si>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</si>
  <si>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</si>
  <si>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</si>
  <si>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</si>
  <si>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</si>
  <si>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</si>
  <si>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</si>
  <si>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</si>
  <si>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</si>
  <si>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</si>
  <si>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</si>
  <si>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</si>
  <si>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</si>
  <si>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</si>
  <si>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</si>
  <si>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</si>
  <si>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</si>
  <si>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</si>
  <si>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</si>
  <si>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</si>
  <si>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</si>
  <si>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</si>
  <si>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</si>
  <si>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</si>
  <si>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</si>
  <si>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</si>
  <si>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</si>
  <si>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</si>
  <si>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</si>
  <si>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</si>
  <si>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</si>
  <si>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</si>
  <si>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</si>
  <si>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</si>
  <si>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</si>
  <si>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</si>
  <si>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</si>
  <si>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</si>
  <si>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</si>
  <si>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</si>
  <si>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</si>
  <si>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</si>
  <si>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</si>
  <si>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</si>
  <si>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</si>
  <si>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</si>
  <si>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</si>
  <si>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</si>
  <si>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</si>
  <si>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</si>
  <si>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</si>
  <si>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</si>
  <si>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</si>
  <si>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</si>
  <si>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</si>
  <si>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</si>
  <si>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</si>
  <si>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</si>
  <si>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</si>
  <si>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</si>
  <si>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</si>
  <si>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</si>
  <si>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</si>
  <si>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</si>
  <si>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</si>
  <si>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</si>
  <si>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</si>
  <si>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</si>
  <si>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</si>
  <si>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</si>
  <si>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</si>
  <si>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</si>
  <si>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</si>
  <si>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</si>
  <si>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</si>
  <si>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</si>
  <si>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</si>
  <si>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</si>
  <si>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</si>
  <si>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</si>
  <si>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</si>
  <si>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</si>
  <si>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</si>
  <si>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</si>
  <si>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</si>
  <si>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</si>
  <si>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</si>
  <si>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</si>
  <si>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</si>
  <si>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</si>
  <si>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</si>
  <si>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</si>
  <si>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</si>
  <si>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</si>
  <si>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</si>
  <si>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</si>
  <si>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</si>
  <si>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</si>
  <si>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</si>
  <si>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</si>
  <si>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</si>
  <si>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</si>
  <si>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</si>
  <si>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</si>
  <si>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</si>
  <si>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</si>
  <si>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</si>
  <si>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</si>
  <si>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</si>
  <si>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</si>
  <si>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</si>
  <si>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</si>
  <si>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</si>
  <si>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</si>
  <si>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</si>
  <si>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</si>
  <si>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</si>
  <si>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</si>
  <si>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</si>
  <si>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</si>
  <si>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</si>
  <si>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</si>
  <si>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</si>
  <si>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</si>
  <si>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</si>
  <si>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</si>
  <si>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</si>
  <si>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</si>
  <si>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</si>
  <si>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</si>
  <si>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</si>
  <si>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</si>
  <si>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</si>
  <si>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</si>
  <si>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</si>
  <si>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</si>
  <si>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</si>
  <si>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</si>
  <si>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</si>
  <si>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</si>
  <si>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</si>
  <si>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</si>
  <si>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</si>
  <si>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</si>
  <si>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</si>
  <si>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</si>
  <si>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</si>
  <si>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</si>
  <si>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</si>
  <si>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</si>
  <si>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</si>
  <si>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</si>
  <si>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</si>
  <si>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</si>
  <si>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</si>
  <si>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</si>
  <si>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</si>
  <si>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</si>
  <si>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</si>
  <si>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</si>
  <si>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</si>
  <si>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</si>
  <si>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</si>
  <si>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</si>
  <si>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</si>
  <si>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</si>
  <si>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</si>
  <si>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</si>
  <si>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</si>
  <si>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</si>
  <si>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</si>
  <si>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</si>
  <si>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</si>
  <si>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</si>
  <si>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</si>
  <si>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</si>
  <si>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</si>
  <si>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</si>
  <si>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</si>
  <si>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</si>
  <si>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</si>
  <si>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</si>
  <si>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</si>
  <si>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</si>
  <si>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</si>
  <si>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</si>
  <si>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</si>
  <si>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</si>
  <si>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</si>
  <si>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</si>
  <si>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</si>
  <si>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</si>
  <si>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</si>
  <si>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</si>
  <si>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</si>
  <si>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</si>
  <si>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</si>
  <si>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</si>
  <si>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</si>
  <si>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</si>
  <si>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</si>
  <si>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</si>
  <si>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</si>
  <si>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</si>
  <si>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</si>
  <si>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</si>
  <si>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</si>
  <si>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</si>
  <si>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</si>
  <si>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</si>
  <si>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</si>
  <si>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</si>
  <si>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</si>
  <si>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</si>
  <si>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</si>
  <si>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</si>
  <si>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</si>
  <si>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</si>
  <si>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</si>
  <si>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</si>
  <si>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</si>
  <si>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</si>
  <si>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</si>
  <si>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</si>
  <si>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</si>
  <si>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</si>
  <si>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</si>
  <si>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</si>
  <si>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</si>
  <si>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</si>
  <si>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</si>
  <si>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</si>
  <si>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</si>
  <si>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</si>
  <si>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</si>
  <si>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</si>
  <si>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</si>
  <si>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</si>
  <si>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</si>
  <si>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</si>
  <si>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</si>
  <si>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</si>
  <si>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</si>
  <si>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</si>
  <si>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</si>
  <si>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</si>
  <si>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</si>
  <si>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</si>
  <si>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</si>
  <si>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</si>
  <si>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</si>
  <si>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</si>
  <si>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</si>
  <si>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</si>
  <si>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</si>
  <si>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</si>
  <si>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</si>
  <si>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</si>
  <si>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</si>
  <si>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</si>
  <si>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</si>
  <si>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</si>
  <si>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</si>
  <si>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</si>
  <si>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</si>
  <si>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</si>
  <si>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</si>
  <si>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</si>
  <si>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</si>
  <si>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</si>
  <si>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</si>
  <si>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</si>
  <si>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</si>
  <si>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</si>
  <si>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</si>
  <si>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</si>
  <si>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</si>
  <si>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</si>
  <si>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</si>
  <si>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</si>
  <si>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</si>
  <si>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</si>
  <si>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</si>
  <si>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</si>
  <si>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</si>
  <si>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</si>
  <si>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</si>
  <si>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</si>
  <si>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</si>
  <si>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</si>
  <si>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</si>
  <si>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</si>
  <si>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</si>
  <si>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</si>
  <si>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</si>
  <si>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</si>
  <si>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</si>
  <si>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</si>
  <si>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</si>
  <si>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</si>
  <si>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</si>
  <si>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</si>
  <si>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</si>
  <si>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</si>
  <si>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</si>
  <si>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</si>
  <si>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</si>
  <si>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</si>
  <si>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</si>
  <si>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</si>
  <si>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</si>
  <si>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</si>
  <si>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</si>
  <si>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</si>
  <si>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</si>
  <si>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</si>
  <si>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</si>
  <si>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</si>
  <si>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</si>
  <si>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</si>
  <si>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</si>
  <si>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</si>
  <si>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</si>
  <si>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</si>
  <si>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</si>
  <si>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</si>
  <si>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</si>
  <si>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</si>
  <si>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</si>
  <si>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</si>
  <si>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</si>
  <si>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</si>
  <si>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</si>
  <si>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</si>
  <si>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</si>
  <si>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</si>
  <si>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</si>
  <si>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</si>
  <si>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</si>
  <si>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</si>
  <si>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</si>
  <si>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</si>
  <si>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</si>
  <si>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</si>
  <si>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</si>
  <si>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</si>
  <si>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</si>
  <si>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</si>
  <si>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</si>
  <si>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</si>
  <si>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</si>
  <si>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</si>
  <si>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</si>
  <si>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</si>
  <si>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</si>
  <si>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</si>
  <si>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</si>
  <si>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</si>
  <si>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</si>
  <si>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</si>
  <si>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</si>
  <si>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</si>
  <si>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</si>
  <si>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</si>
  <si>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</si>
  <si>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</si>
  <si>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</si>
  <si>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</si>
  <si>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</si>
  <si>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</si>
  <si>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</si>
  <si>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</si>
  <si>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</si>
  <si>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</si>
  <si>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</si>
  <si>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</si>
  <si>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</si>
  <si>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</si>
  <si>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</si>
  <si>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</si>
  <si>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</si>
  <si>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</si>
  <si>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</si>
  <si>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</si>
  <si>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</si>
  <si>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</si>
  <si>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</si>
  <si>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</si>
  <si>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</si>
  <si>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</si>
  <si>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</si>
  <si>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</si>
  <si>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</si>
  <si>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</si>
  <si>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</si>
  <si>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</si>
  <si>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</si>
  <si>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</si>
  <si>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</si>
  <si>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</si>
  <si>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</si>
  <si>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</si>
  <si>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</si>
  <si>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</si>
  <si>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</si>
  <si>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</si>
  <si>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</si>
  <si>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</si>
  <si>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</si>
  <si>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</si>
  <si>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</si>
  <si>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</si>
  <si>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</si>
  <si>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</si>
  <si>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</si>
  <si>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</si>
  <si>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</si>
  <si>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</si>
  <si>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</si>
  <si>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</si>
  <si>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</si>
  <si>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</si>
  <si>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</si>
  <si>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</si>
  <si>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</si>
  <si>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</si>
  <si>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</si>
  <si>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</si>
  <si>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</si>
  <si>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</si>
  <si>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</si>
  <si>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</si>
  <si>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</si>
  <si>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</si>
  <si>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</si>
  <si>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</si>
  <si>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</si>
  <si>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</si>
  <si>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</si>
  <si>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</si>
  <si>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</si>
  <si>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</si>
  <si>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</si>
  <si>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</si>
  <si>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</si>
  <si>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</si>
  <si>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</si>
  <si>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</si>
  <si>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</si>
  <si>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</si>
  <si>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</si>
  <si>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</si>
  <si>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</si>
  <si>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</si>
  <si>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</si>
  <si>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</si>
  <si>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</si>
  <si>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</si>
  <si>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</si>
  <si>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</si>
  <si>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</si>
  <si>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</si>
  <si>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</si>
  <si>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</si>
  <si>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</si>
  <si>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</si>
  <si>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</si>
  <si>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</si>
  <si>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</si>
  <si>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</si>
  <si>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</si>
  <si>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</si>
  <si>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</si>
  <si>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</si>
  <si>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</si>
  <si>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</si>
  <si>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</si>
  <si>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</si>
  <si>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</si>
  <si>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</si>
  <si>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</si>
  <si>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</si>
  <si>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</si>
  <si>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</si>
  <si>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</si>
  <si>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</si>
  <si>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</si>
  <si>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</si>
  <si>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</si>
  <si>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</si>
  <si>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</si>
  <si>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</si>
  <si>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</si>
  <si>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</si>
  <si>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</si>
  <si>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</si>
  <si>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</si>
  <si>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</si>
  <si>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</si>
  <si>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</si>
  <si>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</si>
  <si>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</si>
  <si>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</si>
  <si>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</si>
  <si>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</si>
  <si>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</si>
  <si>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</si>
  <si>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</si>
  <si>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</si>
  <si>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</si>
  <si>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</si>
  <si>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</si>
  <si>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</si>
  <si>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</si>
  <si>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</si>
  <si>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</si>
  <si>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</si>
  <si>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</si>
  <si>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</si>
  <si>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</si>
  <si>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</si>
  <si>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</si>
  <si>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</si>
  <si>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</si>
  <si>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</si>
  <si>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</si>
  <si>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</si>
  <si>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</si>
  <si>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</si>
  <si>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</si>
  <si>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</si>
  <si>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</si>
  <si>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</si>
  <si>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</si>
  <si>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</si>
  <si>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</si>
  <si>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</si>
  <si>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</si>
  <si>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</si>
  <si>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</si>
  <si>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</si>
  <si>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</si>
  <si>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</si>
  <si>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</si>
  <si>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</si>
  <si>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</si>
  <si>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</si>
  <si>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</si>
  <si>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</si>
  <si>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</si>
  <si>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</si>
  <si>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</si>
  <si>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</si>
  <si>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</si>
  <si>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</si>
  <si>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</si>
  <si>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</si>
  <si>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</si>
  <si>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</si>
  <si>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</si>
  <si>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</si>
  <si>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</si>
  <si>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</si>
  <si>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</si>
  <si>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</si>
  <si>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</si>
  <si>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</si>
  <si>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</si>
  <si>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</si>
  <si>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</si>
  <si>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</si>
  <si>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</si>
  <si>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</si>
  <si>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</si>
  <si>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</si>
  <si>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</si>
  <si>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</si>
  <si>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</si>
  <si>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</si>
  <si>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</si>
  <si>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</si>
  <si>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</si>
  <si>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</si>
  <si>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</si>
  <si>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</si>
  <si>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</si>
  <si>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</si>
  <si>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</si>
  <si>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</si>
  <si>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</si>
  <si>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</si>
  <si>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</si>
  <si>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</si>
  <si>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</si>
  <si>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</si>
  <si>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</si>
  <si>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</si>
  <si>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</si>
  <si>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</si>
  <si>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</si>
  <si>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</si>
  <si>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</si>
  <si>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</si>
  <si>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</si>
  <si>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</si>
  <si>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</si>
  <si>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</si>
  <si>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</si>
  <si>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</si>
  <si>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</si>
  <si>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</si>
  <si>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</si>
  <si>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</si>
  <si>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</si>
  <si>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</si>
  <si>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</si>
  <si>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</si>
  <si>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</si>
  <si>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</si>
  <si>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</si>
  <si>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</si>
  <si>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</si>
  <si>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</si>
  <si>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</si>
  <si>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</si>
  <si>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</si>
  <si>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</si>
  <si>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</si>
  <si>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</si>
  <si>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</si>
  <si>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</si>
  <si>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</si>
  <si>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</si>
  <si>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</si>
  <si>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</si>
  <si>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</si>
  <si>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</si>
  <si>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</si>
  <si>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</si>
  <si>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</si>
  <si>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</si>
  <si>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</si>
  <si>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</si>
  <si>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</si>
  <si>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</si>
  <si>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</si>
  <si>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</si>
  <si>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</si>
  <si>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</si>
  <si>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</si>
  <si>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</si>
  <si>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</si>
  <si>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</si>
  <si>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</si>
  <si>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</si>
  <si>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</si>
  <si>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</si>
  <si>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</si>
  <si>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</si>
  <si>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</si>
  <si>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</si>
  <si>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</si>
  <si>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</si>
  <si>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</si>
  <si>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</si>
  <si>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</si>
  <si>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</si>
  <si>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</si>
  <si>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</si>
  <si>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</si>
  <si>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</si>
  <si>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</si>
  <si>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</si>
  <si>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</si>
  <si>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</si>
  <si>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</si>
  <si>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</si>
  <si>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</si>
  <si>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</si>
  <si>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</si>
  <si>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</si>
  <si>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</si>
  <si>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</si>
  <si>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</si>
  <si>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</si>
  <si>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</si>
  <si>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</si>
  <si>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</si>
  <si>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</si>
  <si>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</si>
  <si>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</si>
  <si>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</si>
  <si>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</si>
  <si>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</si>
  <si>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</si>
  <si>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</si>
  <si>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</si>
  <si>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</si>
  <si>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</si>
  <si>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</si>
  <si>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</si>
  <si>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</si>
  <si>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</si>
  <si>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</si>
  <si>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</si>
  <si>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</si>
  <si>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</si>
  <si>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</si>
  <si>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</si>
  <si>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</si>
  <si>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</si>
  <si>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</si>
  <si>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</si>
  <si>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</si>
  <si>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</si>
  <si>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</si>
  <si>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</si>
  <si>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</si>
  <si>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</si>
  <si>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</si>
  <si>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</si>
  <si>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</si>
  <si>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</si>
  <si>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</si>
  <si>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</si>
  <si>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</si>
  <si>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</si>
  <si>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</si>
  <si>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</si>
  <si>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</si>
  <si>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</si>
  <si>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</si>
  <si>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</si>
  <si>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</si>
  <si>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</si>
  <si>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</si>
  <si>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</si>
  <si>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</si>
  <si>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</si>
  <si>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</si>
  <si>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</si>
  <si>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</si>
  <si>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</si>
  <si>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</si>
  <si>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</si>
  <si>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</si>
  <si>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</si>
  <si>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</si>
  <si>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</si>
  <si>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</si>
  <si>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</si>
  <si>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</si>
  <si>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</si>
  <si>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</si>
  <si>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</si>
  <si>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</si>
  <si>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</si>
  <si>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</si>
  <si>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</si>
  <si>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</si>
  <si>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</si>
  <si>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</si>
  <si>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</si>
  <si>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</si>
  <si>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</si>
  <si>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</si>
  <si>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</si>
  <si>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</si>
  <si>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</si>
  <si>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</si>
  <si>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</si>
  <si>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</si>
  <si>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</si>
  <si>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</si>
  <si>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</si>
  <si>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</si>
  <si>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</si>
  <si>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</si>
  <si>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</si>
  <si>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</si>
  <si>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</si>
  <si>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</si>
  <si>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</si>
  <si>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</si>
  <si>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</si>
  <si>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</si>
  <si>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</si>
  <si>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</si>
  <si>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</si>
  <si>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</si>
  <si>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</si>
  <si>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</si>
  <si>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</si>
  <si>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</si>
  <si>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</si>
  <si>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</si>
  <si>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</si>
  <si>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</si>
  <si>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</si>
  <si>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</si>
  <si>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</si>
  <si>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</si>
  <si>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</si>
  <si>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</si>
  <si>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</si>
  <si>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</si>
  <si>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</si>
  <si>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</si>
  <si>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</si>
  <si>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</si>
  <si>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</si>
  <si>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</si>
  <si>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</si>
  <si>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</si>
  <si>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</si>
  <si>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</si>
  <si>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</si>
  <si>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</si>
  <si>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</si>
  <si>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</si>
  <si>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</si>
  <si>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</si>
  <si>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</si>
  <si>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</si>
  <si>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</si>
  <si>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</si>
  <si>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</si>
  <si>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</si>
  <si>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</si>
  <si>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</si>
  <si>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</si>
  <si>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</si>
  <si>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</si>
  <si>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</si>
  <si>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</si>
  <si>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</si>
  <si>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</si>
  <si>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</si>
  <si>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</si>
  <si>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</si>
  <si>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</si>
  <si>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</si>
  <si>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</si>
  <si>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</si>
  <si>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</si>
  <si>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</si>
  <si>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</si>
  <si>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</si>
  <si>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</si>
  <si>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</si>
  <si>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</si>
  <si>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</si>
  <si>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</si>
  <si>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</si>
  <si>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</si>
  <si>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</si>
  <si>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</si>
  <si>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</si>
  <si>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</si>
  <si>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</si>
  <si>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</si>
  <si>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</si>
  <si>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</si>
  <si>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</si>
  <si>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</si>
  <si>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</si>
  <si>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</si>
  <si>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</si>
  <si>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</si>
  <si>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</si>
  <si>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</si>
  <si>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</si>
  <si>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</si>
  <si>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</si>
  <si>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</si>
  <si>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</si>
  <si>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</si>
  <si>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</si>
  <si>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</si>
  <si>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</si>
  <si>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</si>
  <si>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</si>
  <si>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</si>
  <si>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</si>
  <si>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</si>
  <si>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</si>
  <si>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</si>
  <si>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</si>
  <si>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</si>
  <si>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</si>
  <si>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</si>
  <si>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</si>
  <si>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</si>
  <si>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</si>
  <si>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</si>
  <si>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</si>
  <si>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</si>
  <si>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</si>
  <si>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</si>
  <si>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</si>
  <si>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</si>
  <si>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</si>
  <si>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</si>
  <si>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</si>
  <si>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</si>
  <si>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</si>
  <si>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</si>
  <si>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</si>
  <si>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</si>
  <si>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</si>
  <si>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</si>
  <si>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</si>
  <si>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</si>
  <si>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</si>
  <si>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</si>
  <si>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</si>
  <si>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</si>
  <si>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</si>
  <si>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</si>
  <si>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</si>
  <si>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</si>
  <si>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</si>
  <si>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</si>
  <si>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</si>
  <si>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</si>
  <si>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</si>
  <si>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</si>
  <si>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</si>
  <si>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</si>
  <si>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</si>
  <si>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</si>
  <si>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</si>
  <si>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</si>
  <si>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</si>
  <si>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</si>
  <si>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</si>
  <si>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</si>
  <si>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</si>
  <si>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</si>
  <si>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</si>
  <si>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</si>
  <si>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</si>
  <si>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</si>
  <si>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</si>
  <si>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</si>
  <si>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</si>
  <si>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</si>
  <si>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</si>
  <si>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</si>
  <si>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</si>
  <si>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</si>
  <si>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</si>
  <si>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</si>
  <si>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</si>
  <si>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</si>
  <si>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</si>
  <si>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</si>
  <si>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</si>
  <si>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</si>
  <si>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</si>
  <si>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</si>
  <si>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</si>
  <si>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</si>
  <si>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</si>
  <si>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</si>
  <si>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</si>
  <si>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</si>
  <si>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</si>
  <si>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</si>
  <si>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</si>
  <si>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</si>
  <si>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</si>
  <si>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</si>
  <si>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</si>
  <si>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</si>
  <si>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</si>
  <si>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</si>
  <si>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</si>
  <si>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</si>
  <si>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</si>
  <si>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</si>
  <si>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</si>
  <si>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</si>
  <si>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</si>
  <si>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</si>
  <si>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</si>
  <si>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</si>
  <si>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</si>
  <si>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</si>
  <si>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</si>
  <si>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</si>
  <si>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</si>
  <si>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</si>
  <si>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</si>
  <si>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</si>
  <si>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</si>
  <si>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</si>
  <si>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</si>
  <si>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</si>
  <si>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</si>
  <si>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</si>
  <si>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</si>
  <si>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</si>
  <si>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</si>
  <si>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</si>
  <si>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</si>
  <si>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</si>
  <si>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</si>
  <si>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</si>
  <si>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</si>
  <si>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</si>
  <si>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</si>
  <si>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</si>
  <si>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</si>
  <si>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</si>
  <si>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</si>
  <si>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</si>
  <si>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</si>
  <si>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</si>
  <si>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</si>
  <si>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</si>
  <si>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</si>
  <si>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</si>
  <si>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</si>
  <si>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</si>
  <si>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</si>
  <si>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</si>
  <si>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</si>
  <si>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</si>
  <si>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</si>
  <si>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</si>
  <si>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</si>
  <si>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</si>
  <si>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</si>
  <si>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</si>
  <si>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</si>
  <si>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</si>
  <si>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</si>
  <si>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</si>
  <si>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</si>
  <si>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</si>
  <si>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</si>
  <si>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</si>
  <si>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</si>
  <si>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</si>
  <si>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</si>
  <si>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</si>
  <si>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</si>
  <si>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</si>
  <si>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</si>
  <si>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</si>
  <si>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</si>
  <si>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</si>
  <si>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</si>
  <si>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</si>
  <si>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</si>
  <si>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</si>
  <si>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</si>
  <si>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</si>
  <si>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</si>
  <si>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</si>
  <si>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</si>
  <si>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</si>
  <si>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</si>
  <si>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</si>
  <si>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</si>
  <si>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</si>
  <si>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</si>
  <si>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</si>
  <si>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</si>
  <si>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</si>
  <si>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</si>
  <si>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</si>
  <si>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</si>
  <si>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</si>
  <si>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</si>
  <si>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</si>
  <si>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</si>
  <si>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</si>
  <si>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</si>
  <si>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</si>
  <si>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</si>
  <si>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</si>
  <si>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</si>
  <si>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</si>
  <si>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</si>
  <si>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</si>
  <si>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</si>
  <si>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</si>
  <si>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</si>
  <si>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</si>
  <si>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</si>
  <si>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</si>
  <si>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</si>
  <si>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</si>
  <si>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</si>
  <si>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</si>
  <si>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</si>
  <si>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</si>
  <si>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</si>
  <si>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</si>
  <si>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</si>
  <si>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</si>
  <si>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</si>
  <si>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</si>
  <si>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</si>
  <si>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</si>
  <si>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</si>
  <si>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</si>
  <si>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</si>
  <si>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</si>
  <si>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</si>
  <si>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</si>
  <si>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</si>
  <si>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</si>
  <si>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</si>
  <si>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</si>
  <si>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</si>
  <si>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</si>
  <si>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</si>
  <si>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</si>
  <si>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</si>
  <si>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</si>
  <si>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</si>
  <si>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</si>
  <si>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</si>
  <si>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</si>
  <si>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</si>
  <si>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</si>
  <si>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</si>
  <si>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</si>
  <si>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</si>
  <si>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</si>
  <si>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</si>
  <si>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</si>
  <si>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</si>
  <si>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</si>
  <si>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</si>
  <si>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</si>
  <si>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</si>
  <si>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</si>
  <si>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</si>
  <si>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</si>
  <si>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</si>
  <si>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</si>
  <si>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</si>
  <si>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</si>
  <si>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</si>
  <si>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</si>
  <si>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</si>
  <si>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</si>
  <si>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</si>
  <si>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</si>
  <si>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</si>
  <si>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</si>
  <si>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</si>
  <si>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</si>
  <si>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</si>
  <si>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</si>
  <si>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</si>
  <si>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</si>
  <si>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</si>
  <si>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</si>
  <si>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</si>
  <si>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</si>
  <si>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</si>
  <si>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</si>
  <si>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</si>
  <si>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</si>
  <si>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</si>
  <si>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</si>
  <si>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</si>
  <si>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</si>
  <si>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</si>
  <si>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</si>
  <si>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</si>
  <si>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</si>
  <si>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</si>
  <si>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</si>
  <si>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</si>
  <si>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</si>
  <si>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</si>
  <si>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</si>
  <si>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</si>
  <si>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</si>
  <si>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</si>
  <si>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</si>
  <si>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</si>
  <si>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</si>
  <si>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</si>
  <si>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</si>
  <si>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</si>
  <si>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</si>
  <si>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</si>
  <si>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</si>
  <si>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</si>
  <si>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</si>
  <si>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</si>
  <si>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</si>
  <si>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</si>
  <si>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</si>
  <si>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</si>
  <si>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</si>
  <si>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</si>
  <si>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</si>
  <si>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</si>
  <si>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</si>
  <si>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</si>
  <si>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</si>
  <si>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</si>
  <si>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</si>
  <si>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</si>
  <si>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</si>
  <si>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</si>
  <si>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</si>
  <si>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</si>
  <si>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</si>
  <si>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</si>
  <si>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</si>
  <si>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</si>
  <si>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</si>
  <si>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</si>
  <si>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</si>
  <si>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</si>
  <si>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</si>
  <si>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</si>
  <si>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</si>
  <si>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</si>
  <si>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</si>
  <si>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</si>
  <si>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</si>
  <si>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</si>
  <si>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</si>
  <si>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</si>
  <si>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</si>
  <si>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</si>
  <si>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</si>
  <si>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</si>
  <si>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</si>
  <si>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</si>
  <si>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</si>
  <si>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</si>
  <si>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</si>
  <si>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</si>
  <si>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</si>
  <si>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</si>
  <si>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</si>
  <si>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</si>
  <si>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</si>
  <si>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</si>
  <si>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</si>
  <si>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</si>
  <si>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</si>
  <si>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</si>
  <si>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</si>
  <si>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</si>
  <si>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</si>
  <si>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</si>
  <si>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</si>
  <si>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</si>
  <si>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</si>
  <si>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</si>
  <si>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</si>
  <si>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</si>
  <si>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</si>
  <si>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</si>
  <si>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</si>
  <si>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</si>
  <si>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</si>
  <si>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</si>
  <si>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</si>
  <si>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</si>
  <si>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</si>
  <si>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</si>
  <si>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</si>
  <si>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</si>
  <si>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</si>
  <si>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</si>
  <si>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</si>
  <si>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</si>
  <si>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</si>
  <si>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</si>
  <si>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</si>
  <si>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</si>
  <si>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</si>
  <si>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</si>
  <si>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</si>
  <si>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</si>
  <si>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</si>
  <si>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</si>
  <si>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</si>
  <si>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</si>
  <si>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</si>
  <si>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</si>
  <si>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</si>
  <si>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</si>
  <si>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</si>
  <si>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</si>
  <si>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</si>
  <si>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</si>
  <si>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</si>
  <si>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</si>
  <si>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</si>
  <si>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</si>
  <si>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</si>
  <si>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</si>
  <si>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</si>
  <si>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</si>
  <si>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</si>
  <si>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</si>
  <si>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</si>
  <si>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</si>
  <si>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</si>
  <si>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</si>
  <si>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</si>
  <si>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</si>
  <si>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</si>
  <si>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</si>
  <si>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</si>
  <si>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</si>
  <si>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</si>
  <si>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</si>
  <si>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</si>
  <si>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</si>
  <si>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</si>
  <si>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</si>
  <si>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</si>
  <si>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</si>
  <si>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</si>
  <si>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</si>
  <si>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</si>
  <si>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</si>
  <si>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</si>
  <si>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</si>
  <si>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</si>
  <si>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</si>
  <si>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</si>
  <si>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</si>
  <si>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</si>
  <si>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</si>
  <si>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</si>
  <si>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</si>
  <si>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</si>
  <si>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</si>
  <si>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</si>
  <si>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</si>
  <si>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</si>
  <si>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</si>
  <si>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</si>
  <si>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</si>
  <si>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</si>
  <si>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</si>
  <si>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</si>
  <si>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</si>
  <si>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</si>
  <si>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</si>
  <si>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</si>
  <si>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</si>
  <si>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</si>
  <si>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</si>
  <si>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</si>
  <si>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</si>
  <si>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</si>
  <si>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</si>
  <si>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</si>
  <si>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</si>
  <si>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</si>
  <si>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</si>
  <si>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</si>
  <si>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</si>
  <si>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</si>
  <si>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</si>
  <si>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</si>
  <si>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</si>
  <si>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</si>
  <si>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</si>
  <si>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</si>
  <si>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</si>
  <si>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</si>
  <si>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</si>
  <si>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</si>
  <si>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</si>
  <si>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</si>
  <si>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</si>
  <si>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</si>
  <si>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</si>
  <si>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</si>
  <si>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</si>
  <si>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</si>
  <si>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</si>
  <si>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</si>
  <si>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</si>
  <si>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</si>
  <si>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</si>
  <si>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</si>
  <si>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</si>
  <si>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</si>
  <si>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</si>
  <si>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</si>
  <si>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</si>
  <si>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</si>
  <si>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</si>
  <si>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</si>
  <si>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</si>
  <si>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</si>
  <si>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</si>
  <si>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</si>
  <si>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</si>
  <si>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</si>
  <si>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</si>
  <si>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</si>
  <si>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</si>
  <si>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</si>
  <si>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</si>
  <si>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</si>
  <si>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</si>
  <si>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</si>
  <si>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</si>
  <si>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</si>
  <si>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</si>
  <si>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</si>
  <si>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</si>
  <si>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</si>
  <si>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</si>
  <si>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</si>
  <si>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</si>
  <si>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</si>
  <si>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</si>
  <si>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</si>
  <si>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</si>
  <si>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</si>
  <si>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</si>
  <si>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</si>
  <si>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</si>
  <si>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</si>
  <si>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</si>
  <si>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</si>
  <si>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</si>
  <si>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</si>
  <si>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</si>
  <si>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</si>
  <si>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</si>
  <si>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</si>
  <si>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</si>
  <si>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</si>
  <si>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</si>
  <si>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</si>
  <si>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</si>
  <si>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</si>
  <si>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</si>
  <si>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</si>
  <si>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</si>
  <si>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</si>
  <si>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</si>
  <si>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</si>
  <si>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</si>
  <si>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</si>
  <si>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</si>
  <si>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</si>
  <si>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</si>
  <si>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</si>
  <si>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</si>
  <si>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</si>
  <si>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</si>
  <si>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</si>
  <si>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</si>
  <si>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</si>
  <si>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</si>
  <si>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</si>
  <si>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</si>
  <si>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</si>
  <si>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</si>
  <si>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</si>
  <si>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</si>
  <si>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</si>
  <si>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</si>
  <si>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</si>
  <si>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</si>
  <si>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</si>
  <si>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</si>
  <si>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</si>
  <si>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</si>
  <si>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</si>
  <si>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</si>
  <si>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</si>
  <si>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</si>
  <si>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</si>
  <si>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</si>
  <si>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</si>
  <si>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</si>
  <si>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</si>
  <si>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</si>
  <si>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</si>
  <si>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</si>
  <si>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</si>
  <si>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</si>
  <si>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</si>
  <si>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</si>
  <si>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</si>
  <si>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</si>
  <si>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</si>
  <si>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</si>
  <si>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</si>
  <si>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</si>
  <si>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</si>
  <si>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</si>
  <si>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</si>
  <si>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</si>
  <si>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</si>
  <si>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</si>
  <si>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</si>
  <si>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</si>
  <si>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</si>
  <si>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</si>
  <si>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</si>
  <si>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</si>
  <si>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</si>
  <si>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</si>
  <si>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</si>
  <si>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</si>
  <si>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</si>
  <si>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</si>
  <si>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</si>
  <si>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</si>
  <si>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</si>
  <si>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</si>
  <si>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</si>
  <si>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</si>
  <si>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</si>
  <si>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</si>
  <si>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</si>
  <si>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</si>
  <si>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</si>
  <si>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</si>
  <si>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</si>
  <si>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</si>
  <si>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</si>
  <si>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</si>
  <si>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</si>
  <si>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</si>
  <si>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</si>
  <si>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</si>
  <si>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</si>
  <si>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</si>
  <si>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</si>
  <si>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</si>
  <si>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</si>
  <si>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</si>
  <si>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</si>
  <si>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</si>
  <si>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</si>
  <si>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</si>
  <si>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</si>
  <si>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</si>
  <si>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</si>
  <si>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</si>
  <si>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</si>
  <si>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</si>
  <si>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</si>
  <si>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</si>
  <si>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</si>
  <si>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</si>
  <si>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</si>
  <si>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</si>
  <si>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</si>
  <si>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</si>
  <si>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</si>
  <si>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</si>
  <si>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</si>
  <si>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</si>
  <si>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</si>
  <si>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</si>
  <si>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</si>
  <si>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</si>
  <si>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</si>
  <si>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</si>
  <si>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</si>
  <si>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</si>
  <si>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</si>
  <si>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</si>
  <si>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</si>
  <si>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</si>
  <si>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</si>
  <si>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</si>
  <si>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</si>
  <si>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</si>
  <si>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</si>
  <si>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</si>
  <si>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</si>
  <si>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</si>
  <si>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</si>
  <si>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</si>
  <si>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</si>
  <si>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</si>
  <si>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</si>
  <si>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</si>
  <si>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</si>
  <si>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</si>
  <si>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</si>
  <si>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</si>
  <si>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</si>
  <si>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</si>
  <si>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</si>
  <si>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</si>
  <si>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</si>
  <si>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</si>
  <si>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</si>
  <si>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</si>
  <si>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</si>
  <si>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</si>
  <si>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</si>
  <si>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</si>
  <si>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</si>
  <si>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</si>
  <si>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</si>
  <si>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</si>
  <si>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</si>
  <si>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</si>
  <si>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</si>
  <si>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</si>
  <si>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</si>
  <si>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</si>
  <si>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</si>
  <si>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</si>
  <si>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</si>
  <si>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</si>
  <si>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</si>
  <si>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</si>
  <si>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</si>
  <si>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</si>
  <si>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</si>
  <si>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</si>
  <si>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</si>
  <si>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</si>
  <si>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</si>
  <si>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</si>
  <si>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</si>
  <si>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</si>
  <si>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</si>
  <si>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</si>
  <si>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</si>
  <si>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</si>
  <si>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</si>
  <si>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</si>
  <si>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</si>
  <si>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</si>
  <si>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</si>
  <si>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</si>
  <si>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</si>
  <si>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</si>
  <si>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</si>
  <si>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</si>
  <si>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</si>
  <si>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</si>
  <si>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</si>
  <si>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</si>
  <si>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</si>
  <si>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</si>
  <si>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</si>
  <si>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</si>
  <si>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</si>
  <si>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</si>
  <si>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</si>
  <si>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</si>
  <si>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</si>
  <si>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</si>
  <si>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</si>
  <si>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</si>
  <si>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</si>
  <si>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</si>
  <si>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</si>
  <si>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</si>
  <si>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</si>
  <si>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</si>
  <si>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</si>
  <si>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</si>
  <si>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</si>
  <si>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</si>
  <si>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</si>
  <si>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</si>
  <si>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</si>
  <si>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</si>
  <si>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</si>
  <si>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</si>
  <si>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</si>
  <si>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</si>
  <si>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</si>
  <si>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</si>
  <si>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</si>
  <si>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</si>
  <si>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</si>
  <si>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</si>
  <si>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</si>
  <si>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</si>
  <si>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</si>
  <si>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</si>
  <si>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</si>
  <si>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</si>
  <si>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</si>
  <si>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</si>
  <si>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</si>
  <si>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</si>
  <si>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</si>
  <si>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</si>
  <si>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</si>
  <si>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</si>
  <si>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</si>
  <si>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</si>
  <si>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</si>
  <si>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</si>
  <si>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</si>
  <si>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</si>
  <si>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</si>
  <si>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</si>
  <si>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</si>
  <si>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</si>
  <si>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</si>
  <si>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</si>
  <si>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</si>
  <si>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</si>
  <si>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</si>
  <si>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</si>
  <si>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</si>
  <si>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</si>
  <si>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</si>
  <si>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</si>
  <si>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</si>
  <si>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</si>
  <si>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</si>
  <si>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</si>
  <si>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</si>
  <si>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</si>
  <si>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</si>
  <si>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</si>
  <si>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</si>
  <si>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</si>
  <si>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</si>
  <si>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</si>
  <si>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</si>
  <si>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</si>
  <si>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</si>
  <si>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</si>
  <si>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</si>
  <si>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</si>
  <si>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</si>
  <si>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</si>
  <si>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</si>
  <si>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</si>
  <si>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</si>
  <si>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</si>
  <si>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</si>
  <si>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</si>
  <si>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</si>
  <si>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</si>
  <si>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</si>
  <si>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</si>
  <si>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</si>
  <si>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</si>
  <si>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</si>
  <si>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</si>
  <si>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</si>
  <si>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</si>
  <si>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</si>
  <si>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</si>
  <si>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</si>
  <si>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</si>
  <si>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</si>
  <si>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</si>
  <si>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</si>
  <si>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</si>
  <si>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</si>
  <si>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</si>
  <si>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</si>
  <si>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</si>
  <si>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</si>
  <si>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</si>
  <si>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</si>
  <si>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</si>
  <si>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</si>
  <si>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</si>
  <si>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</si>
  <si>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</si>
  <si>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</si>
  <si>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</si>
  <si>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</si>
  <si>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</si>
  <si>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</si>
  <si>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</si>
  <si>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</si>
  <si>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</si>
  <si>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</si>
  <si>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</si>
  <si>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</si>
  <si>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</si>
  <si>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</si>
  <si>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</si>
  <si>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</si>
  <si>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</si>
  <si>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</si>
  <si>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</si>
  <si>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</si>
  <si>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</si>
  <si>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</si>
  <si>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</si>
  <si>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</si>
  <si>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</si>
  <si>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</si>
  <si>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</si>
  <si>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</si>
  <si>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</si>
  <si>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</si>
  <si>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</si>
  <si>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</si>
  <si>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</si>
  <si>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</si>
  <si>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</si>
  <si>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</si>
  <si>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</si>
  <si>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</si>
  <si>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</si>
  <si>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</si>
  <si>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</si>
  <si>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</si>
  <si>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</si>
  <si>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</si>
  <si>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</si>
  <si>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</si>
  <si>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</si>
  <si>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</si>
  <si>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</si>
  <si>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</si>
  <si>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</si>
  <si>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</si>
  <si>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</si>
  <si>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</si>
  <si>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</si>
  <si>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</si>
  <si>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</si>
  <si>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</si>
  <si>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</si>
  <si>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</si>
  <si>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</si>
  <si>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</si>
  <si>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</si>
  <si>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</si>
  <si>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</si>
  <si>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</si>
  <si>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</si>
  <si>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</si>
  <si>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</si>
  <si>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</si>
  <si>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</si>
  <si>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</si>
  <si>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</si>
  <si>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</si>
  <si>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</si>
  <si>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</si>
  <si>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</si>
  <si>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</si>
  <si>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</si>
  <si>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</si>
  <si>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</si>
  <si>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</si>
  <si>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</si>
  <si>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</si>
  <si>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</si>
  <si>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</si>
  <si>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</si>
  <si>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</si>
  <si>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</si>
  <si>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</si>
  <si>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</si>
  <si>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</si>
  <si>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</si>
  <si>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</si>
  <si>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</si>
  <si>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</si>
  <si>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</si>
  <si>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</si>
  <si>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</si>
  <si>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</si>
  <si>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</si>
  <si>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</si>
  <si>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</si>
  <si>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</si>
  <si>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</si>
  <si>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</si>
  <si>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</si>
  <si>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</si>
  <si>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</si>
  <si>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</si>
  <si>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</si>
  <si>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</si>
  <si>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</si>
  <si>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</si>
  <si>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</si>
  <si>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</si>
  <si>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</si>
  <si>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</si>
  <si>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</si>
  <si>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</si>
  <si>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</si>
  <si>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</si>
  <si>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</si>
  <si>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</si>
  <si>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</si>
  <si>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</si>
  <si>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</si>
  <si>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</si>
  <si>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</si>
  <si>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</si>
  <si>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</si>
  <si>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</si>
  <si>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</si>
  <si>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</si>
  <si>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</si>
  <si>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</si>
  <si>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</si>
  <si>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</si>
  <si>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</si>
  <si>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</si>
  <si>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</si>
  <si>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</si>
  <si>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</si>
  <si>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</si>
  <si>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</si>
  <si>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</si>
  <si>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</si>
  <si>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</si>
  <si>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</si>
  <si>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</si>
  <si>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</si>
  <si>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</si>
  <si>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</si>
  <si>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</si>
  <si>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</si>
  <si>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</si>
  <si>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</si>
  <si>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</si>
  <si>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</si>
  <si>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</si>
  <si>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</si>
  <si>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</si>
  <si>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</si>
  <si>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</si>
  <si>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</si>
  <si>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</si>
  <si>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</si>
  <si>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</si>
  <si>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</si>
  <si>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</si>
  <si>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</si>
  <si>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</si>
  <si>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</si>
  <si>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</si>
  <si>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</si>
  <si>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</si>
  <si>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</si>
  <si>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</si>
  <si>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</si>
  <si>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</si>
  <si>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</si>
  <si>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</si>
  <si>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</si>
  <si>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</si>
  <si>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</si>
  <si>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</si>
  <si>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</si>
  <si>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</si>
  <si>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</si>
  <si>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</si>
  <si>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</si>
  <si>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</si>
  <si>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</si>
  <si>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</si>
  <si>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</si>
  <si>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</si>
  <si>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</si>
  <si>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</si>
  <si>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</si>
  <si>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</si>
  <si>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</si>
  <si>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</si>
  <si>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</si>
  <si>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</si>
  <si>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</si>
  <si>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</si>
  <si>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</si>
  <si>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</si>
  <si>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</si>
  <si>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</si>
  <si>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</si>
  <si>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</si>
  <si>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</si>
  <si>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</si>
  <si>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</si>
  <si>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</si>
  <si>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</si>
  <si>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</si>
  <si>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</si>
  <si>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</si>
  <si>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</si>
  <si>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</si>
  <si>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</si>
  <si>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</si>
  <si>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</si>
  <si>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</si>
  <si>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</si>
  <si>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</si>
  <si>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</si>
  <si>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</si>
  <si>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</si>
  <si>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</si>
  <si>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</si>
  <si>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</si>
  <si>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</si>
  <si>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</si>
  <si>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</si>
  <si>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</si>
  <si>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</si>
  <si>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</si>
  <si>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</si>
  <si>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</si>
  <si>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</si>
  <si>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</si>
  <si>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</si>
  <si>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</si>
  <si>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</si>
  <si>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</si>
  <si>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</si>
  <si>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</si>
  <si>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</si>
  <si>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</si>
  <si>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</si>
  <si>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</si>
  <si>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</si>
  <si>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</si>
  <si>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</si>
  <si>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</si>
  <si>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</si>
  <si>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</si>
  <si>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</si>
  <si>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</si>
  <si>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</si>
  <si>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</si>
  <si>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</si>
  <si>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</si>
  <si>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</si>
  <si>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</si>
  <si>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</si>
  <si>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</si>
  <si>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</si>
  <si>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</si>
  <si>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</si>
  <si>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</si>
  <si>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</si>
  <si>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</si>
  <si>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</si>
  <si>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</si>
  <si>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</si>
  <si>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</si>
  <si>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</si>
  <si>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</si>
  <si>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</si>
  <si>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</si>
  <si>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</si>
  <si>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</si>
  <si>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</si>
  <si>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</si>
  <si>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</si>
  <si>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</si>
  <si>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</si>
  <si>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</si>
  <si>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</si>
  <si>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</si>
  <si>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</si>
  <si>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</si>
  <si>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</si>
  <si>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</si>
  <si>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</si>
  <si>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</si>
  <si>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</si>
  <si>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</si>
  <si>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</si>
  <si>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</si>
  <si>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</si>
  <si>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</si>
  <si>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</si>
  <si>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</si>
  <si>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</si>
  <si>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</si>
  <si>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</si>
  <si>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</si>
  <si>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</si>
  <si>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</si>
  <si>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</si>
  <si>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</si>
  <si>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</si>
  <si>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</si>
  <si>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</si>
  <si>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</si>
  <si>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</si>
  <si>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</si>
  <si>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</si>
  <si>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</si>
  <si>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</si>
  <si>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</si>
  <si>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</si>
  <si>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</si>
  <si>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</si>
  <si>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</si>
  <si>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</si>
  <si>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</si>
  <si>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</si>
  <si>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</si>
  <si>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</si>
  <si>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</si>
  <si>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</si>
  <si>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</si>
  <si>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</si>
  <si>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</si>
  <si>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</si>
  <si>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</si>
  <si>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</si>
  <si>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</si>
  <si>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</si>
  <si>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</si>
  <si>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</si>
  <si>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</si>
  <si>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</si>
  <si>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</si>
  <si>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</si>
  <si>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</si>
  <si>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</si>
  <si>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</si>
  <si>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</si>
  <si>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</si>
  <si>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</si>
  <si>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</si>
  <si>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</si>
  <si>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</si>
  <si>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</si>
  <si>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</si>
  <si>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</si>
  <si>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</si>
  <si>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</si>
  <si>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</si>
  <si>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</si>
  <si>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</si>
  <si>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</si>
  <si>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</si>
  <si>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</si>
  <si>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</si>
  <si>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</si>
  <si>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</si>
  <si>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</si>
  <si>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</si>
  <si>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</si>
  <si>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</si>
  <si>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</si>
  <si>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</si>
  <si>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</si>
  <si>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</si>
  <si>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</si>
  <si>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</si>
  <si>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</si>
  <si>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</si>
  <si>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</si>
  <si>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</si>
  <si>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</si>
  <si>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</si>
  <si>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</si>
  <si>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</si>
  <si>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</si>
  <si>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</si>
  <si>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</si>
  <si>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</si>
  <si>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</si>
  <si>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</si>
  <si>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</si>
  <si>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</si>
  <si>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</si>
  <si>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</si>
  <si>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</si>
  <si>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</si>
  <si>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</si>
  <si>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</si>
  <si>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</si>
  <si>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</si>
  <si>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</si>
  <si>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</si>
  <si>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</si>
  <si>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</si>
  <si>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</si>
  <si>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</si>
  <si>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</si>
  <si>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</si>
  <si>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</si>
  <si>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</si>
  <si>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</si>
  <si>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</si>
  <si>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</si>
  <si>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</si>
  <si>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</si>
  <si>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</si>
  <si>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</si>
  <si>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</si>
  <si>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</si>
  <si>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</si>
  <si>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</si>
  <si>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</si>
  <si>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</si>
  <si>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</si>
  <si>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</si>
  <si>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</si>
  <si>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</si>
  <si>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</si>
  <si>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</si>
  <si>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</si>
  <si>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</si>
  <si>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</si>
  <si>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</si>
  <si>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</si>
  <si>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</si>
  <si>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</si>
  <si>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</si>
  <si>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</si>
  <si>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</si>
  <si>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</si>
  <si>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</si>
  <si>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</si>
  <si>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</si>
  <si>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</si>
  <si>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</si>
  <si>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</si>
  <si>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</si>
  <si>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</si>
  <si>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</si>
  <si>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</si>
  <si>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</si>
  <si>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</si>
  <si>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</si>
  <si>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</si>
  <si>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</si>
  <si>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</si>
  <si>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</si>
  <si>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</si>
  <si>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</si>
  <si>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</si>
  <si>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</si>
  <si>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</si>
  <si>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</si>
  <si>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</si>
  <si>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</si>
  <si>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</si>
  <si>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</si>
  <si>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</si>
  <si>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</si>
  <si>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</si>
  <si>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</si>
  <si>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</si>
  <si>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</si>
  <si>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</si>
  <si>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</si>
  <si>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</si>
  <si>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</si>
  <si>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</si>
  <si>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</si>
  <si>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</si>
  <si>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</si>
  <si>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</si>
  <si>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</si>
  <si>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</si>
  <si>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</si>
  <si>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</si>
  <si>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</si>
  <si>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</si>
  <si>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</si>
  <si>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</si>
  <si>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</si>
  <si>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</si>
  <si>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</si>
  <si>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</si>
  <si>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</si>
  <si>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</si>
  <si>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</si>
  <si>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</si>
  <si>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</si>
  <si>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</si>
  <si>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</si>
  <si>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</si>
  <si>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</si>
  <si>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</si>
  <si>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</si>
  <si>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</si>
  <si>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</si>
  <si>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</si>
  <si>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</si>
  <si>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</si>
  <si>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</si>
  <si>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</si>
  <si>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</si>
  <si>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</si>
  <si>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</si>
  <si>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</si>
  <si>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</si>
  <si>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</si>
  <si>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</si>
  <si>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</si>
  <si>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</si>
  <si>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</si>
  <si>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</si>
  <si>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</si>
  <si>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</si>
  <si>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</si>
  <si>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</si>
  <si>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</si>
  <si>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</si>
  <si>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</si>
  <si>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</si>
  <si>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</si>
  <si>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</si>
  <si>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</si>
  <si>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</si>
  <si>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</si>
  <si>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</si>
  <si>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</si>
  <si>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</si>
  <si>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</si>
  <si>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</si>
  <si>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</si>
  <si>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</si>
  <si>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</si>
  <si>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</si>
  <si>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</si>
  <si>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</si>
  <si>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</si>
  <si>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</si>
  <si>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</si>
  <si>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</si>
  <si>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</si>
  <si>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</si>
  <si>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</si>
  <si>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</si>
  <si>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</si>
  <si>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</si>
  <si>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</si>
  <si>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</si>
  <si>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</si>
  <si>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</si>
  <si>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</si>
  <si>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</si>
  <si>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</si>
  <si>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</si>
  <si>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</si>
  <si>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</si>
  <si>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</si>
  <si>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</si>
  <si>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</si>
  <si>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</si>
  <si>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</si>
  <si>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</si>
  <si>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</si>
  <si>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</si>
  <si>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</si>
  <si>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</si>
  <si>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</si>
  <si>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</si>
  <si>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</si>
  <si>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</si>
  <si>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</si>
  <si>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</si>
  <si>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</si>
  <si>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</si>
  <si>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</si>
  <si>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</si>
  <si>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</si>
  <si>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</si>
  <si>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</si>
  <si>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</si>
  <si>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</si>
  <si>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</si>
  <si>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</si>
  <si>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</si>
  <si>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</si>
  <si>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</si>
  <si>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</si>
  <si>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</si>
  <si>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</si>
  <si>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</si>
  <si>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</si>
  <si>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</si>
  <si>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</si>
  <si>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</si>
  <si>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</si>
  <si>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</si>
  <si>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</si>
  <si>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</si>
  <si>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</si>
  <si>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</si>
  <si>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</si>
  <si>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</si>
  <si>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</si>
  <si>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</si>
  <si>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</si>
  <si>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</si>
  <si>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</si>
  <si>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</si>
  <si>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</si>
  <si>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</si>
  <si>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</si>
  <si>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</si>
  <si>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</si>
  <si>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</si>
  <si>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</si>
  <si>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</si>
  <si>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</si>
  <si>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</si>
  <si>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</si>
  <si>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</si>
  <si>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</si>
  <si>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</si>
  <si>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</si>
  <si>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</si>
  <si>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</si>
  <si>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</si>
  <si>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</si>
  <si>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</si>
  <si>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</si>
  <si>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</si>
  <si>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</si>
  <si>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</si>
  <si>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</si>
  <si>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</si>
  <si>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</si>
  <si>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</si>
  <si>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</si>
  <si>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</si>
  <si>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</si>
  <si>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</si>
  <si>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</si>
  <si>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</si>
  <si>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</si>
  <si>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</si>
  <si>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</si>
  <si>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</si>
  <si>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</si>
  <si>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</si>
  <si>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</si>
  <si>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</si>
  <si>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</si>
  <si>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</si>
  <si>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</si>
  <si>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</si>
  <si>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</si>
  <si>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</si>
  <si>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</si>
  <si>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</si>
  <si>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</si>
  <si>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</si>
  <si>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</si>
  <si>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</si>
  <si>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</si>
  <si>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</si>
  <si>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</si>
  <si>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</si>
  <si>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</si>
  <si>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</si>
  <si>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</si>
  <si>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</si>
  <si>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</si>
  <si>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</si>
  <si>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</si>
  <si>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</si>
  <si>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</si>
  <si>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</si>
  <si>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</si>
  <si>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</si>
  <si>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</si>
  <si>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</si>
  <si>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</si>
  <si>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</si>
  <si>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</si>
  <si>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</si>
  <si>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</si>
  <si>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</si>
  <si>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</si>
  <si>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</si>
  <si>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</si>
  <si>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</si>
  <si>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</si>
  <si>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</si>
  <si>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</si>
  <si>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</si>
  <si>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</si>
  <si>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</si>
  <si>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</si>
  <si>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</si>
  <si>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</si>
  <si>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</si>
  <si>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</si>
  <si>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</si>
  <si>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</si>
  <si>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</si>
  <si>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</si>
  <si>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</si>
  <si>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</si>
  <si>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</si>
  <si>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</si>
  <si>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</si>
  <si>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</si>
  <si>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</si>
  <si>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</si>
  <si>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</si>
  <si>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</si>
  <si>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</si>
  <si>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</si>
  <si>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</si>
  <si>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</si>
  <si>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</si>
  <si>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</si>
  <si>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</si>
  <si>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</si>
  <si>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</si>
  <si>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</si>
  <si>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</si>
  <si>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</si>
  <si>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</si>
  <si>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</si>
  <si>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</si>
  <si>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</si>
  <si>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</si>
  <si>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</si>
  <si>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</si>
  <si>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</si>
  <si>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</si>
  <si>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</si>
  <si>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</si>
  <si>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</si>
  <si>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</si>
  <si>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</si>
  <si>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</si>
  <si>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</si>
  <si>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</si>
  <si>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</si>
  <si>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</si>
  <si>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</si>
  <si>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</si>
  <si>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</si>
  <si>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</si>
  <si>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</si>
  <si>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</si>
  <si>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</si>
  <si>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</si>
  <si>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</si>
  <si>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</si>
  <si>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</si>
  <si>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</si>
  <si>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</si>
  <si>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</si>
  <si>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</si>
  <si>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</si>
  <si>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</si>
  <si>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</si>
  <si>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</si>
  <si>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</si>
  <si>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</si>
  <si>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</si>
  <si>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</si>
  <si>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</si>
  <si>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</si>
  <si>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</si>
  <si>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</si>
  <si>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</si>
  <si>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</si>
  <si>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</si>
  <si>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</si>
  <si>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</si>
  <si>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</si>
  <si>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</si>
  <si>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</si>
  <si>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</si>
  <si>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</si>
  <si>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</si>
  <si>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</si>
  <si>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</si>
  <si>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</si>
  <si>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</si>
  <si>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</si>
  <si>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</si>
  <si>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</si>
  <si>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</si>
  <si>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</si>
  <si>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</si>
  <si>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</si>
  <si>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</si>
  <si>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</si>
  <si>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</si>
  <si>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</si>
  <si>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</si>
  <si>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</si>
  <si>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</si>
  <si>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</si>
  <si>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</si>
  <si>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</si>
  <si>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</si>
  <si>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</si>
  <si>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</si>
  <si>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</si>
  <si>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</si>
  <si>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</si>
  <si>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</si>
  <si>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</si>
  <si>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</si>
  <si>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</si>
  <si>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</si>
  <si>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</si>
  <si>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</si>
  <si>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</si>
  <si>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</si>
  <si>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</si>
  <si>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</si>
  <si>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</si>
  <si>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</si>
  <si>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</si>
  <si>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</si>
  <si>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</si>
  <si>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</si>
  <si>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</si>
  <si>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</si>
  <si>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</si>
  <si>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</si>
  <si>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</si>
  <si>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</si>
  <si>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</si>
  <si>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</si>
  <si>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</si>
  <si>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</si>
  <si>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</si>
  <si>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</si>
  <si>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</si>
  <si>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</si>
  <si>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</si>
  <si>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</si>
  <si>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</si>
  <si>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</si>
  <si>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</si>
  <si>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</si>
  <si>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</si>
  <si>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</si>
  <si>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</si>
  <si>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</si>
  <si>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</si>
  <si>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</si>
  <si>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</si>
  <si>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</si>
  <si>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</si>
  <si>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</si>
  <si>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</si>
  <si>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</si>
  <si>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</si>
  <si>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</si>
  <si>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</si>
  <si>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</si>
  <si>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</si>
  <si>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</si>
  <si>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</si>
  <si>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</si>
  <si>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</si>
  <si>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</si>
  <si>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</si>
  <si>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</si>
  <si>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</si>
  <si>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</si>
  <si>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</si>
  <si>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</si>
  <si>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</si>
  <si>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</si>
  <si>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</si>
  <si>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</si>
  <si>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</si>
  <si>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</si>
  <si>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</si>
  <si>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</si>
  <si>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</si>
  <si>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</si>
  <si>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</si>
  <si>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</si>
  <si>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</si>
  <si>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</si>
  <si>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</si>
  <si>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</si>
  <si>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</si>
  <si>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</si>
  <si>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</si>
  <si>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</si>
  <si>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</si>
  <si>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</si>
  <si>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</si>
  <si>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</si>
  <si>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</si>
  <si>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</si>
  <si>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</si>
  <si>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</si>
  <si>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</si>
  <si>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</si>
  <si>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</si>
  <si>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</si>
  <si>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</si>
  <si>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</si>
  <si>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</si>
  <si>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</si>
  <si>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</si>
  <si>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</si>
  <si>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</si>
  <si>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</si>
  <si>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</si>
  <si>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</si>
  <si>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</si>
  <si>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</si>
  <si>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</si>
  <si>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</si>
  <si>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</si>
  <si>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</si>
  <si>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</si>
  <si>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</si>
  <si>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</si>
  <si>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</si>
  <si>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</si>
  <si>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</si>
  <si>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</si>
  <si>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</si>
  <si>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</si>
  <si>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</si>
  <si>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</si>
  <si>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</si>
  <si>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</si>
  <si>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</si>
  <si>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</si>
  <si>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</si>
  <si>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</si>
  <si>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</si>
  <si>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</si>
  <si>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</si>
  <si>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</si>
  <si>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</si>
  <si>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</si>
  <si>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</si>
  <si>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</si>
  <si>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</si>
  <si>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</si>
  <si>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</si>
  <si>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</si>
  <si>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</si>
  <si>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</si>
  <si>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</si>
  <si>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</si>
  <si>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</si>
  <si>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</si>
  <si>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</si>
  <si>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</si>
  <si>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</si>
  <si>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</si>
  <si>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</si>
  <si>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</si>
  <si>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</si>
  <si>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</si>
  <si>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</si>
  <si>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</si>
  <si>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</si>
  <si>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</si>
  <si>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</si>
  <si>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</si>
  <si>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</si>
  <si>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</si>
  <si>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</si>
  <si>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</si>
  <si>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</si>
  <si>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</si>
  <si>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</si>
  <si>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</si>
  <si>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</si>
  <si>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</si>
  <si>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</si>
  <si>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</si>
  <si>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</si>
  <si>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</si>
  <si>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</si>
  <si>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</si>
  <si>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</si>
  <si>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</si>
  <si>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</si>
  <si>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</si>
  <si>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</si>
  <si>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</si>
  <si>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</si>
  <si>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</si>
  <si>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</si>
  <si>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</si>
  <si>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</si>
  <si>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</si>
  <si>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</si>
  <si>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</si>
  <si>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</si>
  <si>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</si>
  <si>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</si>
  <si>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</si>
  <si>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</si>
  <si>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</si>
  <si>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</si>
  <si>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</si>
  <si>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</si>
  <si>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</si>
  <si>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</si>
  <si>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</si>
  <si>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</si>
  <si>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</si>
  <si>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</si>
  <si>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</si>
  <si>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</si>
  <si>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</si>
  <si>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</si>
  <si>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</si>
  <si>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</si>
  <si>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</si>
  <si>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</si>
  <si>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</si>
  <si>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</si>
  <si>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</si>
  <si>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</si>
  <si>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</si>
  <si>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</si>
  <si>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</si>
  <si>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</si>
  <si>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</si>
  <si>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</si>
  <si>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</si>
  <si>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</si>
  <si>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</si>
  <si>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</si>
  <si>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</si>
  <si>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</si>
  <si>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</si>
  <si>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</si>
  <si>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</si>
  <si>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</si>
  <si>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</si>
  <si>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</si>
  <si>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</si>
  <si>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</si>
  <si>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</si>
  <si>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</si>
  <si>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</si>
  <si>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</si>
  <si>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</si>
  <si>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</si>
  <si>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</si>
  <si>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</si>
  <si>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</si>
  <si>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</si>
  <si>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</si>
  <si>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</si>
  <si>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</si>
  <si>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</si>
  <si>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</si>
  <si>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</si>
  <si>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</si>
  <si>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</si>
  <si>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</si>
  <si>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</si>
  <si>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</si>
  <si>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</si>
  <si>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</si>
  <si>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</si>
  <si>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</si>
  <si>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</si>
  <si>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</si>
  <si>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</si>
  <si>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</si>
  <si>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</si>
  <si>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</si>
  <si>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</si>
  <si>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</si>
  <si>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</si>
  <si>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</si>
  <si>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</si>
  <si>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</si>
  <si>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</si>
  <si>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</si>
  <si>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</si>
  <si>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</si>
  <si>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</si>
  <si>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</si>
  <si>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</si>
  <si>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</si>
  <si>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</si>
  <si>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</si>
  <si>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</si>
  <si>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</si>
  <si>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</si>
  <si>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</si>
  <si>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</si>
  <si>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</si>
  <si>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</si>
  <si>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</si>
  <si>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</si>
  <si>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</si>
  <si>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</si>
  <si>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</si>
  <si>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</si>
  <si>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</si>
  <si>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</si>
  <si>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</si>
  <si>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</si>
  <si>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</si>
  <si>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</si>
  <si>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</si>
  <si>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</si>
  <si>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</si>
  <si>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</si>
  <si>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</si>
  <si>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</si>
  <si>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</si>
  <si>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</si>
  <si>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</si>
  <si>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</si>
  <si>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</si>
  <si>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</si>
  <si>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</si>
  <si>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</si>
  <si>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</si>
  <si>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</si>
  <si>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</si>
  <si>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</si>
  <si>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</si>
  <si>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</si>
  <si>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</si>
  <si>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</si>
  <si>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</si>
  <si>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</si>
  <si>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</si>
  <si>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</si>
  <si>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</si>
  <si>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</si>
  <si>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</si>
  <si>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</si>
  <si>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</si>
  <si>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</si>
  <si>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</si>
  <si>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</si>
  <si>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</si>
  <si>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</si>
  <si>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</si>
  <si>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</si>
  <si>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</si>
  <si>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</si>
  <si>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</si>
  <si>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</si>
  <si>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</si>
  <si>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</si>
  <si>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</si>
  <si>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</si>
  <si>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</si>
  <si>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</si>
  <si>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</si>
  <si>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</si>
  <si>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</si>
  <si>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</si>
  <si>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</si>
  <si>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</si>
  <si>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</si>
  <si>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</si>
  <si>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</si>
  <si>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</si>
  <si>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</si>
  <si>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</si>
  <si>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</si>
  <si>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</si>
  <si>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</si>
  <si>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</si>
  <si>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</si>
  <si>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</si>
  <si>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</si>
  <si>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</si>
  <si>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</si>
  <si>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</si>
  <si>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</si>
  <si>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</si>
  <si>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</si>
  <si>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</si>
  <si>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</si>
  <si>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</si>
  <si>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</si>
  <si>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</si>
  <si>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</si>
  <si>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</si>
  <si>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</si>
  <si>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</si>
  <si>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</si>
  <si>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</si>
  <si>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</si>
  <si>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</si>
  <si>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</si>
  <si>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</si>
  <si>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</si>
  <si>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</si>
  <si>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</si>
  <si>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</si>
  <si>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</si>
  <si>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</si>
  <si>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</si>
  <si>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</si>
  <si>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</si>
  <si>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</si>
  <si>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</si>
  <si>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</si>
  <si>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</si>
  <si>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</si>
  <si>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</si>
  <si>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</si>
  <si>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</si>
  <si>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</si>
  <si>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</si>
  <si>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</si>
  <si>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</si>
  <si>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</si>
  <si>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</si>
  <si>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</si>
  <si>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</si>
  <si>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</si>
  <si>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</si>
  <si>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</si>
  <si>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</si>
  <si>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</si>
  <si>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</si>
  <si>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</si>
  <si>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</si>
  <si>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</si>
  <si>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</si>
  <si>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</si>
  <si>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</si>
  <si>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</si>
  <si>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</si>
  <si>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</si>
  <si>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</si>
  <si>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</si>
  <si>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</si>
  <si>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</si>
  <si>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</si>
  <si>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</si>
  <si>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</si>
  <si>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</si>
  <si>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</si>
  <si>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</si>
  <si>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</si>
  <si>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</si>
  <si>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</si>
  <si>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</si>
  <si>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</si>
  <si>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</si>
  <si>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</si>
  <si>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</si>
  <si>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</si>
  <si>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</si>
  <si>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</si>
  <si>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</si>
  <si>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</si>
  <si>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</si>
  <si>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</si>
  <si>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</si>
  <si>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</si>
  <si>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</si>
  <si>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</si>
  <si>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</si>
  <si>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</si>
  <si>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</si>
  <si>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</si>
  <si>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</si>
  <si>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</si>
  <si>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</si>
  <si>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</si>
  <si>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</si>
  <si>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</si>
  <si>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</si>
  <si>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</si>
  <si>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</si>
  <si>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</si>
  <si>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</si>
  <si>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</si>
  <si>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</si>
  <si>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</si>
  <si>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</si>
  <si>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</si>
  <si>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</si>
  <si>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</si>
  <si>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</si>
  <si>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</si>
  <si>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</si>
  <si>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</si>
  <si>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</si>
  <si>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</si>
  <si>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</si>
  <si>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</si>
  <si>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</si>
  <si>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</si>
  <si>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</si>
  <si>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</si>
  <si>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</si>
  <si>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</si>
  <si>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</si>
  <si>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</si>
  <si>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</si>
  <si>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</si>
  <si>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</si>
  <si>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</si>
  <si>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</si>
  <si>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</si>
  <si>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</si>
  <si>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</si>
  <si>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</si>
  <si>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</si>
  <si>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</si>
  <si>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</si>
  <si>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</si>
  <si>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</si>
  <si>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</si>
  <si>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</si>
  <si>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</si>
  <si>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</si>
  <si>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</si>
  <si>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</si>
  <si>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</si>
  <si>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</si>
  <si>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</si>
  <si>
    <t>01-29617</t>
  </si>
  <si>
    <t>SLIDING JAW PROTECTION</t>
  </si>
  <si>
    <t>S33(10AGOSTO-16AGOSTO 2026)</t>
  </si>
  <si>
    <t>AUTO BORGES &amp; QUARESMA LDA</t>
  </si>
  <si>
    <t>LUIS SALDANHA - COMÉRCIO DE ACESSÓRIOS AUTO, LDA</t>
  </si>
  <si>
    <t>06-D0901</t>
  </si>
  <si>
    <t>MICRO SWITCH M12-618 180º FF4515</t>
  </si>
  <si>
    <t>43-F8090KMGL33W</t>
  </si>
  <si>
    <t>JANTE 8,0X19 5X112 ET33 KOMET GBMR</t>
  </si>
  <si>
    <t>43-F9090KMGL30W</t>
  </si>
  <si>
    <t>JANTE 9,0X19 5X112 ET33 KOMET GBMR</t>
  </si>
  <si>
    <t>34-N710D</t>
  </si>
  <si>
    <t>13-1010601610XX</t>
  </si>
  <si>
    <t>MAHLE - KIT CARPET (2) CAMERA 360º  (VAG)</t>
  </si>
  <si>
    <t>13-1010601612XX</t>
  </si>
  <si>
    <t>MAHLE - PAINEL FOR REAR AND 360º CAMERA (VAG)</t>
  </si>
  <si>
    <t>13-1010601666XX</t>
  </si>
  <si>
    <t>MAHLE - DIGITAL ADAS EASY PLACING KIT</t>
  </si>
  <si>
    <t>13-1010601733XX</t>
  </si>
  <si>
    <t>MAHLE - BLIND SPOT CALIBRATOR - DOPPLER VAG-MAZDA-PORSCHE</t>
  </si>
  <si>
    <t>13-72591</t>
  </si>
  <si>
    <t>MOBILIÁRIO P/ OFICINA 4 ELEMENTOS INOX</t>
  </si>
  <si>
    <t>ALTO S.JOÃO PNEUS - COM.PNEUS UNIPESSOAL, LDA</t>
  </si>
  <si>
    <t>ELVIRA DA CONCEIÇÃO FIDALGO DIAS</t>
  </si>
  <si>
    <t>HV PNEUS UNIPESSOAL 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</si>
</sst>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23">
    <xf numFmtId="0" fontId="0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5" applyNumberFormat="0" applyAlignment="0" applyProtection="0"/>
    <xf numFmtId="0" fontId="16" fillId="8" borderId="6" applyNumberFormat="0" applyAlignment="0" applyProtection="0"/>
    <xf numFmtId="0" fontId="17" fillId="8" borderId="5" applyNumberFormat="0" applyAlignment="0" applyProtection="0"/>
    <xf numFmtId="0" fontId="18" fillId="0" borderId="7" applyNumberFormat="0" applyFill="0" applyAlignment="0" applyProtection="0"/>
    <xf numFmtId="0" fontId="19" fillId="9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3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23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23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23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23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23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0" borderId="0"/>
    <xf numFmtId="0" fontId="5" fillId="10" borderId="9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20" borderId="0" applyNumberFormat="0" applyBorder="0" applyAlignment="0" applyProtection="0"/>
    <xf numFmtId="0" fontId="4" fillId="24" borderId="0" applyNumberFormat="0" applyBorder="0" applyAlignment="0" applyProtection="0"/>
    <xf numFmtId="0" fontId="4" fillId="28" borderId="0" applyNumberFormat="0" applyBorder="0" applyAlignment="0" applyProtection="0"/>
    <xf numFmtId="0" fontId="4" fillId="3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21" borderId="0" applyNumberFormat="0" applyBorder="0" applyAlignment="0" applyProtection="0"/>
    <xf numFmtId="0" fontId="4" fillId="25" borderId="0" applyNumberFormat="0" applyBorder="0" applyAlignment="0" applyProtection="0"/>
    <xf numFmtId="0" fontId="4" fillId="29" borderId="0" applyNumberFormat="0" applyBorder="0" applyAlignment="0" applyProtection="0"/>
    <xf numFmtId="0" fontId="4" fillId="3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22" borderId="0" applyNumberFormat="0" applyBorder="0" applyAlignment="0" applyProtection="0"/>
    <xf numFmtId="0" fontId="4" fillId="26" borderId="0" applyNumberFormat="0" applyBorder="0" applyAlignment="0" applyProtection="0"/>
    <xf numFmtId="0" fontId="4" fillId="30" borderId="0" applyNumberFormat="0" applyBorder="0" applyAlignment="0" applyProtection="0"/>
    <xf numFmtId="0" fontId="4" fillId="34" borderId="0" applyNumberFormat="0" applyBorder="0" applyAlignment="0" applyProtection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9">
    <xf numFmtId="0" fontId="0" fillId="0" borderId="0" xfId="0"/>
    <xf numFmtId="0" fontId="6" fillId="0" borderId="1" xfId="0" applyFont="1" applyBorder="1" applyAlignment="1">
      <alignment horizontal="center" vertical="top"/>
    </xf>
    <xf numFmtId="0" fontId="7" fillId="0" borderId="0" xfId="0" applyFont="1"/>
    <xf numFmtId="0" fontId="6" fillId="0" borderId="1" xfId="0" applyFont="1" applyBorder="1" applyAlignment="1">
      <alignment horizontal="left" vertical="top"/>
    </xf>
    <xf numFmtId="10" fontId="6" fillId="0" borderId="1" xfId="0" applyNumberFormat="1" applyFont="1" applyBorder="1" applyAlignment="1">
      <alignment horizontal="center" vertical="top"/>
    </xf>
    <xf numFmtId="10" fontId="7" fillId="0" borderId="0" xfId="0" applyNumberFormat="1" applyFont="1"/>
    <xf numFmtId="0" fontId="7" fillId="0" borderId="0" xfId="0" applyFont="1" applyAlignment="1">
      <alignment horizontal="left"/>
    </xf>
    <xf numFmtId="3" fontId="7" fillId="0" borderId="0" xfId="0" applyNumberFormat="1" applyFont="1"/>
    <xf numFmtId="1" fontId="7" fillId="0" borderId="0" xfId="0" applyNumberFormat="1" applyFont="1"/>
    <xf numFmtId="2" fontId="7" fillId="0" borderId="0" xfId="0" applyNumberFormat="1" applyFont="1"/>
    <xf numFmtId="4" fontId="7" fillId="0" borderId="0" xfId="0" applyNumberFormat="1" applyFont="1"/>
    <xf numFmtId="1" fontId="6" fillId="0" borderId="1" xfId="0" applyNumberFormat="1" applyFont="1" applyBorder="1" applyAlignment="1">
      <alignment horizontal="center" vertical="top"/>
    </xf>
    <xf numFmtId="166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0" fontId="7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0" fontId="7" fillId="2" borderId="0" xfId="0" applyFont="1" applyFill="1"/>
    <xf numFmtId="10" fontId="7" fillId="2" borderId="0" xfId="0" applyNumberFormat="1" applyFont="1" applyFill="1"/>
    <xf numFmtId="10" fontId="7" fillId="3" borderId="0" xfId="0" applyNumberFormat="1" applyFont="1" applyFill="1"/>
    <xf numFmtId="10" fontId="7" fillId="0" borderId="0" xfId="0" quotePrefix="1" applyNumberFormat="1" applyFont="1"/>
    <xf numFmtId="164" fontId="7" fillId="0" borderId="0" xfId="41" applyNumberFormat="1" applyFont="1"/>
    <xf numFmtId="165" fontId="7" fillId="0" borderId="0" xfId="41" applyNumberFormat="1" applyFont="1"/>
    <xf numFmtId="0" fontId="7" fillId="0" borderId="0" xfId="41" applyFont="1"/>
    <xf numFmtId="0" fontId="7" fillId="0" borderId="0" xfId="43" applyFont="1"/>
    <xf numFmtId="164" fontId="7" fillId="0" borderId="0" xfId="43" applyNumberFormat="1" applyFont="1"/>
    <xf numFmtId="165" fontId="7" fillId="0" borderId="0" xfId="43" applyNumberFormat="1" applyFont="1"/>
    <xf numFmtId="165" fontId="7" fillId="0" borderId="0" xfId="63" applyNumberFormat="1" applyFont="1"/>
    <xf numFmtId="164" fontId="7" fillId="0" borderId="0" xfId="63" applyNumberFormat="1" applyFont="1"/>
    <xf numFmtId="0" fontId="7" fillId="0" borderId="0" xfId="63" applyFont="1"/>
    <xf numFmtId="0" fontId="7" fillId="0" borderId="0" xfId="83" applyFont="1" applyAlignment="1">
      <alignment horizontal="left"/>
    </xf>
    <xf numFmtId="165" fontId="7" fillId="0" borderId="0" xfId="83" applyNumberFormat="1" applyFont="1"/>
    <xf numFmtId="164" fontId="7" fillId="0" borderId="0" xfId="83" applyNumberFormat="1" applyFont="1"/>
    <xf numFmtId="0" fontId="7" fillId="0" borderId="0" xfId="83" applyFont="1"/>
    <xf numFmtId="10" fontId="7" fillId="35" borderId="0" xfId="0" applyNumberFormat="1" applyFont="1" applyFill="1"/>
    <xf numFmtId="0" fontId="7" fillId="0" borderId="0" xfId="0" quotePrefix="1" applyFont="1"/>
    <xf numFmtId="165" fontId="7" fillId="0" borderId="0" xfId="103" applyNumberFormat="1" applyFont="1"/>
    <xf numFmtId="164" fontId="7" fillId="0" borderId="0" xfId="103" applyNumberFormat="1" applyFont="1"/>
    <xf numFmtId="0" fontId="7" fillId="0" borderId="0" xfId="103" applyFont="1"/>
  </cellXfs>
  <cellStyles count="12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1 5" xfId="104" xr:uid="{22FE02A8-0FD9-4E1E-869A-45933E9222A9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2 5" xfId="105" xr:uid="{EDB1271F-F600-4B6E-A4AD-BFBC01171D01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3 5" xfId="106" xr:uid="{1A505234-F2D1-4A3A-AF38-30D44F61D4A9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4 5" xfId="107" xr:uid="{7D92215D-F3FE-427F-B84D-5F79A6ECCDA0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5 5" xfId="108" xr:uid="{283BC2D0-E23B-4748-806B-F91CA8DA0740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20% - Cor6 5" xfId="109" xr:uid="{45F2FB2C-4439-4667-BCB4-14BCF5672936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1 5" xfId="110" xr:uid="{053C8D7B-94F9-4E6C-872B-7EB436199123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2 5" xfId="111" xr:uid="{5AFBE016-04A6-4C63-80D3-B5FD287A9B09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3 5" xfId="112" xr:uid="{85A4074A-CE1C-447D-B44A-C9EC521DD438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4 5" xfId="113" xr:uid="{2B1EE99C-D9BB-4BB2-B31D-E6F7877930A3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5 5" xfId="114" xr:uid="{2EF33601-90B9-4B6A-97CE-86F1F9C33F8A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40% - Cor6 5" xfId="115" xr:uid="{AF48085B-7D39-46C2-836E-1D3B71832DA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1 5" xfId="116" xr:uid="{042357D4-4830-4249-AA99-887C5092393E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2 5" xfId="117" xr:uid="{06D19CA2-41A0-4B6E-B8DC-5C8E5EC7923D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3 5" xfId="118" xr:uid="{DDDF5DCB-D230-44E5-9602-66CF0F737C71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4 5" xfId="119" xr:uid="{1752A036-3361-4679-BEFD-AB6C44947C77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5 5" xfId="120" xr:uid="{CC0A51E1-5570-4DF4-BC08-FA3F52C922C4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60% - Cor6 5" xfId="121" xr:uid="{F1818A29-5CC3-4C4F-A1D7-3DD1A4E00305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rmal 6" xfId="103" xr:uid="{AF95ED34-2394-4627-8866-5F3E8E8FA329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Nota 6" xfId="122" xr:uid="{8CFDDC76-CE12-4A75-8200-8EDE6BDEF29F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707"/>
  <sheetViews>
    <sheetView tabSelected="1" topLeftCell="T1" workbookViewId="0">
      <pane ySplit="1" topLeftCell="A4662" activePane="bottomLeft" state="frozen"/>
      <selection pane="bottomLeft" activeCell="AH4685" sqref="AH4685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3268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3268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3268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3268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C29" s="2" t="s">
        <v>3454</v>
      </c>
      <c r="D29" s="2" t="s">
        <v>143</v>
      </c>
      <c r="E29" s="2" t="s">
        <v>183</v>
      </c>
      <c r="F29" s="2" t="s">
        <v>366</v>
      </c>
      <c r="L29" s="2" t="s">
        <v>398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C30" s="2" t="s">
        <v>3454</v>
      </c>
      <c r="D30" s="2" t="s">
        <v>143</v>
      </c>
      <c r="E30" s="2" t="s">
        <v>183</v>
      </c>
      <c r="F30" s="2" t="s">
        <v>366</v>
      </c>
      <c r="L30" s="2" t="s">
        <v>398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3400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3400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3400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3400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3268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3455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3305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3488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3488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3488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3488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3488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3488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3305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3501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3488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3454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3454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3305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3454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3454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3454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3454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3454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3454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3454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3454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3501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3400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3400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3488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3488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3378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3454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3454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3454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3454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3378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3378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3330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3330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3305</v>
      </c>
      <c r="D183" s="2" t="s">
        <v>3328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3454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3378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3305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3305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3436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3330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3454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3454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3305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3305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3305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3305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3305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3454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3454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3400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3306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3306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3306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3487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3378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3306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3306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3302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3369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3302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3369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C445" s="2" t="s">
        <v>3470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C446" s="2" t="s">
        <v>3470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C447" s="2" t="s">
        <v>3470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3306</v>
      </c>
      <c r="D455" s="2" t="s">
        <v>3304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3303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3302</v>
      </c>
      <c r="D456" s="2" t="s">
        <v>3301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3300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3306</v>
      </c>
      <c r="D457" s="2" t="s">
        <v>3304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3303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3306</v>
      </c>
      <c r="D458" s="2" t="s">
        <v>3307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3302</v>
      </c>
      <c r="D459" s="2" t="s">
        <v>3301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3300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3378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3378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C472" s="2" t="s">
        <v>3400</v>
      </c>
      <c r="D472" s="2" t="s">
        <v>850</v>
      </c>
      <c r="E472" s="2" t="s">
        <v>183</v>
      </c>
      <c r="F472" s="2" t="s">
        <v>3529</v>
      </c>
      <c r="L472" s="2" t="s">
        <v>293</v>
      </c>
      <c r="M472" s="2" t="s">
        <v>80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3380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3306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3470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3470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3378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3400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3400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3400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3400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3471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3455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3455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3487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E576" s="2" t="s">
        <v>38</v>
      </c>
      <c r="G576" s="2">
        <v>502714913</v>
      </c>
      <c r="H576" s="2" t="s">
        <v>40</v>
      </c>
      <c r="I576" s="2" t="s">
        <v>371</v>
      </c>
      <c r="J576" s="2" t="s">
        <v>1987</v>
      </c>
      <c r="L576" s="2" t="s">
        <v>177</v>
      </c>
      <c r="M576" s="2" t="s">
        <v>80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E577" s="2" t="s">
        <v>38</v>
      </c>
      <c r="G577" s="2">
        <v>502714913</v>
      </c>
      <c r="H577" s="2" t="s">
        <v>40</v>
      </c>
      <c r="I577" s="2" t="s">
        <v>371</v>
      </c>
      <c r="J577" s="2" t="s">
        <v>1987</v>
      </c>
      <c r="L577" s="2" t="s">
        <v>177</v>
      </c>
      <c r="M577" s="2" t="s">
        <v>80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3378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3505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3330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3378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3455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3455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3381</v>
      </c>
      <c r="AB673" s="2" t="s">
        <v>3382</v>
      </c>
      <c r="AC673" s="2" t="s">
        <v>3383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3455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3455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3455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3500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3500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3378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3452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3452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3455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3455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3330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3378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C765" s="2" t="s">
        <v>3406</v>
      </c>
      <c r="D765" s="2" t="s">
        <v>143</v>
      </c>
      <c r="E765" s="2" t="s">
        <v>183</v>
      </c>
      <c r="F765" s="2" t="s">
        <v>366</v>
      </c>
      <c r="L765" s="2" t="s">
        <v>398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C766" s="2" t="s">
        <v>3406</v>
      </c>
      <c r="D766" s="2" t="s">
        <v>143</v>
      </c>
      <c r="E766" s="2" t="s">
        <v>183</v>
      </c>
      <c r="F766" s="2" t="s">
        <v>366</v>
      </c>
      <c r="L766" s="2" t="s">
        <v>398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3406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3320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3320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3320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3378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3309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3309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3309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3506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3506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3506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3506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3506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3506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3506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3506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3500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3500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3406</v>
      </c>
      <c r="D838" s="2" t="s">
        <v>3404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3406</v>
      </c>
      <c r="D839" s="2" t="s">
        <v>3404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3406</v>
      </c>
      <c r="D840" s="2" t="s">
        <v>3404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3406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3406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3309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3406</v>
      </c>
      <c r="D862" s="15" t="s">
        <v>3335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3406</v>
      </c>
      <c r="D863" s="15" t="s">
        <v>3335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3378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3309</v>
      </c>
      <c r="D866" s="2" t="s">
        <v>3308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3309</v>
      </c>
      <c r="D867" s="2" t="s">
        <v>3310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3378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C879" s="2" t="s">
        <v>3506</v>
      </c>
      <c r="D879" s="2" t="s">
        <v>1255</v>
      </c>
      <c r="E879" s="2" t="s">
        <v>108</v>
      </c>
      <c r="F879" s="2" t="s">
        <v>39</v>
      </c>
      <c r="G879" s="2">
        <v>513777377</v>
      </c>
      <c r="H879" s="2" t="s">
        <v>290</v>
      </c>
      <c r="I879" s="2" t="s">
        <v>2711</v>
      </c>
      <c r="J879" s="2" t="s">
        <v>2712</v>
      </c>
      <c r="K879" s="2">
        <v>935047029</v>
      </c>
      <c r="L879" s="2" t="s">
        <v>446</v>
      </c>
      <c r="M879" s="2" t="s">
        <v>80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C880" s="2" t="s">
        <v>3506</v>
      </c>
      <c r="D880" s="2" t="s">
        <v>1255</v>
      </c>
      <c r="E880" s="2" t="s">
        <v>108</v>
      </c>
      <c r="F880" s="2" t="s">
        <v>39</v>
      </c>
      <c r="G880" s="2">
        <v>513777377</v>
      </c>
      <c r="H880" s="2" t="s">
        <v>290</v>
      </c>
      <c r="I880" s="2" t="s">
        <v>2711</v>
      </c>
      <c r="J880" s="2" t="s">
        <v>2712</v>
      </c>
      <c r="K880" s="2">
        <v>935047029</v>
      </c>
      <c r="L880" s="2" t="s">
        <v>446</v>
      </c>
      <c r="M880" s="2" t="s">
        <v>80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2565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2565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3406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3378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3406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3406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3500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3500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3406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3406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3500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3500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3406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3406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3379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3406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3406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3406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3378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3395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3406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3320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3320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3323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3323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M988" s="2" t="s">
        <v>40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3330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3296</v>
      </c>
      <c r="D1005" s="2" t="s">
        <v>1372</v>
      </c>
      <c r="E1005" s="2" t="s">
        <v>38</v>
      </c>
      <c r="F1005" s="2" t="s">
        <v>39</v>
      </c>
      <c r="I1005" s="2" t="s">
        <v>3297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3296</v>
      </c>
      <c r="D1006" s="2" t="s">
        <v>1372</v>
      </c>
      <c r="E1006" s="2" t="s">
        <v>38</v>
      </c>
      <c r="F1006" s="2" t="s">
        <v>39</v>
      </c>
      <c r="I1006" s="2" t="s">
        <v>3297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3295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C1028" s="2" t="s">
        <v>3313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3323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3313</v>
      </c>
      <c r="D1037" s="2" t="s">
        <v>1388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3323</v>
      </c>
      <c r="D1044" s="15" t="s">
        <v>3335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3323</v>
      </c>
      <c r="D1045" s="15" t="s">
        <v>3335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3313</v>
      </c>
      <c r="D1046" s="2" t="s">
        <v>3312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3296</v>
      </c>
      <c r="D1047" s="2" t="s">
        <v>3311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3296</v>
      </c>
      <c r="D1048" s="2" t="s">
        <v>3311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3296</v>
      </c>
      <c r="D1049" s="2" t="s">
        <v>3311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C1051" s="2" t="s">
        <v>3296</v>
      </c>
      <c r="D1051" s="2" t="s">
        <v>1255</v>
      </c>
      <c r="E1051" s="2" t="s">
        <v>108</v>
      </c>
      <c r="F1051" s="2" t="s">
        <v>39</v>
      </c>
      <c r="G1051" s="2">
        <v>513777377</v>
      </c>
      <c r="H1051" s="2" t="s">
        <v>290</v>
      </c>
      <c r="I1051" s="2" t="s">
        <v>2711</v>
      </c>
      <c r="J1051" s="2" t="s">
        <v>2712</v>
      </c>
      <c r="K1051" s="2">
        <v>935047029</v>
      </c>
      <c r="L1051" s="2" t="s">
        <v>446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C1052" s="2" t="s">
        <v>3296</v>
      </c>
      <c r="D1052" s="2" t="s">
        <v>1255</v>
      </c>
      <c r="E1052" s="2" t="s">
        <v>108</v>
      </c>
      <c r="F1052" s="2" t="s">
        <v>39</v>
      </c>
      <c r="G1052" s="2">
        <v>513777377</v>
      </c>
      <c r="H1052" s="2" t="s">
        <v>290</v>
      </c>
      <c r="I1052" s="2" t="s">
        <v>2711</v>
      </c>
      <c r="J1052" s="2" t="s">
        <v>2712</v>
      </c>
      <c r="K1052" s="2">
        <v>935047029</v>
      </c>
      <c r="L1052" s="2" t="s">
        <v>446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3313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3378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3313</v>
      </c>
      <c r="D1060" s="2" t="s">
        <v>1398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3313</v>
      </c>
      <c r="D1061" s="2" t="s">
        <v>1398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3296</v>
      </c>
      <c r="D1075" s="2" t="s">
        <v>1412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3507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3507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3507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3507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3507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3296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3330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3417</v>
      </c>
      <c r="F1118" s="2" t="s">
        <v>3418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3378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3406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3406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3313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3323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3323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3378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3378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3468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3468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1464</v>
      </c>
      <c r="J1176" s="2" t="s">
        <v>1465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3412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3398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3398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3468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3502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3412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3412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3412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3422</v>
      </c>
      <c r="D1217" s="2" t="s">
        <v>3484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3398</v>
      </c>
      <c r="D1218" s="2" t="s">
        <v>3484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3422</v>
      </c>
      <c r="D1219" s="2" t="s">
        <v>3484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3412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3378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1520</v>
      </c>
      <c r="J1260" s="2" t="s">
        <v>1521</v>
      </c>
      <c r="K1260" s="2">
        <v>962461409</v>
      </c>
      <c r="L1260" s="2" t="s">
        <v>344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1520</v>
      </c>
      <c r="J1261" s="2" t="s">
        <v>1521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3401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3401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3401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3401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3422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3422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3422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3422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3314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3378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3330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3330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3399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3330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3330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3378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3378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1556</v>
      </c>
      <c r="J1307" s="2" t="s">
        <v>1557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3397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3397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3330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3330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3379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3397</v>
      </c>
      <c r="D1336" s="2" t="s">
        <v>1575</v>
      </c>
      <c r="E1336" s="2" t="s">
        <v>38</v>
      </c>
      <c r="G1336" s="2">
        <v>505123177</v>
      </c>
      <c r="H1336" s="2" t="s">
        <v>109</v>
      </c>
      <c r="I1336" s="2" t="s">
        <v>2519</v>
      </c>
      <c r="J1336" s="2" t="s">
        <v>2520</v>
      </c>
      <c r="L1336" s="2" t="s">
        <v>398</v>
      </c>
      <c r="M1336" s="2" t="s">
        <v>40</v>
      </c>
      <c r="P1336" s="2" t="s">
        <v>114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3397</v>
      </c>
      <c r="D1337" s="2" t="s">
        <v>1575</v>
      </c>
      <c r="E1337" s="2" t="s">
        <v>38</v>
      </c>
      <c r="G1337" s="2">
        <v>505123177</v>
      </c>
      <c r="H1337" s="2" t="s">
        <v>109</v>
      </c>
      <c r="I1337" s="2" t="s">
        <v>2519</v>
      </c>
      <c r="J1337" s="2" t="s">
        <v>2520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3314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3378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C1347" s="2" t="s">
        <v>3314</v>
      </c>
      <c r="D1347" s="2" t="s">
        <v>850</v>
      </c>
      <c r="E1347" s="2" t="s">
        <v>183</v>
      </c>
      <c r="F1347" s="2" t="s">
        <v>3529</v>
      </c>
      <c r="L1347" s="2" t="s">
        <v>293</v>
      </c>
      <c r="M1347" s="2" t="s">
        <v>80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C1348" s="2" t="s">
        <v>3314</v>
      </c>
      <c r="D1348" s="2" t="s">
        <v>850</v>
      </c>
      <c r="E1348" s="2" t="s">
        <v>183</v>
      </c>
      <c r="F1348" s="2" t="s">
        <v>3529</v>
      </c>
      <c r="L1348" s="2" t="s">
        <v>293</v>
      </c>
      <c r="M1348" s="2" t="s">
        <v>80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C1349" s="2" t="s">
        <v>3314</v>
      </c>
      <c r="D1349" s="2" t="s">
        <v>850</v>
      </c>
      <c r="E1349" s="2" t="s">
        <v>183</v>
      </c>
      <c r="F1349" s="2" t="s">
        <v>3529</v>
      </c>
      <c r="L1349" s="2" t="s">
        <v>293</v>
      </c>
      <c r="M1349" s="2" t="s">
        <v>80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E1374" s="2" t="s">
        <v>38</v>
      </c>
      <c r="F1374" s="2" t="s">
        <v>39</v>
      </c>
      <c r="L1374" s="2" t="s">
        <v>571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3399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3330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3330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3378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3378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3398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3299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3299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3330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3330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M1458" s="2" t="s">
        <v>109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3378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3422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3422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3422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3422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3422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3422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3391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3391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3391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3391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3415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3378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3415</v>
      </c>
      <c r="D1502" s="2" t="s">
        <v>3414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3415</v>
      </c>
      <c r="D1503" s="2" t="s">
        <v>3414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3415</v>
      </c>
      <c r="D1504" s="2" t="s">
        <v>3414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3415</v>
      </c>
      <c r="D1505" s="2" t="s">
        <v>3414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3415</v>
      </c>
      <c r="D1506" s="2" t="s">
        <v>3414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3322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3378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3415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A1526" s="2" t="s">
        <v>118</v>
      </c>
      <c r="AB1526" s="2" t="s">
        <v>119</v>
      </c>
      <c r="AC1526" s="2" t="s">
        <v>114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3322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3391</v>
      </c>
      <c r="D1539" s="2" t="s">
        <v>3405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3391</v>
      </c>
      <c r="D1540" s="2" t="s">
        <v>3405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3391</v>
      </c>
      <c r="D1541" s="2" t="s">
        <v>3405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3391</v>
      </c>
      <c r="D1542" s="2" t="s">
        <v>3405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3391</v>
      </c>
      <c r="D1543" s="2" t="s">
        <v>3405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3391</v>
      </c>
      <c r="D1544" s="2" t="s">
        <v>3405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M1546" s="2" t="s">
        <v>40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3415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3389</v>
      </c>
      <c r="D1567" s="15" t="s">
        <v>3335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3389</v>
      </c>
      <c r="D1568" s="15" t="s">
        <v>3335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C1583" s="2" t="s">
        <v>3322</v>
      </c>
      <c r="D1583" s="2" t="s">
        <v>850</v>
      </c>
      <c r="E1583" s="2" t="s">
        <v>183</v>
      </c>
      <c r="F1583" s="2" t="s">
        <v>3529</v>
      </c>
      <c r="L1583" s="2" t="s">
        <v>293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C1584" s="2" t="s">
        <v>3322</v>
      </c>
      <c r="D1584" s="2" t="s">
        <v>850</v>
      </c>
      <c r="E1584" s="2" t="s">
        <v>183</v>
      </c>
      <c r="F1584" s="2" t="s">
        <v>3529</v>
      </c>
      <c r="L1584" s="2" t="s">
        <v>293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C1585" s="2" t="s">
        <v>3322</v>
      </c>
      <c r="D1585" s="2" t="s">
        <v>850</v>
      </c>
      <c r="E1585" s="2" t="s">
        <v>183</v>
      </c>
      <c r="F1585" s="2" t="s">
        <v>3529</v>
      </c>
      <c r="L1585" s="2" t="s">
        <v>293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E1592" s="2" t="s">
        <v>38</v>
      </c>
      <c r="F1592" s="2" t="s">
        <v>39</v>
      </c>
      <c r="L1592" s="2" t="s">
        <v>571</v>
      </c>
      <c r="M1592" s="2" t="s">
        <v>40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W1592" s="2">
        <v>26.77</v>
      </c>
      <c r="X1592" s="5">
        <f t="shared" si="241"/>
        <v>0.53733148980297274</v>
      </c>
      <c r="Z1592" s="2" t="s">
        <v>117</v>
      </c>
      <c r="AA1592" s="2" t="s">
        <v>118</v>
      </c>
      <c r="AB1592" s="2" t="s">
        <v>119</v>
      </c>
      <c r="AC1592" s="2" t="s">
        <v>114</v>
      </c>
      <c r="AF1592" s="2">
        <f t="shared" si="231"/>
        <v>0</v>
      </c>
      <c r="AJ1592" s="2">
        <f t="shared" si="232"/>
        <v>0</v>
      </c>
      <c r="AK1592" s="2">
        <f t="shared" si="239"/>
        <v>31.09</v>
      </c>
      <c r="AL1592" s="5">
        <f t="shared" si="242"/>
        <v>0.53733148980297274</v>
      </c>
    </row>
    <row r="1593" spans="1:38" x14ac:dyDescent="0.2">
      <c r="A1593" s="2">
        <v>2025</v>
      </c>
      <c r="B1593" s="2">
        <v>6</v>
      </c>
      <c r="D1593" s="2" t="s">
        <v>1590</v>
      </c>
      <c r="E1593" s="2" t="s">
        <v>38</v>
      </c>
      <c r="F1593" s="2" t="s">
        <v>39</v>
      </c>
      <c r="L1593" s="2" t="s">
        <v>571</v>
      </c>
      <c r="M1593" s="2" t="s">
        <v>40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W1593" s="2">
        <v>21.32</v>
      </c>
      <c r="X1593" s="5">
        <f t="shared" si="241"/>
        <v>0.67320662170447576</v>
      </c>
      <c r="Z1593" s="2" t="s">
        <v>117</v>
      </c>
      <c r="AA1593" s="2" t="s">
        <v>118</v>
      </c>
      <c r="AB1593" s="2" t="s">
        <v>119</v>
      </c>
      <c r="AC1593" s="2" t="s">
        <v>114</v>
      </c>
      <c r="AF1593" s="2">
        <f t="shared" si="231"/>
        <v>0</v>
      </c>
      <c r="AJ1593" s="2">
        <f t="shared" si="232"/>
        <v>0</v>
      </c>
      <c r="AK1593" s="2">
        <f t="shared" si="239"/>
        <v>43.919999999999995</v>
      </c>
      <c r="AL1593" s="5">
        <f t="shared" si="242"/>
        <v>0.67320662170447576</v>
      </c>
    </row>
    <row r="1594" spans="1:38" x14ac:dyDescent="0.2">
      <c r="A1594" s="2">
        <v>2025</v>
      </c>
      <c r="B1594" s="2">
        <v>6</v>
      </c>
      <c r="D1594" s="2" t="s">
        <v>1590</v>
      </c>
      <c r="E1594" s="2" t="s">
        <v>38</v>
      </c>
      <c r="F1594" s="2" t="s">
        <v>39</v>
      </c>
      <c r="L1594" s="2" t="s">
        <v>571</v>
      </c>
      <c r="M1594" s="2" t="s">
        <v>40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3389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3391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3378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3316</v>
      </c>
      <c r="D1645" s="2" t="s">
        <v>1750</v>
      </c>
      <c r="E1645" s="2" t="s">
        <v>38</v>
      </c>
      <c r="F1645" s="2" t="s">
        <v>39</v>
      </c>
      <c r="I1645" s="2" t="s">
        <v>3386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3316</v>
      </c>
      <c r="D1646" s="2" t="s">
        <v>1750</v>
      </c>
      <c r="E1646" s="2" t="s">
        <v>38</v>
      </c>
      <c r="F1646" s="2" t="s">
        <v>39</v>
      </c>
      <c r="I1646" s="2" t="s">
        <v>3386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3316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3316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3489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3489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3489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3378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3489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3489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3408</v>
      </c>
      <c r="D1693" s="2" t="s">
        <v>1785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3489</v>
      </c>
      <c r="D1694" s="2" t="s">
        <v>1788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3378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3408</v>
      </c>
      <c r="D1702" s="2" t="s">
        <v>3407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3401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3399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3330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3330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3330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C1731" s="2" t="s">
        <v>3316</v>
      </c>
      <c r="D1731" s="2" t="s">
        <v>816</v>
      </c>
      <c r="E1731" s="2" t="s">
        <v>38</v>
      </c>
      <c r="F1731" s="2" t="s">
        <v>39</v>
      </c>
      <c r="L1731" s="2" t="s">
        <v>480</v>
      </c>
      <c r="M1731" s="2" t="s">
        <v>41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3403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3489</v>
      </c>
      <c r="D1734" s="2" t="s">
        <v>1388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3489</v>
      </c>
      <c r="D1735" s="2" t="s">
        <v>1388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3489</v>
      </c>
      <c r="D1736" s="2" t="s">
        <v>1388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3487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3489</v>
      </c>
      <c r="D1737" s="2" t="s">
        <v>1388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3316</v>
      </c>
      <c r="D1741" s="2" t="s">
        <v>3315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2565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2565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C1749" s="2" t="s">
        <v>3408</v>
      </c>
      <c r="D1749" s="2" t="s">
        <v>850</v>
      </c>
      <c r="E1749" s="2" t="s">
        <v>183</v>
      </c>
      <c r="F1749" s="2" t="s">
        <v>3529</v>
      </c>
      <c r="L1749" s="2" t="s">
        <v>293</v>
      </c>
      <c r="M1749" s="2" t="s">
        <v>80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C1750" s="2" t="s">
        <v>3408</v>
      </c>
      <c r="D1750" s="2" t="s">
        <v>850</v>
      </c>
      <c r="E1750" s="2" t="s">
        <v>183</v>
      </c>
      <c r="F1750" s="2" t="s">
        <v>3529</v>
      </c>
      <c r="L1750" s="2" t="s">
        <v>293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C1751" s="2" t="s">
        <v>3408</v>
      </c>
      <c r="D1751" s="2" t="s">
        <v>850</v>
      </c>
      <c r="E1751" s="2" t="s">
        <v>183</v>
      </c>
      <c r="F1751" s="2" t="s">
        <v>3529</v>
      </c>
      <c r="L1751" s="2" t="s">
        <v>293</v>
      </c>
      <c r="M1751" s="2" t="s">
        <v>80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3469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E1766" s="2" t="s">
        <v>38</v>
      </c>
      <c r="F1766" s="2" t="s">
        <v>39</v>
      </c>
      <c r="L1766" s="2" t="s">
        <v>571</v>
      </c>
      <c r="M1766" s="2" t="s">
        <v>40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W1766" s="2">
        <v>21.32</v>
      </c>
      <c r="X1766" s="5">
        <f t="shared" ref="X1766:X1787" si="269">(T1766-W1766)/T1766</f>
        <v>0.54239107104528872</v>
      </c>
      <c r="Z1766" s="2" t="s">
        <v>117</v>
      </c>
      <c r="AA1766" s="2" t="s">
        <v>118</v>
      </c>
      <c r="AB1766" s="2" t="s">
        <v>119</v>
      </c>
      <c r="AC1766" s="2" t="s">
        <v>114</v>
      </c>
      <c r="AF1766" s="2">
        <f t="shared" si="261"/>
        <v>0</v>
      </c>
      <c r="AJ1766" s="2">
        <f t="shared" si="262"/>
        <v>0</v>
      </c>
      <c r="AK1766" s="2">
        <f t="shared" si="268"/>
        <v>25.270000000000003</v>
      </c>
      <c r="AL1766" s="5">
        <f t="shared" si="267"/>
        <v>0.54239107104528872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3469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3316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3409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3411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3409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3409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3330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3409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3409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3411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3411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3411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3411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3378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3486</v>
      </c>
      <c r="D1862" s="2" t="s">
        <v>3484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3486</v>
      </c>
      <c r="D1863" s="2" t="s">
        <v>3484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3402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3402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3486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3402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3402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3402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3402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3402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3402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3402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3411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3330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3330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3486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3486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3486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3402</v>
      </c>
      <c r="D1934" s="2" t="s">
        <v>3460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3402</v>
      </c>
      <c r="D1935" s="2" t="s">
        <v>3460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3402</v>
      </c>
      <c r="D1936" s="2" t="s">
        <v>3460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3402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3402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3402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3402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3486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3486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3486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3411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3330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3330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3411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3409</v>
      </c>
      <c r="D1984" s="2" t="s">
        <v>1943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3299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3299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3330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3330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3409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3330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3378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3451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3451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3451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C2054" s="2" t="s">
        <v>3440</v>
      </c>
      <c r="D2054" s="2" t="s">
        <v>143</v>
      </c>
      <c r="E2054" s="2" t="s">
        <v>183</v>
      </c>
      <c r="F2054" s="2" t="s">
        <v>366</v>
      </c>
      <c r="L2054" s="2" t="s">
        <v>398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C2055" s="2" t="s">
        <v>3392</v>
      </c>
      <c r="D2055" s="2" t="s">
        <v>143</v>
      </c>
      <c r="E2055" s="2" t="s">
        <v>183</v>
      </c>
      <c r="F2055" s="2" t="s">
        <v>366</v>
      </c>
      <c r="L2055" s="2" t="s">
        <v>398</v>
      </c>
      <c r="M2055" s="2" t="s">
        <v>80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C2056" s="2" t="s">
        <v>3451</v>
      </c>
      <c r="D2056" s="2" t="s">
        <v>143</v>
      </c>
      <c r="E2056" s="2" t="s">
        <v>183</v>
      </c>
      <c r="F2056" s="2" t="s">
        <v>366</v>
      </c>
      <c r="L2056" s="2" t="s">
        <v>398</v>
      </c>
      <c r="M2056" s="2" t="s">
        <v>80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C2057" s="2" t="s">
        <v>3440</v>
      </c>
      <c r="D2057" s="2" t="s">
        <v>143</v>
      </c>
      <c r="E2057" s="2" t="s">
        <v>183</v>
      </c>
      <c r="F2057" s="2" t="s">
        <v>366</v>
      </c>
      <c r="L2057" s="2" t="s">
        <v>398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C2058" s="2" t="s">
        <v>3440</v>
      </c>
      <c r="D2058" s="2" t="s">
        <v>143</v>
      </c>
      <c r="E2058" s="2" t="s">
        <v>183</v>
      </c>
      <c r="F2058" s="2" t="s">
        <v>366</v>
      </c>
      <c r="L2058" s="2" t="s">
        <v>398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C2059" s="2" t="s">
        <v>3451</v>
      </c>
      <c r="D2059" s="2" t="s">
        <v>143</v>
      </c>
      <c r="E2059" s="2" t="s">
        <v>183</v>
      </c>
      <c r="F2059" s="2" t="s">
        <v>366</v>
      </c>
      <c r="L2059" s="2" t="s">
        <v>398</v>
      </c>
      <c r="M2059" s="2" t="s">
        <v>80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C2060" s="2" t="s">
        <v>3451</v>
      </c>
      <c r="D2060" s="2" t="s">
        <v>143</v>
      </c>
      <c r="E2060" s="2" t="s">
        <v>183</v>
      </c>
      <c r="F2060" s="2" t="s">
        <v>366</v>
      </c>
      <c r="L2060" s="2" t="s">
        <v>398</v>
      </c>
      <c r="M2060" s="2" t="s">
        <v>80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C2061" s="2" t="s">
        <v>3440</v>
      </c>
      <c r="D2061" s="2" t="s">
        <v>143</v>
      </c>
      <c r="E2061" s="2" t="s">
        <v>183</v>
      </c>
      <c r="F2061" s="2" t="s">
        <v>366</v>
      </c>
      <c r="L2061" s="2" t="s">
        <v>398</v>
      </c>
      <c r="M2061" s="2" t="s">
        <v>40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3378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3440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3440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3440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3378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3411</v>
      </c>
      <c r="D2079" s="2" t="s">
        <v>3484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3392</v>
      </c>
      <c r="D2080" s="2" t="s">
        <v>3484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3381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E2084" s="2" t="s">
        <v>38</v>
      </c>
      <c r="G2084" s="2">
        <v>502714913</v>
      </c>
      <c r="H2084" s="2" t="s">
        <v>40</v>
      </c>
      <c r="I2084" s="2" t="s">
        <v>371</v>
      </c>
      <c r="J2084" s="2" t="s">
        <v>1987</v>
      </c>
      <c r="L2084" s="2" t="s">
        <v>177</v>
      </c>
      <c r="M2084" s="2" t="s">
        <v>80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3378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3438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3279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3438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3279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3330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3330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3440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3440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3440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3440</v>
      </c>
      <c r="D2125" s="2" t="s">
        <v>2007</v>
      </c>
      <c r="E2125" s="2" t="s">
        <v>38</v>
      </c>
      <c r="F2125" s="2" t="s">
        <v>39</v>
      </c>
      <c r="L2125" s="2" t="s">
        <v>99</v>
      </c>
      <c r="M2125" s="2" t="s">
        <v>2540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3440</v>
      </c>
      <c r="D2126" s="2" t="s">
        <v>2007</v>
      </c>
      <c r="E2126" s="2" t="s">
        <v>38</v>
      </c>
      <c r="F2126" s="2" t="s">
        <v>39</v>
      </c>
      <c r="L2126" s="2" t="s">
        <v>99</v>
      </c>
      <c r="M2126" s="2" t="s">
        <v>2540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3330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3330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3330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3330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3378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3440</v>
      </c>
      <c r="D2170" s="2" t="s">
        <v>1388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3440</v>
      </c>
      <c r="D2171" s="2" t="s">
        <v>1388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3440</v>
      </c>
      <c r="D2172" s="2" t="s">
        <v>1388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3392</v>
      </c>
      <c r="D2176" s="15" t="s">
        <v>3413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3392</v>
      </c>
      <c r="D2177" s="15" t="s">
        <v>3413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3330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3330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3392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3392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3438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C2215" s="2" t="s">
        <v>3440</v>
      </c>
      <c r="D2215" s="2" t="s">
        <v>2052</v>
      </c>
      <c r="E2215" s="2" t="s">
        <v>108</v>
      </c>
      <c r="F2215" s="2" t="s">
        <v>39</v>
      </c>
      <c r="L2215" s="2" t="s">
        <v>339</v>
      </c>
      <c r="M2215" s="2" t="s">
        <v>80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C2216" s="2" t="s">
        <v>3440</v>
      </c>
      <c r="D2216" s="2" t="s">
        <v>2052</v>
      </c>
      <c r="E2216" s="2" t="s">
        <v>108</v>
      </c>
      <c r="F2216" s="2" t="s">
        <v>39</v>
      </c>
      <c r="L2216" s="2" t="s">
        <v>339</v>
      </c>
      <c r="M2216" s="2" t="s">
        <v>80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C2255" s="2" t="s">
        <v>3392</v>
      </c>
      <c r="D2255" s="2" t="s">
        <v>2072</v>
      </c>
      <c r="E2255" s="2" t="s">
        <v>752</v>
      </c>
      <c r="F2255" s="2" t="s">
        <v>39</v>
      </c>
      <c r="L2255" s="2" t="s">
        <v>112</v>
      </c>
      <c r="M2255" s="2" t="s">
        <v>109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W2255" s="2">
        <v>1458</v>
      </c>
      <c r="X2255" s="5">
        <f t="shared" si="340"/>
        <v>0.33424657534246577</v>
      </c>
      <c r="Z2255" s="2" t="s">
        <v>104</v>
      </c>
      <c r="AA2255" s="2" t="s">
        <v>387</v>
      </c>
      <c r="AB2255" s="2" t="s">
        <v>1330</v>
      </c>
      <c r="AC2255" s="2" t="s">
        <v>1327</v>
      </c>
      <c r="AF2255" s="2">
        <f t="shared" si="342"/>
        <v>0</v>
      </c>
      <c r="AJ2255" s="2">
        <f t="shared" si="343"/>
        <v>0</v>
      </c>
      <c r="AK2255" s="2">
        <f t="shared" si="338"/>
        <v>732</v>
      </c>
      <c r="AL2255" s="5">
        <f t="shared" si="341"/>
        <v>0.33424657534246577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3330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3330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3384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3384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3385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3385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3385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3385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3385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3385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3384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3384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3378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3490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3490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3490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3378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E2351" s="2" t="s">
        <v>108</v>
      </c>
      <c r="F2351" s="2" t="s">
        <v>39</v>
      </c>
      <c r="L2351" s="2" t="s">
        <v>99</v>
      </c>
      <c r="M2351" s="2" t="s">
        <v>41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3378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3490</v>
      </c>
      <c r="D2354" s="2" t="s">
        <v>2113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3490</v>
      </c>
      <c r="D2355" s="2" t="s">
        <v>2113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3490</v>
      </c>
      <c r="D2356" s="2" t="s">
        <v>2113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3378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3378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3378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3490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3441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3378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3441</v>
      </c>
      <c r="D2429" s="2" t="s">
        <v>2136</v>
      </c>
      <c r="E2429" s="2" t="s">
        <v>38</v>
      </c>
      <c r="F2429" s="2" t="s">
        <v>39</v>
      </c>
      <c r="L2429" s="2" t="s">
        <v>2438</v>
      </c>
      <c r="M2429" s="2" t="s">
        <v>40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3378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3512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3512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3324</v>
      </c>
      <c r="D2449" s="2" t="s">
        <v>3459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3458</v>
      </c>
      <c r="D2450" s="15" t="s">
        <v>3413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3458</v>
      </c>
      <c r="D2451" s="15" t="s">
        <v>3413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3379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3458</v>
      </c>
      <c r="D2452" s="15" t="s">
        <v>3413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3458</v>
      </c>
      <c r="D2453" s="15" t="s">
        <v>3413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2565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2565</v>
      </c>
      <c r="L2459" s="2" t="s">
        <v>201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3490</v>
      </c>
      <c r="D2460" s="2" t="s">
        <v>1257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3324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3324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3324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E2483" s="2" t="s">
        <v>38</v>
      </c>
      <c r="F2483" s="2" t="s">
        <v>39</v>
      </c>
      <c r="L2483" s="2" t="s">
        <v>571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E2484" s="2" t="s">
        <v>38</v>
      </c>
      <c r="F2484" s="2" t="s">
        <v>39</v>
      </c>
      <c r="L2484" s="2" t="s">
        <v>571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3384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3384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3394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3394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3394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3394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3378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E2532" s="2" t="s">
        <v>752</v>
      </c>
      <c r="F2532" s="2" t="s">
        <v>39</v>
      </c>
      <c r="L2532" s="2" t="s">
        <v>112</v>
      </c>
      <c r="M2532" s="2" t="s">
        <v>109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3401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E2533" s="2" t="s">
        <v>752</v>
      </c>
      <c r="F2533" s="2" t="s">
        <v>39</v>
      </c>
      <c r="L2533" s="2" t="s">
        <v>112</v>
      </c>
      <c r="M2533" s="2" t="s">
        <v>109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3401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3441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3465</v>
      </c>
      <c r="AB2548" s="2" t="s">
        <v>3466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3324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3324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3324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3378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3378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3378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3378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3485</v>
      </c>
      <c r="D2607" s="2" t="s">
        <v>3484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3485</v>
      </c>
      <c r="D2608" s="2" t="s">
        <v>3484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E2609" s="2" t="s">
        <v>108</v>
      </c>
      <c r="F2609" s="2" t="s">
        <v>39</v>
      </c>
      <c r="L2609" s="2" t="s">
        <v>99</v>
      </c>
      <c r="M2609" s="2" t="s">
        <v>41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3378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3378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M2641" s="2" t="s">
        <v>80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M2642" s="2" t="s">
        <v>80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3378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3409</v>
      </c>
      <c r="D2651" s="2" t="s">
        <v>1788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3473</v>
      </c>
      <c r="D2652" s="2" t="s">
        <v>1788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3409</v>
      </c>
      <c r="D2653" s="2" t="s">
        <v>1788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3439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3330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3330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C2669" s="2" t="s">
        <v>3485</v>
      </c>
      <c r="D2669" s="2" t="s">
        <v>816</v>
      </c>
      <c r="E2669" s="2" t="s">
        <v>38</v>
      </c>
      <c r="F2669" s="2" t="s">
        <v>39</v>
      </c>
      <c r="L2669" s="2" t="s">
        <v>480</v>
      </c>
      <c r="M2669" s="2" t="s">
        <v>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C2670" s="2" t="s">
        <v>3485</v>
      </c>
      <c r="D2670" s="2" t="s">
        <v>816</v>
      </c>
      <c r="E2670" s="2" t="s">
        <v>38</v>
      </c>
      <c r="F2670" s="2" t="s">
        <v>39</v>
      </c>
      <c r="L2670" s="2" t="s">
        <v>480</v>
      </c>
      <c r="M2670" s="2" t="s">
        <v>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3378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3378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3378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3226</v>
      </c>
      <c r="AA2688" s="2" t="s">
        <v>46</v>
      </c>
      <c r="AB2688" s="2" t="s">
        <v>60</v>
      </c>
      <c r="AC2688" s="2" t="s">
        <v>3330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3473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3473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3473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3473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3473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3439</v>
      </c>
      <c r="D2695" s="2" t="s">
        <v>3301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3409</v>
      </c>
      <c r="D2696" s="2" t="s">
        <v>3457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C2704" s="2" t="s">
        <v>3473</v>
      </c>
      <c r="D2704" s="2" t="s">
        <v>1255</v>
      </c>
      <c r="E2704" s="2" t="s">
        <v>108</v>
      </c>
      <c r="F2704" s="2" t="s">
        <v>39</v>
      </c>
      <c r="G2704" s="2">
        <v>513777377</v>
      </c>
      <c r="H2704" s="2" t="s">
        <v>290</v>
      </c>
      <c r="I2704" s="2" t="s">
        <v>2711</v>
      </c>
      <c r="J2704" s="2" t="s">
        <v>2712</v>
      </c>
      <c r="K2704" s="2">
        <v>935047029</v>
      </c>
      <c r="L2704" s="2" t="s">
        <v>446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3378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C2713" s="2" t="s">
        <v>3485</v>
      </c>
      <c r="D2713" s="2" t="s">
        <v>850</v>
      </c>
      <c r="E2713" s="2" t="s">
        <v>183</v>
      </c>
      <c r="F2713" s="2" t="s">
        <v>3529</v>
      </c>
      <c r="L2713" s="2" t="s">
        <v>293</v>
      </c>
      <c r="M2713" s="2" t="s">
        <v>80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C2714" s="2" t="s">
        <v>3485</v>
      </c>
      <c r="D2714" s="2" t="s">
        <v>850</v>
      </c>
      <c r="E2714" s="2" t="s">
        <v>183</v>
      </c>
      <c r="F2714" s="2" t="s">
        <v>3529</v>
      </c>
      <c r="L2714" s="2" t="s">
        <v>293</v>
      </c>
      <c r="M2714" s="2" t="s">
        <v>80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3226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3226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3226</v>
      </c>
      <c r="AA2730" s="2" t="s">
        <v>155</v>
      </c>
      <c r="AB2730" s="2" t="s">
        <v>3401</v>
      </c>
      <c r="AC2730" s="2" t="s">
        <v>1327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3226</v>
      </c>
      <c r="AA2731" s="2" t="s">
        <v>155</v>
      </c>
      <c r="AB2731" s="2" t="s">
        <v>3401</v>
      </c>
      <c r="AC2731" s="2" t="s">
        <v>1327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3226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3226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3473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3473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3473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3378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3378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W2751" s="2">
        <f>4.6858*S2751</f>
        <v>14.057400000000001</v>
      </c>
      <c r="X2751" s="5">
        <f t="shared" si="413"/>
        <v>0.40485182049110918</v>
      </c>
      <c r="Z2751" s="2" t="s">
        <v>117</v>
      </c>
      <c r="AA2751" s="2" t="s">
        <v>118</v>
      </c>
      <c r="AB2751" s="2" t="s">
        <v>119</v>
      </c>
      <c r="AC2751" s="2" t="s">
        <v>114</v>
      </c>
      <c r="AF2751" s="2">
        <f t="shared" si="408"/>
        <v>0</v>
      </c>
      <c r="AJ2751" s="2">
        <f t="shared" si="409"/>
        <v>0</v>
      </c>
      <c r="AK2751" s="2">
        <f t="shared" si="410"/>
        <v>9.5625999999999998</v>
      </c>
      <c r="AL2751" s="5">
        <f t="shared" si="412"/>
        <v>0.40485182049110918</v>
      </c>
    </row>
    <row r="2752" spans="1:38" x14ac:dyDescent="0.2">
      <c r="A2752" s="2">
        <v>2025</v>
      </c>
      <c r="B2752" s="2">
        <v>9</v>
      </c>
      <c r="D2752" s="2" t="s">
        <v>1290</v>
      </c>
      <c r="M2752" s="2" t="s">
        <v>40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Z2752" s="2" t="s">
        <v>117</v>
      </c>
      <c r="AA2752" s="2" t="s">
        <v>118</v>
      </c>
      <c r="AB2752" s="2" t="s">
        <v>119</v>
      </c>
      <c r="AC2752" s="2" t="s">
        <v>114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3409</v>
      </c>
      <c r="D2759" s="2" t="s">
        <v>1943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3439</v>
      </c>
      <c r="D2761" s="2" t="s">
        <v>2276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3226</v>
      </c>
      <c r="AA2789" s="2" t="s">
        <v>46</v>
      </c>
      <c r="AB2789" s="2" t="s">
        <v>60</v>
      </c>
      <c r="AC2789" s="2" t="s">
        <v>3330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3472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3472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3450</v>
      </c>
      <c r="D2836" s="2" t="s">
        <v>2319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3325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3325</v>
      </c>
      <c r="D2849" s="2" t="s">
        <v>2338</v>
      </c>
      <c r="E2849" s="2" t="s">
        <v>38</v>
      </c>
      <c r="F2849" s="2" t="s">
        <v>39</v>
      </c>
      <c r="L2849" s="2" t="s">
        <v>2291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3450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40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40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3325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3325</v>
      </c>
      <c r="D2855" s="2" t="s">
        <v>3326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2294</v>
      </c>
      <c r="J2857" s="2" t="s">
        <v>2295</v>
      </c>
      <c r="K2857" s="2">
        <v>965790183</v>
      </c>
      <c r="L2857" s="2" t="s">
        <v>177</v>
      </c>
      <c r="M2857" s="2" t="s">
        <v>41</v>
      </c>
      <c r="O2857" s="2" t="s">
        <v>2345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3299</v>
      </c>
      <c r="P2858" s="2" t="s">
        <v>2346</v>
      </c>
      <c r="Q2858" s="2" t="s">
        <v>2347</v>
      </c>
      <c r="R2858" s="2" t="s">
        <v>2348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2346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1553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1554</v>
      </c>
      <c r="J2859" s="2" t="s">
        <v>1555</v>
      </c>
      <c r="L2859" s="2" t="s">
        <v>99</v>
      </c>
      <c r="M2859" s="2" t="s">
        <v>41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2349</v>
      </c>
      <c r="AC2859" s="2" t="s">
        <v>2349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2352</v>
      </c>
      <c r="P2860" s="2" t="s">
        <v>282</v>
      </c>
      <c r="Q2860" s="2" t="s">
        <v>1510</v>
      </c>
      <c r="R2860" s="2" t="s">
        <v>1511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3226</v>
      </c>
      <c r="AA2860" s="2" t="s">
        <v>71</v>
      </c>
      <c r="AB2860" s="2" t="s">
        <v>1600</v>
      </c>
      <c r="AC2860" s="2" t="s">
        <v>1600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2353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2354</v>
      </c>
      <c r="P2861" s="2" t="s">
        <v>282</v>
      </c>
      <c r="Q2861" s="2" t="s">
        <v>2355</v>
      </c>
      <c r="R2861" s="2" t="s">
        <v>2356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752</v>
      </c>
      <c r="G2862" s="2">
        <v>191221937</v>
      </c>
      <c r="H2862" s="2" t="s">
        <v>109</v>
      </c>
      <c r="I2862" s="2" t="s">
        <v>2358</v>
      </c>
      <c r="J2862" s="2" t="s">
        <v>2359</v>
      </c>
      <c r="L2862" s="2" t="s">
        <v>133</v>
      </c>
      <c r="M2862" s="2" t="s">
        <v>109</v>
      </c>
      <c r="P2862" s="2" t="s">
        <v>282</v>
      </c>
      <c r="Q2862" s="2" t="s">
        <v>1547</v>
      </c>
      <c r="R2862" s="2" t="s">
        <v>1548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C2863" s="2" t="s">
        <v>3450</v>
      </c>
      <c r="D2863" s="2" t="s">
        <v>37</v>
      </c>
      <c r="E2863" s="2" t="s">
        <v>38</v>
      </c>
      <c r="F2863" s="2" t="s">
        <v>39</v>
      </c>
      <c r="H2863" s="2" t="s">
        <v>40</v>
      </c>
      <c r="L2863" s="2" t="s">
        <v>3268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3226</v>
      </c>
      <c r="AA2863" s="2" t="s">
        <v>46</v>
      </c>
      <c r="AB2863" s="2" t="s">
        <v>60</v>
      </c>
      <c r="AC2863" s="2" t="s">
        <v>3330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3226</v>
      </c>
      <c r="AA2864" s="2" t="s">
        <v>46</v>
      </c>
      <c r="AB2864" s="2" t="s">
        <v>60</v>
      </c>
      <c r="AC2864" s="2" t="s">
        <v>3330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1553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1554</v>
      </c>
      <c r="J2865" s="2" t="s">
        <v>1555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3330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3330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C2867" s="2" t="s">
        <v>3325</v>
      </c>
      <c r="D2867" s="2" t="s">
        <v>37</v>
      </c>
      <c r="E2867" s="2" t="s">
        <v>38</v>
      </c>
      <c r="F2867" s="2" t="s">
        <v>39</v>
      </c>
      <c r="H2867" s="2" t="s">
        <v>40</v>
      </c>
      <c r="L2867" s="2" t="s">
        <v>3268</v>
      </c>
      <c r="M2867" s="2" t="s">
        <v>41</v>
      </c>
      <c r="O2867" s="2" t="s">
        <v>2360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3226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2361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C2869" s="2" t="s">
        <v>3472</v>
      </c>
      <c r="D2869" s="2" t="s">
        <v>37</v>
      </c>
      <c r="E2869" s="2" t="s">
        <v>38</v>
      </c>
      <c r="F2869" s="2" t="s">
        <v>39</v>
      </c>
      <c r="H2869" s="2" t="s">
        <v>40</v>
      </c>
      <c r="L2869" s="2" t="s">
        <v>3268</v>
      </c>
      <c r="M2869" s="2" t="s">
        <v>40</v>
      </c>
      <c r="O2869" s="2" t="s">
        <v>2362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3472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2363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2364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2365</v>
      </c>
      <c r="J2873" s="2" t="s">
        <v>2366</v>
      </c>
      <c r="K2873" s="2">
        <v>963062174</v>
      </c>
      <c r="L2873" s="2" t="s">
        <v>418</v>
      </c>
      <c r="M2873" s="2" t="s">
        <v>41</v>
      </c>
      <c r="O2873" s="2" t="s">
        <v>2367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1363</v>
      </c>
      <c r="R2874" s="2" t="s">
        <v>1364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C2876" s="2" t="s">
        <v>3472</v>
      </c>
      <c r="D2876" s="2" t="s">
        <v>37</v>
      </c>
      <c r="E2876" s="2" t="s">
        <v>38</v>
      </c>
      <c r="F2876" s="2" t="s">
        <v>39</v>
      </c>
      <c r="H2876" s="2" t="s">
        <v>40</v>
      </c>
      <c r="L2876" s="2" t="s">
        <v>3268</v>
      </c>
      <c r="M2876" s="2" t="s">
        <v>41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3226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2368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2368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2368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C2893" s="2" t="s">
        <v>3472</v>
      </c>
      <c r="D2893" s="2" t="s">
        <v>37</v>
      </c>
      <c r="E2893" s="2" t="s">
        <v>38</v>
      </c>
      <c r="F2893" s="2" t="s">
        <v>39</v>
      </c>
      <c r="H2893" s="2" t="s">
        <v>40</v>
      </c>
      <c r="L2893" s="2" t="s">
        <v>3268</v>
      </c>
      <c r="M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3472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2214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1178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1179</v>
      </c>
      <c r="J2897" s="2" t="s">
        <v>1180</v>
      </c>
      <c r="L2897" s="2" t="s">
        <v>461</v>
      </c>
      <c r="M2897" s="2" t="s">
        <v>41</v>
      </c>
      <c r="O2897" s="2" t="s">
        <v>2369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3325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2370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1397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3216</v>
      </c>
      <c r="J2904" s="2" t="s">
        <v>3215</v>
      </c>
      <c r="K2904" s="2">
        <v>913814877</v>
      </c>
      <c r="L2904" s="2" t="s">
        <v>201</v>
      </c>
      <c r="M2904" s="2" t="s">
        <v>80</v>
      </c>
      <c r="O2904" s="2" t="s">
        <v>3210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2371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3472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2372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1312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1313</v>
      </c>
      <c r="L2909" s="2" t="s">
        <v>177</v>
      </c>
      <c r="M2909" s="2" t="s">
        <v>41</v>
      </c>
      <c r="O2909" s="2" t="s">
        <v>2373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3226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2374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3226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C2912" s="2" t="s">
        <v>3472</v>
      </c>
      <c r="D2912" s="2" t="s">
        <v>37</v>
      </c>
      <c r="E2912" s="2" t="s">
        <v>38</v>
      </c>
      <c r="F2912" s="2" t="s">
        <v>39</v>
      </c>
      <c r="H2912" s="2" t="s">
        <v>40</v>
      </c>
      <c r="L2912" s="2" t="s">
        <v>3268</v>
      </c>
      <c r="M2912" s="2" t="s">
        <v>41</v>
      </c>
      <c r="O2912" s="2" t="s">
        <v>2375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3226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2361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2376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C2915" s="2" t="s">
        <v>3472</v>
      </c>
      <c r="D2915" s="2" t="s">
        <v>37</v>
      </c>
      <c r="E2915" s="2" t="s">
        <v>38</v>
      </c>
      <c r="F2915" s="2" t="s">
        <v>39</v>
      </c>
      <c r="H2915" s="2" t="s">
        <v>40</v>
      </c>
      <c r="L2915" s="2" t="s">
        <v>3268</v>
      </c>
      <c r="M2915" s="2" t="s">
        <v>41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2353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2354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2377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3325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3325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3472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2364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2365</v>
      </c>
      <c r="J2923" s="2" t="s">
        <v>2366</v>
      </c>
      <c r="K2923" s="2">
        <v>963062174</v>
      </c>
      <c r="L2923" s="2" t="s">
        <v>418</v>
      </c>
      <c r="M2923" s="2" t="s">
        <v>41</v>
      </c>
      <c r="O2923" s="2" t="s">
        <v>2367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3226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3226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2231</v>
      </c>
      <c r="P2927" s="2" t="s">
        <v>43</v>
      </c>
      <c r="Q2927" s="2" t="s">
        <v>2378</v>
      </c>
      <c r="R2927" s="2" t="s">
        <v>2379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3226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C2928" s="2" t="s">
        <v>3472</v>
      </c>
      <c r="D2928" s="2" t="s">
        <v>1590</v>
      </c>
      <c r="E2928" s="2" t="s">
        <v>38</v>
      </c>
      <c r="F2928" s="2" t="s">
        <v>39</v>
      </c>
      <c r="L2928" s="2" t="s">
        <v>571</v>
      </c>
      <c r="M2928" s="2" t="s">
        <v>3491</v>
      </c>
      <c r="P2928" s="2" t="s">
        <v>43</v>
      </c>
      <c r="Q2928" s="2" t="s">
        <v>2378</v>
      </c>
      <c r="R2928" s="2" t="s">
        <v>2379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>SIGN(T2928)*((ABS(T2928)-W2928)/ABS(T2928))</f>
        <v>-1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2380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3226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2368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3226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2372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2214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3325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2381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3472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3229</v>
      </c>
      <c r="Q2937" s="2" t="s">
        <v>2382</v>
      </c>
      <c r="R2937" s="2" t="s">
        <v>2383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3229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1178</v>
      </c>
      <c r="E2938" s="2" t="s">
        <v>38</v>
      </c>
      <c r="G2938" s="2">
        <v>502089075</v>
      </c>
      <c r="H2938" s="2" t="s">
        <v>41</v>
      </c>
      <c r="I2938" s="2" t="s">
        <v>1179</v>
      </c>
      <c r="J2938" s="2" t="s">
        <v>1180</v>
      </c>
      <c r="L2938" s="2" t="s">
        <v>461</v>
      </c>
      <c r="M2938" s="2" t="s">
        <v>41</v>
      </c>
      <c r="O2938" s="2" t="s">
        <v>2384</v>
      </c>
      <c r="P2938" s="2" t="s">
        <v>166</v>
      </c>
      <c r="Q2938" s="2" t="s">
        <v>2385</v>
      </c>
      <c r="R2938" s="2" t="s">
        <v>2386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3226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3472</v>
      </c>
      <c r="D2939" s="2" t="s">
        <v>2387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2388</v>
      </c>
      <c r="R2939" s="2" t="s">
        <v>2389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3230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1516</v>
      </c>
      <c r="M2940" s="2" t="s">
        <v>109</v>
      </c>
      <c r="P2940" s="2" t="s">
        <v>68</v>
      </c>
      <c r="Q2940" s="2" t="s">
        <v>1517</v>
      </c>
      <c r="R2940" s="2" t="s">
        <v>1518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3230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C2941" s="2" t="s">
        <v>3325</v>
      </c>
      <c r="D2941" s="2" t="s">
        <v>37</v>
      </c>
      <c r="E2941" s="2" t="s">
        <v>38</v>
      </c>
      <c r="F2941" s="2" t="s">
        <v>39</v>
      </c>
      <c r="H2941" s="2" t="s">
        <v>40</v>
      </c>
      <c r="L2941" s="2" t="s">
        <v>99</v>
      </c>
      <c r="M2941" s="2" t="s">
        <v>80</v>
      </c>
      <c r="O2941" s="2" t="s">
        <v>2390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3226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2391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3450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3325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3325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2392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C2946" s="2" t="s">
        <v>3325</v>
      </c>
      <c r="D2946" s="2" t="s">
        <v>816</v>
      </c>
      <c r="E2946" s="2" t="s">
        <v>38</v>
      </c>
      <c r="F2946" s="2" t="s">
        <v>39</v>
      </c>
      <c r="L2946" s="2" t="s">
        <v>480</v>
      </c>
      <c r="M2946" s="2" t="s">
        <v>41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1593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1594</v>
      </c>
      <c r="J2947" s="2" t="s">
        <v>1595</v>
      </c>
      <c r="L2947" s="2" t="s">
        <v>201</v>
      </c>
      <c r="M2947" s="2" t="s">
        <v>80</v>
      </c>
      <c r="O2947" s="2" t="s">
        <v>2393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1419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1272</v>
      </c>
      <c r="J2948" s="2" t="s">
        <v>2394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2395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2396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3472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2397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3517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2398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1942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2399</v>
      </c>
      <c r="J2955" s="2" t="s">
        <v>2400</v>
      </c>
      <c r="L2955" s="2" t="s">
        <v>201</v>
      </c>
      <c r="M2955" s="2" t="s">
        <v>41</v>
      </c>
      <c r="O2955" s="2" t="s">
        <v>2401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3472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2402</v>
      </c>
      <c r="P2956" s="2" t="s">
        <v>72</v>
      </c>
      <c r="Q2956" s="2" t="s">
        <v>1390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2008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1553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1554</v>
      </c>
      <c r="J2958" s="2" t="s">
        <v>1555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2403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2391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2404</v>
      </c>
      <c r="J2960" s="2" t="s">
        <v>2405</v>
      </c>
      <c r="K2960" s="2">
        <v>919209638</v>
      </c>
      <c r="L2960" s="2" t="s">
        <v>293</v>
      </c>
      <c r="M2960" s="2" t="s">
        <v>80</v>
      </c>
      <c r="O2960" s="2" t="s">
        <v>2406</v>
      </c>
      <c r="P2960" s="2" t="s">
        <v>72</v>
      </c>
      <c r="Q2960" s="2" t="s">
        <v>2407</v>
      </c>
      <c r="R2960" s="2" t="s">
        <v>1416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2408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3325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1345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1564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2409</v>
      </c>
      <c r="K2963" s="2">
        <v>968647685</v>
      </c>
      <c r="L2963" s="2" t="s">
        <v>398</v>
      </c>
      <c r="M2963" s="2" t="s">
        <v>109</v>
      </c>
      <c r="O2963" s="2" t="s">
        <v>2410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1418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2411</v>
      </c>
      <c r="J2964" s="2" t="s">
        <v>2412</v>
      </c>
      <c r="L2964" s="2" t="s">
        <v>201</v>
      </c>
      <c r="M2964" s="2" t="s">
        <v>80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C2965" s="2" t="s">
        <v>3325</v>
      </c>
      <c r="D2965" s="2" t="s">
        <v>37</v>
      </c>
      <c r="E2965" s="2" t="s">
        <v>38</v>
      </c>
      <c r="F2965" s="2" t="s">
        <v>39</v>
      </c>
      <c r="H2965" s="2" t="s">
        <v>40</v>
      </c>
      <c r="L2965" s="2" t="s">
        <v>99</v>
      </c>
      <c r="M2965" s="2" t="s">
        <v>80</v>
      </c>
      <c r="O2965" s="2" t="s">
        <v>2390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3325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3325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C2968" s="2" t="s">
        <v>3325</v>
      </c>
      <c r="D2968" s="2" t="s">
        <v>816</v>
      </c>
      <c r="E2968" s="2" t="s">
        <v>38</v>
      </c>
      <c r="F2968" s="2" t="s">
        <v>39</v>
      </c>
      <c r="L2968" s="2" t="s">
        <v>480</v>
      </c>
      <c r="M2968" s="2" t="s">
        <v>41</v>
      </c>
      <c r="P2968" s="2" t="s">
        <v>72</v>
      </c>
      <c r="Q2968" s="2" t="s">
        <v>2414</v>
      </c>
      <c r="R2968" s="2" t="s">
        <v>2415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2416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3226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3226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C2971" s="2" t="s">
        <v>3325</v>
      </c>
      <c r="D2971" s="2" t="s">
        <v>816</v>
      </c>
      <c r="E2971" s="2" t="s">
        <v>38</v>
      </c>
      <c r="F2971" s="2" t="s">
        <v>39</v>
      </c>
      <c r="L2971" s="2" t="s">
        <v>480</v>
      </c>
      <c r="M2971" s="2" t="s">
        <v>41</v>
      </c>
      <c r="P2971" s="2" t="s">
        <v>72</v>
      </c>
      <c r="Q2971" s="2" t="s">
        <v>1449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2417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2418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1376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3206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1295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1296</v>
      </c>
      <c r="L2975" s="2" t="s">
        <v>339</v>
      </c>
      <c r="M2975" s="2" t="s">
        <v>80</v>
      </c>
      <c r="O2975" s="2" t="s">
        <v>2419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3325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3196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C2977" s="2" t="s">
        <v>3325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2420</v>
      </c>
      <c r="L2977" s="2" t="s">
        <v>461</v>
      </c>
      <c r="M2977" s="2" t="s">
        <v>80</v>
      </c>
      <c r="O2977" s="2" t="s">
        <v>2421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3325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3517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2422</v>
      </c>
      <c r="P2980" s="2" t="s">
        <v>72</v>
      </c>
      <c r="Q2980" s="2" t="s">
        <v>2423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3325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2424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2425</v>
      </c>
      <c r="P2982" s="2" t="s">
        <v>72</v>
      </c>
      <c r="Q2982" s="2" t="s">
        <v>1990</v>
      </c>
      <c r="R2982" s="2" t="s">
        <v>1416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2426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1211</v>
      </c>
      <c r="R2985" s="2" t="s">
        <v>1212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3226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2427</v>
      </c>
      <c r="P2986" s="2" t="s">
        <v>84</v>
      </c>
      <c r="Q2986" s="2" t="s">
        <v>2428</v>
      </c>
      <c r="R2986" s="2" t="s">
        <v>2429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C2987" s="2" t="s">
        <v>3450</v>
      </c>
      <c r="D2987" s="2" t="s">
        <v>37</v>
      </c>
      <c r="E2987" s="2" t="s">
        <v>38</v>
      </c>
      <c r="F2987" s="2" t="s">
        <v>39</v>
      </c>
      <c r="H2987" s="2" t="s">
        <v>40</v>
      </c>
      <c r="L2987" s="2" t="s">
        <v>480</v>
      </c>
      <c r="M2987" s="2" t="s">
        <v>80</v>
      </c>
      <c r="P2987" s="2" t="s">
        <v>1038</v>
      </c>
      <c r="Q2987" s="2" t="s">
        <v>2430</v>
      </c>
      <c r="R2987" s="2" t="s">
        <v>2431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3226</v>
      </c>
      <c r="AA2987" s="2" t="s">
        <v>1041</v>
      </c>
      <c r="AB2987" s="2" t="s">
        <v>1270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2432</v>
      </c>
      <c r="M2988" s="2" t="s">
        <v>80</v>
      </c>
      <c r="P2988" s="2" t="s">
        <v>1038</v>
      </c>
      <c r="Q2988" s="2" t="s">
        <v>2433</v>
      </c>
      <c r="R2988" s="2" t="s">
        <v>2434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3226</v>
      </c>
      <c r="AA2988" s="2" t="s">
        <v>1041</v>
      </c>
      <c r="AB2988" s="2" t="s">
        <v>1318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2435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2436</v>
      </c>
      <c r="J2989" s="2" t="s">
        <v>2437</v>
      </c>
      <c r="L2989" s="2" t="s">
        <v>2438</v>
      </c>
      <c r="M2989" s="2" t="s">
        <v>41</v>
      </c>
      <c r="O2989" s="2" t="s">
        <v>2439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2440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3472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3472</v>
      </c>
      <c r="D2992" s="2" t="s">
        <v>1884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3450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3442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3442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2441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3319</v>
      </c>
      <c r="D3000" s="2" t="s">
        <v>2442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3319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2443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2444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2445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2446</v>
      </c>
      <c r="F3007" s="2" t="s">
        <v>39</v>
      </c>
      <c r="G3007" s="2">
        <v>505814030</v>
      </c>
      <c r="H3007" s="2" t="s">
        <v>290</v>
      </c>
      <c r="I3007" s="2" t="s">
        <v>2447</v>
      </c>
      <c r="J3007" s="2" t="s">
        <v>2448</v>
      </c>
      <c r="L3007" s="2" t="s">
        <v>339</v>
      </c>
      <c r="M3007" s="2" t="s">
        <v>40</v>
      </c>
      <c r="O3007" s="2" t="s">
        <v>2449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3472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3472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2450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1764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1992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2451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2452</v>
      </c>
      <c r="J3023" s="2" t="s">
        <v>2453</v>
      </c>
      <c r="K3023" s="2">
        <v>967554174</v>
      </c>
      <c r="L3023" s="2" t="s">
        <v>133</v>
      </c>
      <c r="M3023" s="2" t="s">
        <v>40</v>
      </c>
      <c r="O3023" s="2" t="s">
        <v>2454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2214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1178</v>
      </c>
      <c r="E3029" s="2" t="s">
        <v>38</v>
      </c>
      <c r="G3029" s="2">
        <v>502089075</v>
      </c>
      <c r="H3029" s="2" t="s">
        <v>41</v>
      </c>
      <c r="I3029" s="2" t="s">
        <v>1179</v>
      </c>
      <c r="J3029" s="2" t="s">
        <v>1180</v>
      </c>
      <c r="L3029" s="2" t="s">
        <v>461</v>
      </c>
      <c r="M3029" s="2" t="s">
        <v>41</v>
      </c>
      <c r="O3029" s="2" t="s">
        <v>2455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2370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1290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2372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1992</v>
      </c>
      <c r="M3036" s="2" t="s">
        <v>40</v>
      </c>
      <c r="P3036" s="2" t="s">
        <v>187</v>
      </c>
      <c r="Q3036" s="2" t="s">
        <v>1308</v>
      </c>
      <c r="R3036" s="2" t="s">
        <v>1309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1310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1877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1310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1310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3472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1623</v>
      </c>
      <c r="J3039" s="2" t="s">
        <v>3169</v>
      </c>
      <c r="L3039" s="2" t="s">
        <v>339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1310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C3040" s="2" t="s">
        <v>3325</v>
      </c>
      <c r="D3040" s="2" t="s">
        <v>37</v>
      </c>
      <c r="E3040" s="2" t="s">
        <v>38</v>
      </c>
      <c r="F3040" s="2" t="s">
        <v>39</v>
      </c>
      <c r="H3040" s="2" t="s">
        <v>40</v>
      </c>
      <c r="L3040" s="2" t="s">
        <v>3268</v>
      </c>
      <c r="M3040" s="2" t="s">
        <v>80</v>
      </c>
      <c r="O3040" s="2" t="s">
        <v>2456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3226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3517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2398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2391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3450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3325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2417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2416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3226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2426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3226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2008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3325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2457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1553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1554</v>
      </c>
      <c r="J3051" s="2" t="s">
        <v>1555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1376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3325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2392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C3054" s="2" t="s">
        <v>3325</v>
      </c>
      <c r="D3054" s="2" t="s">
        <v>816</v>
      </c>
      <c r="E3054" s="2" t="s">
        <v>38</v>
      </c>
      <c r="F3054" s="2" t="s">
        <v>39</v>
      </c>
      <c r="L3054" s="2" t="s">
        <v>480</v>
      </c>
      <c r="M3054" s="2" t="s">
        <v>41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1564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1593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1594</v>
      </c>
      <c r="J3057" s="2" t="s">
        <v>1595</v>
      </c>
      <c r="L3057" s="2" t="s">
        <v>201</v>
      </c>
      <c r="M3057" s="2" t="s">
        <v>80</v>
      </c>
      <c r="O3057" s="2" t="s">
        <v>2393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3325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1418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2411</v>
      </c>
      <c r="J3061" s="2" t="s">
        <v>2412</v>
      </c>
      <c r="L3061" s="2" t="s">
        <v>201</v>
      </c>
      <c r="M3061" s="2" t="s">
        <v>80</v>
      </c>
      <c r="O3061" s="2" t="s">
        <v>2413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1272</v>
      </c>
      <c r="J3062" s="2" t="s">
        <v>2394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2395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3325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2396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1942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3472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1295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1296</v>
      </c>
      <c r="L3069" s="2" t="s">
        <v>339</v>
      </c>
      <c r="M3069" s="2" t="s">
        <v>80</v>
      </c>
      <c r="O3069" s="2" t="s">
        <v>2419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2397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2425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3472</v>
      </c>
      <c r="D3073" s="2" t="s">
        <v>1884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3450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2333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3378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2304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2458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3226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2459</v>
      </c>
      <c r="P3078" s="2" t="s">
        <v>114</v>
      </c>
      <c r="Q3078" s="2" t="s">
        <v>2225</v>
      </c>
      <c r="R3078" s="2" t="s">
        <v>2226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2451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2452</v>
      </c>
      <c r="J3079" s="2" t="s">
        <v>2453</v>
      </c>
      <c r="K3079" s="2">
        <v>967554174</v>
      </c>
      <c r="L3079" s="2" t="s">
        <v>133</v>
      </c>
      <c r="M3079" s="2" t="s">
        <v>40</v>
      </c>
      <c r="O3079" s="2" t="s">
        <v>2454</v>
      </c>
      <c r="P3079" s="2" t="s">
        <v>114</v>
      </c>
      <c r="Q3079" s="2" t="s">
        <v>2297</v>
      </c>
      <c r="R3079" s="2" t="s">
        <v>2298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3319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2460</v>
      </c>
      <c r="P3080" s="2" t="s">
        <v>114</v>
      </c>
      <c r="Q3080" s="2" t="s">
        <v>2216</v>
      </c>
      <c r="R3080" s="2" t="s">
        <v>1429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2451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2452</v>
      </c>
      <c r="J3081" s="2" t="s">
        <v>2453</v>
      </c>
      <c r="K3081" s="2">
        <v>967554174</v>
      </c>
      <c r="L3081" s="2" t="s">
        <v>133</v>
      </c>
      <c r="M3081" s="2" t="s">
        <v>40</v>
      </c>
      <c r="O3081" s="2" t="s">
        <v>2454</v>
      </c>
      <c r="P3081" s="2" t="s">
        <v>114</v>
      </c>
      <c r="Q3081" s="2" t="s">
        <v>2461</v>
      </c>
      <c r="R3081" s="2" t="s">
        <v>2462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1374</v>
      </c>
      <c r="R3082" s="2" t="s">
        <v>1375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3298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2463</v>
      </c>
      <c r="P3083" s="2" t="s">
        <v>114</v>
      </c>
      <c r="Q3083" s="2" t="s">
        <v>2193</v>
      </c>
      <c r="R3083" s="2" t="s">
        <v>2194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2443</v>
      </c>
      <c r="P3084" s="2" t="s">
        <v>114</v>
      </c>
      <c r="Q3084" s="2" t="s">
        <v>1514</v>
      </c>
      <c r="R3084" s="2" t="s">
        <v>1515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2476</v>
      </c>
      <c r="J3085" s="2" t="s">
        <v>3122</v>
      </c>
      <c r="K3085" s="2">
        <v>965864665</v>
      </c>
      <c r="L3085" s="2" t="s">
        <v>344</v>
      </c>
      <c r="M3085" s="2" t="s">
        <v>40</v>
      </c>
      <c r="O3085" s="2" t="s">
        <v>2477</v>
      </c>
      <c r="P3085" s="2" t="s">
        <v>114</v>
      </c>
      <c r="Q3085" s="2" t="s">
        <v>1514</v>
      </c>
      <c r="R3085" s="2" t="s">
        <v>1515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2464</v>
      </c>
      <c r="P3086" s="2" t="s">
        <v>114</v>
      </c>
      <c r="Q3086" s="2" t="s">
        <v>2465</v>
      </c>
      <c r="R3086" s="2" t="s">
        <v>2466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3453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2473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2474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3114</v>
      </c>
      <c r="J3091" s="2" t="s">
        <v>3115</v>
      </c>
      <c r="L3091" s="2" t="s">
        <v>112</v>
      </c>
      <c r="M3091" s="2" t="s">
        <v>40</v>
      </c>
      <c r="O3091" s="2" t="s">
        <v>2475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3298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2463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2476</v>
      </c>
      <c r="J3093" s="2" t="s">
        <v>3122</v>
      </c>
      <c r="K3093" s="2">
        <v>965864665</v>
      </c>
      <c r="L3093" s="2" t="s">
        <v>344</v>
      </c>
      <c r="M3093" s="2" t="s">
        <v>40</v>
      </c>
      <c r="O3093" s="2" t="s">
        <v>2477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2478</v>
      </c>
      <c r="J3094" s="2" t="s">
        <v>1473</v>
      </c>
      <c r="K3094" s="2">
        <v>938183284</v>
      </c>
      <c r="L3094" s="2" t="s">
        <v>133</v>
      </c>
      <c r="M3094" s="2" t="s">
        <v>40</v>
      </c>
      <c r="O3094" s="2" t="s">
        <v>2479</v>
      </c>
      <c r="P3094" s="2" t="s">
        <v>114</v>
      </c>
      <c r="Q3094" s="2" t="s">
        <v>2480</v>
      </c>
      <c r="R3094" s="2" t="s">
        <v>1387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3453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2470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2287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2288</v>
      </c>
      <c r="L3096" s="2" t="s">
        <v>201</v>
      </c>
      <c r="M3096" s="2" t="s">
        <v>40</v>
      </c>
      <c r="O3096" s="2" t="s">
        <v>2289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38</v>
      </c>
      <c r="G3097" s="2">
        <v>509800696</v>
      </c>
      <c r="H3097" s="2" t="s">
        <v>290</v>
      </c>
      <c r="I3097" s="2" t="s">
        <v>2291</v>
      </c>
      <c r="J3097" s="2" t="s">
        <v>2292</v>
      </c>
      <c r="K3097" s="2">
        <v>930444437</v>
      </c>
      <c r="L3097" s="2" t="s">
        <v>2291</v>
      </c>
      <c r="M3097" s="2" t="s">
        <v>40</v>
      </c>
      <c r="O3097" s="2" t="s">
        <v>2293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2327</v>
      </c>
      <c r="I3098" s="2" t="s">
        <v>804</v>
      </c>
      <c r="L3098" s="2" t="s">
        <v>99</v>
      </c>
      <c r="M3098" s="2" t="s">
        <v>40</v>
      </c>
      <c r="O3098" s="2" t="s">
        <v>2481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2482</v>
      </c>
      <c r="M3099" s="2" t="s">
        <v>40</v>
      </c>
      <c r="O3099" s="2" t="s">
        <v>2483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2484</v>
      </c>
      <c r="P3100" s="2" t="s">
        <v>114</v>
      </c>
      <c r="Q3100" s="2" t="s">
        <v>1424</v>
      </c>
      <c r="R3100" s="2" t="s">
        <v>1425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2485</v>
      </c>
      <c r="P3101" s="2" t="s">
        <v>114</v>
      </c>
      <c r="Q3101" s="2" t="s">
        <v>2486</v>
      </c>
      <c r="R3101" s="2" t="s">
        <v>2487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2491</v>
      </c>
      <c r="M3103" s="2" t="s">
        <v>40</v>
      </c>
      <c r="O3103" s="2" t="s">
        <v>2492</v>
      </c>
      <c r="P3103" s="2" t="s">
        <v>114</v>
      </c>
      <c r="Q3103" s="2" t="s">
        <v>2493</v>
      </c>
      <c r="R3103" s="2" t="s">
        <v>2494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3319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2495</v>
      </c>
      <c r="R3104" s="2" t="s">
        <v>2496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3298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2463</v>
      </c>
      <c r="P3105" s="2" t="s">
        <v>114</v>
      </c>
      <c r="Q3105" s="2" t="s">
        <v>1332</v>
      </c>
      <c r="R3105" s="2" t="s">
        <v>1333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3319</v>
      </c>
      <c r="D3106" s="2" t="s">
        <v>2442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2497</v>
      </c>
      <c r="R3106" s="2" t="s">
        <v>2498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2499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3319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1522</v>
      </c>
      <c r="R3109" s="2" t="s">
        <v>1523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3319</v>
      </c>
      <c r="D3110" s="2" t="s">
        <v>1354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2500</v>
      </c>
      <c r="J3110" s="2" t="s">
        <v>2501</v>
      </c>
      <c r="L3110" s="2" t="s">
        <v>293</v>
      </c>
      <c r="M3110" s="2" t="s">
        <v>40</v>
      </c>
      <c r="P3110" s="2" t="s">
        <v>114</v>
      </c>
      <c r="Q3110" s="2" t="s">
        <v>2502</v>
      </c>
      <c r="R3110" s="2" t="s">
        <v>2503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3319</v>
      </c>
      <c r="D3111" s="2" t="s">
        <v>3242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2504</v>
      </c>
      <c r="P3111" s="2" t="s">
        <v>114</v>
      </c>
      <c r="Q3111" s="2" t="s">
        <v>1183</v>
      </c>
      <c r="R3111" s="2" t="s">
        <v>1184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3319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3325</v>
      </c>
      <c r="D3113" s="2" t="s">
        <v>3241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2505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3319</v>
      </c>
      <c r="D3114" s="2" t="s">
        <v>3243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2506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3319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3244</v>
      </c>
      <c r="J3115" s="2" t="s">
        <v>3245</v>
      </c>
      <c r="K3115" s="2">
        <v>96179412</v>
      </c>
      <c r="L3115" s="2" t="s">
        <v>461</v>
      </c>
      <c r="M3115" s="2" t="s">
        <v>40</v>
      </c>
      <c r="O3115" s="2" t="s">
        <v>3246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3410</v>
      </c>
      <c r="D3116" s="2" t="s">
        <v>2507</v>
      </c>
      <c r="E3116" s="2" t="s">
        <v>38</v>
      </c>
      <c r="F3116" s="2" t="s">
        <v>39</v>
      </c>
      <c r="M3116" s="2" t="s">
        <v>3299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2508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3319</v>
      </c>
      <c r="D3117" s="2" t="s">
        <v>3243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2506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3319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1578</v>
      </c>
      <c r="R3118" s="2" t="s">
        <v>1579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2476</v>
      </c>
      <c r="J3119" s="2" t="s">
        <v>3122</v>
      </c>
      <c r="K3119" s="2">
        <v>965864665</v>
      </c>
      <c r="L3119" s="2" t="s">
        <v>344</v>
      </c>
      <c r="M3119" s="2" t="s">
        <v>40</v>
      </c>
      <c r="O3119" s="2" t="s">
        <v>2477</v>
      </c>
      <c r="P3119" s="2" t="s">
        <v>1604</v>
      </c>
      <c r="Q3119" s="2" t="s">
        <v>1766</v>
      </c>
      <c r="R3119" s="2" t="s">
        <v>1767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1604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2509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1604</v>
      </c>
      <c r="Q3121" s="2" t="s">
        <v>1602</v>
      </c>
      <c r="R3121" s="2" t="s">
        <v>1603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3410</v>
      </c>
      <c r="D3122" s="2" t="s">
        <v>2510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2511</v>
      </c>
      <c r="R3122" s="2" t="s">
        <v>2512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3226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3410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3410</v>
      </c>
      <c r="D3124" s="2" t="s">
        <v>2513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2514</v>
      </c>
      <c r="R3124" s="2" t="s">
        <v>2515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2516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2517</v>
      </c>
      <c r="J3125" s="2" t="s">
        <v>2518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1547</v>
      </c>
      <c r="R3125" s="2" t="s">
        <v>1548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3410</v>
      </c>
      <c r="D3126" s="2" t="s">
        <v>1575</v>
      </c>
      <c r="E3126" s="2" t="s">
        <v>38</v>
      </c>
      <c r="G3126" s="2">
        <v>505123177</v>
      </c>
      <c r="H3126" s="2" t="s">
        <v>109</v>
      </c>
      <c r="I3126" s="2" t="s">
        <v>2519</v>
      </c>
      <c r="J3126" s="2" t="s">
        <v>2520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2521</v>
      </c>
      <c r="E3127" s="2" t="s">
        <v>38</v>
      </c>
      <c r="G3127" s="2">
        <v>259186163</v>
      </c>
      <c r="H3127" s="2" t="s">
        <v>109</v>
      </c>
      <c r="I3127" s="2" t="s">
        <v>2522</v>
      </c>
      <c r="J3127" s="2" t="s">
        <v>2523</v>
      </c>
      <c r="L3127" s="2" t="s">
        <v>461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2516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2517</v>
      </c>
      <c r="J3128" s="2" t="s">
        <v>2518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3226</v>
      </c>
      <c r="AA3128" s="2" t="s">
        <v>46</v>
      </c>
      <c r="AB3128" s="2" t="s">
        <v>60</v>
      </c>
      <c r="AC3128" s="2" t="s">
        <v>3330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3410</v>
      </c>
      <c r="D3129" s="2" t="s">
        <v>1575</v>
      </c>
      <c r="E3129" s="2" t="s">
        <v>38</v>
      </c>
      <c r="G3129" s="2">
        <v>505123177</v>
      </c>
      <c r="H3129" s="2" t="s">
        <v>109</v>
      </c>
      <c r="I3129" s="2" t="s">
        <v>2519</v>
      </c>
      <c r="J3129" s="2" t="s">
        <v>2520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3226</v>
      </c>
      <c r="AA3129" s="2" t="s">
        <v>46</v>
      </c>
      <c r="AB3129" s="2" t="s">
        <v>60</v>
      </c>
      <c r="AC3129" s="2" t="s">
        <v>3330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2521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3226</v>
      </c>
      <c r="AA3130" s="2" t="s">
        <v>46</v>
      </c>
      <c r="AB3130" s="2" t="s">
        <v>60</v>
      </c>
      <c r="AC3130" s="2" t="s">
        <v>3330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2516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2517</v>
      </c>
      <c r="J3131" s="2" t="s">
        <v>2518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3226</v>
      </c>
      <c r="AA3131" s="2" t="s">
        <v>46</v>
      </c>
      <c r="AB3131" s="2" t="s">
        <v>60</v>
      </c>
      <c r="AC3131" s="2" t="s">
        <v>3330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3410</v>
      </c>
      <c r="D3132" s="2" t="s">
        <v>1575</v>
      </c>
      <c r="E3132" s="2" t="s">
        <v>38</v>
      </c>
      <c r="G3132" s="2">
        <v>505123177</v>
      </c>
      <c r="H3132" s="2" t="s">
        <v>109</v>
      </c>
      <c r="I3132" s="2" t="s">
        <v>2519</v>
      </c>
      <c r="J3132" s="2" t="s">
        <v>2520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3226</v>
      </c>
      <c r="AA3132" s="2" t="s">
        <v>46</v>
      </c>
      <c r="AB3132" s="2" t="s">
        <v>60</v>
      </c>
      <c r="AC3132" s="2" t="s">
        <v>3330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2521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3226</v>
      </c>
      <c r="AA3133" s="2" t="s">
        <v>46</v>
      </c>
      <c r="AB3133" s="2" t="s">
        <v>60</v>
      </c>
      <c r="AC3133" s="2" t="s">
        <v>3330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2524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3226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3298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1554</v>
      </c>
      <c r="J3136" s="2" t="s">
        <v>2525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1397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3216</v>
      </c>
      <c r="J3137" s="2" t="s">
        <v>3215</v>
      </c>
      <c r="K3137" s="2">
        <v>913814877</v>
      </c>
      <c r="L3137" s="2" t="s">
        <v>201</v>
      </c>
      <c r="M3137" s="2" t="s">
        <v>80</v>
      </c>
      <c r="O3137" s="2" t="s">
        <v>3212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3133</v>
      </c>
      <c r="L3138" s="2" t="s">
        <v>177</v>
      </c>
      <c r="M3138" s="2" t="s">
        <v>41</v>
      </c>
      <c r="O3138" s="2" t="s">
        <v>3140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2526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3410</v>
      </c>
      <c r="D3141" s="2" t="s">
        <v>1901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1363</v>
      </c>
      <c r="R3141" s="2" t="s">
        <v>1364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3410</v>
      </c>
      <c r="D3143" s="2" t="s">
        <v>1901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2527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2416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3226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2416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2416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2528</v>
      </c>
      <c r="P3152" s="2" t="s">
        <v>114</v>
      </c>
      <c r="Q3152" s="2" t="s">
        <v>2529</v>
      </c>
      <c r="R3152" s="2" t="s">
        <v>2530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3226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3410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3410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2441</v>
      </c>
      <c r="P3157" s="2" t="s">
        <v>114</v>
      </c>
      <c r="Q3157" s="2" t="s">
        <v>2099</v>
      </c>
      <c r="R3157" s="2" t="s">
        <v>2100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3226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3410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C3160" s="2" t="s">
        <v>3453</v>
      </c>
      <c r="D3160" s="2" t="s">
        <v>37</v>
      </c>
      <c r="E3160" s="2" t="s">
        <v>38</v>
      </c>
      <c r="F3160" s="2" t="s">
        <v>39</v>
      </c>
      <c r="H3160" s="2" t="s">
        <v>40</v>
      </c>
      <c r="L3160" s="2" t="s">
        <v>3268</v>
      </c>
      <c r="M3160" s="2" t="s">
        <v>80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3114</v>
      </c>
      <c r="J3161" s="2" t="s">
        <v>3115</v>
      </c>
      <c r="L3161" s="2" t="s">
        <v>112</v>
      </c>
      <c r="M3161" s="2" t="s">
        <v>109</v>
      </c>
      <c r="O3161" s="2" t="s">
        <v>3118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2531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1554</v>
      </c>
      <c r="J3164" s="2" t="s">
        <v>2525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M3165" s="2" t="s">
        <v>41</v>
      </c>
      <c r="O3165" s="2" t="s">
        <v>2532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3226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2533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C3167" s="2" t="s">
        <v>3453</v>
      </c>
      <c r="D3167" s="2" t="s">
        <v>37</v>
      </c>
      <c r="E3167" s="2" t="s">
        <v>38</v>
      </c>
      <c r="F3167" s="2" t="s">
        <v>39</v>
      </c>
      <c r="H3167" s="2" t="s">
        <v>40</v>
      </c>
      <c r="L3167" s="2" t="s">
        <v>3268</v>
      </c>
      <c r="M3167" s="2" t="s">
        <v>80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3410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2534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1554</v>
      </c>
      <c r="J3171" s="2" t="s">
        <v>2525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1312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1313</v>
      </c>
      <c r="L3173" s="2" t="s">
        <v>177</v>
      </c>
      <c r="M3173" s="2" t="s">
        <v>41</v>
      </c>
      <c r="O3173" s="2" t="s">
        <v>2535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2534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1312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1313</v>
      </c>
      <c r="L3175" s="2" t="s">
        <v>177</v>
      </c>
      <c r="M3175" s="2" t="s">
        <v>41</v>
      </c>
      <c r="O3175" s="2" t="s">
        <v>2535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1554</v>
      </c>
      <c r="J3176" s="2" t="s">
        <v>2525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2536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2537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2521</v>
      </c>
      <c r="M3180" s="2" t="s">
        <v>109</v>
      </c>
      <c r="P3180" s="2" t="s">
        <v>43</v>
      </c>
      <c r="Q3180" s="2" t="s">
        <v>2378</v>
      </c>
      <c r="R3180" s="2" t="s">
        <v>2379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3226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2538</v>
      </c>
      <c r="L3181" s="2" t="s">
        <v>99</v>
      </c>
      <c r="M3181" s="2" t="s">
        <v>80</v>
      </c>
      <c r="O3181" s="2" t="s">
        <v>2539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3226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2531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3298</v>
      </c>
      <c r="D3185" s="2" t="s">
        <v>1372</v>
      </c>
      <c r="E3185" s="2" t="s">
        <v>38</v>
      </c>
      <c r="F3185" s="2" t="s">
        <v>39</v>
      </c>
      <c r="I3185" s="2" t="s">
        <v>3297</v>
      </c>
      <c r="L3185" s="2" t="s">
        <v>133</v>
      </c>
      <c r="M3185" s="2" t="s">
        <v>2540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2538</v>
      </c>
      <c r="L3186" s="2" t="s">
        <v>99</v>
      </c>
      <c r="M3186" s="2" t="s">
        <v>80</v>
      </c>
      <c r="O3186" s="2" t="s">
        <v>2539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C3189" s="2" t="s">
        <v>3298</v>
      </c>
      <c r="D3189" s="2" t="s">
        <v>37</v>
      </c>
      <c r="E3189" s="2" t="s">
        <v>38</v>
      </c>
      <c r="F3189" s="2" t="s">
        <v>39</v>
      </c>
      <c r="H3189" s="2" t="s">
        <v>40</v>
      </c>
      <c r="L3189" s="2" t="s">
        <v>3268</v>
      </c>
      <c r="M3189" s="2" t="s">
        <v>80</v>
      </c>
      <c r="O3189" s="2" t="s">
        <v>2541</v>
      </c>
      <c r="P3189" s="2" t="s">
        <v>43</v>
      </c>
      <c r="Q3189" s="2" t="s">
        <v>2542</v>
      </c>
      <c r="R3189" s="2" t="s">
        <v>2543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3226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2544</v>
      </c>
      <c r="R3190" s="2" t="s">
        <v>2545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3226</v>
      </c>
      <c r="AA3190" s="2" t="s">
        <v>71</v>
      </c>
      <c r="AB3190" s="2" t="s">
        <v>68</v>
      </c>
      <c r="AC3190" s="2" t="s">
        <v>3230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2546</v>
      </c>
      <c r="R3191" s="2" t="s">
        <v>2547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2548</v>
      </c>
      <c r="R3192" s="2" t="s">
        <v>2549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1486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2516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2517</v>
      </c>
      <c r="J3194" s="2" t="s">
        <v>2518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2550</v>
      </c>
      <c r="R3194" s="2" t="s">
        <v>2551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3230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O3195" s="2" t="s">
        <v>2552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3298</v>
      </c>
      <c r="D3196" s="2" t="s">
        <v>1785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2555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C3197" s="2" t="s">
        <v>3453</v>
      </c>
      <c r="D3197" s="2" t="s">
        <v>37</v>
      </c>
      <c r="E3197" s="2" t="s">
        <v>38</v>
      </c>
      <c r="F3197" s="2" t="s">
        <v>39</v>
      </c>
      <c r="H3197" s="2" t="s">
        <v>40</v>
      </c>
      <c r="L3197" s="2" t="s">
        <v>99</v>
      </c>
      <c r="M3197" s="2" t="s">
        <v>80</v>
      </c>
      <c r="O3197" s="2" t="s">
        <v>2556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3226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2537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C3199" s="2" t="s">
        <v>3453</v>
      </c>
      <c r="D3199" s="2" t="s">
        <v>2557</v>
      </c>
      <c r="E3199" s="2" t="s">
        <v>108</v>
      </c>
      <c r="F3199" s="2" t="s">
        <v>717</v>
      </c>
      <c r="G3199" s="2">
        <v>500228264</v>
      </c>
      <c r="H3199" s="2" t="s">
        <v>109</v>
      </c>
      <c r="I3199" s="2" t="s">
        <v>2937</v>
      </c>
      <c r="J3199" s="2" t="s">
        <v>2938</v>
      </c>
      <c r="K3199" s="2">
        <v>962004672</v>
      </c>
      <c r="L3199" s="2" t="s">
        <v>398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1994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1553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1554</v>
      </c>
      <c r="J3201" s="2" t="s">
        <v>1555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1376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2558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2559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1593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1594</v>
      </c>
      <c r="J3205" s="2" t="s">
        <v>1595</v>
      </c>
      <c r="L3205" s="2" t="s">
        <v>201</v>
      </c>
      <c r="M3205" s="2" t="s">
        <v>80</v>
      </c>
      <c r="O3205" s="2" t="s">
        <v>2560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C3206" s="2" t="s">
        <v>3410</v>
      </c>
      <c r="D3206" s="2" t="s">
        <v>37</v>
      </c>
      <c r="E3206" s="2" t="s">
        <v>38</v>
      </c>
      <c r="F3206" s="2" t="s">
        <v>39</v>
      </c>
      <c r="H3206" s="2" t="s">
        <v>40</v>
      </c>
      <c r="L3206" s="2" t="s">
        <v>339</v>
      </c>
      <c r="M3206" s="2" t="s">
        <v>80</v>
      </c>
      <c r="O3206" s="2" t="s">
        <v>2561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2562</v>
      </c>
      <c r="J3207" s="2" t="s">
        <v>2563</v>
      </c>
      <c r="K3207" s="2">
        <v>912897776</v>
      </c>
      <c r="L3207" s="2" t="s">
        <v>339</v>
      </c>
      <c r="M3207" s="2" t="s">
        <v>80</v>
      </c>
      <c r="O3207" s="2" t="s">
        <v>2564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3298</v>
      </c>
      <c r="D3208" s="2" t="s">
        <v>1256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2565</v>
      </c>
      <c r="L3208" s="2" t="s">
        <v>201</v>
      </c>
      <c r="M3208" s="2" t="s">
        <v>80</v>
      </c>
      <c r="O3208" s="2" t="s">
        <v>2566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1448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C3210" s="2" t="s">
        <v>3298</v>
      </c>
      <c r="D3210" s="2" t="s">
        <v>2567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2568</v>
      </c>
      <c r="J3210" s="2" t="s">
        <v>2569</v>
      </c>
      <c r="L3210" s="2" t="s">
        <v>133</v>
      </c>
      <c r="M3210" s="2" t="s">
        <v>80</v>
      </c>
      <c r="O3210" s="2" t="s">
        <v>2570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C3211" s="2" t="s">
        <v>3298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2571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C3213" s="2" t="s">
        <v>3298</v>
      </c>
      <c r="D3213" s="2" t="s">
        <v>37</v>
      </c>
      <c r="E3213" s="2" t="s">
        <v>38</v>
      </c>
      <c r="F3213" s="2" t="s">
        <v>39</v>
      </c>
      <c r="H3213" s="2" t="s">
        <v>40</v>
      </c>
      <c r="L3213" s="2" t="s">
        <v>3268</v>
      </c>
      <c r="M3213" s="2" t="s">
        <v>80</v>
      </c>
      <c r="O3213" s="2" t="s">
        <v>2572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2441</v>
      </c>
      <c r="P3214" s="2" t="s">
        <v>114</v>
      </c>
      <c r="Q3214" s="2" t="s">
        <v>1424</v>
      </c>
      <c r="R3214" s="2" t="s">
        <v>1425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3410</v>
      </c>
      <c r="D3215" s="2" t="s">
        <v>1256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2565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3226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2573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C3217" s="2" t="s">
        <v>3453</v>
      </c>
      <c r="D3217" s="2" t="s">
        <v>37</v>
      </c>
      <c r="E3217" s="2" t="s">
        <v>38</v>
      </c>
      <c r="F3217" s="2" t="s">
        <v>39</v>
      </c>
      <c r="H3217" s="2" t="s">
        <v>40</v>
      </c>
      <c r="L3217" s="2" t="s">
        <v>99</v>
      </c>
      <c r="M3217" s="2" t="s">
        <v>80</v>
      </c>
      <c r="O3217" s="2" t="s">
        <v>2574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1994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3298</v>
      </c>
      <c r="D3220" s="2" t="s">
        <v>2575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2576</v>
      </c>
      <c r="R3220" s="2" t="s">
        <v>2577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2578</v>
      </c>
      <c r="E3221" s="2" t="s">
        <v>183</v>
      </c>
      <c r="F3221" s="2" t="s">
        <v>2579</v>
      </c>
      <c r="G3221" s="2">
        <v>515259144</v>
      </c>
      <c r="H3221" s="2" t="s">
        <v>80</v>
      </c>
      <c r="I3221" s="2" t="s">
        <v>156</v>
      </c>
      <c r="J3221" s="2" t="s">
        <v>2580</v>
      </c>
      <c r="K3221" s="2">
        <v>968626165</v>
      </c>
      <c r="L3221" s="2" t="s">
        <v>99</v>
      </c>
      <c r="M3221" s="2" t="s">
        <v>80</v>
      </c>
      <c r="O3221" s="2" t="s">
        <v>2581</v>
      </c>
      <c r="P3221" s="2" t="s">
        <v>1038</v>
      </c>
      <c r="Q3221" s="2" t="s">
        <v>1953</v>
      </c>
      <c r="R3221" s="2" t="s">
        <v>1954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3226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C3222" s="2" t="s">
        <v>3453</v>
      </c>
      <c r="D3222" s="2" t="s">
        <v>37</v>
      </c>
      <c r="E3222" s="2" t="s">
        <v>38</v>
      </c>
      <c r="F3222" s="2" t="s">
        <v>39</v>
      </c>
      <c r="H3222" s="2" t="s">
        <v>40</v>
      </c>
      <c r="L3222" s="2" t="s">
        <v>3268</v>
      </c>
      <c r="M3222" s="2" t="s">
        <v>80</v>
      </c>
      <c r="P3222" s="2" t="s">
        <v>1038</v>
      </c>
      <c r="Q3222" s="2" t="s">
        <v>2582</v>
      </c>
      <c r="R3222" s="2" t="s">
        <v>2583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3319</v>
      </c>
      <c r="D3223" s="2" t="s">
        <v>1162</v>
      </c>
      <c r="E3223" s="2" t="s">
        <v>752</v>
      </c>
      <c r="F3223" s="2" t="s">
        <v>1217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2584</v>
      </c>
      <c r="R3223" s="2" t="s">
        <v>2585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3226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3410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2586</v>
      </c>
      <c r="P3226" s="2" t="s">
        <v>84</v>
      </c>
      <c r="Q3226" s="2" t="s">
        <v>2587</v>
      </c>
      <c r="R3226" s="2" t="s">
        <v>2588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3226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1194</v>
      </c>
      <c r="Q3227" s="2" t="s">
        <v>2590</v>
      </c>
      <c r="R3227" s="2" t="s">
        <v>2591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1199</v>
      </c>
      <c r="AB3227" s="2" t="s">
        <v>119</v>
      </c>
      <c r="AC3227" s="2" t="s">
        <v>1194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3319</v>
      </c>
      <c r="D3228" s="2" t="s">
        <v>1785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2592</v>
      </c>
      <c r="P3228" s="2" t="s">
        <v>3393</v>
      </c>
      <c r="Q3228" s="2" t="s">
        <v>2593</v>
      </c>
      <c r="R3228" s="2" t="s">
        <v>2594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3393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2516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2517</v>
      </c>
      <c r="J3229" s="2" t="s">
        <v>2518</v>
      </c>
      <c r="K3229" s="2">
        <v>967032538</v>
      </c>
      <c r="L3229" s="2" t="s">
        <v>398</v>
      </c>
      <c r="M3229" s="2" t="s">
        <v>109</v>
      </c>
      <c r="O3229" s="2" t="s">
        <v>2552</v>
      </c>
      <c r="P3229" s="2" t="s">
        <v>3393</v>
      </c>
      <c r="Q3229" s="2" t="s">
        <v>2595</v>
      </c>
      <c r="R3229" s="2" t="s">
        <v>2596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3393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2597</v>
      </c>
      <c r="M3230" s="2" t="s">
        <v>80</v>
      </c>
      <c r="P3230" s="2" t="s">
        <v>1038</v>
      </c>
      <c r="Q3230" s="2" t="s">
        <v>1924</v>
      </c>
      <c r="R3230" s="2" t="s">
        <v>1925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3226</v>
      </c>
      <c r="AA3230" s="2" t="s">
        <v>1041</v>
      </c>
      <c r="AB3230" s="2" t="s">
        <v>1270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C3231" s="2" t="s">
        <v>3410</v>
      </c>
      <c r="D3231" s="2" t="s">
        <v>37</v>
      </c>
      <c r="E3231" s="2" t="s">
        <v>38</v>
      </c>
      <c r="F3231" s="2" t="s">
        <v>39</v>
      </c>
      <c r="H3231" s="2" t="s">
        <v>40</v>
      </c>
      <c r="L3231" s="2" t="s">
        <v>480</v>
      </c>
      <c r="M3231" s="2" t="s">
        <v>80</v>
      </c>
      <c r="P3231" s="2" t="s">
        <v>1038</v>
      </c>
      <c r="Q3231" s="2" t="s">
        <v>2598</v>
      </c>
      <c r="R3231" s="2" t="s">
        <v>2599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2510</v>
      </c>
      <c r="M3232" s="2" t="s">
        <v>80</v>
      </c>
      <c r="P3232" s="2" t="s">
        <v>1038</v>
      </c>
      <c r="Q3232" s="2" t="s">
        <v>2600</v>
      </c>
      <c r="R3232" s="2" t="s">
        <v>2601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3226</v>
      </c>
      <c r="AA3232" s="2" t="s">
        <v>1041</v>
      </c>
      <c r="AB3232" s="2" t="s">
        <v>2168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2602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2526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3319</v>
      </c>
      <c r="D3236" s="2" t="s">
        <v>1354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2500</v>
      </c>
      <c r="J3236" s="2" t="s">
        <v>2501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3319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2231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2603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2333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2304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2474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3449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3449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1241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2509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2604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2605</v>
      </c>
      <c r="K3258" s="2">
        <v>935402550</v>
      </c>
      <c r="L3258" s="2" t="s">
        <v>112</v>
      </c>
      <c r="M3258" s="2" t="s">
        <v>40</v>
      </c>
      <c r="O3258" s="2" t="s">
        <v>2606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2608</v>
      </c>
      <c r="J3260" s="2" t="s">
        <v>2609</v>
      </c>
      <c r="K3260" s="2">
        <v>912183782</v>
      </c>
      <c r="L3260" s="2" t="s">
        <v>201</v>
      </c>
      <c r="M3260" s="2" t="s">
        <v>40</v>
      </c>
      <c r="O3260" s="2" t="s">
        <v>2610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3449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3449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3319</v>
      </c>
      <c r="D3267" s="2" t="s">
        <v>1162</v>
      </c>
      <c r="E3267" s="2" t="s">
        <v>752</v>
      </c>
      <c r="F3267" s="2" t="s">
        <v>1217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2510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2578</v>
      </c>
      <c r="E3269" s="2" t="s">
        <v>183</v>
      </c>
      <c r="F3269" s="2" t="s">
        <v>2579</v>
      </c>
      <c r="G3269" s="2">
        <v>515259144</v>
      </c>
      <c r="H3269" s="2" t="s">
        <v>80</v>
      </c>
      <c r="I3269" s="2" t="s">
        <v>156</v>
      </c>
      <c r="J3269" s="2" t="s">
        <v>2580</v>
      </c>
      <c r="K3269" s="2">
        <v>968626165</v>
      </c>
      <c r="L3269" s="2" t="s">
        <v>99</v>
      </c>
      <c r="M3269" s="2" t="s">
        <v>80</v>
      </c>
      <c r="O3269" s="2" t="s">
        <v>2611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1554</v>
      </c>
      <c r="J3270" s="2" t="s">
        <v>2525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2536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1397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3216</v>
      </c>
      <c r="J3272" s="2" t="s">
        <v>3215</v>
      </c>
      <c r="K3272" s="2">
        <v>913814877</v>
      </c>
      <c r="L3272" s="2" t="s">
        <v>201</v>
      </c>
      <c r="M3272" s="2" t="s">
        <v>80</v>
      </c>
      <c r="O3272" s="2" t="s">
        <v>3212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2586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2153</v>
      </c>
      <c r="M3276" s="2" t="s">
        <v>40</v>
      </c>
      <c r="P3276" s="2" t="s">
        <v>187</v>
      </c>
      <c r="Q3276" s="2" t="s">
        <v>1308</v>
      </c>
      <c r="R3276" s="2" t="s">
        <v>1309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1310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C3277" s="2" t="s">
        <v>3319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2612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3226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2537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3319</v>
      </c>
      <c r="D3279" s="2" t="s">
        <v>1162</v>
      </c>
      <c r="E3279" s="2" t="s">
        <v>752</v>
      </c>
      <c r="F3279" s="2" t="s">
        <v>1217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3298</v>
      </c>
      <c r="D3280" s="2" t="s">
        <v>2575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2613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3226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2571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3226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C3283" s="2" t="s">
        <v>3453</v>
      </c>
      <c r="D3283" s="2" t="s">
        <v>2557</v>
      </c>
      <c r="E3283" s="2" t="s">
        <v>108</v>
      </c>
      <c r="F3283" s="2" t="s">
        <v>717</v>
      </c>
      <c r="G3283" s="2">
        <v>500228264</v>
      </c>
      <c r="H3283" s="2" t="s">
        <v>109</v>
      </c>
      <c r="I3283" s="2" t="s">
        <v>2937</v>
      </c>
      <c r="J3283" s="2" t="s">
        <v>2938</v>
      </c>
      <c r="K3283" s="2">
        <v>962004672</v>
      </c>
      <c r="L3283" s="2" t="s">
        <v>398</v>
      </c>
      <c r="M3283" s="2" t="s">
        <v>80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1994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2578</v>
      </c>
      <c r="E3286" s="2" t="s">
        <v>183</v>
      </c>
      <c r="F3286" s="2" t="s">
        <v>2579</v>
      </c>
      <c r="G3286" s="2">
        <v>515259144</v>
      </c>
      <c r="H3286" s="2" t="s">
        <v>80</v>
      </c>
      <c r="I3286" s="2" t="s">
        <v>156</v>
      </c>
      <c r="J3286" s="2" t="s">
        <v>2580</v>
      </c>
      <c r="K3286" s="2">
        <v>968626165</v>
      </c>
      <c r="L3286" s="2" t="s">
        <v>99</v>
      </c>
      <c r="M3286" s="2" t="s">
        <v>80</v>
      </c>
      <c r="O3286" s="2" t="s">
        <v>2581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1553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1554</v>
      </c>
      <c r="J3287" s="2" t="s">
        <v>1555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1376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C3289" s="2" t="s">
        <v>3298</v>
      </c>
      <c r="D3289" s="2" t="s">
        <v>2567</v>
      </c>
      <c r="E3289" s="2" t="s">
        <v>38</v>
      </c>
      <c r="F3289" s="2" t="s">
        <v>39</v>
      </c>
      <c r="G3289" s="2">
        <v>501561196</v>
      </c>
      <c r="H3289" s="2" t="s">
        <v>109</v>
      </c>
      <c r="I3289" s="2" t="s">
        <v>2568</v>
      </c>
      <c r="J3289" s="2" t="s">
        <v>2569</v>
      </c>
      <c r="L3289" s="2" t="s">
        <v>133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3410</v>
      </c>
      <c r="D3291" s="2" t="s">
        <v>1256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2565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2573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1593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1594</v>
      </c>
      <c r="J3293" s="2" t="s">
        <v>1595</v>
      </c>
      <c r="L3293" s="2" t="s">
        <v>201</v>
      </c>
      <c r="M3293" s="2" t="s">
        <v>80</v>
      </c>
      <c r="O3293" s="2" t="s">
        <v>2560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2558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2559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2526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2614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3378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2615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2616</v>
      </c>
      <c r="P3300" s="2" t="s">
        <v>114</v>
      </c>
      <c r="Q3300" s="2" t="s">
        <v>2225</v>
      </c>
      <c r="R3300" s="2" t="s">
        <v>2226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2258</v>
      </c>
      <c r="G3301" s="2">
        <v>503636002</v>
      </c>
      <c r="I3301" s="2" t="s">
        <v>2617</v>
      </c>
      <c r="M3301" s="2" t="s">
        <v>40</v>
      </c>
      <c r="O3301" s="2" t="s">
        <v>2618</v>
      </c>
      <c r="P3301" s="2" t="s">
        <v>114</v>
      </c>
      <c r="Q3301" s="2" t="s">
        <v>2227</v>
      </c>
      <c r="R3301" s="2" t="s">
        <v>2228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2619</v>
      </c>
      <c r="P3302" s="2" t="s">
        <v>114</v>
      </c>
      <c r="Q3302" s="2" t="s">
        <v>2620</v>
      </c>
      <c r="R3302" s="2" t="s">
        <v>2621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3504</v>
      </c>
      <c r="D3303" s="2" t="s">
        <v>2049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2779</v>
      </c>
      <c r="J3303" s="2" t="s">
        <v>2820</v>
      </c>
      <c r="K3303" s="2">
        <v>914732950</v>
      </c>
      <c r="L3303" s="2" t="s">
        <v>480</v>
      </c>
      <c r="M3303" s="2" t="s">
        <v>40</v>
      </c>
      <c r="O3303" s="2" t="s">
        <v>2622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2258</v>
      </c>
      <c r="M3304" s="2" t="s">
        <v>40</v>
      </c>
      <c r="O3304" s="2" t="s">
        <v>2618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2445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3318</v>
      </c>
      <c r="D3306" s="2" t="s">
        <v>2150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2623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2613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3226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3318</v>
      </c>
      <c r="D3308" s="2" t="s">
        <v>2624</v>
      </c>
      <c r="E3308" s="2" t="s">
        <v>3417</v>
      </c>
      <c r="F3308" s="2" t="s">
        <v>3418</v>
      </c>
      <c r="L3308" s="2" t="s">
        <v>293</v>
      </c>
      <c r="M3308" s="2" t="s">
        <v>40</v>
      </c>
      <c r="O3308" s="2" t="s">
        <v>2625</v>
      </c>
      <c r="P3308" s="2" t="s">
        <v>114</v>
      </c>
      <c r="Q3308" s="2" t="s">
        <v>2626</v>
      </c>
      <c r="R3308" s="2" t="s">
        <v>2627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2628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3318</v>
      </c>
      <c r="D3312" s="2" t="s">
        <v>906</v>
      </c>
      <c r="E3312" s="2" t="s">
        <v>3417</v>
      </c>
      <c r="F3312" s="2" t="s">
        <v>3418</v>
      </c>
      <c r="L3312" s="2" t="s">
        <v>339</v>
      </c>
      <c r="M3312" s="2" t="s">
        <v>40</v>
      </c>
      <c r="P3312" s="2" t="s">
        <v>114</v>
      </c>
      <c r="Q3312" s="2" t="s">
        <v>1471</v>
      </c>
      <c r="R3312" s="2" t="s">
        <v>1472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3318</v>
      </c>
      <c r="D3313" s="2" t="s">
        <v>2624</v>
      </c>
      <c r="E3313" s="2" t="s">
        <v>3417</v>
      </c>
      <c r="F3313" s="2" t="s">
        <v>3418</v>
      </c>
      <c r="L3313" s="2" t="s">
        <v>293</v>
      </c>
      <c r="M3313" s="2" t="s">
        <v>40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2629</v>
      </c>
      <c r="P3314" s="2" t="s">
        <v>114</v>
      </c>
      <c r="Q3314" s="2" t="s">
        <v>2114</v>
      </c>
      <c r="R3314" s="2" t="s">
        <v>2115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1590</v>
      </c>
      <c r="E3315" s="2" t="s">
        <v>38</v>
      </c>
      <c r="F3315" s="2" t="s">
        <v>39</v>
      </c>
      <c r="L3315" s="2" t="s">
        <v>571</v>
      </c>
      <c r="M3315" s="2" t="s">
        <v>40</v>
      </c>
      <c r="P3315" s="2" t="s">
        <v>114</v>
      </c>
      <c r="Q3315" s="2" t="s">
        <v>2630</v>
      </c>
      <c r="R3315" s="2" t="s">
        <v>2631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W3315" s="2">
        <v>64.87</v>
      </c>
      <c r="X3315" s="5">
        <f t="shared" si="515"/>
        <v>0.52382001027673775</v>
      </c>
      <c r="Z3315" s="2" t="s">
        <v>117</v>
      </c>
      <c r="AA3315" s="2" t="s">
        <v>118</v>
      </c>
      <c r="AB3315" s="2" t="s">
        <v>119</v>
      </c>
      <c r="AC3315" s="2" t="s">
        <v>114</v>
      </c>
      <c r="AF3315" s="2">
        <f t="shared" si="511"/>
        <v>0</v>
      </c>
      <c r="AJ3315" s="2">
        <f t="shared" si="512"/>
        <v>0</v>
      </c>
      <c r="AK3315" s="2">
        <f t="shared" si="516"/>
        <v>71.359999999999985</v>
      </c>
      <c r="AL3315" s="5">
        <f t="shared" si="517"/>
        <v>0.52382001027673775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1183</v>
      </c>
      <c r="R3316" s="2" t="s">
        <v>1184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3419</v>
      </c>
      <c r="D3317" s="2" t="s">
        <v>2629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1183</v>
      </c>
      <c r="R3317" s="2" t="s">
        <v>1184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3419</v>
      </c>
      <c r="D3318" s="2" t="s">
        <v>2632</v>
      </c>
      <c r="E3318" s="2" t="s">
        <v>38</v>
      </c>
      <c r="G3318" s="2">
        <v>508857562</v>
      </c>
      <c r="H3318" s="2" t="s">
        <v>109</v>
      </c>
      <c r="I3318" s="2" t="s">
        <v>2633</v>
      </c>
      <c r="J3318" s="2" t="s">
        <v>2634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3318</v>
      </c>
      <c r="D3319" s="2" t="s">
        <v>1884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2635</v>
      </c>
      <c r="P3319" s="2" t="s">
        <v>2636</v>
      </c>
      <c r="Q3319" s="2" t="s">
        <v>2637</v>
      </c>
      <c r="R3319" s="2" t="s">
        <v>2638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3226</v>
      </c>
      <c r="AA3319" s="2" t="s">
        <v>71</v>
      </c>
      <c r="AB3319" s="2" t="s">
        <v>119</v>
      </c>
      <c r="AC3319" s="2" t="s">
        <v>2636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2516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2517</v>
      </c>
      <c r="J3320" s="2" t="s">
        <v>2518</v>
      </c>
      <c r="K3320" s="2">
        <v>967032538</v>
      </c>
      <c r="L3320" s="2" t="s">
        <v>398</v>
      </c>
      <c r="M3320" s="2" t="s">
        <v>109</v>
      </c>
      <c r="O3320" s="2" t="s">
        <v>2639</v>
      </c>
      <c r="P3320" s="2" t="s">
        <v>282</v>
      </c>
      <c r="Q3320" s="2" t="s">
        <v>1205</v>
      </c>
      <c r="R3320" s="2" t="s">
        <v>1206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3226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3318</v>
      </c>
      <c r="D3321" s="2" t="s">
        <v>2640</v>
      </c>
      <c r="E3321" s="2" t="s">
        <v>752</v>
      </c>
      <c r="G3321" s="2">
        <v>504481991</v>
      </c>
      <c r="H3321" s="2" t="s">
        <v>40</v>
      </c>
      <c r="I3321" s="2" t="s">
        <v>2663</v>
      </c>
      <c r="J3321" s="2" t="s">
        <v>2664</v>
      </c>
      <c r="L3321" s="2" t="s">
        <v>201</v>
      </c>
      <c r="M3321" s="2" t="s">
        <v>40</v>
      </c>
      <c r="P3321" s="2" t="s">
        <v>282</v>
      </c>
      <c r="Q3321" s="2" t="s">
        <v>1662</v>
      </c>
      <c r="R3321" s="2" t="s">
        <v>1663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2641</v>
      </c>
      <c r="AC3321" s="2" t="s">
        <v>1327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3318</v>
      </c>
      <c r="D3322" s="2" t="s">
        <v>2640</v>
      </c>
      <c r="E3322" s="2" t="s">
        <v>752</v>
      </c>
      <c r="G3322" s="2">
        <v>504481991</v>
      </c>
      <c r="H3322" s="2" t="s">
        <v>40</v>
      </c>
      <c r="I3322" s="2" t="s">
        <v>2663</v>
      </c>
      <c r="J3322" s="2" t="s">
        <v>2664</v>
      </c>
      <c r="L3322" s="2" t="s">
        <v>201</v>
      </c>
      <c r="M3322" s="2" t="s">
        <v>40</v>
      </c>
      <c r="P3322" s="2" t="s">
        <v>282</v>
      </c>
      <c r="Q3322" s="2" t="s">
        <v>1664</v>
      </c>
      <c r="R3322" s="2" t="s">
        <v>1665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3318</v>
      </c>
      <c r="D3323" s="2" t="s">
        <v>2642</v>
      </c>
      <c r="E3323" s="2" t="s">
        <v>38</v>
      </c>
      <c r="G3323" s="2">
        <v>506820378</v>
      </c>
      <c r="H3323" s="2" t="s">
        <v>41</v>
      </c>
      <c r="I3323" s="2" t="s">
        <v>2643</v>
      </c>
      <c r="J3323" s="2" t="s">
        <v>2644</v>
      </c>
      <c r="L3323" s="2" t="s">
        <v>418</v>
      </c>
      <c r="M3323" s="2" t="s">
        <v>41</v>
      </c>
      <c r="O3323" s="2" t="s">
        <v>2645</v>
      </c>
      <c r="P3323" s="2" t="s">
        <v>282</v>
      </c>
      <c r="Q3323" s="2" t="s">
        <v>1779</v>
      </c>
      <c r="R3323" s="2" t="s">
        <v>1780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1330</v>
      </c>
      <c r="AC3323" s="2" t="s">
        <v>1327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3257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2646</v>
      </c>
      <c r="L3324" s="2" t="s">
        <v>418</v>
      </c>
      <c r="M3324" s="2" t="s">
        <v>41</v>
      </c>
      <c r="O3324" s="2" t="s">
        <v>3256</v>
      </c>
      <c r="P3324" s="2" t="s">
        <v>282</v>
      </c>
      <c r="Q3324" s="2" t="s">
        <v>2647</v>
      </c>
      <c r="R3324" s="2" t="s">
        <v>2648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1574</v>
      </c>
      <c r="AB3324" s="2" t="s">
        <v>388</v>
      </c>
      <c r="AC3324" s="2" t="s">
        <v>1327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2649</v>
      </c>
      <c r="R3325" s="2" t="s">
        <v>2650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2651</v>
      </c>
      <c r="R3326" s="2" t="s">
        <v>2652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3419</v>
      </c>
      <c r="D3327" s="2" t="s">
        <v>3416</v>
      </c>
      <c r="E3327" s="2" t="s">
        <v>3417</v>
      </c>
      <c r="F3327" s="2" t="s">
        <v>3418</v>
      </c>
      <c r="L3327" s="2" t="s">
        <v>293</v>
      </c>
      <c r="M3327" s="2" t="s">
        <v>290</v>
      </c>
      <c r="O3327" s="2" t="s">
        <v>2653</v>
      </c>
      <c r="P3327" s="2" t="s">
        <v>282</v>
      </c>
      <c r="Q3327" s="2" t="s">
        <v>1282</v>
      </c>
      <c r="R3327" s="2" t="s">
        <v>1283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3419</v>
      </c>
      <c r="D3328" s="2" t="s">
        <v>3416</v>
      </c>
      <c r="E3328" s="2" t="s">
        <v>3417</v>
      </c>
      <c r="F3328" s="2" t="s">
        <v>3418</v>
      </c>
      <c r="L3328" s="2" t="s">
        <v>293</v>
      </c>
      <c r="M3328" s="2" t="s">
        <v>40</v>
      </c>
      <c r="O3328" s="2" t="s">
        <v>2653</v>
      </c>
      <c r="P3328" s="2" t="s">
        <v>282</v>
      </c>
      <c r="Q3328" s="2" t="s">
        <v>1284</v>
      </c>
      <c r="R3328" s="2" t="s">
        <v>1285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3379</v>
      </c>
      <c r="AC3328" s="2" t="s">
        <v>1327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3419</v>
      </c>
      <c r="D3329" s="2" t="s">
        <v>3416</v>
      </c>
      <c r="E3329" s="2" t="s">
        <v>3417</v>
      </c>
      <c r="F3329" s="2" t="s">
        <v>3418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1574</v>
      </c>
      <c r="AB3329" s="2" t="s">
        <v>388</v>
      </c>
      <c r="AC3329" s="2" t="s">
        <v>1327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2654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2655</v>
      </c>
      <c r="J3330" s="2" t="s">
        <v>2656</v>
      </c>
      <c r="K3330" s="2">
        <v>917531684</v>
      </c>
      <c r="L3330" s="2" t="s">
        <v>177</v>
      </c>
      <c r="M3330" s="2" t="s">
        <v>40</v>
      </c>
      <c r="O3330" s="2" t="s">
        <v>2657</v>
      </c>
      <c r="P3330" s="2" t="s">
        <v>282</v>
      </c>
      <c r="Q3330" s="2" t="s">
        <v>1286</v>
      </c>
      <c r="R3330" s="2" t="s">
        <v>1287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3318</v>
      </c>
      <c r="D3331" s="2" t="s">
        <v>2640</v>
      </c>
      <c r="E3331" s="2" t="s">
        <v>752</v>
      </c>
      <c r="G3331" s="2">
        <v>504481991</v>
      </c>
      <c r="H3331" s="2" t="s">
        <v>40</v>
      </c>
      <c r="I3331" s="2" t="s">
        <v>2663</v>
      </c>
      <c r="J3331" s="2" t="s">
        <v>2664</v>
      </c>
      <c r="L3331" s="2" t="s">
        <v>201</v>
      </c>
      <c r="M3331" s="2" t="s">
        <v>40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2658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2659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2660</v>
      </c>
      <c r="J3333" s="2" t="s">
        <v>2661</v>
      </c>
      <c r="K3333" s="2">
        <v>934367883</v>
      </c>
      <c r="L3333" s="2" t="s">
        <v>418</v>
      </c>
      <c r="O3333" s="2" t="s">
        <v>2662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2654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2655</v>
      </c>
      <c r="J3334" s="2" t="s">
        <v>2656</v>
      </c>
      <c r="K3334" s="2">
        <v>917531684</v>
      </c>
      <c r="L3334" s="2" t="s">
        <v>177</v>
      </c>
      <c r="M3334" s="2" t="s">
        <v>40</v>
      </c>
      <c r="O3334" s="2" t="s">
        <v>2657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3318</v>
      </c>
      <c r="D3335" s="2" t="s">
        <v>2640</v>
      </c>
      <c r="E3335" s="2" t="s">
        <v>752</v>
      </c>
      <c r="G3335" s="2">
        <v>504481991</v>
      </c>
      <c r="H3335" s="2" t="s">
        <v>40</v>
      </c>
      <c r="I3335" s="2" t="s">
        <v>2663</v>
      </c>
      <c r="J3335" s="2" t="s">
        <v>2664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3419</v>
      </c>
      <c r="D3336" s="2" t="s">
        <v>3416</v>
      </c>
      <c r="E3336" s="2" t="s">
        <v>3417</v>
      </c>
      <c r="F3336" s="2" t="s">
        <v>3418</v>
      </c>
      <c r="L3336" s="2" t="s">
        <v>293</v>
      </c>
      <c r="M3336" s="2" t="s">
        <v>290</v>
      </c>
      <c r="O3336" s="2" t="s">
        <v>2653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2658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2659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2660</v>
      </c>
      <c r="J3338" s="2" t="s">
        <v>2661</v>
      </c>
      <c r="K3338" s="2">
        <v>934367883</v>
      </c>
      <c r="L3338" s="2" t="s">
        <v>418</v>
      </c>
      <c r="O3338" s="2" t="s">
        <v>2662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2654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2655</v>
      </c>
      <c r="J3339" s="2" t="s">
        <v>2656</v>
      </c>
      <c r="K3339" s="2">
        <v>917531684</v>
      </c>
      <c r="L3339" s="2" t="s">
        <v>177</v>
      </c>
      <c r="M3339" s="2" t="s">
        <v>40</v>
      </c>
      <c r="O3339" s="2" t="s">
        <v>2657</v>
      </c>
      <c r="P3339" s="2" t="s">
        <v>282</v>
      </c>
      <c r="Q3339" s="2" t="s">
        <v>1288</v>
      </c>
      <c r="R3339" s="2" t="s">
        <v>1289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3318</v>
      </c>
      <c r="D3340" s="2" t="s">
        <v>2640</v>
      </c>
      <c r="E3340" s="2" t="s">
        <v>752</v>
      </c>
      <c r="G3340" s="2">
        <v>504481991</v>
      </c>
      <c r="H3340" s="2" t="s">
        <v>40</v>
      </c>
      <c r="I3340" s="2" t="s">
        <v>2663</v>
      </c>
      <c r="J3340" s="2" t="s">
        <v>2664</v>
      </c>
      <c r="L3340" s="2" t="s">
        <v>201</v>
      </c>
      <c r="M3340" s="2" t="s">
        <v>40</v>
      </c>
      <c r="P3340" s="2" t="s">
        <v>282</v>
      </c>
      <c r="Q3340" s="2" t="s">
        <v>1288</v>
      </c>
      <c r="R3340" s="2" t="s">
        <v>1289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2658</v>
      </c>
      <c r="E3341" s="2" t="s">
        <v>752</v>
      </c>
      <c r="G3341" s="2">
        <v>509674658</v>
      </c>
      <c r="H3341" s="2" t="s">
        <v>40</v>
      </c>
      <c r="I3341" s="2" t="s">
        <v>2665</v>
      </c>
      <c r="J3341" s="2" t="s">
        <v>2666</v>
      </c>
      <c r="L3341" s="2" t="s">
        <v>177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2659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2660</v>
      </c>
      <c r="J3342" s="2" t="s">
        <v>2661</v>
      </c>
      <c r="K3342" s="2">
        <v>934367883</v>
      </c>
      <c r="L3342" s="2" t="s">
        <v>418</v>
      </c>
      <c r="O3342" s="2" t="s">
        <v>2662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3318</v>
      </c>
      <c r="D3343" s="2" t="s">
        <v>1884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1950</v>
      </c>
      <c r="R3343" s="2" t="s">
        <v>1951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3226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2667</v>
      </c>
      <c r="P3344" s="2" t="s">
        <v>282</v>
      </c>
      <c r="Q3344" s="2" t="s">
        <v>1436</v>
      </c>
      <c r="R3344" s="2" t="s">
        <v>1437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2668</v>
      </c>
      <c r="P3345" s="2" t="s">
        <v>282</v>
      </c>
      <c r="Q3345" s="2" t="s">
        <v>1436</v>
      </c>
      <c r="R3345" s="2" t="s">
        <v>1437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2669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1554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1547</v>
      </c>
      <c r="R3346" s="2" t="s">
        <v>1548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3257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2646</v>
      </c>
      <c r="L3347" s="2" t="s">
        <v>418</v>
      </c>
      <c r="M3347" s="2" t="s">
        <v>41</v>
      </c>
      <c r="O3347" s="2" t="s">
        <v>3256</v>
      </c>
      <c r="P3347" s="2" t="s">
        <v>282</v>
      </c>
      <c r="Q3347" s="2" t="s">
        <v>1252</v>
      </c>
      <c r="R3347" s="2" t="s">
        <v>1253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2669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1554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3226</v>
      </c>
      <c r="AA3348" s="2" t="s">
        <v>46</v>
      </c>
      <c r="AB3348" s="2" t="s">
        <v>60</v>
      </c>
      <c r="AC3348" s="2" t="s">
        <v>3330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1355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1356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3330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3330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1553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1554</v>
      </c>
      <c r="J3351" s="2" t="s">
        <v>1555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3330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2669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1554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3330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1355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1356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3330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3330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1553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1554</v>
      </c>
      <c r="J3355" s="2" t="s">
        <v>1555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3330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2516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2517</v>
      </c>
      <c r="J3356" s="2" t="s">
        <v>2518</v>
      </c>
      <c r="K3356" s="2">
        <v>967032538</v>
      </c>
      <c r="L3356" s="2" t="s">
        <v>398</v>
      </c>
      <c r="M3356" s="2" t="s">
        <v>109</v>
      </c>
      <c r="O3356" s="2" t="s">
        <v>2639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3226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2516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2517</v>
      </c>
      <c r="J3358" s="2" t="s">
        <v>2518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2670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2613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2671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2672</v>
      </c>
      <c r="J3363" s="2" t="s">
        <v>2673</v>
      </c>
      <c r="K3363" s="2">
        <v>962939747</v>
      </c>
      <c r="L3363" s="2" t="s">
        <v>99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2675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1312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1313</v>
      </c>
      <c r="L3365" s="2" t="s">
        <v>177</v>
      </c>
      <c r="M3365" s="2" t="s">
        <v>41</v>
      </c>
      <c r="O3365" s="2" t="s">
        <v>2676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2677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2677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3175</v>
      </c>
      <c r="K3369" s="2">
        <v>911577458</v>
      </c>
      <c r="L3369" s="2" t="s">
        <v>177</v>
      </c>
      <c r="M3369" s="2" t="s">
        <v>41</v>
      </c>
      <c r="O3369" s="2" t="s">
        <v>3179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2516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2517</v>
      </c>
      <c r="J3371" s="2" t="s">
        <v>2518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2678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2675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2679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3226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2679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2516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2517</v>
      </c>
      <c r="J3380" s="2" t="s">
        <v>2518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1419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1272</v>
      </c>
      <c r="J3382" s="2" t="s">
        <v>2394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2679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2516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2517</v>
      </c>
      <c r="J3384" s="2" t="s">
        <v>2518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1419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1272</v>
      </c>
      <c r="J3385" s="2" t="s">
        <v>2394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2680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2516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2517</v>
      </c>
      <c r="J3387" s="2" t="s">
        <v>2518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1419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1272</v>
      </c>
      <c r="J3388" s="2" t="s">
        <v>2394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2680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1419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1272</v>
      </c>
      <c r="J3391" s="2" t="s">
        <v>2394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2679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1419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1272</v>
      </c>
      <c r="J3394" s="2" t="s">
        <v>2394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2681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2682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3504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2670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2613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3226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1397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3216</v>
      </c>
      <c r="J3405" s="2" t="s">
        <v>3215</v>
      </c>
      <c r="K3405" s="2">
        <v>913814877</v>
      </c>
      <c r="L3405" s="2" t="s">
        <v>201</v>
      </c>
      <c r="M3405" s="2" t="s">
        <v>80</v>
      </c>
      <c r="O3405" s="2" t="s">
        <v>3213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3226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2671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2683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3419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2684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1312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1313</v>
      </c>
      <c r="L3411" s="2" t="s">
        <v>177</v>
      </c>
      <c r="M3411" s="2" t="s">
        <v>41</v>
      </c>
      <c r="O3411" s="2" t="s">
        <v>2676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2685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1312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1313</v>
      </c>
      <c r="L3413" s="2" t="s">
        <v>177</v>
      </c>
      <c r="M3413" s="2" t="s">
        <v>41</v>
      </c>
      <c r="O3413" s="2" t="s">
        <v>2686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2687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3226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2516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2517</v>
      </c>
      <c r="J3415" s="2" t="s">
        <v>2518</v>
      </c>
      <c r="K3415" s="2">
        <v>967032538</v>
      </c>
      <c r="L3415" s="2" t="s">
        <v>398</v>
      </c>
      <c r="M3415" s="2" t="s">
        <v>109</v>
      </c>
      <c r="O3415" s="2" t="s">
        <v>2639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2682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2516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2517</v>
      </c>
      <c r="J3418" s="2" t="s">
        <v>2518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3442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2613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3226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3226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2675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3419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2682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3226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3133</v>
      </c>
      <c r="L3431" s="2" t="s">
        <v>177</v>
      </c>
      <c r="M3431" s="2" t="s">
        <v>41</v>
      </c>
      <c r="O3431" s="2" t="s">
        <v>3141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3226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3226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2688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2675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2689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3226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2516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2517</v>
      </c>
      <c r="J3439" s="2" t="s">
        <v>2518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2677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3442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2690</v>
      </c>
      <c r="M3443" s="2" t="s">
        <v>40</v>
      </c>
      <c r="P3443" s="2" t="s">
        <v>2691</v>
      </c>
      <c r="Q3443" s="2" t="s">
        <v>2692</v>
      </c>
      <c r="R3443" s="2" t="s">
        <v>2693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3226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3504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2694</v>
      </c>
      <c r="P3444" s="2" t="s">
        <v>3229</v>
      </c>
      <c r="Q3444" s="2" t="s">
        <v>2695</v>
      </c>
      <c r="R3444" s="2" t="s">
        <v>2696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2697</v>
      </c>
      <c r="AB3444" s="2" t="s">
        <v>2698</v>
      </c>
      <c r="AC3444" s="2" t="s">
        <v>3229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3442</v>
      </c>
      <c r="D3445" s="2" t="s">
        <v>1884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3229</v>
      </c>
      <c r="Q3445" s="2" t="s">
        <v>1786</v>
      </c>
      <c r="R3445" s="2" t="s">
        <v>1787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3229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3442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2699</v>
      </c>
      <c r="P3446" s="2" t="s">
        <v>3229</v>
      </c>
      <c r="Q3446" s="2" t="s">
        <v>2700</v>
      </c>
      <c r="R3446" s="2" t="s">
        <v>2701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3229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3442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2699</v>
      </c>
      <c r="P3447" s="2" t="s">
        <v>3229</v>
      </c>
      <c r="Q3447" s="2" t="s">
        <v>1945</v>
      </c>
      <c r="R3447" s="2" t="s">
        <v>1946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3229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3419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2702</v>
      </c>
      <c r="R3448" s="2" t="s">
        <v>2703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3226</v>
      </c>
      <c r="AA3448" s="2" t="s">
        <v>71</v>
      </c>
      <c r="AB3448" s="2" t="s">
        <v>68</v>
      </c>
      <c r="AC3448" s="2" t="s">
        <v>3230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1955</v>
      </c>
      <c r="M3449" s="2" t="s">
        <v>40</v>
      </c>
      <c r="P3449" s="2" t="s">
        <v>68</v>
      </c>
      <c r="Q3449" s="2" t="s">
        <v>2704</v>
      </c>
      <c r="R3449" s="2" t="s">
        <v>2705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3226</v>
      </c>
      <c r="AC3449" s="2" t="s">
        <v>3230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1695</v>
      </c>
      <c r="P3450" s="2" t="s">
        <v>68</v>
      </c>
      <c r="Q3450" s="2" t="s">
        <v>2706</v>
      </c>
      <c r="R3450" s="2" t="s">
        <v>2707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3226</v>
      </c>
      <c r="AC3450" s="2" t="s">
        <v>3230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3318</v>
      </c>
      <c r="D3451" s="2" t="s">
        <v>2632</v>
      </c>
      <c r="E3451" s="2" t="s">
        <v>38</v>
      </c>
      <c r="G3451" s="2">
        <v>508857562</v>
      </c>
      <c r="H3451" s="2" t="s">
        <v>109</v>
      </c>
      <c r="I3451" s="2" t="s">
        <v>2633</v>
      </c>
      <c r="J3451" s="2" t="s">
        <v>2634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3226</v>
      </c>
      <c r="AA3451" s="2" t="s">
        <v>71</v>
      </c>
      <c r="AB3451" s="2" t="s">
        <v>68</v>
      </c>
      <c r="AC3451" s="2" t="s">
        <v>3230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3318</v>
      </c>
      <c r="D3452" s="2" t="s">
        <v>1884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3230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2708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3226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2709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2710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C3457" s="2" t="s">
        <v>3318</v>
      </c>
      <c r="D3457" s="2" t="s">
        <v>1255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2711</v>
      </c>
      <c r="J3457" s="2" t="s">
        <v>2712</v>
      </c>
      <c r="K3457" s="2">
        <v>935047029</v>
      </c>
      <c r="L3457" s="2" t="s">
        <v>446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3318</v>
      </c>
      <c r="D3458" s="2" t="s">
        <v>1162</v>
      </c>
      <c r="E3458" s="2" t="s">
        <v>752</v>
      </c>
      <c r="F3458" s="2" t="s">
        <v>1217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1448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3419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2714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2715</v>
      </c>
      <c r="J3460" s="2" t="s">
        <v>2716</v>
      </c>
      <c r="K3460" s="2">
        <v>962576243</v>
      </c>
      <c r="L3460" s="2" t="s">
        <v>446</v>
      </c>
      <c r="M3460" s="2" t="s">
        <v>80</v>
      </c>
      <c r="O3460" s="2" t="s">
        <v>2717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1418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2411</v>
      </c>
      <c r="J3461" s="2" t="s">
        <v>2412</v>
      </c>
      <c r="L3461" s="2" t="s">
        <v>201</v>
      </c>
      <c r="M3461" s="2" t="s">
        <v>80</v>
      </c>
      <c r="O3461" s="2" t="s">
        <v>2718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2719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2720</v>
      </c>
      <c r="P3464" s="2" t="s">
        <v>72</v>
      </c>
      <c r="Q3464" s="2" t="s">
        <v>2721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1419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1272</v>
      </c>
      <c r="J3465" s="2" t="s">
        <v>2394</v>
      </c>
      <c r="L3465" s="2" t="s">
        <v>177</v>
      </c>
      <c r="M3465" s="2" t="s">
        <v>41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2722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2723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2724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3419</v>
      </c>
      <c r="D3471" s="2" t="s">
        <v>2725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2559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3419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1449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3419</v>
      </c>
      <c r="D3474" s="2" t="s">
        <v>1256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2565</v>
      </c>
      <c r="L3474" s="2" t="s">
        <v>201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2727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C3477" s="2" t="s">
        <v>3318</v>
      </c>
      <c r="D3477" s="2" t="s">
        <v>1255</v>
      </c>
      <c r="E3477" s="2" t="s">
        <v>108</v>
      </c>
      <c r="F3477" s="2" t="s">
        <v>39</v>
      </c>
      <c r="G3477" s="2">
        <v>513777377</v>
      </c>
      <c r="H3477" s="2" t="s">
        <v>290</v>
      </c>
      <c r="I3477" s="2" t="s">
        <v>2711</v>
      </c>
      <c r="J3477" s="2" t="s">
        <v>2712</v>
      </c>
      <c r="K3477" s="2">
        <v>935047029</v>
      </c>
      <c r="L3477" s="2" t="s">
        <v>446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2728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2729</v>
      </c>
      <c r="P3479" s="2" t="s">
        <v>72</v>
      </c>
      <c r="Q3479" s="2" t="s">
        <v>2730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1192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3133</v>
      </c>
      <c r="L3481" s="2" t="s">
        <v>177</v>
      </c>
      <c r="M3481" s="2" t="s">
        <v>41</v>
      </c>
      <c r="O3481" s="2" t="s">
        <v>2731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2559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2732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2733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2478</v>
      </c>
      <c r="J3484" s="2" t="s">
        <v>1473</v>
      </c>
      <c r="K3484" s="2">
        <v>938183284</v>
      </c>
      <c r="L3484" s="2" t="s">
        <v>133</v>
      </c>
      <c r="M3484" s="2" t="s">
        <v>109</v>
      </c>
      <c r="O3484" s="2" t="s">
        <v>2734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2735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3419</v>
      </c>
      <c r="D3487" s="2" t="s">
        <v>2143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2736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2737</v>
      </c>
      <c r="R3488" s="2" t="s">
        <v>2738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3226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3154</v>
      </c>
      <c r="L3489" s="2" t="s">
        <v>99</v>
      </c>
      <c r="M3489" s="2" t="s">
        <v>80</v>
      </c>
      <c r="O3489" s="2" t="s">
        <v>3153</v>
      </c>
      <c r="P3489" s="2" t="s">
        <v>1038</v>
      </c>
      <c r="Q3489" s="2" t="s">
        <v>1833</v>
      </c>
      <c r="R3489" s="2" t="s">
        <v>1834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1553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1554</v>
      </c>
      <c r="J3490" s="2" t="s">
        <v>1555</v>
      </c>
      <c r="L3490" s="2" t="s">
        <v>177</v>
      </c>
      <c r="M3490" s="2" t="s">
        <v>41</v>
      </c>
      <c r="P3490" s="2" t="s">
        <v>1038</v>
      </c>
      <c r="Q3490" s="2" t="s">
        <v>2739</v>
      </c>
      <c r="R3490" s="2" t="s">
        <v>2740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2741</v>
      </c>
      <c r="P3491" s="2" t="s">
        <v>1038</v>
      </c>
      <c r="Q3491" s="2" t="s">
        <v>1854</v>
      </c>
      <c r="R3491" s="2" t="s">
        <v>1855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C3492" s="2" t="s">
        <v>3504</v>
      </c>
      <c r="D3492" s="2" t="s">
        <v>2557</v>
      </c>
      <c r="E3492" s="2" t="s">
        <v>108</v>
      </c>
      <c r="F3492" s="2" t="s">
        <v>717</v>
      </c>
      <c r="G3492" s="2">
        <v>500228264</v>
      </c>
      <c r="H3492" s="2" t="s">
        <v>109</v>
      </c>
      <c r="I3492" s="2" t="s">
        <v>2937</v>
      </c>
      <c r="J3492" s="2" t="s">
        <v>2938</v>
      </c>
      <c r="K3492" s="2">
        <v>962004672</v>
      </c>
      <c r="L3492" s="2" t="s">
        <v>398</v>
      </c>
      <c r="M3492" s="2" t="s">
        <v>80</v>
      </c>
      <c r="O3492" s="2" t="s">
        <v>3160</v>
      </c>
      <c r="P3492" s="2" t="s">
        <v>1038</v>
      </c>
      <c r="Q3492" s="2" t="s">
        <v>2742</v>
      </c>
      <c r="R3492" s="2" t="s">
        <v>2743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2516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2517</v>
      </c>
      <c r="J3493" s="2" t="s">
        <v>2518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3226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2675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3226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2516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2517</v>
      </c>
      <c r="J3495" s="2" t="s">
        <v>2518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3226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3504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2694</v>
      </c>
      <c r="P3498" s="2" t="s">
        <v>84</v>
      </c>
      <c r="Q3498" s="2" t="s">
        <v>2744</v>
      </c>
      <c r="R3498" s="2" t="s">
        <v>2745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3442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2699</v>
      </c>
      <c r="P3499" s="2" t="s">
        <v>1194</v>
      </c>
      <c r="Q3499" s="2" t="s">
        <v>1711</v>
      </c>
      <c r="R3499" s="2" t="s">
        <v>1712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2746</v>
      </c>
      <c r="AB3499" s="2" t="s">
        <v>2747</v>
      </c>
      <c r="AC3499" s="2" t="s">
        <v>1194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3442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2699</v>
      </c>
      <c r="P3500" s="2" t="s">
        <v>1194</v>
      </c>
      <c r="Q3500" s="2" t="s">
        <v>1197</v>
      </c>
      <c r="R3500" s="2" t="s">
        <v>1198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1199</v>
      </c>
      <c r="AB3500" s="2" t="s">
        <v>119</v>
      </c>
      <c r="AC3500" s="2" t="s">
        <v>1194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2748</v>
      </c>
      <c r="M3501" s="2" t="s">
        <v>41</v>
      </c>
      <c r="P3501" s="2" t="s">
        <v>1038</v>
      </c>
      <c r="Q3501" s="2" t="s">
        <v>2749</v>
      </c>
      <c r="R3501" s="2" t="s">
        <v>2750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3226</v>
      </c>
      <c r="AA3501" s="2" t="s">
        <v>1041</v>
      </c>
      <c r="AB3501" s="2" t="s">
        <v>2751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3442</v>
      </c>
      <c r="D3502" s="2" t="s">
        <v>2752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2753</v>
      </c>
      <c r="J3502" s="2" t="s">
        <v>2754</v>
      </c>
      <c r="K3502" s="2">
        <v>962332957</v>
      </c>
      <c r="L3502" s="2" t="s">
        <v>112</v>
      </c>
      <c r="M3502" s="2" t="s">
        <v>109</v>
      </c>
      <c r="O3502" s="2" t="s">
        <v>2755</v>
      </c>
      <c r="P3502" s="2" t="s">
        <v>40</v>
      </c>
      <c r="Q3502" s="2" t="s">
        <v>2756</v>
      </c>
      <c r="R3502" s="2" t="s">
        <v>2757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3442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2699</v>
      </c>
      <c r="P3503" s="2" t="s">
        <v>40</v>
      </c>
      <c r="Q3503" s="2" t="s">
        <v>2117</v>
      </c>
      <c r="R3503" s="2" t="s">
        <v>2118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3442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2758</v>
      </c>
      <c r="R3504" s="2" t="s">
        <v>2759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3442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1907</v>
      </c>
      <c r="P3506" s="2" t="s">
        <v>40</v>
      </c>
      <c r="Q3506" s="2" t="s">
        <v>2760</v>
      </c>
      <c r="R3506" s="2" t="s">
        <v>2761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2762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2763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2764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2765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2766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1397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3216</v>
      </c>
      <c r="J3517" s="2" t="s">
        <v>3215</v>
      </c>
      <c r="K3517" s="2">
        <v>913814877</v>
      </c>
      <c r="L3517" s="2" t="s">
        <v>201</v>
      </c>
      <c r="M3517" s="2" t="s">
        <v>40</v>
      </c>
      <c r="O3517" s="2" t="s">
        <v>3211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2767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2768</v>
      </c>
      <c r="L3519" s="2" t="s">
        <v>133</v>
      </c>
      <c r="M3519" s="2" t="s">
        <v>80</v>
      </c>
      <c r="O3519" s="2" t="s">
        <v>2769</v>
      </c>
      <c r="P3519" s="2" t="s">
        <v>1038</v>
      </c>
      <c r="Q3519" s="2" t="s">
        <v>1268</v>
      </c>
      <c r="R3519" s="2" t="s">
        <v>1269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3226</v>
      </c>
      <c r="AA3519" s="2" t="s">
        <v>1041</v>
      </c>
      <c r="AB3519" s="2" t="s">
        <v>1270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2770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3318</v>
      </c>
      <c r="D3522" s="2" t="s">
        <v>2150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2771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1582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2153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2741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C3534" s="2" t="s">
        <v>3504</v>
      </c>
      <c r="D3534" s="2" t="s">
        <v>2557</v>
      </c>
      <c r="E3534" s="2" t="s">
        <v>108</v>
      </c>
      <c r="F3534" s="2" t="s">
        <v>717</v>
      </c>
      <c r="G3534" s="2">
        <v>500228264</v>
      </c>
      <c r="H3534" s="2" t="s">
        <v>109</v>
      </c>
      <c r="I3534" s="2" t="s">
        <v>2937</v>
      </c>
      <c r="J3534" s="2" t="s">
        <v>2938</v>
      </c>
      <c r="K3534" s="2">
        <v>962004672</v>
      </c>
      <c r="L3534" s="2" t="s">
        <v>398</v>
      </c>
      <c r="M3534" s="2" t="s">
        <v>80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18">
        <f t="shared" ref="X3534" si="567">SIGN(T3534)*((ABS(T3534)-W3534)/ABS(T3534))</f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18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2670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2613</v>
      </c>
      <c r="P3536" s="2" t="s">
        <v>84</v>
      </c>
      <c r="Q3536" s="2" t="s">
        <v>1211</v>
      </c>
      <c r="R3536" s="2" t="s">
        <v>1212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3226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1660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1355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1356</v>
      </c>
      <c r="L3540" s="2" t="s">
        <v>418</v>
      </c>
      <c r="M3540" s="2" t="s">
        <v>40</v>
      </c>
      <c r="P3540" s="2" t="s">
        <v>187</v>
      </c>
      <c r="Q3540" s="2" t="s">
        <v>1308</v>
      </c>
      <c r="R3540" s="2" t="s">
        <v>1309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8">(T3540-W3540)/T3540</f>
        <v>1</v>
      </c>
      <c r="Z3540" s="2" t="s">
        <v>117</v>
      </c>
      <c r="AA3540" s="2" t="s">
        <v>1310</v>
      </c>
      <c r="AF3540" s="2">
        <f t="shared" si="562"/>
        <v>0</v>
      </c>
      <c r="AJ3540" s="2">
        <f t="shared" si="563"/>
        <v>0</v>
      </c>
      <c r="AK3540" s="2">
        <f t="shared" ref="AK3540:AK3546" si="569">T3540-W3540</f>
        <v>111</v>
      </c>
      <c r="AL3540" s="5">
        <f t="shared" ref="AL3540:AL3545" si="570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2772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8"/>
        <v>2.000401846171453E-16</v>
      </c>
      <c r="Z3541" s="2" t="s">
        <v>3226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9"/>
        <v>0</v>
      </c>
      <c r="AL3541" s="5">
        <f t="shared" si="570"/>
        <v>2.000401846171453E-16</v>
      </c>
    </row>
    <row r="3542" spans="1:38" x14ac:dyDescent="0.2">
      <c r="A3542" s="2">
        <v>2026</v>
      </c>
      <c r="B3542" s="2">
        <v>3</v>
      </c>
      <c r="D3542" s="2" t="s">
        <v>2727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8"/>
        <v>0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9"/>
        <v>0</v>
      </c>
      <c r="AL3542" s="5">
        <f t="shared" si="570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2741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8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9"/>
        <v>0</v>
      </c>
      <c r="AL3543" s="5">
        <f t="shared" si="570"/>
        <v>0</v>
      </c>
    </row>
    <row r="3544" spans="1:38" x14ac:dyDescent="0.2">
      <c r="A3544" s="2">
        <v>2026</v>
      </c>
      <c r="B3544" s="2">
        <v>3</v>
      </c>
      <c r="D3544" s="2" t="s">
        <v>2723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8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9"/>
        <v>0</v>
      </c>
      <c r="AL3544" s="5">
        <f t="shared" si="570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2478</v>
      </c>
      <c r="J3545" s="2" t="s">
        <v>1473</v>
      </c>
      <c r="K3545" s="2">
        <v>938183284</v>
      </c>
      <c r="L3545" s="2" t="s">
        <v>133</v>
      </c>
      <c r="M3545" s="2" t="s">
        <v>109</v>
      </c>
      <c r="O3545" s="2" t="s">
        <v>2734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8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9"/>
        <v>0</v>
      </c>
      <c r="AL3545" s="5">
        <f t="shared" si="570"/>
        <v>0</v>
      </c>
    </row>
    <row r="3546" spans="1:38" x14ac:dyDescent="0.2">
      <c r="A3546" s="2">
        <v>2026</v>
      </c>
      <c r="B3546" s="2">
        <v>3</v>
      </c>
      <c r="C3546" s="2" t="s">
        <v>3318</v>
      </c>
      <c r="D3546" s="2" t="s">
        <v>1162</v>
      </c>
      <c r="E3546" s="2" t="s">
        <v>752</v>
      </c>
      <c r="F3546" s="2" t="s">
        <v>1217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9"/>
        <v>0</v>
      </c>
      <c r="AL3546" s="18">
        <f t="shared" ref="AL3546" si="571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3419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2">(T3547-W3547)/T3547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3">T3547-W3547</f>
        <v>0</v>
      </c>
      <c r="AL3547" s="5">
        <f t="shared" ref="AL3547:AL3578" si="574">(T3547-W3547)/T3547</f>
        <v>0</v>
      </c>
    </row>
    <row r="3548" spans="1:38" x14ac:dyDescent="0.2">
      <c r="A3548" s="2">
        <v>2026</v>
      </c>
      <c r="B3548" s="2">
        <v>3</v>
      </c>
      <c r="D3548" s="2" t="s">
        <v>2729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2"/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3"/>
        <v>0</v>
      </c>
      <c r="AL3548" s="5">
        <f t="shared" si="574"/>
        <v>0</v>
      </c>
    </row>
    <row r="3549" spans="1:38" x14ac:dyDescent="0.2">
      <c r="A3549" s="2">
        <v>2026</v>
      </c>
      <c r="B3549" s="2">
        <v>3</v>
      </c>
      <c r="C3549" s="2" t="s">
        <v>3504</v>
      </c>
      <c r="D3549" s="2" t="s">
        <v>2557</v>
      </c>
      <c r="E3549" s="2" t="s">
        <v>108</v>
      </c>
      <c r="F3549" s="2" t="s">
        <v>717</v>
      </c>
      <c r="G3549" s="2">
        <v>500228264</v>
      </c>
      <c r="H3549" s="2" t="s">
        <v>109</v>
      </c>
      <c r="I3549" s="2" t="s">
        <v>2937</v>
      </c>
      <c r="J3549" s="2" t="s">
        <v>2938</v>
      </c>
      <c r="K3549" s="2">
        <v>962004672</v>
      </c>
      <c r="L3549" s="2" t="s">
        <v>398</v>
      </c>
      <c r="M3549" s="2" t="s">
        <v>80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2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3"/>
        <v>0</v>
      </c>
      <c r="AL3549" s="5">
        <f t="shared" si="574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2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3"/>
        <v>0</v>
      </c>
      <c r="AL3550" s="5">
        <f t="shared" si="574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2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3"/>
        <v>0</v>
      </c>
      <c r="AL3551" s="5">
        <f t="shared" si="574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2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3"/>
        <v>0</v>
      </c>
      <c r="AL3552" s="5">
        <f t="shared" si="574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2710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2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3"/>
        <v>0</v>
      </c>
      <c r="AL3553" s="5">
        <f t="shared" si="574"/>
        <v>0</v>
      </c>
    </row>
    <row r="3554" spans="1:38" x14ac:dyDescent="0.2">
      <c r="A3554" s="2">
        <v>2026</v>
      </c>
      <c r="B3554" s="2">
        <v>3</v>
      </c>
      <c r="D3554" s="2" t="s">
        <v>1553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1554</v>
      </c>
      <c r="J3554" s="2" t="s">
        <v>1555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2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3"/>
        <v>0</v>
      </c>
      <c r="AL3554" s="5">
        <f t="shared" si="574"/>
        <v>0</v>
      </c>
    </row>
    <row r="3555" spans="1:38" x14ac:dyDescent="0.2">
      <c r="A3555" s="2">
        <v>2026</v>
      </c>
      <c r="B3555" s="2">
        <v>3</v>
      </c>
      <c r="D3555" s="2" t="s">
        <v>2714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2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3"/>
        <v>0</v>
      </c>
      <c r="AL3555" s="5">
        <f t="shared" si="574"/>
        <v>0</v>
      </c>
    </row>
    <row r="3556" spans="1:38" x14ac:dyDescent="0.2">
      <c r="A3556" s="2">
        <v>2026</v>
      </c>
      <c r="B3556" s="2">
        <v>3</v>
      </c>
      <c r="C3556" s="2" t="s">
        <v>3419</v>
      </c>
      <c r="D3556" s="2" t="s">
        <v>2143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2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3"/>
        <v>0</v>
      </c>
      <c r="AL3556" s="5">
        <f t="shared" si="574"/>
        <v>0</v>
      </c>
    </row>
    <row r="3557" spans="1:38" x14ac:dyDescent="0.2">
      <c r="A3557" s="2">
        <v>2026</v>
      </c>
      <c r="B3557" s="2">
        <v>3</v>
      </c>
      <c r="C3557" s="2" t="s">
        <v>3419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2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3"/>
        <v>0</v>
      </c>
      <c r="AL3557" s="5">
        <f t="shared" si="574"/>
        <v>0</v>
      </c>
    </row>
    <row r="3558" spans="1:38" x14ac:dyDescent="0.2">
      <c r="A3558" s="2">
        <v>2026</v>
      </c>
      <c r="B3558" s="2">
        <v>3</v>
      </c>
      <c r="C3558" s="2" t="s">
        <v>3318</v>
      </c>
      <c r="D3558" s="2" t="s">
        <v>1255</v>
      </c>
      <c r="E3558" s="2" t="s">
        <v>108</v>
      </c>
      <c r="F3558" s="2" t="s">
        <v>39</v>
      </c>
      <c r="G3558" s="2">
        <v>513777377</v>
      </c>
      <c r="H3558" s="2" t="s">
        <v>290</v>
      </c>
      <c r="I3558" s="2" t="s">
        <v>2711</v>
      </c>
      <c r="J3558" s="2" t="s">
        <v>2712</v>
      </c>
      <c r="K3558" s="2">
        <v>935047029</v>
      </c>
      <c r="L3558" s="2" t="s">
        <v>446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2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3"/>
        <v>0</v>
      </c>
      <c r="AL3558" s="5">
        <f t="shared" si="574"/>
        <v>0</v>
      </c>
    </row>
    <row r="3559" spans="1:38" x14ac:dyDescent="0.2">
      <c r="A3559" s="2">
        <v>2026</v>
      </c>
      <c r="B3559" s="2">
        <v>3</v>
      </c>
      <c r="C3559" s="2" t="s">
        <v>3419</v>
      </c>
      <c r="D3559" s="2" t="s">
        <v>1256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2565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2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3"/>
        <v>0</v>
      </c>
      <c r="AL3559" s="5">
        <f t="shared" si="574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2773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2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3"/>
        <v>0</v>
      </c>
      <c r="AL3560" s="5">
        <f t="shared" si="574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3133</v>
      </c>
      <c r="L3561" s="2" t="s">
        <v>177</v>
      </c>
      <c r="M3561" s="2" t="s">
        <v>41</v>
      </c>
      <c r="O3561" s="2" t="s">
        <v>2731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2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3"/>
        <v>0</v>
      </c>
      <c r="AL3561" s="5">
        <f t="shared" si="574"/>
        <v>0</v>
      </c>
    </row>
    <row r="3562" spans="1:38" x14ac:dyDescent="0.2">
      <c r="A3562" s="2">
        <v>2026</v>
      </c>
      <c r="B3562" s="2">
        <v>3</v>
      </c>
      <c r="C3562" s="2" t="s">
        <v>3419</v>
      </c>
      <c r="D3562" s="2" t="s">
        <v>2725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2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3"/>
        <v>0</v>
      </c>
      <c r="AL3562" s="5">
        <f t="shared" si="574"/>
        <v>0</v>
      </c>
    </row>
    <row r="3563" spans="1:38" x14ac:dyDescent="0.2">
      <c r="A3563" s="2">
        <v>2026</v>
      </c>
      <c r="B3563" s="2">
        <v>3</v>
      </c>
      <c r="D3563" s="2" t="s">
        <v>1418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2411</v>
      </c>
      <c r="J3563" s="2" t="s">
        <v>2412</v>
      </c>
      <c r="L3563" s="2" t="s">
        <v>201</v>
      </c>
      <c r="M3563" s="2" t="s">
        <v>80</v>
      </c>
      <c r="O3563" s="2" t="s">
        <v>2718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2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3"/>
        <v>0</v>
      </c>
      <c r="AL3563" s="5">
        <f t="shared" si="574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1272</v>
      </c>
      <c r="J3564" s="2" t="s">
        <v>2394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2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3"/>
        <v>0</v>
      </c>
      <c r="AL3564" s="5">
        <f t="shared" si="574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2708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2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3"/>
        <v>0</v>
      </c>
      <c r="AL3565" s="5">
        <f t="shared" si="574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2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3"/>
        <v>0</v>
      </c>
      <c r="AL3566" s="5">
        <f t="shared" si="574"/>
        <v>0</v>
      </c>
    </row>
    <row r="3567" spans="1:38" x14ac:dyDescent="0.2">
      <c r="A3567" s="2">
        <v>2026</v>
      </c>
      <c r="B3567" s="2">
        <v>3</v>
      </c>
      <c r="D3567" s="2" t="s">
        <v>2559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2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3"/>
        <v>0</v>
      </c>
      <c r="AL3567" s="5">
        <f t="shared" si="574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2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3"/>
        <v>0</v>
      </c>
      <c r="AL3568" s="5">
        <f t="shared" si="574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2709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2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3"/>
        <v>0</v>
      </c>
      <c r="AL3569" s="5">
        <f t="shared" si="574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2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3"/>
        <v>0</v>
      </c>
      <c r="AL3570" s="5">
        <f t="shared" si="574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2722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2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3"/>
        <v>0</v>
      </c>
      <c r="AL3571" s="5">
        <f t="shared" si="574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5">T3572*70%</f>
        <v>403.2</v>
      </c>
      <c r="X3572" s="5">
        <f t="shared" si="572"/>
        <v>0.30000000000000004</v>
      </c>
      <c r="Z3572" s="2" t="s">
        <v>119</v>
      </c>
      <c r="AA3572" s="2" t="s">
        <v>3378</v>
      </c>
      <c r="AF3572" s="2">
        <f t="shared" si="562"/>
        <v>0</v>
      </c>
      <c r="AJ3572" s="2">
        <f t="shared" si="563"/>
        <v>0</v>
      </c>
      <c r="AK3572" s="2">
        <f t="shared" si="573"/>
        <v>172.8</v>
      </c>
      <c r="AL3572" s="5">
        <f t="shared" si="574"/>
        <v>0.30000000000000004</v>
      </c>
    </row>
    <row r="3573" spans="1:38" x14ac:dyDescent="0.2">
      <c r="A3573" s="2">
        <v>2026</v>
      </c>
      <c r="B3573" s="2">
        <v>3</v>
      </c>
      <c r="C3573" s="2" t="s">
        <v>3442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2699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5"/>
        <v>140</v>
      </c>
      <c r="X3573" s="5">
        <f t="shared" si="572"/>
        <v>0.3</v>
      </c>
      <c r="Z3573" s="2" t="s">
        <v>119</v>
      </c>
      <c r="AA3573" s="2" t="s">
        <v>3378</v>
      </c>
      <c r="AF3573" s="2">
        <f t="shared" si="562"/>
        <v>0</v>
      </c>
      <c r="AJ3573" s="2">
        <f t="shared" si="563"/>
        <v>0</v>
      </c>
      <c r="AK3573" s="2">
        <f t="shared" si="573"/>
        <v>60</v>
      </c>
      <c r="AL3573" s="5">
        <f t="shared" si="574"/>
        <v>0.3</v>
      </c>
    </row>
    <row r="3574" spans="1:38" x14ac:dyDescent="0.2">
      <c r="A3574" s="2">
        <v>2026</v>
      </c>
      <c r="B3574" s="2">
        <v>3</v>
      </c>
      <c r="C3574" s="2" t="s">
        <v>3419</v>
      </c>
      <c r="D3574" s="2" t="s">
        <v>2774</v>
      </c>
      <c r="E3574" s="2" t="s">
        <v>108</v>
      </c>
      <c r="F3574" s="2" t="s">
        <v>39</v>
      </c>
      <c r="L3574" s="2" t="s">
        <v>2438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5"/>
        <v>125.99999999999999</v>
      </c>
      <c r="X3574" s="5">
        <f t="shared" si="572"/>
        <v>0.3000000000000001</v>
      </c>
      <c r="Z3574" s="2" t="s">
        <v>104</v>
      </c>
      <c r="AA3574" s="2" t="s">
        <v>3420</v>
      </c>
      <c r="AB3574" s="2" t="s">
        <v>3421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3"/>
        <v>54.000000000000014</v>
      </c>
      <c r="AL3574" s="5">
        <f t="shared" si="574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5"/>
        <v>125.99999999999999</v>
      </c>
      <c r="X3575" s="5">
        <f t="shared" si="572"/>
        <v>0.3000000000000001</v>
      </c>
      <c r="Z3575" s="2" t="s">
        <v>119</v>
      </c>
      <c r="AA3575" s="2" t="s">
        <v>3378</v>
      </c>
      <c r="AF3575" s="2">
        <f t="shared" si="562"/>
        <v>0</v>
      </c>
      <c r="AJ3575" s="2">
        <f t="shared" si="563"/>
        <v>0</v>
      </c>
      <c r="AK3575" s="2">
        <f t="shared" si="573"/>
        <v>54.000000000000014</v>
      </c>
      <c r="AL3575" s="5">
        <f t="shared" si="574"/>
        <v>0.3000000000000001</v>
      </c>
    </row>
    <row r="3576" spans="1:38" x14ac:dyDescent="0.2">
      <c r="A3576" s="2">
        <v>2026</v>
      </c>
      <c r="B3576" s="2">
        <v>3</v>
      </c>
      <c r="C3576" s="2" t="s">
        <v>3503</v>
      </c>
      <c r="D3576" s="2" t="s">
        <v>2049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2779</v>
      </c>
      <c r="J3576" s="2" t="s">
        <v>2820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5"/>
        <v>47.04</v>
      </c>
      <c r="X3576" s="5">
        <f t="shared" si="572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3"/>
        <v>20.160000000000004</v>
      </c>
      <c r="AL3576" s="5">
        <f t="shared" si="574"/>
        <v>0.30000000000000004</v>
      </c>
    </row>
    <row r="3577" spans="1:38" x14ac:dyDescent="0.2">
      <c r="A3577" s="2">
        <v>2026</v>
      </c>
      <c r="B3577" s="2">
        <v>4</v>
      </c>
      <c r="C3577" s="2" t="s">
        <v>3317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2775</v>
      </c>
      <c r="P3577" s="2" t="s">
        <v>114</v>
      </c>
      <c r="Q3577" s="2" t="s">
        <v>2776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2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3"/>
        <v>12.439999999999998</v>
      </c>
      <c r="AL3577" s="5">
        <f t="shared" si="574"/>
        <v>0.6550816219062664</v>
      </c>
    </row>
    <row r="3578" spans="1:38" x14ac:dyDescent="0.2">
      <c r="A3578" s="2">
        <v>2026</v>
      </c>
      <c r="B3578" s="2">
        <v>4</v>
      </c>
      <c r="C3578" s="2" t="s">
        <v>3317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2777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2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3"/>
        <v>445.75559999999996</v>
      </c>
      <c r="AL3578" s="5">
        <f t="shared" si="574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2778</v>
      </c>
      <c r="P3579" s="2" t="s">
        <v>114</v>
      </c>
      <c r="Q3579" s="2" t="s">
        <v>2297</v>
      </c>
      <c r="R3579" s="2" t="s">
        <v>2298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6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7">T3579-W3579</f>
        <v>117.51000000000002</v>
      </c>
      <c r="AL3579" s="5">
        <f t="shared" ref="AL3579:AL3610" si="578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3503</v>
      </c>
      <c r="D3580" s="2" t="s">
        <v>2049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2779</v>
      </c>
      <c r="J3580" s="2" t="s">
        <v>2820</v>
      </c>
      <c r="K3580" s="2">
        <v>914732950</v>
      </c>
      <c r="L3580" s="2" t="s">
        <v>480</v>
      </c>
      <c r="M3580" s="2" t="s">
        <v>40</v>
      </c>
      <c r="O3580" s="2" t="s">
        <v>2780</v>
      </c>
      <c r="P3580" s="2" t="s">
        <v>114</v>
      </c>
      <c r="Q3580" s="2" t="s">
        <v>2002</v>
      </c>
      <c r="R3580" s="2" t="s">
        <v>2003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6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7"/>
        <v>5.43</v>
      </c>
      <c r="AL3580" s="5">
        <f t="shared" si="578"/>
        <v>0.14659827213822893</v>
      </c>
    </row>
    <row r="3581" spans="1:38" x14ac:dyDescent="0.2">
      <c r="A3581" s="2">
        <v>2026</v>
      </c>
      <c r="B3581" s="2">
        <v>4</v>
      </c>
      <c r="C3581" s="2" t="s">
        <v>3449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1514</v>
      </c>
      <c r="R3581" s="2" t="s">
        <v>1515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6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7"/>
        <v>9.1433</v>
      </c>
      <c r="AL3581" s="5">
        <f t="shared" si="578"/>
        <v>0.44842079450711131</v>
      </c>
    </row>
    <row r="3582" spans="1:38" x14ac:dyDescent="0.2">
      <c r="A3582" s="2">
        <v>2026</v>
      </c>
      <c r="B3582" s="2">
        <v>4</v>
      </c>
      <c r="D3582" s="2" t="s">
        <v>2781</v>
      </c>
      <c r="G3582" s="2">
        <v>219031614</v>
      </c>
      <c r="I3582" s="2" t="s">
        <v>2199</v>
      </c>
      <c r="M3582" s="2" t="s">
        <v>40</v>
      </c>
      <c r="O3582" s="2" t="s">
        <v>2782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6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7"/>
        <v>84.728400000000008</v>
      </c>
      <c r="AL3582" s="5">
        <f t="shared" si="578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2783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6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7"/>
        <v>17.91</v>
      </c>
      <c r="AL3583" s="5">
        <f t="shared" si="578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2784</v>
      </c>
      <c r="P3584" s="2" t="s">
        <v>114</v>
      </c>
      <c r="Q3584" s="2" t="s">
        <v>2785</v>
      </c>
      <c r="R3584" s="2" t="s">
        <v>2786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6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7"/>
        <v>22.2</v>
      </c>
      <c r="AL3584" s="5">
        <f t="shared" si="578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2787</v>
      </c>
      <c r="R3585" s="2" t="s">
        <v>2487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6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9">AJ3585</f>
        <v>0</v>
      </c>
      <c r="AG3585" s="2">
        <f>63.89+1.02</f>
        <v>64.91</v>
      </c>
      <c r="AJ3585" s="2">
        <f t="shared" ref="AJ3585:AJ3648" si="580">AI3585*T3585</f>
        <v>0</v>
      </c>
      <c r="AK3585" s="2">
        <f t="shared" si="577"/>
        <v>69.259999999999991</v>
      </c>
      <c r="AL3585" s="5">
        <f t="shared" si="578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6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9"/>
        <v>0</v>
      </c>
      <c r="AG3586" s="2">
        <f>W3586</f>
        <v>100</v>
      </c>
      <c r="AJ3586" s="2">
        <f t="shared" si="580"/>
        <v>0</v>
      </c>
      <c r="AK3586" s="2">
        <f t="shared" si="577"/>
        <v>100</v>
      </c>
      <c r="AL3586" s="5">
        <f t="shared" si="578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2476</v>
      </c>
      <c r="J3587" s="2" t="s">
        <v>3122</v>
      </c>
      <c r="K3587" s="2">
        <v>965864665</v>
      </c>
      <c r="L3587" s="2" t="s">
        <v>344</v>
      </c>
      <c r="M3587" s="2" t="s">
        <v>40</v>
      </c>
      <c r="O3587" s="2" t="s">
        <v>2788</v>
      </c>
      <c r="P3587" s="2" t="s">
        <v>114</v>
      </c>
      <c r="Q3587" s="2" t="s">
        <v>1250</v>
      </c>
      <c r="R3587" s="2" t="s">
        <v>1251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6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9"/>
        <v>0</v>
      </c>
      <c r="AG3587" s="2">
        <v>183.26</v>
      </c>
      <c r="AJ3587" s="2">
        <f t="shared" si="580"/>
        <v>0</v>
      </c>
      <c r="AK3587" s="2">
        <f t="shared" si="577"/>
        <v>151.26999999999998</v>
      </c>
      <c r="AL3587" s="5">
        <f t="shared" si="578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2789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6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9"/>
        <v>0</v>
      </c>
      <c r="AG3588" s="2">
        <v>22.2</v>
      </c>
      <c r="AJ3588" s="2">
        <f t="shared" si="580"/>
        <v>0</v>
      </c>
      <c r="AK3588" s="2">
        <f t="shared" si="577"/>
        <v>51.816000000000003</v>
      </c>
      <c r="AL3588" s="5">
        <f t="shared" si="578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2790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6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9"/>
        <v>0</v>
      </c>
      <c r="AG3589" s="2">
        <v>22.2</v>
      </c>
      <c r="AJ3589" s="2">
        <f t="shared" si="580"/>
        <v>0</v>
      </c>
      <c r="AK3589" s="2">
        <f t="shared" si="577"/>
        <v>25.908000000000001</v>
      </c>
      <c r="AL3589" s="5">
        <f t="shared" si="578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2791</v>
      </c>
      <c r="R3590" s="2" t="s">
        <v>2792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6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9"/>
        <v>0</v>
      </c>
      <c r="AG3590" s="2">
        <f>249.84+4</f>
        <v>253.84</v>
      </c>
      <c r="AJ3590" s="2">
        <f t="shared" si="580"/>
        <v>0</v>
      </c>
      <c r="AK3590" s="2">
        <f t="shared" si="577"/>
        <v>270.81999999999994</v>
      </c>
      <c r="AL3590" s="5">
        <f t="shared" si="578"/>
        <v>0.51618190828345967</v>
      </c>
    </row>
    <row r="3591" spans="1:38" x14ac:dyDescent="0.2">
      <c r="A3591" s="2">
        <v>2026</v>
      </c>
      <c r="B3591" s="2">
        <v>4</v>
      </c>
      <c r="C3591" s="2" t="s">
        <v>3317</v>
      </c>
      <c r="D3591" s="2" t="s">
        <v>2319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2793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6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9"/>
        <v>0</v>
      </c>
      <c r="AG3591" s="2">
        <v>30.22</v>
      </c>
      <c r="AJ3591" s="2">
        <f t="shared" si="580"/>
        <v>0</v>
      </c>
      <c r="AK3591" s="2">
        <f t="shared" si="577"/>
        <v>32.85</v>
      </c>
      <c r="AL3591" s="5">
        <f t="shared" si="578"/>
        <v>0.51764891270091395</v>
      </c>
    </row>
    <row r="3592" spans="1:38" x14ac:dyDescent="0.2">
      <c r="A3592" s="2">
        <v>2026</v>
      </c>
      <c r="B3592" s="2">
        <v>3</v>
      </c>
      <c r="D3592" s="2" t="s">
        <v>2766</v>
      </c>
      <c r="M3592" s="2" t="s">
        <v>40</v>
      </c>
      <c r="O3592" s="2" t="s">
        <v>2794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6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9"/>
        <v>0</v>
      </c>
      <c r="AG3592" s="2">
        <v>342.22</v>
      </c>
      <c r="AJ3592" s="2">
        <f t="shared" si="580"/>
        <v>0</v>
      </c>
      <c r="AK3592" s="2">
        <f t="shared" si="577"/>
        <v>354.09659999999997</v>
      </c>
      <c r="AL3592" s="5">
        <f t="shared" si="578"/>
        <v>0.50635864435864431</v>
      </c>
    </row>
    <row r="3593" spans="1:38" x14ac:dyDescent="0.2">
      <c r="A3593" s="2">
        <v>2026</v>
      </c>
      <c r="B3593" s="2">
        <v>4</v>
      </c>
      <c r="D3593" s="2" t="s">
        <v>2795</v>
      </c>
      <c r="M3593" s="2" t="s">
        <v>40</v>
      </c>
      <c r="O3593" s="2" t="s">
        <v>2796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6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9"/>
        <v>0</v>
      </c>
      <c r="AG3593" s="2">
        <v>342.22</v>
      </c>
      <c r="AJ3593" s="2">
        <f t="shared" si="580"/>
        <v>0</v>
      </c>
      <c r="AK3593" s="2">
        <f t="shared" si="577"/>
        <v>354.09659999999997</v>
      </c>
      <c r="AL3593" s="5">
        <f t="shared" si="578"/>
        <v>0.50635864435864431</v>
      </c>
    </row>
    <row r="3594" spans="1:38" x14ac:dyDescent="0.2">
      <c r="A3594" s="2">
        <v>2026</v>
      </c>
      <c r="B3594" s="2">
        <v>4</v>
      </c>
      <c r="D3594" s="2" t="s">
        <v>2797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2798</v>
      </c>
      <c r="J3594" s="2" t="s">
        <v>2799</v>
      </c>
      <c r="L3594" s="2" t="s">
        <v>201</v>
      </c>
      <c r="M3594" s="2" t="s">
        <v>40</v>
      </c>
      <c r="O3594" s="2" t="s">
        <v>2800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6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9"/>
        <v>0</v>
      </c>
      <c r="AG3594" s="2">
        <v>342.22</v>
      </c>
      <c r="AJ3594" s="2">
        <f t="shared" si="580"/>
        <v>0</v>
      </c>
      <c r="AK3594" s="2">
        <f t="shared" si="577"/>
        <v>354.09659999999997</v>
      </c>
      <c r="AL3594" s="5">
        <f t="shared" si="578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2801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6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9"/>
        <v>0</v>
      </c>
      <c r="AJ3595" s="2">
        <f t="shared" si="580"/>
        <v>0</v>
      </c>
      <c r="AK3595" s="2">
        <f t="shared" si="577"/>
        <v>352.72999999999996</v>
      </c>
      <c r="AL3595" s="5">
        <f t="shared" si="578"/>
        <v>0.50440440440440437</v>
      </c>
    </row>
    <row r="3596" spans="1:38" x14ac:dyDescent="0.2">
      <c r="A3596" s="2">
        <v>2026</v>
      </c>
      <c r="B3596" s="2">
        <v>4</v>
      </c>
      <c r="D3596" s="2" t="s">
        <v>2604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2605</v>
      </c>
      <c r="K3596" s="2">
        <v>935402550</v>
      </c>
      <c r="L3596" s="2" t="s">
        <v>112</v>
      </c>
      <c r="M3596" s="2" t="s">
        <v>40</v>
      </c>
      <c r="O3596" s="2" t="s">
        <v>2606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6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9"/>
        <v>0</v>
      </c>
      <c r="AG3596" s="2">
        <v>346.57</v>
      </c>
      <c r="AJ3596" s="2">
        <f t="shared" si="580"/>
        <v>0</v>
      </c>
      <c r="AK3596" s="2">
        <f t="shared" si="577"/>
        <v>352.72999999999996</v>
      </c>
      <c r="AL3596" s="5">
        <f t="shared" si="578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2608</v>
      </c>
      <c r="J3597" s="2" t="s">
        <v>2609</v>
      </c>
      <c r="K3597" s="2">
        <v>912183782</v>
      </c>
      <c r="L3597" s="2" t="s">
        <v>201</v>
      </c>
      <c r="M3597" s="2" t="s">
        <v>40</v>
      </c>
      <c r="O3597" s="2" t="s">
        <v>2610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6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9"/>
        <v>0</v>
      </c>
      <c r="AG3597" s="2">
        <v>346.57</v>
      </c>
      <c r="AJ3597" s="2">
        <f t="shared" si="580"/>
        <v>0</v>
      </c>
      <c r="AK3597" s="2">
        <f t="shared" si="577"/>
        <v>352.72999999999996</v>
      </c>
      <c r="AL3597" s="5">
        <f t="shared" si="578"/>
        <v>0.50440440440440437</v>
      </c>
    </row>
    <row r="3598" spans="1:38" x14ac:dyDescent="0.2">
      <c r="A3598" s="2">
        <v>2026</v>
      </c>
      <c r="B3598" s="2">
        <v>4</v>
      </c>
      <c r="D3598" s="2" t="s">
        <v>2614</v>
      </c>
      <c r="M3598" s="2" t="s">
        <v>40</v>
      </c>
      <c r="O3598" s="2" t="s">
        <v>2802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6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9"/>
        <v>0</v>
      </c>
      <c r="AJ3598" s="2">
        <f t="shared" si="580"/>
        <v>0</v>
      </c>
      <c r="AK3598" s="2">
        <f t="shared" si="577"/>
        <v>352.72999999999996</v>
      </c>
      <c r="AL3598" s="5">
        <f t="shared" si="578"/>
        <v>0.50440440440440437</v>
      </c>
    </row>
    <row r="3599" spans="1:38" x14ac:dyDescent="0.2">
      <c r="A3599" s="2">
        <v>2026</v>
      </c>
      <c r="B3599" s="2">
        <v>4</v>
      </c>
      <c r="C3599" s="2" t="s">
        <v>3317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6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9"/>
        <v>0</v>
      </c>
      <c r="AJ3599" s="2">
        <f t="shared" si="580"/>
        <v>0</v>
      </c>
      <c r="AK3599" s="2">
        <f t="shared" si="577"/>
        <v>229.38000000000005</v>
      </c>
      <c r="AL3599" s="5">
        <f t="shared" si="578"/>
        <v>0.39826373817171634</v>
      </c>
    </row>
    <row r="3600" spans="1:38" x14ac:dyDescent="0.2">
      <c r="A3600" s="2">
        <v>2026</v>
      </c>
      <c r="B3600" s="2">
        <v>4</v>
      </c>
      <c r="D3600" s="2" t="s">
        <v>1599</v>
      </c>
      <c r="M3600" s="2" t="s">
        <v>40</v>
      </c>
      <c r="O3600" s="2" t="s">
        <v>2803</v>
      </c>
      <c r="P3600" s="2" t="s">
        <v>114</v>
      </c>
      <c r="Q3600" s="2" t="s">
        <v>1200</v>
      </c>
      <c r="R3600" s="2" t="s">
        <v>1201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6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9"/>
        <v>0</v>
      </c>
      <c r="AG3600" s="2">
        <f>167.92</f>
        <v>167.92</v>
      </c>
      <c r="AJ3600" s="2">
        <f t="shared" si="580"/>
        <v>0</v>
      </c>
      <c r="AK3600" s="2">
        <f t="shared" si="577"/>
        <v>188.89000000000001</v>
      </c>
      <c r="AL3600" s="5">
        <f t="shared" si="578"/>
        <v>0.5293853871808526</v>
      </c>
    </row>
    <row r="3601" spans="1:38" x14ac:dyDescent="0.2">
      <c r="A3601" s="2">
        <v>2026</v>
      </c>
      <c r="B3601" s="2">
        <v>4</v>
      </c>
      <c r="D3601" s="2" t="s">
        <v>2795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6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9"/>
        <v>0</v>
      </c>
      <c r="AG3601" s="2">
        <f>W3601</f>
        <v>36.800000000000004</v>
      </c>
      <c r="AJ3601" s="2">
        <f t="shared" si="580"/>
        <v>0</v>
      </c>
      <c r="AK3601" s="2">
        <f t="shared" si="577"/>
        <v>55.199999999999996</v>
      </c>
      <c r="AL3601" s="5">
        <f t="shared" si="578"/>
        <v>0.6</v>
      </c>
    </row>
    <row r="3602" spans="1:38" x14ac:dyDescent="0.2">
      <c r="A3602" s="2">
        <v>2026</v>
      </c>
      <c r="B3602" s="2">
        <v>4</v>
      </c>
      <c r="D3602" s="2" t="s">
        <v>2283</v>
      </c>
      <c r="M3602" s="2" t="s">
        <v>40</v>
      </c>
      <c r="O3602" s="2" t="s">
        <v>2804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6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9"/>
        <v>0</v>
      </c>
      <c r="AG3602" s="2">
        <f>231.78+0.96</f>
        <v>232.74</v>
      </c>
      <c r="AJ3602" s="2">
        <f t="shared" si="580"/>
        <v>0</v>
      </c>
      <c r="AK3602" s="2">
        <f t="shared" si="577"/>
        <v>250.9734</v>
      </c>
      <c r="AL3602" s="5">
        <f t="shared" si="578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2603</v>
      </c>
      <c r="P3603" s="2" t="s">
        <v>114</v>
      </c>
      <c r="Q3603" s="2" t="s">
        <v>1655</v>
      </c>
      <c r="R3603" s="2" t="s">
        <v>1656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6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9"/>
        <v>0</v>
      </c>
      <c r="AG3603" s="2">
        <v>565.755</v>
      </c>
      <c r="AJ3603" s="2">
        <f t="shared" si="580"/>
        <v>0</v>
      </c>
      <c r="AK3603" s="2">
        <f t="shared" si="577"/>
        <v>1279.1445000000001</v>
      </c>
      <c r="AL3603" s="5">
        <f t="shared" si="578"/>
        <v>0.69334083148138115</v>
      </c>
    </row>
    <row r="3604" spans="1:38" x14ac:dyDescent="0.2">
      <c r="A3604" s="2">
        <v>2026</v>
      </c>
      <c r="B3604" s="2">
        <v>4</v>
      </c>
      <c r="C3604" s="2" t="s">
        <v>3442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2805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6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9"/>
        <v>0</v>
      </c>
      <c r="AG3604" s="2">
        <v>255.65</v>
      </c>
      <c r="AJ3604" s="2">
        <f t="shared" si="580"/>
        <v>0</v>
      </c>
      <c r="AK3604" s="2">
        <f t="shared" si="577"/>
        <v>514.59</v>
      </c>
      <c r="AL3604" s="5">
        <f t="shared" si="578"/>
        <v>0.66809046530951399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2806</v>
      </c>
      <c r="P3605" s="2" t="s">
        <v>114</v>
      </c>
      <c r="Q3605" s="2" t="s">
        <v>2486</v>
      </c>
      <c r="R3605" s="2" t="s">
        <v>2487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6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9"/>
        <v>0</v>
      </c>
      <c r="AG3605" s="2">
        <v>102.88249999999999</v>
      </c>
      <c r="AJ3605" s="2">
        <f t="shared" si="580"/>
        <v>0</v>
      </c>
      <c r="AK3605" s="2">
        <f t="shared" si="577"/>
        <v>112.075</v>
      </c>
      <c r="AL3605" s="5">
        <f t="shared" si="578"/>
        <v>0.52137606996650543</v>
      </c>
    </row>
    <row r="3606" spans="1:38" x14ac:dyDescent="0.2">
      <c r="A3606" s="2">
        <v>2026</v>
      </c>
      <c r="B3606" s="2">
        <v>4</v>
      </c>
      <c r="D3606" s="2" t="s">
        <v>1599</v>
      </c>
      <c r="M3606" s="2" t="s">
        <v>40</v>
      </c>
      <c r="O3606" s="2" t="s">
        <v>2803</v>
      </c>
      <c r="P3606" s="2" t="s">
        <v>114</v>
      </c>
      <c r="Q3606" s="2" t="s">
        <v>2807</v>
      </c>
      <c r="R3606" s="2" t="s">
        <v>2808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6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9"/>
        <v>0</v>
      </c>
      <c r="AG3606" s="2">
        <v>42.436799999999998</v>
      </c>
      <c r="AJ3606" s="2">
        <f t="shared" si="580"/>
        <v>0</v>
      </c>
      <c r="AK3606" s="2">
        <f t="shared" si="577"/>
        <v>46.603200000000008</v>
      </c>
      <c r="AL3606" s="5">
        <f t="shared" si="578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2809</v>
      </c>
      <c r="R3607" s="2" t="s">
        <v>2810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6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9"/>
        <v>0</v>
      </c>
      <c r="AG3607" s="2">
        <v>42.436799999999998</v>
      </c>
      <c r="AJ3607" s="2">
        <f t="shared" si="580"/>
        <v>0</v>
      </c>
      <c r="AK3607" s="2">
        <f t="shared" si="577"/>
        <v>11.613199999999999</v>
      </c>
      <c r="AL3607" s="5">
        <f t="shared" si="578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2784</v>
      </c>
      <c r="P3608" s="2" t="s">
        <v>114</v>
      </c>
      <c r="Q3608" s="2" t="s">
        <v>2811</v>
      </c>
      <c r="R3608" s="2" t="s">
        <v>2812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6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9"/>
        <v>0</v>
      </c>
      <c r="AG3608" s="2">
        <f>15.49+0.25</f>
        <v>15.74</v>
      </c>
      <c r="AJ3608" s="2">
        <f t="shared" si="580"/>
        <v>0</v>
      </c>
      <c r="AK3608" s="2">
        <f t="shared" si="577"/>
        <v>16.79</v>
      </c>
      <c r="AL3608" s="5">
        <f t="shared" si="578"/>
        <v>0.51613894866277277</v>
      </c>
    </row>
    <row r="3609" spans="1:38" x14ac:dyDescent="0.2">
      <c r="A3609" s="2">
        <v>2026</v>
      </c>
      <c r="B3609" s="2">
        <v>4</v>
      </c>
      <c r="D3609" s="2" t="s">
        <v>1590</v>
      </c>
      <c r="E3609" s="2" t="s">
        <v>38</v>
      </c>
      <c r="F3609" s="2" t="s">
        <v>39</v>
      </c>
      <c r="L3609" s="2" t="s">
        <v>571</v>
      </c>
      <c r="M3609" s="2" t="s">
        <v>40</v>
      </c>
      <c r="O3609" s="2" t="s">
        <v>2813</v>
      </c>
      <c r="P3609" s="2" t="s">
        <v>114</v>
      </c>
      <c r="Q3609" s="2" t="s">
        <v>1591</v>
      </c>
      <c r="R3609" s="2" t="s">
        <v>1592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6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9"/>
        <v>0</v>
      </c>
      <c r="AG3609" s="2">
        <v>21.32</v>
      </c>
      <c r="AJ3609" s="2">
        <f t="shared" si="580"/>
        <v>0</v>
      </c>
      <c r="AK3609" s="2">
        <f t="shared" si="577"/>
        <v>25.270000000000003</v>
      </c>
      <c r="AL3609" s="5">
        <f t="shared" si="578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2814</v>
      </c>
      <c r="P3610" s="2" t="s">
        <v>114</v>
      </c>
      <c r="Q3610" s="2" t="s">
        <v>2815</v>
      </c>
      <c r="R3610" s="2" t="s">
        <v>2816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6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9"/>
        <v>0</v>
      </c>
      <c r="AG3610" s="2">
        <v>19.5167</v>
      </c>
      <c r="AJ3610" s="2">
        <f t="shared" si="580"/>
        <v>0</v>
      </c>
      <c r="AK3610" s="2">
        <f t="shared" si="577"/>
        <v>21.823300000000003</v>
      </c>
      <c r="AL3610" s="5">
        <f t="shared" si="578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2817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9"/>
        <v>0</v>
      </c>
      <c r="AJ3611" s="2">
        <f t="shared" si="580"/>
        <v>0</v>
      </c>
      <c r="AK3611" s="2">
        <f t="shared" si="577"/>
        <v>-121.31</v>
      </c>
      <c r="AL3611" s="18">
        <f t="shared" ref="AL3611" si="581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1332</v>
      </c>
      <c r="R3612" s="2" t="s">
        <v>1333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2">(T3612-W3612)/T3612</f>
        <v>1</v>
      </c>
      <c r="Z3612" s="2" t="s">
        <v>117</v>
      </c>
      <c r="AF3612" s="2">
        <f t="shared" si="579"/>
        <v>0</v>
      </c>
      <c r="AJ3612" s="2">
        <f t="shared" si="580"/>
        <v>0</v>
      </c>
      <c r="AK3612" s="2">
        <f t="shared" ref="AK3612:AK3635" si="583">T3612-W3612</f>
        <v>140.24</v>
      </c>
      <c r="AL3612" s="5">
        <f t="shared" ref="AL3612:AL3634" si="584">(T3612-W3612)/T3612</f>
        <v>1</v>
      </c>
    </row>
    <row r="3613" spans="1:38" x14ac:dyDescent="0.2">
      <c r="A3613" s="2">
        <v>2026</v>
      </c>
      <c r="B3613" s="2">
        <v>4</v>
      </c>
      <c r="C3613" s="2" t="s">
        <v>3467</v>
      </c>
      <c r="D3613" s="2" t="s">
        <v>1438</v>
      </c>
      <c r="E3613" s="2" t="s">
        <v>3417</v>
      </c>
      <c r="F3613" s="2" t="s">
        <v>3418</v>
      </c>
      <c r="L3613" s="2" t="s">
        <v>133</v>
      </c>
      <c r="M3613" s="2" t="s">
        <v>40</v>
      </c>
      <c r="P3613" s="2" t="s">
        <v>114</v>
      </c>
      <c r="Q3613" s="2" t="s">
        <v>1902</v>
      </c>
      <c r="R3613" s="2" t="s">
        <v>1903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2"/>
        <v>1</v>
      </c>
      <c r="Z3613" s="2" t="s">
        <v>117</v>
      </c>
      <c r="AF3613" s="2">
        <f t="shared" si="579"/>
        <v>0</v>
      </c>
      <c r="AJ3613" s="2">
        <f t="shared" si="580"/>
        <v>0</v>
      </c>
      <c r="AK3613" s="2">
        <f t="shared" si="583"/>
        <v>1031.94</v>
      </c>
      <c r="AL3613" s="5">
        <f t="shared" si="584"/>
        <v>1</v>
      </c>
    </row>
    <row r="3614" spans="1:38" x14ac:dyDescent="0.2">
      <c r="A3614" s="2">
        <v>2026</v>
      </c>
      <c r="B3614" s="2">
        <v>4</v>
      </c>
      <c r="C3614" s="2" t="s">
        <v>3449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2502</v>
      </c>
      <c r="R3614" s="2" t="s">
        <v>2503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2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9"/>
        <v>0</v>
      </c>
      <c r="AJ3614" s="2">
        <f t="shared" si="580"/>
        <v>0</v>
      </c>
      <c r="AK3614" s="2">
        <f t="shared" si="583"/>
        <v>1028.0500000000002</v>
      </c>
      <c r="AL3614" s="5">
        <f t="shared" si="584"/>
        <v>0.64465862345740954</v>
      </c>
    </row>
    <row r="3615" spans="1:38" x14ac:dyDescent="0.2">
      <c r="A3615" s="2">
        <v>2026</v>
      </c>
      <c r="B3615" s="2">
        <v>4</v>
      </c>
      <c r="C3615" s="2" t="s">
        <v>3317</v>
      </c>
      <c r="D3615" s="2" t="s">
        <v>1162</v>
      </c>
      <c r="E3615" s="2" t="s">
        <v>752</v>
      </c>
      <c r="F3615" s="2" t="s">
        <v>1217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2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9"/>
        <v>0</v>
      </c>
      <c r="AJ3615" s="2">
        <f t="shared" si="580"/>
        <v>0</v>
      </c>
      <c r="AK3615" s="2">
        <f t="shared" si="583"/>
        <v>5320.6</v>
      </c>
      <c r="AL3615" s="5">
        <f t="shared" si="584"/>
        <v>0.33274546591619764</v>
      </c>
    </row>
    <row r="3616" spans="1:38" x14ac:dyDescent="0.2">
      <c r="A3616" s="2">
        <v>2026</v>
      </c>
      <c r="B3616" s="2">
        <v>4</v>
      </c>
      <c r="D3616" s="2" t="s">
        <v>3258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2646</v>
      </c>
      <c r="L3616" s="2" t="s">
        <v>398</v>
      </c>
      <c r="M3616" s="2" t="s">
        <v>40</v>
      </c>
      <c r="O3616" s="2" t="s">
        <v>3259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2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9"/>
        <v>0</v>
      </c>
      <c r="AJ3616" s="2">
        <f t="shared" si="580"/>
        <v>0</v>
      </c>
      <c r="AK3616" s="2">
        <f t="shared" si="583"/>
        <v>4004.8500000000004</v>
      </c>
      <c r="AL3616" s="5">
        <f t="shared" si="584"/>
        <v>0.26716811207471652</v>
      </c>
    </row>
    <row r="3617" spans="1:38" x14ac:dyDescent="0.2">
      <c r="A3617" s="2">
        <v>2026</v>
      </c>
      <c r="B3617" s="2">
        <v>4</v>
      </c>
      <c r="C3617" s="2" t="s">
        <v>3317</v>
      </c>
      <c r="D3617" s="2" t="s">
        <v>1162</v>
      </c>
      <c r="E3617" s="2" t="s">
        <v>752</v>
      </c>
      <c r="F3617" s="2" t="s">
        <v>1217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2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9"/>
        <v>0</v>
      </c>
      <c r="AG3617" s="2">
        <f>6193.4+275.33</f>
        <v>6468.73</v>
      </c>
      <c r="AJ3617" s="2">
        <f t="shared" si="580"/>
        <v>0</v>
      </c>
      <c r="AK3617" s="2">
        <f t="shared" si="583"/>
        <v>2461.2700000000004</v>
      </c>
      <c r="AL3617" s="5">
        <f t="shared" si="584"/>
        <v>0.27561814109742444</v>
      </c>
    </row>
    <row r="3618" spans="1:38" x14ac:dyDescent="0.2">
      <c r="A3618" s="2">
        <v>2026</v>
      </c>
      <c r="B3618" s="2">
        <v>4</v>
      </c>
      <c r="C3618" s="2" t="s">
        <v>3449</v>
      </c>
      <c r="D3618" s="2" t="s">
        <v>3456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2818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2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9"/>
        <v>0</v>
      </c>
      <c r="AG3618" s="2">
        <v>6468.73</v>
      </c>
      <c r="AJ3618" s="2">
        <f t="shared" si="580"/>
        <v>0</v>
      </c>
      <c r="AK3618" s="2">
        <f t="shared" si="583"/>
        <v>2461.2700000000004</v>
      </c>
      <c r="AL3618" s="5">
        <f t="shared" si="584"/>
        <v>0.27561814109742444</v>
      </c>
    </row>
    <row r="3619" spans="1:38" x14ac:dyDescent="0.2">
      <c r="A3619" s="2">
        <v>2026</v>
      </c>
      <c r="B3619" s="2">
        <v>4</v>
      </c>
      <c r="C3619" s="2" t="s">
        <v>3317</v>
      </c>
      <c r="D3619" s="2" t="s">
        <v>1162</v>
      </c>
      <c r="E3619" s="2" t="s">
        <v>752</v>
      </c>
      <c r="F3619" s="2" t="s">
        <v>1217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1578</v>
      </c>
      <c r="R3619" s="2" t="s">
        <v>1579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2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9"/>
        <v>0</v>
      </c>
      <c r="AG3619" s="2">
        <f>4893.23+171</f>
        <v>5064.2299999999996</v>
      </c>
      <c r="AJ3619" s="2">
        <f t="shared" si="580"/>
        <v>0</v>
      </c>
      <c r="AK3619" s="2">
        <f t="shared" si="583"/>
        <v>2275.7700000000004</v>
      </c>
      <c r="AL3619" s="5">
        <f t="shared" si="584"/>
        <v>0.31005040871934608</v>
      </c>
    </row>
    <row r="3620" spans="1:38" x14ac:dyDescent="0.2">
      <c r="A3620" s="2">
        <v>2026</v>
      </c>
      <c r="B3620" s="2">
        <v>4</v>
      </c>
      <c r="C3620" s="2" t="s">
        <v>3449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2819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2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9"/>
        <v>0</v>
      </c>
      <c r="AG3620" s="2">
        <f>4893.23+171</f>
        <v>5064.2299999999996</v>
      </c>
      <c r="AJ3620" s="2">
        <f t="shared" si="580"/>
        <v>0</v>
      </c>
      <c r="AK3620" s="2">
        <f t="shared" si="583"/>
        <v>1925.7700000000004</v>
      </c>
      <c r="AL3620" s="5">
        <f t="shared" si="584"/>
        <v>0.27550357653791135</v>
      </c>
    </row>
    <row r="3621" spans="1:38" x14ac:dyDescent="0.2">
      <c r="A3621" s="2">
        <v>2026</v>
      </c>
      <c r="B3621" s="2">
        <v>4</v>
      </c>
      <c r="C3621" s="2" t="s">
        <v>3442</v>
      </c>
      <c r="D3621" s="2" t="s">
        <v>2049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2779</v>
      </c>
      <c r="J3621" s="2" t="s">
        <v>2820</v>
      </c>
      <c r="K3621" s="2">
        <v>914732950</v>
      </c>
      <c r="L3621" s="2" t="s">
        <v>480</v>
      </c>
      <c r="M3621" s="2" t="s">
        <v>40</v>
      </c>
      <c r="O3621" s="2" t="s">
        <v>2821</v>
      </c>
      <c r="P3621" s="2" t="s">
        <v>1604</v>
      </c>
      <c r="Q3621" s="2" t="s">
        <v>1602</v>
      </c>
      <c r="R3621" s="2" t="s">
        <v>1603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2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1604</v>
      </c>
      <c r="AF3621" s="2">
        <f t="shared" si="579"/>
        <v>0</v>
      </c>
      <c r="AG3621" s="2">
        <v>10.15</v>
      </c>
      <c r="AJ3621" s="2">
        <f t="shared" si="580"/>
        <v>0</v>
      </c>
      <c r="AK3621" s="2">
        <f t="shared" si="583"/>
        <v>58.71</v>
      </c>
      <c r="AL3621" s="5">
        <f t="shared" si="584"/>
        <v>0.8525994772001162</v>
      </c>
    </row>
    <row r="3622" spans="1:38" x14ac:dyDescent="0.2">
      <c r="A3622" s="2">
        <v>2026</v>
      </c>
      <c r="B3622" s="2">
        <v>4</v>
      </c>
      <c r="C3622" s="2" t="s">
        <v>3444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1608</v>
      </c>
      <c r="Q3622" s="2" t="s">
        <v>2822</v>
      </c>
      <c r="R3622" s="2" t="s">
        <v>2823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2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1608</v>
      </c>
      <c r="AF3622" s="2">
        <f t="shared" si="579"/>
        <v>0</v>
      </c>
      <c r="AJ3622" s="2">
        <f t="shared" si="580"/>
        <v>0</v>
      </c>
      <c r="AK3622" s="2">
        <f t="shared" si="583"/>
        <v>1963.1800000000003</v>
      </c>
      <c r="AL3622" s="5">
        <f t="shared" si="584"/>
        <v>0.2130417797069995</v>
      </c>
    </row>
    <row r="3623" spans="1:38" x14ac:dyDescent="0.2">
      <c r="A3623" s="2">
        <v>2026</v>
      </c>
      <c r="B3623" s="2">
        <v>4</v>
      </c>
      <c r="D3623" s="2" t="s">
        <v>1621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2824</v>
      </c>
      <c r="J3623" s="2" t="s">
        <v>2825</v>
      </c>
      <c r="L3623" s="2" t="s">
        <v>112</v>
      </c>
      <c r="M3623" s="2" t="s">
        <v>109</v>
      </c>
      <c r="O3623" s="2" t="s">
        <v>2826</v>
      </c>
      <c r="P3623" s="2" t="s">
        <v>282</v>
      </c>
      <c r="Q3623" s="2" t="s">
        <v>1205</v>
      </c>
      <c r="R3623" s="2" t="s">
        <v>1206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2"/>
        <v>0.50380622837370237</v>
      </c>
      <c r="Z3623" s="2" t="s">
        <v>3226</v>
      </c>
      <c r="AA3623" s="2" t="s">
        <v>71</v>
      </c>
      <c r="AB3623" s="2" t="s">
        <v>119</v>
      </c>
      <c r="AC3623" s="2" t="s">
        <v>119</v>
      </c>
      <c r="AF3623" s="2">
        <f t="shared" si="579"/>
        <v>0</v>
      </c>
      <c r="AG3623" s="2">
        <v>14.34</v>
      </c>
      <c r="AJ3623" s="2">
        <f t="shared" si="580"/>
        <v>0</v>
      </c>
      <c r="AK3623" s="2">
        <f t="shared" si="583"/>
        <v>29.119999999999997</v>
      </c>
      <c r="AL3623" s="5">
        <f t="shared" si="584"/>
        <v>0.50380622837370237</v>
      </c>
    </row>
    <row r="3624" spans="1:38" x14ac:dyDescent="0.2">
      <c r="A3624" s="2">
        <v>2026</v>
      </c>
      <c r="B3624" s="2">
        <v>4</v>
      </c>
      <c r="C3624" s="2" t="s">
        <v>3444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2827</v>
      </c>
      <c r="R3624" s="2" t="s">
        <v>2828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2"/>
        <v>0.10089285714285706</v>
      </c>
      <c r="Z3624" s="2" t="s">
        <v>3226</v>
      </c>
      <c r="AA3624" s="2" t="s">
        <v>155</v>
      </c>
      <c r="AB3624" s="2" t="s">
        <v>3401</v>
      </c>
      <c r="AC3624" s="2" t="s">
        <v>1327</v>
      </c>
      <c r="AF3624" s="2">
        <f t="shared" si="579"/>
        <v>0</v>
      </c>
      <c r="AJ3624" s="2">
        <f t="shared" si="580"/>
        <v>0</v>
      </c>
      <c r="AK3624" s="2">
        <f t="shared" si="583"/>
        <v>1.129999999999999</v>
      </c>
      <c r="AL3624" s="5">
        <f t="shared" si="584"/>
        <v>0.10089285714285706</v>
      </c>
    </row>
    <row r="3625" spans="1:38" x14ac:dyDescent="0.2">
      <c r="A3625" s="2">
        <v>2026</v>
      </c>
      <c r="B3625" s="2">
        <v>4</v>
      </c>
      <c r="C3625" s="2" t="s">
        <v>3444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2829</v>
      </c>
      <c r="R3625" s="2" t="s">
        <v>2830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2"/>
        <v>0.10078828828828816</v>
      </c>
      <c r="Z3625" s="2" t="s">
        <v>3226</v>
      </c>
      <c r="AA3625" s="2" t="s">
        <v>578</v>
      </c>
      <c r="AB3625" s="2" t="s">
        <v>119</v>
      </c>
      <c r="AC3625" s="2" t="s">
        <v>1327</v>
      </c>
      <c r="AF3625" s="2">
        <f t="shared" si="579"/>
        <v>0</v>
      </c>
      <c r="AJ3625" s="2">
        <f t="shared" si="580"/>
        <v>0</v>
      </c>
      <c r="AK3625" s="2">
        <f t="shared" si="583"/>
        <v>8.9499999999999886</v>
      </c>
      <c r="AL3625" s="5">
        <f t="shared" si="584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2831</v>
      </c>
      <c r="P3626" s="2" t="s">
        <v>282</v>
      </c>
      <c r="Q3626" s="2" t="s">
        <v>1779</v>
      </c>
      <c r="R3626" s="2" t="s">
        <v>1780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2"/>
        <v>0.26733668341708544</v>
      </c>
      <c r="Z3626" s="2" t="s">
        <v>104</v>
      </c>
      <c r="AA3626" s="2" t="s">
        <v>387</v>
      </c>
      <c r="AB3626" s="2" t="s">
        <v>1330</v>
      </c>
      <c r="AC3626" s="2" t="s">
        <v>1327</v>
      </c>
      <c r="AF3626" s="2">
        <f t="shared" si="579"/>
        <v>0</v>
      </c>
      <c r="AG3626" s="2">
        <v>1458</v>
      </c>
      <c r="AJ3626" s="2">
        <f t="shared" si="580"/>
        <v>0</v>
      </c>
      <c r="AK3626" s="2">
        <f t="shared" si="583"/>
        <v>532</v>
      </c>
      <c r="AL3626" s="5">
        <f t="shared" si="584"/>
        <v>0.26733668341708544</v>
      </c>
    </row>
    <row r="3627" spans="1:38" x14ac:dyDescent="0.2">
      <c r="A3627" s="2">
        <v>2026</v>
      </c>
      <c r="B3627" s="2">
        <v>4</v>
      </c>
      <c r="C3627" s="2" t="s">
        <v>3444</v>
      </c>
      <c r="D3627" s="2" t="s">
        <v>2832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2"/>
        <v>0.24989949748743717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79"/>
        <v>0</v>
      </c>
      <c r="AJ3627" s="2">
        <f t="shared" si="580"/>
        <v>0</v>
      </c>
      <c r="AK3627" s="2">
        <f t="shared" si="583"/>
        <v>497.29999999999995</v>
      </c>
      <c r="AL3627" s="5">
        <f t="shared" si="584"/>
        <v>0.24989949748743717</v>
      </c>
    </row>
    <row r="3628" spans="1:38" x14ac:dyDescent="0.2">
      <c r="A3628" s="2">
        <v>2026</v>
      </c>
      <c r="B3628" s="2">
        <v>4</v>
      </c>
      <c r="C3628" s="2" t="s">
        <v>3449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2"/>
        <v>0.16655499720826353</v>
      </c>
      <c r="Z3628" s="2" t="s">
        <v>104</v>
      </c>
      <c r="AA3628" s="2" t="s">
        <v>387</v>
      </c>
      <c r="AB3628" s="2" t="s">
        <v>1330</v>
      </c>
      <c r="AC3628" s="2" t="s">
        <v>1327</v>
      </c>
      <c r="AF3628" s="2">
        <f t="shared" si="579"/>
        <v>0</v>
      </c>
      <c r="AJ3628" s="2">
        <f t="shared" si="580"/>
        <v>0</v>
      </c>
      <c r="AK3628" s="2">
        <f t="shared" si="583"/>
        <v>298.29999999999995</v>
      </c>
      <c r="AL3628" s="5">
        <f t="shared" si="584"/>
        <v>0.16655499720826353</v>
      </c>
    </row>
    <row r="3629" spans="1:38" x14ac:dyDescent="0.2">
      <c r="A3629" s="2">
        <v>2026</v>
      </c>
      <c r="B3629" s="2">
        <v>4</v>
      </c>
      <c r="D3629" s="2" t="s">
        <v>2752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2753</v>
      </c>
      <c r="J3629" s="2" t="s">
        <v>2754</v>
      </c>
      <c r="K3629" s="2">
        <v>962332957</v>
      </c>
      <c r="L3629" s="2" t="s">
        <v>112</v>
      </c>
      <c r="M3629" s="2" t="s">
        <v>109</v>
      </c>
      <c r="O3629" s="2" t="s">
        <v>2833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2"/>
        <v>0.26733668341708544</v>
      </c>
      <c r="Z3629" s="2" t="s">
        <v>104</v>
      </c>
      <c r="AA3629" s="2" t="s">
        <v>387</v>
      </c>
      <c r="AB3629" s="2" t="s">
        <v>1330</v>
      </c>
      <c r="AC3629" s="2" t="s">
        <v>1327</v>
      </c>
      <c r="AF3629" s="2">
        <f t="shared" si="579"/>
        <v>0</v>
      </c>
      <c r="AG3629" s="2">
        <v>1458</v>
      </c>
      <c r="AJ3629" s="2">
        <f t="shared" si="580"/>
        <v>0</v>
      </c>
      <c r="AK3629" s="2">
        <f t="shared" si="583"/>
        <v>532</v>
      </c>
      <c r="AL3629" s="5">
        <f t="shared" si="584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2831</v>
      </c>
      <c r="P3630" s="2" t="s">
        <v>282</v>
      </c>
      <c r="Q3630" s="2" t="s">
        <v>1328</v>
      </c>
      <c r="R3630" s="2" t="s">
        <v>1329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2"/>
        <v>0.20703517587939699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9"/>
        <v>0</v>
      </c>
      <c r="AG3630" s="2">
        <v>1578</v>
      </c>
      <c r="AJ3630" s="2">
        <f t="shared" si="580"/>
        <v>0</v>
      </c>
      <c r="AK3630" s="2">
        <f t="shared" si="583"/>
        <v>412</v>
      </c>
      <c r="AL3630" s="5">
        <f t="shared" si="584"/>
        <v>0.20703517587939699</v>
      </c>
    </row>
    <row r="3631" spans="1:38" x14ac:dyDescent="0.2">
      <c r="A3631" s="2">
        <v>2026</v>
      </c>
      <c r="B3631" s="2">
        <v>4</v>
      </c>
      <c r="C3631" s="2" t="s">
        <v>3444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2"/>
        <v>0.18449612403100776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9"/>
        <v>0</v>
      </c>
      <c r="AJ3631" s="2">
        <f t="shared" si="580"/>
        <v>0</v>
      </c>
      <c r="AK3631" s="2">
        <f t="shared" si="583"/>
        <v>357</v>
      </c>
      <c r="AL3631" s="5">
        <f t="shared" si="584"/>
        <v>0.18449612403100776</v>
      </c>
    </row>
    <row r="3632" spans="1:38" x14ac:dyDescent="0.2">
      <c r="A3632" s="2">
        <v>2026</v>
      </c>
      <c r="B3632" s="2">
        <v>4</v>
      </c>
      <c r="D3632" s="2" t="s">
        <v>1573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1284</v>
      </c>
      <c r="R3632" s="2" t="s">
        <v>1285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2"/>
        <v>0.15</v>
      </c>
      <c r="Z3632" s="2" t="s">
        <v>117</v>
      </c>
      <c r="AA3632" s="2" t="s">
        <v>181</v>
      </c>
      <c r="AB3632" s="2" t="s">
        <v>3379</v>
      </c>
      <c r="AC3632" s="2" t="s">
        <v>1327</v>
      </c>
      <c r="AF3632" s="2">
        <f t="shared" si="579"/>
        <v>0</v>
      </c>
      <c r="AJ3632" s="2">
        <f t="shared" si="580"/>
        <v>0</v>
      </c>
      <c r="AK3632" s="2">
        <f t="shared" si="583"/>
        <v>37.5</v>
      </c>
      <c r="AL3632" s="5">
        <f t="shared" si="584"/>
        <v>0.15</v>
      </c>
    </row>
    <row r="3633" spans="1:38" x14ac:dyDescent="0.2">
      <c r="A3633" s="2">
        <v>2026</v>
      </c>
      <c r="B3633" s="2">
        <v>4</v>
      </c>
      <c r="D3633" s="2" t="s">
        <v>2834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2835</v>
      </c>
      <c r="J3633" s="2" t="s">
        <v>2836</v>
      </c>
      <c r="K3633" s="2">
        <v>918896903</v>
      </c>
      <c r="L3633" s="2" t="s">
        <v>99</v>
      </c>
      <c r="M3633" s="2" t="s">
        <v>41</v>
      </c>
      <c r="O3633" s="2" t="s">
        <v>2837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2"/>
        <v>0.22680412371134015</v>
      </c>
      <c r="Z3633" s="2" t="s">
        <v>3226</v>
      </c>
      <c r="AA3633" s="2" t="s">
        <v>71</v>
      </c>
      <c r="AB3633" s="2" t="s">
        <v>119</v>
      </c>
      <c r="AC3633" s="2" t="s">
        <v>119</v>
      </c>
      <c r="AF3633" s="2">
        <f t="shared" si="579"/>
        <v>0</v>
      </c>
      <c r="AG3633" s="2">
        <v>299.25</v>
      </c>
      <c r="AJ3633" s="2">
        <f t="shared" si="580"/>
        <v>0</v>
      </c>
      <c r="AK3633" s="2">
        <f t="shared" si="583"/>
        <v>87.779999999999973</v>
      </c>
      <c r="AL3633" s="5">
        <f t="shared" si="584"/>
        <v>0.22680412371134015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2"/>
        <v>0.38144329896907209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9"/>
        <v>0</v>
      </c>
      <c r="AG3634" s="2">
        <v>77.400000000000006</v>
      </c>
      <c r="AJ3634" s="2">
        <f t="shared" si="580"/>
        <v>0</v>
      </c>
      <c r="AK3634" s="2">
        <f t="shared" si="583"/>
        <v>47.72999999999999</v>
      </c>
      <c r="AL3634" s="5">
        <f t="shared" si="584"/>
        <v>0.38144329896907209</v>
      </c>
    </row>
    <row r="3635" spans="1:38" x14ac:dyDescent="0.2">
      <c r="A3635" s="2">
        <v>2026</v>
      </c>
      <c r="B3635" s="2">
        <v>4</v>
      </c>
      <c r="D3635" s="2" t="s">
        <v>2521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3226</v>
      </c>
      <c r="AA3635" s="2" t="s">
        <v>46</v>
      </c>
      <c r="AB3635" s="2" t="s">
        <v>60</v>
      </c>
      <c r="AC3635" s="2" t="s">
        <v>3330</v>
      </c>
      <c r="AF3635" s="2">
        <f t="shared" si="579"/>
        <v>0</v>
      </c>
      <c r="AJ3635" s="2">
        <f t="shared" si="580"/>
        <v>0</v>
      </c>
      <c r="AK3635" s="2">
        <f t="shared" si="583"/>
        <v>-345</v>
      </c>
      <c r="AL3635" s="18">
        <f t="shared" ref="AL3635" si="585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1553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1554</v>
      </c>
      <c r="J3636" s="2" t="s">
        <v>1555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3226</v>
      </c>
      <c r="AA3636" s="2" t="s">
        <v>46</v>
      </c>
      <c r="AB3636" s="2" t="s">
        <v>60</v>
      </c>
      <c r="AC3636" s="2" t="s">
        <v>3330</v>
      </c>
      <c r="AF3636" s="2">
        <f t="shared" si="579"/>
        <v>0</v>
      </c>
      <c r="AJ3636" s="2">
        <f t="shared" si="580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2521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3226</v>
      </c>
      <c r="AA3637" s="2" t="s">
        <v>46</v>
      </c>
      <c r="AB3637" s="2" t="s">
        <v>60</v>
      </c>
      <c r="AC3637" s="2" t="s">
        <v>3330</v>
      </c>
      <c r="AF3637" s="2">
        <f t="shared" si="579"/>
        <v>0</v>
      </c>
      <c r="AJ3637" s="2">
        <f t="shared" si="580"/>
        <v>0</v>
      </c>
      <c r="AK3637" s="2">
        <f t="shared" ref="AK3637" si="586">T3637-W3637</f>
        <v>-345</v>
      </c>
      <c r="AL3637" s="18">
        <f t="shared" ref="AL3637" si="587"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2838</v>
      </c>
      <c r="E3638" s="2" t="s">
        <v>38</v>
      </c>
      <c r="G3638" s="2">
        <v>184822033</v>
      </c>
      <c r="I3638" s="2" t="s">
        <v>2839</v>
      </c>
      <c r="L3638" s="2" t="s">
        <v>461</v>
      </c>
      <c r="M3638" s="2" t="s">
        <v>109</v>
      </c>
      <c r="O3638" s="2" t="s">
        <v>2840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8">(T3638-W3638)/T3638</f>
        <v>0.42321428571428571</v>
      </c>
      <c r="Z3638" s="2" t="s">
        <v>3226</v>
      </c>
      <c r="AA3638" s="2" t="s">
        <v>46</v>
      </c>
      <c r="AB3638" s="2" t="s">
        <v>47</v>
      </c>
      <c r="AC3638" s="2" t="s">
        <v>57</v>
      </c>
      <c r="AF3638" s="2">
        <f t="shared" si="579"/>
        <v>0</v>
      </c>
      <c r="AG3638" s="2">
        <v>14.535</v>
      </c>
      <c r="AH3638" s="2">
        <v>25.2</v>
      </c>
      <c r="AJ3638" s="2">
        <f t="shared" si="580"/>
        <v>0</v>
      </c>
      <c r="AK3638" s="2">
        <f t="shared" ref="AK3638:AK3669" si="589">T3638-W3638</f>
        <v>10.664999999999999</v>
      </c>
      <c r="AL3638" s="5">
        <f t="shared" ref="AL3638:AL3669" si="590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2841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8"/>
        <v>0.52380952380952384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9"/>
        <v>0</v>
      </c>
      <c r="AG3639" s="2">
        <v>10</v>
      </c>
      <c r="AH3639" s="2">
        <v>21</v>
      </c>
      <c r="AJ3639" s="2">
        <f t="shared" si="580"/>
        <v>0</v>
      </c>
      <c r="AK3639" s="2">
        <f t="shared" si="589"/>
        <v>11</v>
      </c>
      <c r="AL3639" s="5">
        <f t="shared" si="590"/>
        <v>0.52380952380952384</v>
      </c>
    </row>
    <row r="3640" spans="1:38" x14ac:dyDescent="0.2">
      <c r="A3640" s="2">
        <v>2026</v>
      </c>
      <c r="B3640" s="2">
        <v>4</v>
      </c>
      <c r="D3640" s="2" t="s">
        <v>2838</v>
      </c>
      <c r="E3640" s="2" t="s">
        <v>38</v>
      </c>
      <c r="G3640" s="2">
        <v>184822033</v>
      </c>
      <c r="I3640" s="2" t="s">
        <v>2842</v>
      </c>
      <c r="L3640" s="2" t="s">
        <v>461</v>
      </c>
      <c r="M3640" s="2" t="s">
        <v>109</v>
      </c>
      <c r="O3640" s="2" t="s">
        <v>2843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8"/>
        <v>0.4919047619047619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9"/>
        <v>0</v>
      </c>
      <c r="AG3640" s="2">
        <v>10.67</v>
      </c>
      <c r="AH3640" s="2">
        <v>21</v>
      </c>
      <c r="AJ3640" s="2">
        <f t="shared" si="580"/>
        <v>0</v>
      </c>
      <c r="AK3640" s="2">
        <f t="shared" si="589"/>
        <v>10.33</v>
      </c>
      <c r="AL3640" s="5">
        <f t="shared" si="590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2844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8"/>
        <v>0.46762608695652175</v>
      </c>
      <c r="Z3641" s="2" t="s">
        <v>3226</v>
      </c>
      <c r="AA3641" s="2" t="s">
        <v>75</v>
      </c>
      <c r="AB3641" s="2" t="s">
        <v>76</v>
      </c>
      <c r="AC3641" s="2" t="s">
        <v>77</v>
      </c>
      <c r="AF3641" s="2">
        <f t="shared" si="579"/>
        <v>0</v>
      </c>
      <c r="AG3641" s="2">
        <v>122.446</v>
      </c>
      <c r="AH3641" s="2">
        <v>230</v>
      </c>
      <c r="AJ3641" s="2">
        <f t="shared" si="580"/>
        <v>0</v>
      </c>
      <c r="AK3641" s="2">
        <f t="shared" si="589"/>
        <v>107.554</v>
      </c>
      <c r="AL3641" s="5">
        <f t="shared" si="590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8"/>
        <v>0</v>
      </c>
      <c r="Z3642" s="2" t="s">
        <v>3226</v>
      </c>
      <c r="AA3642" s="2" t="s">
        <v>96</v>
      </c>
      <c r="AB3642" s="2" t="s">
        <v>76</v>
      </c>
      <c r="AC3642" s="2" t="s">
        <v>93</v>
      </c>
      <c r="AF3642" s="2">
        <f t="shared" si="579"/>
        <v>0</v>
      </c>
      <c r="AG3642" s="2">
        <v>1.48</v>
      </c>
      <c r="AH3642" s="2">
        <v>1.48</v>
      </c>
      <c r="AJ3642" s="2">
        <f t="shared" si="580"/>
        <v>0</v>
      </c>
      <c r="AK3642" s="2">
        <f t="shared" si="589"/>
        <v>0</v>
      </c>
      <c r="AL3642" s="5">
        <f t="shared" si="590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1">6.6267*S3643</f>
        <v>6.6266999999999996</v>
      </c>
      <c r="X3643" s="5">
        <f t="shared" si="588"/>
        <v>0.49025384615384621</v>
      </c>
      <c r="Z3643" s="2" t="s">
        <v>3226</v>
      </c>
      <c r="AA3643" s="2" t="s">
        <v>46</v>
      </c>
      <c r="AB3643" s="2" t="s">
        <v>47</v>
      </c>
      <c r="AC3643" s="2" t="s">
        <v>57</v>
      </c>
      <c r="AF3643" s="2">
        <f t="shared" si="579"/>
        <v>0</v>
      </c>
      <c r="AG3643" s="2">
        <v>6.6266999999999996</v>
      </c>
      <c r="AH3643" s="2">
        <v>12</v>
      </c>
      <c r="AJ3643" s="2">
        <f t="shared" si="580"/>
        <v>0</v>
      </c>
      <c r="AK3643" s="2">
        <f t="shared" si="589"/>
        <v>6.3733000000000004</v>
      </c>
      <c r="AL3643" s="5">
        <f t="shared" si="590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1"/>
        <v>19.880099999999999</v>
      </c>
      <c r="X3644" s="5">
        <f t="shared" si="588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9"/>
        <v>0</v>
      </c>
      <c r="AG3644" s="2">
        <v>6.6266999999999996</v>
      </c>
      <c r="AH3644" s="2">
        <v>12</v>
      </c>
      <c r="AJ3644" s="2">
        <f t="shared" si="580"/>
        <v>0</v>
      </c>
      <c r="AK3644" s="2">
        <f t="shared" si="589"/>
        <v>19.119900000000001</v>
      </c>
      <c r="AL3644" s="5">
        <f t="shared" si="590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2538</v>
      </c>
      <c r="L3645" s="2" t="s">
        <v>99</v>
      </c>
      <c r="M3645" s="2" t="s">
        <v>80</v>
      </c>
      <c r="O3645" s="2" t="s">
        <v>2845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1"/>
        <v>6.6266999999999996</v>
      </c>
      <c r="X3645" s="5">
        <f t="shared" si="588"/>
        <v>0.65485937500000002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9"/>
        <v>0</v>
      </c>
      <c r="AG3645" s="2">
        <v>6.6266999999999996</v>
      </c>
      <c r="AH3645" s="2">
        <v>12</v>
      </c>
      <c r="AJ3645" s="2">
        <f t="shared" si="580"/>
        <v>0</v>
      </c>
      <c r="AK3645" s="2">
        <f t="shared" si="589"/>
        <v>12.5733</v>
      </c>
      <c r="AL3645" s="5">
        <f t="shared" si="590"/>
        <v>0.65485937500000002</v>
      </c>
    </row>
    <row r="3646" spans="1:38" x14ac:dyDescent="0.2">
      <c r="A3646" s="2">
        <v>2026</v>
      </c>
      <c r="B3646" s="2">
        <v>4</v>
      </c>
      <c r="D3646" s="2" t="s">
        <v>2846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1"/>
        <v>6.6266999999999996</v>
      </c>
      <c r="X3646" s="5">
        <f t="shared" si="588"/>
        <v>0.44777500000000003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9"/>
        <v>0</v>
      </c>
      <c r="AG3646" s="2">
        <v>6.6266999999999996</v>
      </c>
      <c r="AH3646" s="2">
        <v>12</v>
      </c>
      <c r="AJ3646" s="2">
        <f t="shared" si="580"/>
        <v>0</v>
      </c>
      <c r="AK3646" s="2">
        <f t="shared" si="589"/>
        <v>5.3733000000000004</v>
      </c>
      <c r="AL3646" s="5">
        <f t="shared" si="590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1"/>
        <v>13.253399999999999</v>
      </c>
      <c r="X3647" s="5">
        <f t="shared" si="588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9"/>
        <v>0</v>
      </c>
      <c r="AG3647" s="2">
        <v>6.6266999999999996</v>
      </c>
      <c r="AH3647" s="2">
        <v>12</v>
      </c>
      <c r="AJ3647" s="2">
        <f t="shared" si="580"/>
        <v>0</v>
      </c>
      <c r="AK3647" s="2">
        <f t="shared" si="589"/>
        <v>10.746600000000001</v>
      </c>
      <c r="AL3647" s="5">
        <f t="shared" si="590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2847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1"/>
        <v>13.253399999999999</v>
      </c>
      <c r="X3648" s="5">
        <f t="shared" si="588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9"/>
        <v>0</v>
      </c>
      <c r="AG3648" s="2">
        <v>6.6266999999999996</v>
      </c>
      <c r="AH3648" s="2">
        <v>12</v>
      </c>
      <c r="AJ3648" s="2">
        <f t="shared" si="580"/>
        <v>0</v>
      </c>
      <c r="AK3648" s="2">
        <f t="shared" si="589"/>
        <v>10.746600000000001</v>
      </c>
      <c r="AL3648" s="5">
        <f t="shared" si="590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1363</v>
      </c>
      <c r="R3649" s="2" t="s">
        <v>1364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8"/>
        <v>0.71491228070175439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ref="AF3649:AF3712" si="592">AJ3649</f>
        <v>0</v>
      </c>
      <c r="AJ3649" s="2">
        <f t="shared" ref="AJ3649:AJ3712" si="593">AI3649*T3649</f>
        <v>0</v>
      </c>
      <c r="AK3649" s="2">
        <f t="shared" si="589"/>
        <v>48.900000000000006</v>
      </c>
      <c r="AL3649" s="5">
        <f t="shared" si="590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8"/>
        <v>0.68624999999999992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si="592"/>
        <v>0</v>
      </c>
      <c r="AJ3650" s="2">
        <f t="shared" si="593"/>
        <v>0</v>
      </c>
      <c r="AK3650" s="2">
        <f t="shared" si="589"/>
        <v>24.704999999999998</v>
      </c>
      <c r="AL3650" s="5">
        <f t="shared" si="590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8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92"/>
        <v>0</v>
      </c>
      <c r="AJ3651" s="2">
        <f t="shared" si="593"/>
        <v>0</v>
      </c>
      <c r="AK3651" s="2">
        <f t="shared" si="589"/>
        <v>49.41</v>
      </c>
      <c r="AL3651" s="5">
        <f t="shared" si="590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2848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8"/>
        <v>0.46762608695652175</v>
      </c>
      <c r="Z3652" s="2" t="s">
        <v>3226</v>
      </c>
      <c r="AA3652" s="2" t="s">
        <v>75</v>
      </c>
      <c r="AB3652" s="2" t="s">
        <v>76</v>
      </c>
      <c r="AC3652" s="2" t="s">
        <v>77</v>
      </c>
      <c r="AF3652" s="2">
        <f t="shared" si="592"/>
        <v>0</v>
      </c>
      <c r="AG3652" s="2">
        <v>122.446</v>
      </c>
      <c r="AH3652" s="2">
        <v>230</v>
      </c>
      <c r="AJ3652" s="2">
        <f t="shared" si="593"/>
        <v>0</v>
      </c>
      <c r="AK3652" s="2">
        <f t="shared" si="589"/>
        <v>107.554</v>
      </c>
      <c r="AL3652" s="5">
        <f t="shared" si="590"/>
        <v>0.46762608695652175</v>
      </c>
    </row>
    <row r="3653" spans="1:38" x14ac:dyDescent="0.2">
      <c r="A3653" s="2">
        <v>2026</v>
      </c>
      <c r="B3653" s="2">
        <v>4</v>
      </c>
      <c r="C3653" s="2" t="s">
        <v>3444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2849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8"/>
        <v>0.31428571428571428</v>
      </c>
      <c r="Z3653" s="2" t="s">
        <v>3226</v>
      </c>
      <c r="AA3653" s="2" t="s">
        <v>46</v>
      </c>
      <c r="AB3653" s="2" t="s">
        <v>47</v>
      </c>
      <c r="AC3653" s="2" t="s">
        <v>57</v>
      </c>
      <c r="AF3653" s="2">
        <f t="shared" si="592"/>
        <v>0</v>
      </c>
      <c r="AG3653" s="2">
        <v>14.4</v>
      </c>
      <c r="AH3653" s="2">
        <v>21</v>
      </c>
      <c r="AJ3653" s="2">
        <f t="shared" si="593"/>
        <v>0</v>
      </c>
      <c r="AK3653" s="2">
        <f t="shared" si="589"/>
        <v>6.6</v>
      </c>
      <c r="AL3653" s="5">
        <f t="shared" si="590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2848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8"/>
        <v>0</v>
      </c>
      <c r="Z3654" s="2" t="s">
        <v>3226</v>
      </c>
      <c r="AA3654" s="2" t="s">
        <v>96</v>
      </c>
      <c r="AB3654" s="2" t="s">
        <v>76</v>
      </c>
      <c r="AC3654" s="2" t="s">
        <v>93</v>
      </c>
      <c r="AF3654" s="2">
        <f t="shared" si="592"/>
        <v>0</v>
      </c>
      <c r="AG3654" s="2">
        <v>1.48</v>
      </c>
      <c r="AH3654" s="2">
        <v>1.48</v>
      </c>
      <c r="AJ3654" s="2">
        <f t="shared" si="593"/>
        <v>0</v>
      </c>
      <c r="AK3654" s="2">
        <f t="shared" si="589"/>
        <v>0</v>
      </c>
      <c r="AL3654" s="5">
        <f t="shared" si="590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8"/>
        <v>0.58491111111111116</v>
      </c>
      <c r="Z3655" s="2" t="s">
        <v>3226</v>
      </c>
      <c r="AA3655" s="2" t="s">
        <v>46</v>
      </c>
      <c r="AB3655" s="2" t="s">
        <v>47</v>
      </c>
      <c r="AC3655" s="2" t="s">
        <v>57</v>
      </c>
      <c r="AF3655" s="2">
        <f t="shared" si="592"/>
        <v>0</v>
      </c>
      <c r="AG3655" s="2">
        <v>3.7357999999999998</v>
      </c>
      <c r="AH3655" s="2">
        <v>9</v>
      </c>
      <c r="AJ3655" s="2">
        <f t="shared" si="593"/>
        <v>0</v>
      </c>
      <c r="AK3655" s="2">
        <f t="shared" si="589"/>
        <v>5.2642000000000007</v>
      </c>
      <c r="AL3655" s="5">
        <f t="shared" si="590"/>
        <v>0.58491111111111116</v>
      </c>
    </row>
    <row r="3656" spans="1:38" x14ac:dyDescent="0.2">
      <c r="A3656" s="2">
        <v>2026</v>
      </c>
      <c r="B3656" s="2">
        <v>4</v>
      </c>
      <c r="D3656" s="2" t="s">
        <v>2846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8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92"/>
        <v>0</v>
      </c>
      <c r="AG3656" s="2">
        <v>3.7357999999999998</v>
      </c>
      <c r="AH3656" s="2">
        <v>9</v>
      </c>
      <c r="AJ3656" s="2">
        <f t="shared" si="593"/>
        <v>0</v>
      </c>
      <c r="AK3656" s="2">
        <f t="shared" si="589"/>
        <v>5.2642000000000007</v>
      </c>
      <c r="AL3656" s="5">
        <f t="shared" si="590"/>
        <v>0.58491111111111116</v>
      </c>
    </row>
    <row r="3657" spans="1:38" x14ac:dyDescent="0.2">
      <c r="A3657" s="2">
        <v>2026</v>
      </c>
      <c r="B3657" s="2">
        <v>4</v>
      </c>
      <c r="D3657" s="2" t="s">
        <v>2838</v>
      </c>
      <c r="E3657" s="2" t="s">
        <v>38</v>
      </c>
      <c r="G3657" s="2">
        <v>184822033</v>
      </c>
      <c r="I3657" s="2" t="s">
        <v>2842</v>
      </c>
      <c r="L3657" s="2" t="s">
        <v>461</v>
      </c>
      <c r="M3657" s="2" t="s">
        <v>109</v>
      </c>
      <c r="O3657" s="2" t="s">
        <v>2840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8"/>
        <v>0.50950925925925927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92"/>
        <v>0</v>
      </c>
      <c r="AG3657" s="2">
        <v>5.2972999999999999</v>
      </c>
      <c r="AH3657" s="2">
        <v>10.8</v>
      </c>
      <c r="AJ3657" s="2">
        <f t="shared" si="593"/>
        <v>0</v>
      </c>
      <c r="AK3657" s="2">
        <f t="shared" si="589"/>
        <v>5.5027000000000008</v>
      </c>
      <c r="AL3657" s="5">
        <f t="shared" si="590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2841</v>
      </c>
      <c r="P3658" s="2" t="s">
        <v>43</v>
      </c>
      <c r="Q3658" s="2" t="s">
        <v>2850</v>
      </c>
      <c r="R3658" s="2" t="s">
        <v>2851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8"/>
        <v>0.57566666666666666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92"/>
        <v>0</v>
      </c>
      <c r="AG3658" s="2">
        <v>12.73</v>
      </c>
      <c r="AH3658" s="2">
        <v>30</v>
      </c>
      <c r="AJ3658" s="2">
        <f t="shared" si="593"/>
        <v>0</v>
      </c>
      <c r="AK3658" s="2">
        <f t="shared" si="589"/>
        <v>17.27</v>
      </c>
      <c r="AL3658" s="5">
        <f t="shared" si="590"/>
        <v>0.57566666666666666</v>
      </c>
    </row>
    <row r="3659" spans="1:38" x14ac:dyDescent="0.2">
      <c r="A3659" s="2">
        <v>2026</v>
      </c>
      <c r="B3659" s="2">
        <v>4</v>
      </c>
      <c r="C3659" s="2" t="s">
        <v>3442</v>
      </c>
      <c r="D3659" s="2" t="s">
        <v>1887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8"/>
        <v>0.47233333333333333</v>
      </c>
      <c r="Z3659" s="2" t="s">
        <v>3226</v>
      </c>
      <c r="AA3659" s="2" t="s">
        <v>46</v>
      </c>
      <c r="AB3659" s="2" t="s">
        <v>56</v>
      </c>
      <c r="AC3659" s="2" t="s">
        <v>57</v>
      </c>
      <c r="AF3659" s="2">
        <f t="shared" si="592"/>
        <v>0</v>
      </c>
      <c r="AJ3659" s="2">
        <f t="shared" si="593"/>
        <v>0</v>
      </c>
      <c r="AK3659" s="2">
        <f t="shared" si="589"/>
        <v>14.17</v>
      </c>
      <c r="AL3659" s="5">
        <f t="shared" si="590"/>
        <v>0.47233333333333333</v>
      </c>
    </row>
    <row r="3660" spans="1:38" x14ac:dyDescent="0.2">
      <c r="A3660" s="2">
        <v>2026</v>
      </c>
      <c r="B3660" s="2">
        <v>4</v>
      </c>
      <c r="D3660" s="2" t="s">
        <v>2516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2517</v>
      </c>
      <c r="J3660" s="2" t="s">
        <v>2518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8"/>
        <v>0.47734374999999996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92"/>
        <v>0</v>
      </c>
      <c r="AJ3660" s="2">
        <f t="shared" si="593"/>
        <v>0</v>
      </c>
      <c r="AK3660" s="2">
        <f t="shared" si="589"/>
        <v>9.1649999999999991</v>
      </c>
      <c r="AL3660" s="5">
        <f t="shared" si="590"/>
        <v>0.47734374999999996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8"/>
        <v>0.46823076923076917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92"/>
        <v>0</v>
      </c>
      <c r="AJ3661" s="2">
        <f t="shared" si="593"/>
        <v>0</v>
      </c>
      <c r="AK3661" s="2">
        <f t="shared" si="589"/>
        <v>10.956599999999998</v>
      </c>
      <c r="AL3661" s="5">
        <f t="shared" si="590"/>
        <v>0.46823076923076917</v>
      </c>
    </row>
    <row r="3662" spans="1:38" x14ac:dyDescent="0.2">
      <c r="A3662" s="2">
        <v>2026</v>
      </c>
      <c r="B3662" s="2">
        <v>3</v>
      </c>
      <c r="D3662" s="2" t="s">
        <v>2852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8"/>
        <v>0.44777500000000003</v>
      </c>
      <c r="Z3662" s="2" t="s">
        <v>3226</v>
      </c>
      <c r="AA3662" s="2" t="s">
        <v>46</v>
      </c>
      <c r="AB3662" s="2" t="s">
        <v>47</v>
      </c>
      <c r="AC3662" s="2" t="s">
        <v>57</v>
      </c>
      <c r="AF3662" s="2">
        <f t="shared" si="592"/>
        <v>0</v>
      </c>
      <c r="AG3662" s="2">
        <v>6.6266999999999996</v>
      </c>
      <c r="AH3662" s="2">
        <v>12</v>
      </c>
      <c r="AJ3662" s="2">
        <f t="shared" si="593"/>
        <v>0</v>
      </c>
      <c r="AK3662" s="2">
        <f t="shared" si="589"/>
        <v>5.3733000000000004</v>
      </c>
      <c r="AL3662" s="5">
        <f t="shared" si="590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8"/>
        <v>0.49849305555555556</v>
      </c>
      <c r="Z3663" s="2" t="s">
        <v>3226</v>
      </c>
      <c r="AA3663" s="2" t="s">
        <v>46</v>
      </c>
      <c r="AB3663" s="2" t="s">
        <v>56</v>
      </c>
      <c r="AC3663" s="2" t="s">
        <v>57</v>
      </c>
      <c r="AF3663" s="2">
        <f t="shared" si="592"/>
        <v>0</v>
      </c>
      <c r="AG3663" s="2">
        <v>7.2217000000000002</v>
      </c>
      <c r="AH3663" s="2">
        <v>14.4</v>
      </c>
      <c r="AJ3663" s="2">
        <f t="shared" si="593"/>
        <v>0</v>
      </c>
      <c r="AK3663" s="2">
        <f t="shared" si="589"/>
        <v>7.1783000000000001</v>
      </c>
      <c r="AL3663" s="5">
        <f t="shared" si="590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2853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8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92"/>
        <v>0</v>
      </c>
      <c r="AG3664" s="2">
        <v>7.2217000000000002</v>
      </c>
      <c r="AH3664" s="2">
        <v>14.4</v>
      </c>
      <c r="AJ3664" s="2">
        <f t="shared" si="593"/>
        <v>0</v>
      </c>
      <c r="AK3664" s="2">
        <f t="shared" si="589"/>
        <v>7.1783000000000001</v>
      </c>
      <c r="AL3664" s="5">
        <f t="shared" si="590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8"/>
        <v>0.47844827586206895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92"/>
        <v>0</v>
      </c>
      <c r="AJ3665" s="2">
        <f t="shared" si="593"/>
        <v>0</v>
      </c>
      <c r="AK3665" s="2">
        <f t="shared" si="589"/>
        <v>8.3249999999999993</v>
      </c>
      <c r="AL3665" s="5">
        <f t="shared" si="590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2853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8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92"/>
        <v>0</v>
      </c>
      <c r="AJ3666" s="2">
        <f t="shared" si="593"/>
        <v>0</v>
      </c>
      <c r="AK3666" s="2">
        <f t="shared" si="589"/>
        <v>8.3249999999999993</v>
      </c>
      <c r="AL3666" s="5">
        <f t="shared" si="590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4">11.045*S3667</f>
        <v>11.045</v>
      </c>
      <c r="X3667" s="5">
        <f t="shared" si="588"/>
        <v>0.47404761904761905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92"/>
        <v>0</v>
      </c>
      <c r="AJ3667" s="2">
        <f t="shared" si="593"/>
        <v>0</v>
      </c>
      <c r="AK3667" s="2">
        <f t="shared" si="589"/>
        <v>9.9550000000000001</v>
      </c>
      <c r="AL3667" s="5">
        <f t="shared" si="590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2853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4"/>
        <v>11.045</v>
      </c>
      <c r="X3668" s="5">
        <f t="shared" si="588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92"/>
        <v>0</v>
      </c>
      <c r="AJ3668" s="2">
        <f t="shared" si="593"/>
        <v>0</v>
      </c>
      <c r="AK3668" s="2">
        <f t="shared" si="589"/>
        <v>9.9550000000000001</v>
      </c>
      <c r="AL3668" s="5">
        <f t="shared" si="590"/>
        <v>0.47404761904761905</v>
      </c>
    </row>
    <row r="3669" spans="1:38" x14ac:dyDescent="0.2">
      <c r="A3669" s="2">
        <v>2026</v>
      </c>
      <c r="B3669" s="2">
        <v>4</v>
      </c>
      <c r="D3669" s="2" t="s">
        <v>1178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1179</v>
      </c>
      <c r="J3669" s="2" t="s">
        <v>1180</v>
      </c>
      <c r="L3669" s="2" t="s">
        <v>461</v>
      </c>
      <c r="M3669" s="2" t="s">
        <v>41</v>
      </c>
      <c r="O3669" s="2" t="s">
        <v>2854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5">13.4067*S3669</f>
        <v>26.813400000000001</v>
      </c>
      <c r="X3669" s="5">
        <f t="shared" si="588"/>
        <v>0.4679880952380952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92"/>
        <v>0</v>
      </c>
      <c r="AJ3669" s="2">
        <f t="shared" si="593"/>
        <v>0</v>
      </c>
      <c r="AK3669" s="2">
        <f t="shared" si="589"/>
        <v>23.586599999999997</v>
      </c>
      <c r="AL3669" s="5">
        <f t="shared" si="590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2853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5"/>
        <v>13.406700000000001</v>
      </c>
      <c r="X3670" s="5">
        <f t="shared" ref="X3670:X3698" si="596">(T3670-W3670)/T3670</f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92"/>
        <v>0</v>
      </c>
      <c r="AJ3670" s="2">
        <f t="shared" si="593"/>
        <v>0</v>
      </c>
      <c r="AK3670" s="2">
        <f t="shared" ref="AK3670:AK3699" si="597">T3670-W3670</f>
        <v>11.793299999999999</v>
      </c>
      <c r="AL3670" s="5">
        <f t="shared" ref="AL3670:AL3698" si="598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1178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1179</v>
      </c>
      <c r="J3671" s="2" t="s">
        <v>1180</v>
      </c>
      <c r="L3671" s="2" t="s">
        <v>461</v>
      </c>
      <c r="M3671" s="2" t="s">
        <v>41</v>
      </c>
      <c r="O3671" s="2" t="s">
        <v>2854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9">16.2249*S3671</f>
        <v>32.449800000000003</v>
      </c>
      <c r="X3671" s="5">
        <f t="shared" si="596"/>
        <v>0.45916999999999997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92"/>
        <v>0</v>
      </c>
      <c r="AJ3671" s="2">
        <f t="shared" si="593"/>
        <v>0</v>
      </c>
      <c r="AK3671" s="2">
        <f t="shared" si="597"/>
        <v>27.550199999999997</v>
      </c>
      <c r="AL3671" s="5">
        <f t="shared" si="598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2853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9"/>
        <v>16.224900000000002</v>
      </c>
      <c r="X3672" s="5">
        <f t="shared" si="596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92"/>
        <v>0</v>
      </c>
      <c r="AJ3672" s="2">
        <f t="shared" si="593"/>
        <v>0</v>
      </c>
      <c r="AK3672" s="2">
        <f t="shared" si="597"/>
        <v>13.775099999999998</v>
      </c>
      <c r="AL3672" s="5">
        <f t="shared" si="598"/>
        <v>0.45916999999999997</v>
      </c>
    </row>
    <row r="3673" spans="1:38" x14ac:dyDescent="0.2">
      <c r="A3673" s="2">
        <v>2026</v>
      </c>
      <c r="B3673" s="2">
        <v>4</v>
      </c>
      <c r="D3673" s="2" t="s">
        <v>1178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1179</v>
      </c>
      <c r="J3673" s="2" t="s">
        <v>1180</v>
      </c>
      <c r="L3673" s="2" t="s">
        <v>461</v>
      </c>
      <c r="M3673" s="2" t="s">
        <v>41</v>
      </c>
      <c r="O3673" s="2" t="s">
        <v>2854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600">9.2346*S3673</f>
        <v>18.469200000000001</v>
      </c>
      <c r="X3673" s="5">
        <f t="shared" si="596"/>
        <v>0.48696666666666666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92"/>
        <v>0</v>
      </c>
      <c r="AJ3673" s="2">
        <f t="shared" si="593"/>
        <v>0</v>
      </c>
      <c r="AK3673" s="2">
        <f t="shared" si="597"/>
        <v>17.530799999999999</v>
      </c>
      <c r="AL3673" s="5">
        <f t="shared" si="598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2853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600"/>
        <v>9.2346000000000004</v>
      </c>
      <c r="X3674" s="5">
        <f t="shared" si="596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92"/>
        <v>0</v>
      </c>
      <c r="AJ3674" s="2">
        <f t="shared" si="593"/>
        <v>0</v>
      </c>
      <c r="AK3674" s="2">
        <f t="shared" si="597"/>
        <v>8.7653999999999996</v>
      </c>
      <c r="AL3674" s="5">
        <f t="shared" si="598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1">10.6*S3675</f>
        <v>31.799999999999997</v>
      </c>
      <c r="X3675" s="5">
        <f t="shared" si="596"/>
        <v>0.41111111111111115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92"/>
        <v>0</v>
      </c>
      <c r="AG3675" s="2">
        <v>10.6</v>
      </c>
      <c r="AH3675" s="2">
        <v>18</v>
      </c>
      <c r="AJ3675" s="2">
        <f t="shared" si="593"/>
        <v>0</v>
      </c>
      <c r="AK3675" s="2">
        <f t="shared" si="597"/>
        <v>22.200000000000003</v>
      </c>
      <c r="AL3675" s="5">
        <f t="shared" si="598"/>
        <v>0.41111111111111115</v>
      </c>
    </row>
    <row r="3676" spans="1:38" x14ac:dyDescent="0.2">
      <c r="A3676" s="2">
        <v>2026</v>
      </c>
      <c r="B3676" s="2">
        <v>4</v>
      </c>
      <c r="C3676" s="2" t="s">
        <v>3317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1"/>
        <v>21.2</v>
      </c>
      <c r="X3676" s="5">
        <f t="shared" si="596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92"/>
        <v>0</v>
      </c>
      <c r="AG3676" s="2">
        <v>10.6</v>
      </c>
      <c r="AH3676" s="2">
        <v>18</v>
      </c>
      <c r="AJ3676" s="2">
        <f t="shared" si="593"/>
        <v>0</v>
      </c>
      <c r="AK3676" s="2">
        <f t="shared" si="597"/>
        <v>14.8</v>
      </c>
      <c r="AL3676" s="5">
        <f t="shared" si="598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1"/>
        <v>10.6</v>
      </c>
      <c r="X3677" s="5">
        <f t="shared" si="596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92"/>
        <v>0</v>
      </c>
      <c r="AG3677" s="2">
        <v>10.6</v>
      </c>
      <c r="AH3677" s="2">
        <v>18</v>
      </c>
      <c r="AJ3677" s="2">
        <f t="shared" si="593"/>
        <v>0</v>
      </c>
      <c r="AK3677" s="2">
        <f t="shared" si="597"/>
        <v>7.4</v>
      </c>
      <c r="AL3677" s="5">
        <f t="shared" si="598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1"/>
        <v>106</v>
      </c>
      <c r="X3678" s="5">
        <f t="shared" si="596"/>
        <v>0.29333333333333333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92"/>
        <v>0</v>
      </c>
      <c r="AG3678" s="2">
        <v>10.6</v>
      </c>
      <c r="AH3678" s="2">
        <v>18</v>
      </c>
      <c r="AJ3678" s="2">
        <f t="shared" si="593"/>
        <v>0</v>
      </c>
      <c r="AK3678" s="2">
        <f t="shared" si="597"/>
        <v>44</v>
      </c>
      <c r="AL3678" s="5">
        <f t="shared" si="598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1"/>
        <v>106</v>
      </c>
      <c r="X3679" s="5">
        <f t="shared" si="596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92"/>
        <v>0</v>
      </c>
      <c r="AG3679" s="2">
        <v>10.6</v>
      </c>
      <c r="AH3679" s="2">
        <v>18</v>
      </c>
      <c r="AJ3679" s="2">
        <f t="shared" si="593"/>
        <v>0</v>
      </c>
      <c r="AK3679" s="2">
        <f t="shared" si="597"/>
        <v>44</v>
      </c>
      <c r="AL3679" s="5">
        <f t="shared" si="598"/>
        <v>0.29333333333333333</v>
      </c>
    </row>
    <row r="3680" spans="1:38" x14ac:dyDescent="0.2">
      <c r="A3680" s="2">
        <v>2026</v>
      </c>
      <c r="B3680" s="2">
        <v>4</v>
      </c>
      <c r="D3680" s="2" t="s">
        <v>1312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1313</v>
      </c>
      <c r="L3680" s="2" t="s">
        <v>177</v>
      </c>
      <c r="M3680" s="2" t="s">
        <v>41</v>
      </c>
      <c r="O3680" s="2" t="s">
        <v>2855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1"/>
        <v>10.6</v>
      </c>
      <c r="X3680" s="5">
        <f t="shared" si="596"/>
        <v>0.41111111111111115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92"/>
        <v>0</v>
      </c>
      <c r="AG3680" s="2">
        <v>10.6</v>
      </c>
      <c r="AH3680" s="2">
        <v>18</v>
      </c>
      <c r="AJ3680" s="2">
        <f t="shared" si="593"/>
        <v>0</v>
      </c>
      <c r="AK3680" s="2">
        <f t="shared" si="597"/>
        <v>7.4</v>
      </c>
      <c r="AL3680" s="5">
        <f t="shared" si="598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2856</v>
      </c>
      <c r="P3681" s="2" t="s">
        <v>43</v>
      </c>
      <c r="Q3681" s="2" t="s">
        <v>2857</v>
      </c>
      <c r="R3681" s="2" t="s">
        <v>2858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6"/>
        <v>0.41250000000000003</v>
      </c>
      <c r="Z3681" s="2" t="s">
        <v>3226</v>
      </c>
      <c r="AA3681" s="2" t="s">
        <v>46</v>
      </c>
      <c r="AB3681" s="2" t="s">
        <v>90</v>
      </c>
      <c r="AC3681" s="2" t="s">
        <v>57</v>
      </c>
      <c r="AF3681" s="2">
        <f t="shared" si="592"/>
        <v>0</v>
      </c>
      <c r="AJ3681" s="2">
        <f t="shared" si="593"/>
        <v>0</v>
      </c>
      <c r="AK3681" s="2">
        <f t="shared" si="597"/>
        <v>3.96</v>
      </c>
      <c r="AL3681" s="5">
        <f t="shared" si="598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6"/>
        <v>0.49808399999999997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92"/>
        <v>0</v>
      </c>
      <c r="AJ3682" s="2">
        <f t="shared" si="593"/>
        <v>0</v>
      </c>
      <c r="AK3682" s="2">
        <f t="shared" si="597"/>
        <v>49.808399999999999</v>
      </c>
      <c r="AL3682" s="5">
        <f t="shared" si="598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2860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6"/>
        <v>0.29692307692307701</v>
      </c>
      <c r="Z3683" s="2" t="s">
        <v>3226</v>
      </c>
      <c r="AA3683" s="2" t="s">
        <v>46</v>
      </c>
      <c r="AB3683" s="2" t="s">
        <v>60</v>
      </c>
      <c r="AC3683" s="2" t="s">
        <v>57</v>
      </c>
      <c r="AF3683" s="2">
        <f t="shared" si="592"/>
        <v>0</v>
      </c>
      <c r="AG3683" s="2">
        <v>9.14</v>
      </c>
      <c r="AH3683" s="2">
        <v>16</v>
      </c>
      <c r="AJ3683" s="2">
        <f t="shared" si="593"/>
        <v>0</v>
      </c>
      <c r="AK3683" s="2">
        <f t="shared" si="597"/>
        <v>3.8600000000000012</v>
      </c>
      <c r="AL3683" s="5">
        <f t="shared" si="598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2861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6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92"/>
        <v>0</v>
      </c>
      <c r="AG3684" s="2">
        <v>9.14</v>
      </c>
      <c r="AH3684" s="2">
        <v>16</v>
      </c>
      <c r="AJ3684" s="2">
        <f t="shared" si="593"/>
        <v>0</v>
      </c>
      <c r="AK3684" s="2">
        <f t="shared" si="597"/>
        <v>7.7200000000000024</v>
      </c>
      <c r="AL3684" s="5">
        <f t="shared" si="598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2">0.082*S3685</f>
        <v>82</v>
      </c>
      <c r="X3685" s="5">
        <f t="shared" si="596"/>
        <v>0.25454545454545452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92"/>
        <v>0</v>
      </c>
      <c r="AG3685" s="2">
        <v>8.1999999999999993</v>
      </c>
      <c r="AH3685" s="2">
        <v>13</v>
      </c>
      <c r="AJ3685" s="2">
        <f t="shared" si="593"/>
        <v>0</v>
      </c>
      <c r="AK3685" s="2">
        <f t="shared" si="597"/>
        <v>28</v>
      </c>
      <c r="AL3685" s="5">
        <f t="shared" si="598"/>
        <v>0.25454545454545452</v>
      </c>
    </row>
    <row r="3686" spans="1:38" x14ac:dyDescent="0.2">
      <c r="A3686" s="2">
        <v>2026</v>
      </c>
      <c r="B3686" s="2">
        <v>4</v>
      </c>
      <c r="C3686" s="2" t="s">
        <v>3467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2862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2"/>
        <v>82</v>
      </c>
      <c r="X3686" s="5">
        <f t="shared" si="596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92"/>
        <v>0</v>
      </c>
      <c r="AG3686" s="2">
        <v>8.1999999999999993</v>
      </c>
      <c r="AH3686" s="2">
        <v>13</v>
      </c>
      <c r="AJ3686" s="2">
        <f t="shared" si="593"/>
        <v>0</v>
      </c>
      <c r="AK3686" s="2">
        <f t="shared" si="597"/>
        <v>28</v>
      </c>
      <c r="AL3686" s="5">
        <f t="shared" si="598"/>
        <v>0.25454545454545452</v>
      </c>
    </row>
    <row r="3687" spans="1:38" x14ac:dyDescent="0.2">
      <c r="A3687" s="2">
        <v>2026</v>
      </c>
      <c r="B3687" s="2">
        <v>4</v>
      </c>
      <c r="C3687" s="2" t="s">
        <v>3442</v>
      </c>
      <c r="D3687" s="2" t="s">
        <v>1887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2"/>
        <v>41</v>
      </c>
      <c r="X3687" s="5">
        <f t="shared" si="596"/>
        <v>0.36923076923076925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92"/>
        <v>0</v>
      </c>
      <c r="AG3687" s="2">
        <v>8.1999999999999993</v>
      </c>
      <c r="AH3687" s="2">
        <v>13</v>
      </c>
      <c r="AJ3687" s="2">
        <f t="shared" si="593"/>
        <v>0</v>
      </c>
      <c r="AK3687" s="2">
        <f t="shared" si="597"/>
        <v>24</v>
      </c>
      <c r="AL3687" s="5">
        <f t="shared" si="598"/>
        <v>0.36923076923076925</v>
      </c>
    </row>
    <row r="3688" spans="1:38" x14ac:dyDescent="0.2">
      <c r="A3688" s="2">
        <v>2026</v>
      </c>
      <c r="B3688" s="2">
        <v>4</v>
      </c>
      <c r="C3688" s="2" t="s">
        <v>3467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2"/>
        <v>32.800000000000004</v>
      </c>
      <c r="X3688" s="5">
        <f t="shared" si="596"/>
        <v>0.36923076923076914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92"/>
        <v>0</v>
      </c>
      <c r="AG3688" s="2">
        <v>8.1999999999999993</v>
      </c>
      <c r="AH3688" s="2">
        <v>13</v>
      </c>
      <c r="AJ3688" s="2">
        <f t="shared" si="593"/>
        <v>0</v>
      </c>
      <c r="AK3688" s="2">
        <f t="shared" si="597"/>
        <v>19.199999999999996</v>
      </c>
      <c r="AL3688" s="5">
        <f t="shared" si="598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2"/>
        <v>82</v>
      </c>
      <c r="X3689" s="5">
        <f t="shared" si="596"/>
        <v>0.25454545454545452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92"/>
        <v>0</v>
      </c>
      <c r="AG3689" s="2">
        <v>8.1999999999999993</v>
      </c>
      <c r="AH3689" s="2">
        <v>13</v>
      </c>
      <c r="AJ3689" s="2">
        <f t="shared" si="593"/>
        <v>0</v>
      </c>
      <c r="AK3689" s="2">
        <f t="shared" si="597"/>
        <v>28</v>
      </c>
      <c r="AL3689" s="5">
        <f t="shared" si="598"/>
        <v>0.25454545454545452</v>
      </c>
    </row>
    <row r="3690" spans="1:38" x14ac:dyDescent="0.2">
      <c r="A3690" s="2">
        <v>2026</v>
      </c>
      <c r="B3690" s="2">
        <v>4</v>
      </c>
      <c r="C3690" s="2" t="s">
        <v>3317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2"/>
        <v>82</v>
      </c>
      <c r="X3690" s="5">
        <f t="shared" si="596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92"/>
        <v>0</v>
      </c>
      <c r="AG3690" s="2">
        <v>8.1999999999999993</v>
      </c>
      <c r="AH3690" s="2">
        <v>13</v>
      </c>
      <c r="AJ3690" s="2">
        <f t="shared" si="593"/>
        <v>0</v>
      </c>
      <c r="AK3690" s="2">
        <f t="shared" si="597"/>
        <v>28</v>
      </c>
      <c r="AL3690" s="5">
        <f t="shared" si="598"/>
        <v>0.25454545454545452</v>
      </c>
    </row>
    <row r="3691" spans="1:38" x14ac:dyDescent="0.2">
      <c r="A3691" s="2">
        <v>2026</v>
      </c>
      <c r="B3691" s="2">
        <v>4</v>
      </c>
      <c r="D3691" s="2" t="s">
        <v>1312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1313</v>
      </c>
      <c r="L3691" s="2" t="s">
        <v>177</v>
      </c>
      <c r="M3691" s="2" t="s">
        <v>41</v>
      </c>
      <c r="O3691" s="2" t="s">
        <v>2855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2"/>
        <v>16.400000000000002</v>
      </c>
      <c r="X3691" s="5">
        <f t="shared" si="596"/>
        <v>0.36923076923076914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92"/>
        <v>0</v>
      </c>
      <c r="AG3691" s="2">
        <v>8.1999999999999993</v>
      </c>
      <c r="AH3691" s="2">
        <v>13</v>
      </c>
      <c r="AJ3691" s="2">
        <f t="shared" si="593"/>
        <v>0</v>
      </c>
      <c r="AK3691" s="2">
        <f t="shared" si="597"/>
        <v>9.5999999999999979</v>
      </c>
      <c r="AL3691" s="5">
        <f t="shared" si="598"/>
        <v>0.36923076923076914</v>
      </c>
    </row>
    <row r="3692" spans="1:38" x14ac:dyDescent="0.2">
      <c r="A3692" s="2">
        <v>2026</v>
      </c>
      <c r="B3692" s="2">
        <v>4</v>
      </c>
      <c r="C3692" s="2" t="s">
        <v>3444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2849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6"/>
        <v>0.3471428571428572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92"/>
        <v>0</v>
      </c>
      <c r="AJ3692" s="2">
        <f t="shared" si="593"/>
        <v>0</v>
      </c>
      <c r="AK3692" s="2">
        <f t="shared" si="597"/>
        <v>24.300000000000004</v>
      </c>
      <c r="AL3692" s="5">
        <f t="shared" si="598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1554</v>
      </c>
      <c r="J3693" s="2" t="s">
        <v>2525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6"/>
        <v>0.34714285714285725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92"/>
        <v>0</v>
      </c>
      <c r="AJ3693" s="2">
        <f t="shared" si="593"/>
        <v>0</v>
      </c>
      <c r="AK3693" s="2">
        <f t="shared" si="597"/>
        <v>4.8600000000000012</v>
      </c>
      <c r="AL3693" s="5">
        <f t="shared" si="598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6"/>
        <v>0.67333333333333334</v>
      </c>
      <c r="Z3694" s="2" t="s">
        <v>3226</v>
      </c>
      <c r="AA3694" s="2" t="s">
        <v>46</v>
      </c>
      <c r="AB3694" s="2" t="s">
        <v>90</v>
      </c>
      <c r="AC3694" s="2" t="s">
        <v>57</v>
      </c>
      <c r="AF3694" s="2">
        <f t="shared" si="592"/>
        <v>0</v>
      </c>
      <c r="AJ3694" s="2">
        <f t="shared" si="593"/>
        <v>0</v>
      </c>
      <c r="AK3694" s="2">
        <f t="shared" si="597"/>
        <v>12.120000000000001</v>
      </c>
      <c r="AL3694" s="5">
        <f t="shared" si="598"/>
        <v>0.67333333333333334</v>
      </c>
    </row>
    <row r="3695" spans="1:38" x14ac:dyDescent="0.2">
      <c r="A3695" s="2">
        <v>2026</v>
      </c>
      <c r="B3695" s="2">
        <v>4</v>
      </c>
      <c r="C3695" s="2" t="s">
        <v>3444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2849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6"/>
        <v>0.61904761904761907</v>
      </c>
      <c r="Z3695" s="2" t="s">
        <v>3226</v>
      </c>
      <c r="AA3695" s="2" t="s">
        <v>46</v>
      </c>
      <c r="AB3695" s="2" t="s">
        <v>47</v>
      </c>
      <c r="AC3695" s="2" t="s">
        <v>57</v>
      </c>
      <c r="AF3695" s="2">
        <f t="shared" si="592"/>
        <v>0</v>
      </c>
      <c r="AJ3695" s="2">
        <f t="shared" si="593"/>
        <v>0</v>
      </c>
      <c r="AK3695" s="2">
        <f t="shared" si="597"/>
        <v>26</v>
      </c>
      <c r="AL3695" s="5">
        <f t="shared" si="598"/>
        <v>0.61904761904761907</v>
      </c>
    </row>
    <row r="3696" spans="1:38" x14ac:dyDescent="0.2">
      <c r="A3696" s="2">
        <v>2026</v>
      </c>
      <c r="B3696" s="2">
        <v>4</v>
      </c>
      <c r="C3696" s="2" t="s">
        <v>3444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6"/>
        <v>0.54166666666666663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92"/>
        <v>0</v>
      </c>
      <c r="AJ3696" s="2">
        <f t="shared" si="593"/>
        <v>0</v>
      </c>
      <c r="AK3696" s="2">
        <f t="shared" si="597"/>
        <v>26</v>
      </c>
      <c r="AL3696" s="5">
        <f t="shared" si="598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1554</v>
      </c>
      <c r="J3697" s="2" t="s">
        <v>2525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6"/>
        <v>0.62926666666666664</v>
      </c>
      <c r="Z3697" s="2" t="s">
        <v>3226</v>
      </c>
      <c r="AA3697" s="2" t="s">
        <v>46</v>
      </c>
      <c r="AB3697" s="2" t="s">
        <v>60</v>
      </c>
      <c r="AC3697" s="2" t="s">
        <v>57</v>
      </c>
      <c r="AF3697" s="2">
        <f t="shared" si="592"/>
        <v>0</v>
      </c>
      <c r="AG3697" s="2">
        <v>1.1122000000000001</v>
      </c>
      <c r="AH3697" s="2">
        <v>3</v>
      </c>
      <c r="AJ3697" s="2">
        <f t="shared" si="593"/>
        <v>0</v>
      </c>
      <c r="AK3697" s="2">
        <f t="shared" si="597"/>
        <v>15.102399999999999</v>
      </c>
      <c r="AL3697" s="5">
        <f t="shared" si="598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6"/>
        <v>0.5295333333333333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92"/>
        <v>0</v>
      </c>
      <c r="AG3698" s="2">
        <v>1.4114</v>
      </c>
      <c r="AH3698" s="2">
        <v>3</v>
      </c>
      <c r="AJ3698" s="2">
        <f t="shared" si="593"/>
        <v>0</v>
      </c>
      <c r="AK3698" s="2">
        <f t="shared" si="597"/>
        <v>63.543999999999997</v>
      </c>
      <c r="AL3698" s="5">
        <f t="shared" si="598"/>
        <v>0.5295333333333333</v>
      </c>
    </row>
    <row r="3699" spans="1:38" x14ac:dyDescent="0.2">
      <c r="A3699" s="2">
        <v>2026</v>
      </c>
      <c r="B3699" s="2">
        <v>4</v>
      </c>
      <c r="D3699" s="2" t="s">
        <v>2521</v>
      </c>
      <c r="P3699" s="2" t="s">
        <v>43</v>
      </c>
      <c r="Q3699" s="2" t="s">
        <v>2378</v>
      </c>
      <c r="R3699" s="2" t="s">
        <v>2379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3226</v>
      </c>
      <c r="AA3699" s="2" t="s">
        <v>46</v>
      </c>
      <c r="AB3699" s="2" t="s">
        <v>90</v>
      </c>
      <c r="AC3699" s="2" t="s">
        <v>57</v>
      </c>
      <c r="AF3699" s="2">
        <f t="shared" si="592"/>
        <v>0</v>
      </c>
      <c r="AJ3699" s="2">
        <f t="shared" si="593"/>
        <v>0</v>
      </c>
      <c r="AK3699" s="2">
        <f t="shared" si="597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2863</v>
      </c>
      <c r="P3700" s="2" t="s">
        <v>43</v>
      </c>
      <c r="Q3700" s="2" t="s">
        <v>2864</v>
      </c>
      <c r="R3700" s="2" t="s">
        <v>2865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3">(T3700-W3700)/T3700</f>
        <v>0.25811111111111118</v>
      </c>
      <c r="Z3700" s="2" t="s">
        <v>3226</v>
      </c>
      <c r="AA3700" s="2" t="s">
        <v>46</v>
      </c>
      <c r="AB3700" s="2" t="s">
        <v>67</v>
      </c>
      <c r="AC3700" s="2" t="s">
        <v>57</v>
      </c>
      <c r="AF3700" s="2">
        <f t="shared" si="592"/>
        <v>0</v>
      </c>
      <c r="AG3700" s="2">
        <v>16.692499999999999</v>
      </c>
      <c r="AH3700" s="2">
        <v>27.6</v>
      </c>
      <c r="AJ3700" s="2">
        <f t="shared" si="593"/>
        <v>0</v>
      </c>
      <c r="AK3700" s="2">
        <f t="shared" ref="AK3700:AK3716" si="604">T3700-W3700</f>
        <v>11.615000000000002</v>
      </c>
      <c r="AL3700" s="5">
        <f t="shared" ref="AL3700:AL3715" si="605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3444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2849</v>
      </c>
      <c r="P3701" s="2" t="s">
        <v>43</v>
      </c>
      <c r="Q3701" s="2" t="s">
        <v>2864</v>
      </c>
      <c r="R3701" s="2" t="s">
        <v>2865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3"/>
        <v>0.27423913043478265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92"/>
        <v>0</v>
      </c>
      <c r="AG3701" s="2">
        <v>16.692499999999999</v>
      </c>
      <c r="AH3701" s="2">
        <v>27.6</v>
      </c>
      <c r="AJ3701" s="2">
        <f t="shared" si="593"/>
        <v>0</v>
      </c>
      <c r="AK3701" s="2">
        <f t="shared" si="604"/>
        <v>6.307500000000001</v>
      </c>
      <c r="AL3701" s="5">
        <f t="shared" si="605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2866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3"/>
        <v>0.20122173913043473</v>
      </c>
      <c r="Z3702" s="2" t="s">
        <v>3226</v>
      </c>
      <c r="AA3702" s="2" t="s">
        <v>46</v>
      </c>
      <c r="AB3702" s="2" t="s">
        <v>60</v>
      </c>
      <c r="AC3702" s="2" t="s">
        <v>57</v>
      </c>
      <c r="AF3702" s="2">
        <f t="shared" si="592"/>
        <v>0</v>
      </c>
      <c r="AJ3702" s="2">
        <f t="shared" si="593"/>
        <v>0</v>
      </c>
      <c r="AK3702" s="2">
        <f t="shared" si="604"/>
        <v>111.07439999999997</v>
      </c>
      <c r="AL3702" s="5">
        <f t="shared" si="605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3"/>
        <v>0.17677391304347828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92"/>
        <v>0</v>
      </c>
      <c r="AJ3703" s="2">
        <f t="shared" si="593"/>
        <v>0</v>
      </c>
      <c r="AK3703" s="2">
        <f t="shared" si="604"/>
        <v>97.579200000000014</v>
      </c>
      <c r="AL3703" s="5">
        <f t="shared" si="605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3"/>
        <v>0.46722222222222226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92"/>
        <v>0</v>
      </c>
      <c r="AJ3704" s="2">
        <f t="shared" si="593"/>
        <v>0</v>
      </c>
      <c r="AK3704" s="2">
        <f t="shared" si="604"/>
        <v>6.7280000000000006</v>
      </c>
      <c r="AL3704" s="5">
        <f t="shared" si="605"/>
        <v>0.46722222222222226</v>
      </c>
    </row>
    <row r="3705" spans="1:38" x14ac:dyDescent="0.2">
      <c r="A3705" s="2">
        <v>2026</v>
      </c>
      <c r="B3705" s="2">
        <v>4</v>
      </c>
      <c r="C3705" s="2" t="s">
        <v>3442</v>
      </c>
      <c r="D3705" s="2" t="s">
        <v>1887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3"/>
        <v>0.46925333333333336</v>
      </c>
      <c r="Z3705" s="2" t="s">
        <v>3226</v>
      </c>
      <c r="AA3705" s="2" t="s">
        <v>46</v>
      </c>
      <c r="AB3705" s="2" t="s">
        <v>67</v>
      </c>
      <c r="AC3705" s="2" t="s">
        <v>57</v>
      </c>
      <c r="AF3705" s="2">
        <f t="shared" si="592"/>
        <v>0</v>
      </c>
      <c r="AG3705" s="2">
        <v>7.9611999999999998</v>
      </c>
      <c r="AH3705" s="2">
        <v>14.4</v>
      </c>
      <c r="AJ3705" s="2">
        <f t="shared" si="593"/>
        <v>0</v>
      </c>
      <c r="AK3705" s="2">
        <f t="shared" si="604"/>
        <v>28.155200000000001</v>
      </c>
      <c r="AL3705" s="5">
        <f t="shared" si="605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6">15.0203*S3706</f>
        <v>15.020300000000001</v>
      </c>
      <c r="X3706" s="5">
        <f t="shared" si="603"/>
        <v>0.45578623188405798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92"/>
        <v>0</v>
      </c>
      <c r="AG3706" s="2">
        <v>15.020300000000001</v>
      </c>
      <c r="AH3706" s="2">
        <v>27.6</v>
      </c>
      <c r="AJ3706" s="2">
        <f t="shared" si="593"/>
        <v>0</v>
      </c>
      <c r="AK3706" s="2">
        <f t="shared" si="604"/>
        <v>12.579700000000001</v>
      </c>
      <c r="AL3706" s="5">
        <f t="shared" si="605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6"/>
        <v>45.060900000000004</v>
      </c>
      <c r="X3707" s="5">
        <f t="shared" si="603"/>
        <v>0.37415416666666662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92"/>
        <v>0</v>
      </c>
      <c r="AG3707" s="2">
        <v>15.020300000000001</v>
      </c>
      <c r="AH3707" s="2">
        <v>27.6</v>
      </c>
      <c r="AJ3707" s="2">
        <f t="shared" si="593"/>
        <v>0</v>
      </c>
      <c r="AK3707" s="2">
        <f t="shared" si="604"/>
        <v>26.939099999999996</v>
      </c>
      <c r="AL3707" s="5">
        <f t="shared" si="605"/>
        <v>0.37415416666666662</v>
      </c>
    </row>
    <row r="3708" spans="1:38" x14ac:dyDescent="0.2">
      <c r="A3708" s="2">
        <v>2026</v>
      </c>
      <c r="B3708" s="2">
        <v>4</v>
      </c>
      <c r="C3708" s="2" t="s">
        <v>3444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6"/>
        <v>15.020300000000001</v>
      </c>
      <c r="X3708" s="5">
        <f t="shared" si="603"/>
        <v>0.45578623188405798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92"/>
        <v>0</v>
      </c>
      <c r="AG3708" s="2">
        <v>15.020300000000001</v>
      </c>
      <c r="AH3708" s="2">
        <v>27.6</v>
      </c>
      <c r="AJ3708" s="2">
        <f t="shared" si="593"/>
        <v>0</v>
      </c>
      <c r="AK3708" s="2">
        <f t="shared" si="604"/>
        <v>12.579700000000001</v>
      </c>
      <c r="AL3708" s="5">
        <f t="shared" si="605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6"/>
        <v>150.203</v>
      </c>
      <c r="X3709" s="5">
        <f t="shared" si="603"/>
        <v>0.30138139534883718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92"/>
        <v>0</v>
      </c>
      <c r="AG3709" s="2">
        <v>15.020300000000001</v>
      </c>
      <c r="AH3709" s="2">
        <v>27.6</v>
      </c>
      <c r="AJ3709" s="2">
        <f t="shared" si="593"/>
        <v>0</v>
      </c>
      <c r="AK3709" s="2">
        <f t="shared" si="604"/>
        <v>64.796999999999997</v>
      </c>
      <c r="AL3709" s="5">
        <f t="shared" si="605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2867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6"/>
        <v>15.020300000000001</v>
      </c>
      <c r="X3710" s="5">
        <f t="shared" si="603"/>
        <v>0.45578623188405798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92"/>
        <v>0</v>
      </c>
      <c r="AG3710" s="2">
        <v>15.020300000000001</v>
      </c>
      <c r="AH3710" s="2">
        <v>27.6</v>
      </c>
      <c r="AJ3710" s="2">
        <f t="shared" si="593"/>
        <v>0</v>
      </c>
      <c r="AK3710" s="2">
        <f t="shared" si="604"/>
        <v>12.579700000000001</v>
      </c>
      <c r="AL3710" s="5">
        <f t="shared" si="605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6"/>
        <v>600.81200000000001</v>
      </c>
      <c r="X3711" s="5">
        <f t="shared" si="603"/>
        <v>0.28474761904761903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92"/>
        <v>0</v>
      </c>
      <c r="AG3711" s="2">
        <v>15.020300000000001</v>
      </c>
      <c r="AH3711" s="2">
        <v>27.6</v>
      </c>
      <c r="AJ3711" s="2">
        <f t="shared" si="593"/>
        <v>0</v>
      </c>
      <c r="AK3711" s="2">
        <f t="shared" si="604"/>
        <v>239.18799999999999</v>
      </c>
      <c r="AL3711" s="5">
        <f t="shared" si="605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3"/>
        <v>0.40610714285714283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92"/>
        <v>0</v>
      </c>
      <c r="AG3712" s="2">
        <v>8.3145000000000007</v>
      </c>
      <c r="AH3712" s="2">
        <v>15</v>
      </c>
      <c r="AJ3712" s="2">
        <f t="shared" si="593"/>
        <v>0</v>
      </c>
      <c r="AK3712" s="2">
        <f t="shared" si="604"/>
        <v>11.370999999999999</v>
      </c>
      <c r="AL3712" s="5">
        <f t="shared" si="605"/>
        <v>0.40610714285714283</v>
      </c>
    </row>
    <row r="3713" spans="1:38" x14ac:dyDescent="0.2">
      <c r="A3713" s="2">
        <v>2026</v>
      </c>
      <c r="B3713" s="2">
        <v>4</v>
      </c>
      <c r="D3713" s="2" t="s">
        <v>2516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2517</v>
      </c>
      <c r="J3713" s="2" t="s">
        <v>2518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3"/>
        <v>0.44569999999999993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ref="AF3713:AF3776" si="607">AJ3713</f>
        <v>0</v>
      </c>
      <c r="AG3713" s="2">
        <v>8.3145000000000007</v>
      </c>
      <c r="AH3713" s="2">
        <v>15</v>
      </c>
      <c r="AJ3713" s="2">
        <f t="shared" ref="AJ3713:AJ3776" si="608">AI3713*T3713</f>
        <v>0</v>
      </c>
      <c r="AK3713" s="2">
        <f t="shared" si="604"/>
        <v>6.6854999999999993</v>
      </c>
      <c r="AL3713" s="5">
        <f t="shared" si="605"/>
        <v>0.44569999999999993</v>
      </c>
    </row>
    <row r="3714" spans="1:38" x14ac:dyDescent="0.2">
      <c r="A3714" s="2">
        <v>2026</v>
      </c>
      <c r="B3714" s="2">
        <v>4</v>
      </c>
      <c r="C3714" s="2" t="s">
        <v>3442</v>
      </c>
      <c r="D3714" s="2" t="s">
        <v>1887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2868</v>
      </c>
      <c r="P3714" s="2" t="s">
        <v>43</v>
      </c>
      <c r="Q3714" s="2" t="s">
        <v>2869</v>
      </c>
      <c r="R3714" s="2" t="s">
        <v>2870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3"/>
        <v>0.40366666666666667</v>
      </c>
      <c r="Z3714" s="2" t="s">
        <v>3226</v>
      </c>
      <c r="AA3714" s="2" t="s">
        <v>46</v>
      </c>
      <c r="AB3714" s="2" t="s">
        <v>90</v>
      </c>
      <c r="AC3714" s="2" t="s">
        <v>57</v>
      </c>
      <c r="AF3714" s="2">
        <f t="shared" si="607"/>
        <v>0</v>
      </c>
      <c r="AG3714" s="2">
        <v>35.78</v>
      </c>
      <c r="AH3714" s="2">
        <v>63.6</v>
      </c>
      <c r="AJ3714" s="2">
        <f t="shared" si="608"/>
        <v>0</v>
      </c>
      <c r="AK3714" s="2">
        <f t="shared" si="604"/>
        <v>24.22</v>
      </c>
      <c r="AL3714" s="5">
        <f t="shared" si="605"/>
        <v>0.40366666666666667</v>
      </c>
    </row>
    <row r="3715" spans="1:38" x14ac:dyDescent="0.2">
      <c r="A3715" s="2">
        <v>2026</v>
      </c>
      <c r="B3715" s="2">
        <v>4</v>
      </c>
      <c r="C3715" s="2" t="s">
        <v>3317</v>
      </c>
      <c r="D3715" s="2" t="s">
        <v>1162</v>
      </c>
      <c r="E3715" s="2" t="s">
        <v>752</v>
      </c>
      <c r="F3715" s="2" t="s">
        <v>1217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3229</v>
      </c>
      <c r="Q3715" s="2" t="s">
        <v>2871</v>
      </c>
      <c r="R3715" s="2" t="s">
        <v>2872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3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3229</v>
      </c>
      <c r="AF3715" s="2">
        <f t="shared" si="607"/>
        <v>0</v>
      </c>
      <c r="AJ3715" s="2">
        <f t="shared" si="608"/>
        <v>0</v>
      </c>
      <c r="AK3715" s="2">
        <f t="shared" si="604"/>
        <v>7073.38</v>
      </c>
      <c r="AL3715" s="5">
        <f t="shared" si="605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2873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3226</v>
      </c>
      <c r="AA3716" s="2" t="s">
        <v>75</v>
      </c>
      <c r="AB3716" s="2" t="s">
        <v>76</v>
      </c>
      <c r="AC3716" s="2" t="s">
        <v>40</v>
      </c>
      <c r="AF3716" s="2">
        <f t="shared" si="607"/>
        <v>0</v>
      </c>
      <c r="AJ3716" s="2">
        <f t="shared" si="608"/>
        <v>0</v>
      </c>
      <c r="AK3716" s="2">
        <f t="shared" si="604"/>
        <v>-291.39</v>
      </c>
      <c r="AL3716" s="18">
        <f t="shared" ref="AL3716" si="609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1987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10">(T3717-W3717)/T3717</f>
        <v>0.42947272727272723</v>
      </c>
      <c r="Z3717" s="2" t="s">
        <v>3226</v>
      </c>
      <c r="AA3717" s="2" t="s">
        <v>75</v>
      </c>
      <c r="AB3717" s="2" t="s">
        <v>76</v>
      </c>
      <c r="AC3717" s="2" t="s">
        <v>77</v>
      </c>
      <c r="AF3717" s="2">
        <f t="shared" si="607"/>
        <v>0</v>
      </c>
      <c r="AG3717" s="2">
        <v>125.51600000000001</v>
      </c>
      <c r="AH3717" s="2">
        <v>220</v>
      </c>
      <c r="AJ3717" s="2">
        <f t="shared" si="608"/>
        <v>0</v>
      </c>
      <c r="AK3717" s="2">
        <f t="shared" ref="AK3717:AK3742" si="611">T3717-W3717</f>
        <v>94.483999999999995</v>
      </c>
      <c r="AL3717" s="5">
        <f t="shared" ref="AL3717:AL3741" si="612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10"/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7"/>
        <v>0</v>
      </c>
      <c r="AG3718" s="2">
        <v>125.51600000000001</v>
      </c>
      <c r="AH3718" s="2">
        <v>220</v>
      </c>
      <c r="AJ3718" s="2">
        <f t="shared" si="608"/>
        <v>0</v>
      </c>
      <c r="AK3718" s="2">
        <f t="shared" si="611"/>
        <v>94.483999999999995</v>
      </c>
      <c r="AL3718" s="5">
        <f t="shared" si="612"/>
        <v>0.42947272727272723</v>
      </c>
    </row>
    <row r="3719" spans="1:38" x14ac:dyDescent="0.2">
      <c r="A3719" s="2">
        <v>2026</v>
      </c>
      <c r="B3719" s="2">
        <v>4</v>
      </c>
      <c r="C3719" s="2" t="s">
        <v>3444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10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7"/>
        <v>0</v>
      </c>
      <c r="AG3719" s="2">
        <v>125.51600000000001</v>
      </c>
      <c r="AH3719" s="2">
        <v>220</v>
      </c>
      <c r="AJ3719" s="2">
        <f t="shared" si="608"/>
        <v>0</v>
      </c>
      <c r="AK3719" s="2">
        <f t="shared" si="611"/>
        <v>94.483999999999995</v>
      </c>
      <c r="AL3719" s="5">
        <f t="shared" si="612"/>
        <v>0.42947272727272723</v>
      </c>
    </row>
    <row r="3720" spans="1:38" x14ac:dyDescent="0.2">
      <c r="A3720" s="2">
        <v>2026</v>
      </c>
      <c r="B3720" s="2">
        <v>4</v>
      </c>
      <c r="C3720" s="2" t="s">
        <v>3317</v>
      </c>
      <c r="D3720" s="2" t="s">
        <v>1256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2565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10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7"/>
        <v>0</v>
      </c>
      <c r="AG3720" s="2">
        <v>125.51600000000001</v>
      </c>
      <c r="AH3720" s="2">
        <v>220</v>
      </c>
      <c r="AJ3720" s="2">
        <f t="shared" si="608"/>
        <v>0</v>
      </c>
      <c r="AK3720" s="2">
        <f t="shared" si="611"/>
        <v>94.483999999999995</v>
      </c>
      <c r="AL3720" s="5">
        <f t="shared" si="612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2874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10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7"/>
        <v>0</v>
      </c>
      <c r="AG3721" s="2">
        <v>125.51600000000001</v>
      </c>
      <c r="AH3721" s="2">
        <v>220</v>
      </c>
      <c r="AJ3721" s="2">
        <f t="shared" si="608"/>
        <v>0</v>
      </c>
      <c r="AK3721" s="2">
        <f t="shared" si="611"/>
        <v>188.96799999999999</v>
      </c>
      <c r="AL3721" s="5">
        <f t="shared" si="612"/>
        <v>0.42947272727272723</v>
      </c>
    </row>
    <row r="3722" spans="1:38" x14ac:dyDescent="0.2">
      <c r="A3722" s="2">
        <v>2026</v>
      </c>
      <c r="B3722" s="2">
        <v>4</v>
      </c>
      <c r="C3722" s="2" t="s">
        <v>3442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10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7"/>
        <v>0</v>
      </c>
      <c r="AG3722" s="2">
        <v>125.51600000000001</v>
      </c>
      <c r="AH3722" s="2">
        <v>220</v>
      </c>
      <c r="AJ3722" s="2">
        <f t="shared" si="608"/>
        <v>0</v>
      </c>
      <c r="AK3722" s="2">
        <f t="shared" si="611"/>
        <v>94.483999999999995</v>
      </c>
      <c r="AL3722" s="5">
        <f t="shared" si="612"/>
        <v>0.42947272727272723</v>
      </c>
    </row>
    <row r="3723" spans="1:38" x14ac:dyDescent="0.2">
      <c r="A3723" s="2">
        <v>2026</v>
      </c>
      <c r="B3723" s="2">
        <v>4</v>
      </c>
      <c r="D3723" s="2" t="s">
        <v>1295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1296</v>
      </c>
      <c r="L3723" s="2" t="s">
        <v>339</v>
      </c>
      <c r="M3723" s="2" t="s">
        <v>80</v>
      </c>
      <c r="O3723" s="2" t="s">
        <v>2875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10"/>
        <v>0.41182755388940956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7"/>
        <v>0</v>
      </c>
      <c r="AG3723" s="2">
        <v>125.51600000000001</v>
      </c>
      <c r="AH3723" s="2">
        <v>220</v>
      </c>
      <c r="AJ3723" s="2">
        <f t="shared" si="608"/>
        <v>0</v>
      </c>
      <c r="AK3723" s="2">
        <f t="shared" si="611"/>
        <v>87.884</v>
      </c>
      <c r="AL3723" s="5">
        <f t="shared" si="612"/>
        <v>0.41182755388940956</v>
      </c>
    </row>
    <row r="3724" spans="1:38" x14ac:dyDescent="0.2">
      <c r="A3724" s="2">
        <v>2026</v>
      </c>
      <c r="B3724" s="2">
        <v>4</v>
      </c>
      <c r="D3724" s="2" t="s">
        <v>1955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10"/>
        <v>0.42947272727272723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7"/>
        <v>0</v>
      </c>
      <c r="AG3724" s="2">
        <v>125.51600000000001</v>
      </c>
      <c r="AH3724" s="2">
        <v>220</v>
      </c>
      <c r="AJ3724" s="2">
        <f t="shared" si="608"/>
        <v>0</v>
      </c>
      <c r="AK3724" s="2">
        <f t="shared" si="611"/>
        <v>94.483999999999995</v>
      </c>
      <c r="AL3724" s="5">
        <f t="shared" si="612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2876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10"/>
        <v>0.52504545454545459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7"/>
        <v>0</v>
      </c>
      <c r="AG3725" s="2">
        <v>104.49</v>
      </c>
      <c r="AH3725" s="2">
        <v>220</v>
      </c>
      <c r="AJ3725" s="2">
        <f t="shared" si="608"/>
        <v>0</v>
      </c>
      <c r="AK3725" s="2">
        <f t="shared" si="611"/>
        <v>115.51</v>
      </c>
      <c r="AL3725" s="5">
        <f t="shared" si="612"/>
        <v>0.52504545454545459</v>
      </c>
    </row>
    <row r="3726" spans="1:38" x14ac:dyDescent="0.2">
      <c r="A3726" s="2">
        <v>2026</v>
      </c>
      <c r="B3726" s="2">
        <v>4</v>
      </c>
      <c r="D3726" s="2" t="s">
        <v>2877</v>
      </c>
      <c r="M3726" s="2" t="s">
        <v>41</v>
      </c>
      <c r="P3726" s="2" t="s">
        <v>72</v>
      </c>
      <c r="Q3726" s="2" t="s">
        <v>2878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10"/>
        <v>0.47704545454545455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7"/>
        <v>0</v>
      </c>
      <c r="AG3726" s="2">
        <v>115.05</v>
      </c>
      <c r="AJ3726" s="2">
        <f t="shared" si="608"/>
        <v>0</v>
      </c>
      <c r="AK3726" s="2">
        <f t="shared" si="611"/>
        <v>104.95</v>
      </c>
      <c r="AL3726" s="5">
        <f t="shared" si="612"/>
        <v>0.47704545454545455</v>
      </c>
    </row>
    <row r="3727" spans="1:38" x14ac:dyDescent="0.2">
      <c r="A3727" s="2">
        <v>2026</v>
      </c>
      <c r="B3727" s="2">
        <v>4</v>
      </c>
      <c r="D3727" s="2" t="s">
        <v>1419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1272</v>
      </c>
      <c r="J3727" s="2" t="s">
        <v>2394</v>
      </c>
      <c r="L3727" s="2" t="s">
        <v>177</v>
      </c>
      <c r="M3727" s="2" t="s">
        <v>41</v>
      </c>
      <c r="O3727" s="2" t="s">
        <v>2879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10"/>
        <v>0.37426086956521742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7"/>
        <v>0</v>
      </c>
      <c r="AG3727" s="2">
        <v>143.91999999999999</v>
      </c>
      <c r="AJ3727" s="2">
        <f t="shared" si="608"/>
        <v>0</v>
      </c>
      <c r="AK3727" s="2">
        <f t="shared" si="611"/>
        <v>86.080000000000013</v>
      </c>
      <c r="AL3727" s="5">
        <f t="shared" si="612"/>
        <v>0.37426086956521742</v>
      </c>
    </row>
    <row r="3728" spans="1:38" x14ac:dyDescent="0.2">
      <c r="A3728" s="2">
        <v>2026</v>
      </c>
      <c r="B3728" s="2">
        <v>4</v>
      </c>
      <c r="D3728" s="2" t="s">
        <v>2880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10"/>
        <v>0.39365217391304347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7"/>
        <v>0</v>
      </c>
      <c r="AJ3728" s="2">
        <f t="shared" si="608"/>
        <v>0</v>
      </c>
      <c r="AK3728" s="2">
        <f t="shared" si="611"/>
        <v>90.539999999999992</v>
      </c>
      <c r="AL3728" s="5">
        <f t="shared" si="612"/>
        <v>0.39365217391304347</v>
      </c>
    </row>
    <row r="3729" spans="1:38" x14ac:dyDescent="0.2">
      <c r="A3729" s="2">
        <v>2026</v>
      </c>
      <c r="B3729" s="2">
        <v>4</v>
      </c>
      <c r="C3729" s="2" t="s">
        <v>3467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10"/>
        <v>0.41681818181818175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7"/>
        <v>0</v>
      </c>
      <c r="AJ3729" s="2">
        <f t="shared" si="608"/>
        <v>0</v>
      </c>
      <c r="AK3729" s="2">
        <f t="shared" si="611"/>
        <v>91.699999999999989</v>
      </c>
      <c r="AL3729" s="5">
        <f t="shared" si="612"/>
        <v>0.41681818181818175</v>
      </c>
    </row>
    <row r="3730" spans="1:38" x14ac:dyDescent="0.2">
      <c r="A3730" s="2">
        <v>2026</v>
      </c>
      <c r="B3730" s="2">
        <v>4</v>
      </c>
      <c r="D3730" s="2" t="s">
        <v>1295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1296</v>
      </c>
      <c r="L3730" s="2" t="s">
        <v>339</v>
      </c>
      <c r="M3730" s="2" t="s">
        <v>80</v>
      </c>
      <c r="O3730" s="2" t="s">
        <v>2881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10"/>
        <v>0.38559155621011287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7"/>
        <v>0</v>
      </c>
      <c r="AG3730" s="2">
        <v>105.59</v>
      </c>
      <c r="AJ3730" s="2">
        <f t="shared" si="608"/>
        <v>0</v>
      </c>
      <c r="AK3730" s="2">
        <f t="shared" si="611"/>
        <v>78.544999999999987</v>
      </c>
      <c r="AL3730" s="5">
        <f t="shared" si="612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2882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10"/>
        <v>0.4575909090909091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7"/>
        <v>0</v>
      </c>
      <c r="AG3731" s="2">
        <v>119.33</v>
      </c>
      <c r="AH3731" s="2">
        <v>220</v>
      </c>
      <c r="AJ3731" s="2">
        <f t="shared" si="608"/>
        <v>0</v>
      </c>
      <c r="AK3731" s="2">
        <f t="shared" si="611"/>
        <v>100.67</v>
      </c>
      <c r="AL3731" s="5">
        <f t="shared" si="612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2883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10"/>
        <v>0.48486363636363639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7"/>
        <v>0</v>
      </c>
      <c r="AG3732" s="2">
        <v>113.33</v>
      </c>
      <c r="AH3732" s="2">
        <v>220</v>
      </c>
      <c r="AJ3732" s="2">
        <f t="shared" si="608"/>
        <v>0</v>
      </c>
      <c r="AK3732" s="2">
        <f t="shared" si="611"/>
        <v>106.67</v>
      </c>
      <c r="AL3732" s="5">
        <f t="shared" si="612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10"/>
        <v>0.44006916996047435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7"/>
        <v>0</v>
      </c>
      <c r="AG3733" s="2">
        <v>113.33</v>
      </c>
      <c r="AH3733" s="2">
        <v>220</v>
      </c>
      <c r="AJ3733" s="2">
        <f t="shared" si="608"/>
        <v>0</v>
      </c>
      <c r="AK3733" s="2">
        <f t="shared" si="611"/>
        <v>89.070000000000007</v>
      </c>
      <c r="AL3733" s="5">
        <f t="shared" si="612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2884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10"/>
        <v>0.49099999999999999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7"/>
        <v>0</v>
      </c>
      <c r="AG3734" s="2">
        <v>111.98</v>
      </c>
      <c r="AH3734" s="2">
        <v>210</v>
      </c>
      <c r="AJ3734" s="2">
        <f t="shared" si="608"/>
        <v>0</v>
      </c>
      <c r="AK3734" s="2">
        <f t="shared" si="611"/>
        <v>108.02</v>
      </c>
      <c r="AL3734" s="5">
        <f t="shared" si="612"/>
        <v>0.49099999999999999</v>
      </c>
    </row>
    <row r="3735" spans="1:38" x14ac:dyDescent="0.2">
      <c r="A3735" s="2">
        <v>2026</v>
      </c>
      <c r="B3735" s="2">
        <v>4</v>
      </c>
      <c r="D3735" s="2" t="s">
        <v>2559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10"/>
        <v>0.37336666666666662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7"/>
        <v>0</v>
      </c>
      <c r="AG3735" s="2">
        <v>187.99</v>
      </c>
      <c r="AJ3735" s="2">
        <f t="shared" si="608"/>
        <v>0</v>
      </c>
      <c r="AK3735" s="2">
        <f t="shared" si="611"/>
        <v>112.00999999999999</v>
      </c>
      <c r="AL3735" s="5">
        <f t="shared" si="612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2885</v>
      </c>
      <c r="P3736" s="2" t="s">
        <v>1038</v>
      </c>
      <c r="Q3736" s="2" t="s">
        <v>2886</v>
      </c>
      <c r="R3736" s="2" t="s">
        <v>2887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10"/>
        <v>0.49359999999999998</v>
      </c>
      <c r="Z3736" s="2" t="s">
        <v>3226</v>
      </c>
      <c r="AA3736" s="2" t="s">
        <v>75</v>
      </c>
      <c r="AB3736" s="2" t="s">
        <v>76</v>
      </c>
      <c r="AC3736" s="2" t="s">
        <v>1038</v>
      </c>
      <c r="AF3736" s="2">
        <f t="shared" si="607"/>
        <v>0</v>
      </c>
      <c r="AJ3736" s="2">
        <f t="shared" si="608"/>
        <v>0</v>
      </c>
      <c r="AK3736" s="2">
        <f t="shared" si="611"/>
        <v>172.76</v>
      </c>
      <c r="AL3736" s="5">
        <f t="shared" si="612"/>
        <v>0.49359999999999998</v>
      </c>
    </row>
    <row r="3737" spans="1:38" x14ac:dyDescent="0.2">
      <c r="A3737" s="2">
        <v>2026</v>
      </c>
      <c r="B3737" s="2">
        <v>4</v>
      </c>
      <c r="D3737" s="2" t="s">
        <v>1295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1296</v>
      </c>
      <c r="L3737" s="2" t="s">
        <v>339</v>
      </c>
      <c r="M3737" s="2" t="s">
        <v>80</v>
      </c>
      <c r="O3737" s="2" t="s">
        <v>2888</v>
      </c>
      <c r="P3737" s="2" t="s">
        <v>1038</v>
      </c>
      <c r="Q3737" s="2" t="s">
        <v>2889</v>
      </c>
      <c r="R3737" s="2" t="s">
        <v>2890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10"/>
        <v>0.33851921274601693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7"/>
        <v>0</v>
      </c>
      <c r="AG3737" s="2">
        <v>141.16</v>
      </c>
      <c r="AJ3737" s="2">
        <f t="shared" si="608"/>
        <v>0</v>
      </c>
      <c r="AK3737" s="2">
        <f t="shared" si="611"/>
        <v>72.240000000000009</v>
      </c>
      <c r="AL3737" s="5">
        <f t="shared" si="612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3156</v>
      </c>
      <c r="L3738" s="2" t="s">
        <v>112</v>
      </c>
      <c r="M3738" s="2" t="s">
        <v>80</v>
      </c>
      <c r="O3738" s="2" t="s">
        <v>3158</v>
      </c>
      <c r="P3738" s="2" t="s">
        <v>1038</v>
      </c>
      <c r="Q3738" s="2" t="s">
        <v>2891</v>
      </c>
      <c r="R3738" s="2" t="s">
        <v>2892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10"/>
        <v>0.45652173913043476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7"/>
        <v>0</v>
      </c>
      <c r="AG3738" s="2">
        <v>115</v>
      </c>
      <c r="AJ3738" s="2">
        <f t="shared" si="608"/>
        <v>0</v>
      </c>
      <c r="AK3738" s="2">
        <f t="shared" si="611"/>
        <v>483</v>
      </c>
      <c r="AL3738" s="5">
        <f t="shared" si="612"/>
        <v>0.45652173913043476</v>
      </c>
    </row>
    <row r="3739" spans="1:38" x14ac:dyDescent="0.2">
      <c r="A3739" s="2">
        <v>2026</v>
      </c>
      <c r="B3739" s="2">
        <v>4</v>
      </c>
      <c r="D3739" s="2" t="s">
        <v>2526</v>
      </c>
      <c r="G3739" s="2">
        <v>503687014</v>
      </c>
      <c r="L3739" s="2" t="s">
        <v>133</v>
      </c>
      <c r="M3739" s="2" t="s">
        <v>109</v>
      </c>
      <c r="O3739" s="2" t="s">
        <v>3157</v>
      </c>
      <c r="P3739" s="2" t="s">
        <v>1038</v>
      </c>
      <c r="Q3739" s="2" t="s">
        <v>2891</v>
      </c>
      <c r="R3739" s="2" t="s">
        <v>2892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10"/>
        <v>0.47727272727272729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7"/>
        <v>0</v>
      </c>
      <c r="AG3739" s="2">
        <v>115</v>
      </c>
      <c r="AJ3739" s="2">
        <f t="shared" si="608"/>
        <v>0</v>
      </c>
      <c r="AK3739" s="2">
        <f t="shared" si="611"/>
        <v>105</v>
      </c>
      <c r="AL3739" s="5">
        <f t="shared" si="612"/>
        <v>0.47727272727272729</v>
      </c>
    </row>
    <row r="3740" spans="1:38" x14ac:dyDescent="0.2">
      <c r="A3740" s="2">
        <v>2026</v>
      </c>
      <c r="B3740" s="2">
        <v>4</v>
      </c>
      <c r="D3740" s="2" t="s">
        <v>2559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3162</v>
      </c>
      <c r="P3740" s="2" t="s">
        <v>1038</v>
      </c>
      <c r="Q3740" s="2" t="s">
        <v>2893</v>
      </c>
      <c r="R3740" s="2" t="s">
        <v>2894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10"/>
        <v>0.45994871794871794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7"/>
        <v>0</v>
      </c>
      <c r="AJ3740" s="2">
        <f t="shared" si="608"/>
        <v>0</v>
      </c>
      <c r="AK3740" s="2">
        <f t="shared" si="611"/>
        <v>179.38</v>
      </c>
      <c r="AL3740" s="5">
        <f t="shared" si="612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2895</v>
      </c>
      <c r="P3741" s="2" t="s">
        <v>1038</v>
      </c>
      <c r="Q3741" s="2" t="s">
        <v>2739</v>
      </c>
      <c r="R3741" s="2" t="s">
        <v>2740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10"/>
        <v>0.44215657741559949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7"/>
        <v>0</v>
      </c>
      <c r="AG3741" s="2">
        <v>153.34</v>
      </c>
      <c r="AJ3741" s="2">
        <f t="shared" si="608"/>
        <v>0</v>
      </c>
      <c r="AK3741" s="2">
        <f t="shared" si="611"/>
        <v>121.53999999999999</v>
      </c>
      <c r="AL3741" s="5">
        <f t="shared" si="612"/>
        <v>0.44215657741559949</v>
      </c>
    </row>
    <row r="3742" spans="1:38" x14ac:dyDescent="0.2">
      <c r="A3742" s="2">
        <v>2026</v>
      </c>
      <c r="B3742" s="2">
        <v>4</v>
      </c>
      <c r="D3742" s="2" t="s">
        <v>1553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1554</v>
      </c>
      <c r="J3742" s="2" t="s">
        <v>1555</v>
      </c>
      <c r="L3742" s="2" t="s">
        <v>177</v>
      </c>
      <c r="M3742" s="2" t="s">
        <v>41</v>
      </c>
      <c r="P3742" s="2" t="s">
        <v>1038</v>
      </c>
      <c r="Q3742" s="2" t="s">
        <v>2739</v>
      </c>
      <c r="R3742" s="2" t="s">
        <v>2740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7"/>
        <v>0</v>
      </c>
      <c r="AJ3742" s="2">
        <f t="shared" si="608"/>
        <v>0</v>
      </c>
      <c r="AK3742" s="2">
        <f t="shared" si="611"/>
        <v>-443.34000000000003</v>
      </c>
      <c r="AL3742" s="18">
        <f t="shared" ref="AL3742" si="613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1971</v>
      </c>
      <c r="R3743" s="2" t="s">
        <v>1972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4">(T3743-W3743)/T3743</f>
        <v>0.50750000000000006</v>
      </c>
      <c r="Z3743" s="2" t="s">
        <v>3226</v>
      </c>
      <c r="AA3743" s="2" t="s">
        <v>87</v>
      </c>
      <c r="AB3743" s="2" t="s">
        <v>90</v>
      </c>
      <c r="AC3743" s="2" t="s">
        <v>84</v>
      </c>
      <c r="AF3743" s="2">
        <f t="shared" si="607"/>
        <v>0</v>
      </c>
      <c r="AJ3743" s="2">
        <f t="shared" si="608"/>
        <v>0</v>
      </c>
      <c r="AK3743" s="2">
        <f t="shared" ref="AK3743:AK3774" si="615">T3743-W3743</f>
        <v>7.1050000000000004</v>
      </c>
      <c r="AL3743" s="5">
        <f t="shared" ref="AL3743:AL3765" si="616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2852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4"/>
        <v>0.41111111111111115</v>
      </c>
      <c r="Z3744" s="2" t="s">
        <v>3226</v>
      </c>
      <c r="AA3744" s="2" t="s">
        <v>46</v>
      </c>
      <c r="AB3744" s="2" t="s">
        <v>56</v>
      </c>
      <c r="AC3744" s="2" t="s">
        <v>57</v>
      </c>
      <c r="AF3744" s="2">
        <f t="shared" si="607"/>
        <v>0</v>
      </c>
      <c r="AG3744" s="2">
        <v>10.6</v>
      </c>
      <c r="AH3744" s="2">
        <v>18</v>
      </c>
      <c r="AJ3744" s="2">
        <f t="shared" si="608"/>
        <v>0</v>
      </c>
      <c r="AK3744" s="2">
        <f t="shared" si="615"/>
        <v>7.4</v>
      </c>
      <c r="AL3744" s="5">
        <f t="shared" si="616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4"/>
        <v>0.42833333333333329</v>
      </c>
      <c r="Z3745" s="2" t="s">
        <v>3226</v>
      </c>
      <c r="AA3745" s="2" t="s">
        <v>87</v>
      </c>
      <c r="AB3745" s="2" t="s">
        <v>90</v>
      </c>
      <c r="AC3745" s="2" t="s">
        <v>84</v>
      </c>
      <c r="AF3745" s="2">
        <f t="shared" si="607"/>
        <v>0</v>
      </c>
      <c r="AJ3745" s="2">
        <f t="shared" si="608"/>
        <v>0</v>
      </c>
      <c r="AK3745" s="2">
        <f t="shared" si="615"/>
        <v>5.14</v>
      </c>
      <c r="AL3745" s="5">
        <f t="shared" si="616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4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7"/>
        <v>0</v>
      </c>
      <c r="AJ3746" s="2">
        <f t="shared" si="608"/>
        <v>0</v>
      </c>
      <c r="AK3746" s="2">
        <f t="shared" si="615"/>
        <v>5.14</v>
      </c>
      <c r="AL3746" s="5">
        <f t="shared" si="616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2538</v>
      </c>
      <c r="L3747" s="2" t="s">
        <v>99</v>
      </c>
      <c r="M3747" s="2" t="s">
        <v>80</v>
      </c>
      <c r="O3747" s="2" t="s">
        <v>2845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4"/>
        <v>0.51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7"/>
        <v>0</v>
      </c>
      <c r="AG3747" s="2">
        <v>2.94</v>
      </c>
      <c r="AJ3747" s="2">
        <f t="shared" si="608"/>
        <v>0</v>
      </c>
      <c r="AK3747" s="2">
        <f t="shared" si="615"/>
        <v>6.12</v>
      </c>
      <c r="AL3747" s="5">
        <f t="shared" si="616"/>
        <v>0.51</v>
      </c>
    </row>
    <row r="3748" spans="1:38" x14ac:dyDescent="0.2">
      <c r="A3748" s="2">
        <v>2026</v>
      </c>
      <c r="B3748" s="2">
        <v>4</v>
      </c>
      <c r="D3748" s="2" t="s">
        <v>2846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4"/>
        <v>0.76666666666666672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7"/>
        <v>0</v>
      </c>
      <c r="AJ3748" s="2">
        <f t="shared" si="608"/>
        <v>0</v>
      </c>
      <c r="AK3748" s="2">
        <f t="shared" si="615"/>
        <v>9.66</v>
      </c>
      <c r="AL3748" s="5">
        <f t="shared" si="616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4"/>
        <v>0.4107142857142857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7"/>
        <v>0</v>
      </c>
      <c r="AJ3749" s="2">
        <f t="shared" si="608"/>
        <v>0</v>
      </c>
      <c r="AK3749" s="2">
        <f t="shared" si="615"/>
        <v>3.45</v>
      </c>
      <c r="AL3749" s="5">
        <f t="shared" si="616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2538</v>
      </c>
      <c r="L3750" s="2" t="s">
        <v>99</v>
      </c>
      <c r="M3750" s="2" t="s">
        <v>80</v>
      </c>
      <c r="O3750" s="2" t="s">
        <v>2845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4"/>
        <v>0.65206944444444448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7"/>
        <v>0</v>
      </c>
      <c r="AG3750" s="2">
        <v>2.5051000000000001</v>
      </c>
      <c r="AJ3750" s="2">
        <f t="shared" si="608"/>
        <v>0</v>
      </c>
      <c r="AK3750" s="2">
        <f t="shared" si="615"/>
        <v>4.6949000000000005</v>
      </c>
      <c r="AL3750" s="5">
        <f t="shared" si="616"/>
        <v>0.65206944444444448</v>
      </c>
    </row>
    <row r="3751" spans="1:38" x14ac:dyDescent="0.2">
      <c r="A3751" s="2">
        <v>2026</v>
      </c>
      <c r="B3751" s="2">
        <v>4</v>
      </c>
      <c r="D3751" s="2" t="s">
        <v>2846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4"/>
        <v>0.80118253968253961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7"/>
        <v>0</v>
      </c>
      <c r="AJ3751" s="2">
        <f t="shared" si="608"/>
        <v>0</v>
      </c>
      <c r="AK3751" s="2">
        <f t="shared" si="615"/>
        <v>10.094899999999999</v>
      </c>
      <c r="AL3751" s="5">
        <f t="shared" si="616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2896</v>
      </c>
      <c r="P3752" s="2" t="s">
        <v>2897</v>
      </c>
      <c r="Q3752" s="2" t="s">
        <v>2898</v>
      </c>
      <c r="R3752" s="2" t="s">
        <v>2899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4"/>
        <v>0.25</v>
      </c>
      <c r="Z3752" s="2" t="s">
        <v>3226</v>
      </c>
      <c r="AA3752" s="2" t="s">
        <v>71</v>
      </c>
      <c r="AB3752" s="2" t="s">
        <v>2897</v>
      </c>
      <c r="AC3752" s="2" t="s">
        <v>2897</v>
      </c>
      <c r="AF3752" s="2">
        <f t="shared" si="607"/>
        <v>0</v>
      </c>
      <c r="AG3752" s="2">
        <v>149.25</v>
      </c>
      <c r="AJ3752" s="2">
        <f t="shared" si="608"/>
        <v>0</v>
      </c>
      <c r="AK3752" s="2">
        <f t="shared" si="615"/>
        <v>49.75</v>
      </c>
      <c r="AL3752" s="5">
        <f t="shared" si="616"/>
        <v>0.25</v>
      </c>
    </row>
    <row r="3753" spans="1:38" x14ac:dyDescent="0.2">
      <c r="A3753" s="2">
        <v>2026</v>
      </c>
      <c r="B3753" s="2">
        <v>4</v>
      </c>
      <c r="D3753" s="2" t="s">
        <v>2900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2901</v>
      </c>
      <c r="R3753" s="2" t="s">
        <v>2902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4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7"/>
        <v>0</v>
      </c>
      <c r="AJ3753" s="2">
        <f t="shared" si="608"/>
        <v>0</v>
      </c>
      <c r="AK3753" s="2">
        <f t="shared" si="615"/>
        <v>304.87750000000005</v>
      </c>
      <c r="AL3753" s="5">
        <f t="shared" si="616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2903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4"/>
        <v>1</v>
      </c>
      <c r="Z3754" s="2" t="s">
        <v>117</v>
      </c>
      <c r="AA3754" s="2" t="s">
        <v>317</v>
      </c>
      <c r="AF3754" s="2">
        <f t="shared" si="607"/>
        <v>0</v>
      </c>
      <c r="AJ3754" s="2">
        <f t="shared" si="608"/>
        <v>0</v>
      </c>
      <c r="AK3754" s="2">
        <f t="shared" si="615"/>
        <v>1099</v>
      </c>
      <c r="AL3754" s="5">
        <f t="shared" si="616"/>
        <v>1</v>
      </c>
    </row>
    <row r="3755" spans="1:38" x14ac:dyDescent="0.2">
      <c r="A3755" s="2">
        <v>2026</v>
      </c>
      <c r="B3755" s="2">
        <v>4</v>
      </c>
      <c r="D3755" s="2" t="s">
        <v>2795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4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7"/>
        <v>0</v>
      </c>
      <c r="AG3755" s="2">
        <f>W3755</f>
        <v>27.5</v>
      </c>
      <c r="AJ3755" s="2">
        <f t="shared" si="608"/>
        <v>0</v>
      </c>
      <c r="AK3755" s="2">
        <f t="shared" si="615"/>
        <v>27.5</v>
      </c>
      <c r="AL3755" s="5">
        <f t="shared" si="616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1554</v>
      </c>
      <c r="J3756" s="2" t="s">
        <v>1824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4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7"/>
        <v>0</v>
      </c>
      <c r="AG3756" s="2">
        <f>W3756</f>
        <v>25.200000000000003</v>
      </c>
      <c r="AJ3756" s="2">
        <f t="shared" si="608"/>
        <v>0</v>
      </c>
      <c r="AK3756" s="2">
        <f t="shared" si="615"/>
        <v>37.799999999999997</v>
      </c>
      <c r="AL3756" s="5">
        <f t="shared" si="616"/>
        <v>0.6</v>
      </c>
    </row>
    <row r="3757" spans="1:38" x14ac:dyDescent="0.2">
      <c r="A3757" s="2">
        <v>2026</v>
      </c>
      <c r="B3757" s="2">
        <v>3</v>
      </c>
      <c r="D3757" s="2" t="s">
        <v>2852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4"/>
        <v>0.36923076923076914</v>
      </c>
      <c r="Z3757" s="2" t="s">
        <v>3226</v>
      </c>
      <c r="AA3757" s="2" t="s">
        <v>46</v>
      </c>
      <c r="AB3757" s="2" t="s">
        <v>60</v>
      </c>
      <c r="AC3757" s="2" t="s">
        <v>57</v>
      </c>
      <c r="AF3757" s="2">
        <f t="shared" si="607"/>
        <v>0</v>
      </c>
      <c r="AG3757" s="2">
        <v>8.1999999999999993</v>
      </c>
      <c r="AH3757" s="2">
        <v>13</v>
      </c>
      <c r="AJ3757" s="2">
        <f t="shared" si="608"/>
        <v>0</v>
      </c>
      <c r="AK3757" s="2">
        <f t="shared" si="615"/>
        <v>9.5999999999999979</v>
      </c>
      <c r="AL3757" s="5">
        <f t="shared" si="616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1554</v>
      </c>
      <c r="J3758" s="2" t="s">
        <v>1824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4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7"/>
        <v>0</v>
      </c>
      <c r="AG3758" s="2">
        <f t="shared" ref="AG3758:AG3782" si="617">W3758</f>
        <v>34.375</v>
      </c>
      <c r="AJ3758" s="2">
        <f t="shared" si="608"/>
        <v>0</v>
      </c>
      <c r="AK3758" s="2">
        <f t="shared" si="615"/>
        <v>34.375</v>
      </c>
      <c r="AL3758" s="5">
        <f t="shared" si="616"/>
        <v>0.5</v>
      </c>
    </row>
    <row r="3759" spans="1:38" x14ac:dyDescent="0.2">
      <c r="A3759" s="2">
        <v>2026</v>
      </c>
      <c r="B3759" s="2">
        <v>4</v>
      </c>
      <c r="D3759" s="2" t="s">
        <v>1599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4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7"/>
        <v>0</v>
      </c>
      <c r="AG3759" s="2">
        <f t="shared" si="617"/>
        <v>20</v>
      </c>
      <c r="AJ3759" s="2">
        <f t="shared" si="608"/>
        <v>0</v>
      </c>
      <c r="AK3759" s="2">
        <f t="shared" si="615"/>
        <v>30</v>
      </c>
      <c r="AL3759" s="5">
        <f t="shared" si="616"/>
        <v>0.6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4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7"/>
        <v>0</v>
      </c>
      <c r="AG3760" s="2">
        <f t="shared" si="617"/>
        <v>25</v>
      </c>
      <c r="AJ3760" s="2">
        <f t="shared" si="608"/>
        <v>0</v>
      </c>
      <c r="AK3760" s="2">
        <f t="shared" si="615"/>
        <v>25</v>
      </c>
      <c r="AL3760" s="5">
        <f t="shared" si="616"/>
        <v>0.5</v>
      </c>
    </row>
    <row r="3761" spans="1:38" x14ac:dyDescent="0.2">
      <c r="A3761" s="2">
        <v>2026</v>
      </c>
      <c r="B3761" s="2">
        <v>3</v>
      </c>
      <c r="C3761" s="2" t="s">
        <v>3503</v>
      </c>
      <c r="D3761" s="2" t="s">
        <v>2049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2779</v>
      </c>
      <c r="J3761" s="2" t="s">
        <v>2820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4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7"/>
        <v>0</v>
      </c>
      <c r="AG3761" s="2">
        <f t="shared" si="617"/>
        <v>45.6</v>
      </c>
      <c r="AJ3761" s="2">
        <f t="shared" si="608"/>
        <v>0</v>
      </c>
      <c r="AK3761" s="2">
        <f t="shared" si="615"/>
        <v>68.400000000000006</v>
      </c>
      <c r="AL3761" s="5">
        <f t="shared" si="616"/>
        <v>0.60000000000000009</v>
      </c>
    </row>
    <row r="3762" spans="1:38" x14ac:dyDescent="0.2">
      <c r="A3762" s="2">
        <v>2026</v>
      </c>
      <c r="B3762" s="2">
        <v>3</v>
      </c>
      <c r="C3762" s="2" t="s">
        <v>3503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4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7"/>
        <v>0</v>
      </c>
      <c r="AG3762" s="2">
        <f t="shared" si="617"/>
        <v>100</v>
      </c>
      <c r="AJ3762" s="2">
        <f t="shared" si="608"/>
        <v>0</v>
      </c>
      <c r="AK3762" s="2">
        <f t="shared" si="615"/>
        <v>100</v>
      </c>
      <c r="AL3762" s="5">
        <f t="shared" si="616"/>
        <v>0.5</v>
      </c>
    </row>
    <row r="3763" spans="1:38" x14ac:dyDescent="0.2">
      <c r="A3763" s="2">
        <v>2026</v>
      </c>
      <c r="B3763" s="2">
        <v>4</v>
      </c>
      <c r="C3763" s="2" t="s">
        <v>3449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4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7"/>
        <v>0</v>
      </c>
      <c r="AG3763" s="2">
        <f t="shared" si="617"/>
        <v>58.800000000000004</v>
      </c>
      <c r="AJ3763" s="2">
        <f t="shared" si="608"/>
        <v>0</v>
      </c>
      <c r="AK3763" s="2">
        <f t="shared" si="615"/>
        <v>88.199999999999989</v>
      </c>
      <c r="AL3763" s="5">
        <f t="shared" si="616"/>
        <v>0.6</v>
      </c>
    </row>
    <row r="3764" spans="1:38" x14ac:dyDescent="0.2">
      <c r="A3764" s="2">
        <v>2026</v>
      </c>
      <c r="B3764" s="2">
        <v>4</v>
      </c>
      <c r="C3764" s="2" t="s">
        <v>3449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4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7"/>
        <v>0</v>
      </c>
      <c r="AG3764" s="2">
        <f t="shared" si="617"/>
        <v>34.375</v>
      </c>
      <c r="AJ3764" s="2">
        <f t="shared" si="608"/>
        <v>0</v>
      </c>
      <c r="AK3764" s="2">
        <f t="shared" si="615"/>
        <v>34.375</v>
      </c>
      <c r="AL3764" s="5">
        <f t="shared" si="616"/>
        <v>0.5</v>
      </c>
    </row>
    <row r="3765" spans="1:38" x14ac:dyDescent="0.2">
      <c r="A3765" s="2">
        <v>2026</v>
      </c>
      <c r="B3765" s="2">
        <v>4</v>
      </c>
      <c r="C3765" s="2" t="s">
        <v>3444</v>
      </c>
      <c r="D3765" s="2" t="s">
        <v>2904</v>
      </c>
      <c r="E3765" s="2" t="s">
        <v>38</v>
      </c>
      <c r="F3765" s="2" t="s">
        <v>3443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4"/>
        <v>0.5</v>
      </c>
      <c r="Y3765" s="2" t="s">
        <v>3299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7"/>
        <v>0</v>
      </c>
      <c r="AG3765" s="2">
        <f t="shared" si="617"/>
        <v>31.45</v>
      </c>
      <c r="AJ3765" s="2">
        <f t="shared" si="608"/>
        <v>0</v>
      </c>
      <c r="AK3765" s="2">
        <f t="shared" si="615"/>
        <v>31.45</v>
      </c>
      <c r="AL3765" s="5">
        <f t="shared" si="616"/>
        <v>0.5</v>
      </c>
    </row>
    <row r="3766" spans="1:38" x14ac:dyDescent="0.2">
      <c r="A3766" s="2">
        <v>2026</v>
      </c>
      <c r="B3766" s="2">
        <v>4</v>
      </c>
      <c r="D3766" s="2" t="s">
        <v>2905</v>
      </c>
      <c r="E3766" s="2" t="s">
        <v>38</v>
      </c>
      <c r="G3766" s="2">
        <v>506272524</v>
      </c>
      <c r="H3766" s="2" t="s">
        <v>40</v>
      </c>
      <c r="I3766" s="2" t="s">
        <v>2906</v>
      </c>
      <c r="J3766" s="2" t="s">
        <v>2907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7"/>
        <v>0</v>
      </c>
      <c r="AG3766" s="2">
        <f t="shared" si="617"/>
        <v>0</v>
      </c>
      <c r="AJ3766" s="2">
        <f t="shared" si="608"/>
        <v>0</v>
      </c>
      <c r="AK3766" s="2">
        <f t="shared" si="615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7"/>
        <v>0</v>
      </c>
      <c r="AG3767" s="2">
        <f t="shared" si="617"/>
        <v>27.5</v>
      </c>
      <c r="AJ3767" s="2">
        <f t="shared" si="608"/>
        <v>0</v>
      </c>
      <c r="AK3767" s="2">
        <f t="shared" si="615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2615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7"/>
        <v>0</v>
      </c>
      <c r="AG3768" s="2">
        <f t="shared" si="617"/>
        <v>65.600000000000009</v>
      </c>
      <c r="AJ3768" s="2">
        <f t="shared" si="608"/>
        <v>0</v>
      </c>
      <c r="AK3768" s="2">
        <f t="shared" si="615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7"/>
        <v>0</v>
      </c>
      <c r="AG3769" s="2">
        <f t="shared" si="617"/>
        <v>41.25</v>
      </c>
      <c r="AJ3769" s="2">
        <f t="shared" si="608"/>
        <v>0</v>
      </c>
      <c r="AK3769" s="2">
        <f t="shared" si="615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1622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1623</v>
      </c>
      <c r="J3770" s="2" t="s">
        <v>1624</v>
      </c>
      <c r="L3770" s="2" t="s">
        <v>293</v>
      </c>
      <c r="M3770" s="2" t="s">
        <v>40</v>
      </c>
      <c r="O3770" s="2" t="s">
        <v>2337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7"/>
        <v>0</v>
      </c>
      <c r="AG3770" s="2">
        <f t="shared" si="617"/>
        <v>0</v>
      </c>
      <c r="AJ3770" s="2">
        <f t="shared" si="608"/>
        <v>0</v>
      </c>
      <c r="AK3770" s="2">
        <f t="shared" si="615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7"/>
        <v>0</v>
      </c>
      <c r="AG3771" s="2">
        <f t="shared" si="617"/>
        <v>0</v>
      </c>
      <c r="AJ3771" s="2">
        <f t="shared" si="608"/>
        <v>0</v>
      </c>
      <c r="AK3771" s="2">
        <f t="shared" si="615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2908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8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7"/>
        <v>0</v>
      </c>
      <c r="AG3772" s="2">
        <f t="shared" si="617"/>
        <v>60.400000000000006</v>
      </c>
      <c r="AJ3772" s="2">
        <f t="shared" si="608"/>
        <v>0</v>
      </c>
      <c r="AK3772" s="2">
        <f t="shared" si="615"/>
        <v>90.6</v>
      </c>
      <c r="AL3772" s="5">
        <f t="shared" ref="AL3772:AL3777" si="619">(T3772-W3772)/T3772</f>
        <v>0.6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8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7"/>
        <v>0</v>
      </c>
      <c r="AG3773" s="2">
        <f t="shared" si="617"/>
        <v>82.5</v>
      </c>
      <c r="AJ3773" s="2">
        <f t="shared" si="608"/>
        <v>0</v>
      </c>
      <c r="AK3773" s="2">
        <f t="shared" si="615"/>
        <v>82.5</v>
      </c>
      <c r="AL3773" s="5">
        <f t="shared" si="619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2672</v>
      </c>
      <c r="J3774" s="2" t="s">
        <v>2673</v>
      </c>
      <c r="K3774" s="2">
        <v>962939747</v>
      </c>
      <c r="L3774" s="2" t="s">
        <v>99</v>
      </c>
      <c r="M3774" s="2" t="s">
        <v>40</v>
      </c>
      <c r="O3774" s="2" t="s">
        <v>2909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8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7"/>
        <v>0</v>
      </c>
      <c r="AG3774" s="2">
        <f t="shared" si="617"/>
        <v>20</v>
      </c>
      <c r="AJ3774" s="2">
        <f t="shared" si="608"/>
        <v>0</v>
      </c>
      <c r="AK3774" s="2">
        <f t="shared" si="615"/>
        <v>30</v>
      </c>
      <c r="AL3774" s="5">
        <f t="shared" si="619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8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7"/>
        <v>0</v>
      </c>
      <c r="AG3775" s="2">
        <f t="shared" si="617"/>
        <v>25</v>
      </c>
      <c r="AJ3775" s="2">
        <f t="shared" si="608"/>
        <v>0</v>
      </c>
      <c r="AK3775" s="2">
        <f t="shared" ref="AK3775:AK3806" si="620">T3775-W3775</f>
        <v>25</v>
      </c>
      <c r="AL3775" s="5">
        <f t="shared" si="619"/>
        <v>0.5</v>
      </c>
    </row>
    <row r="3776" spans="1:38" x14ac:dyDescent="0.2">
      <c r="A3776" s="2">
        <v>2026</v>
      </c>
      <c r="B3776" s="2">
        <v>1</v>
      </c>
      <c r="D3776" s="2" t="s">
        <v>2334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8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7"/>
        <v>0</v>
      </c>
      <c r="AG3776" s="2">
        <f t="shared" si="617"/>
        <v>22</v>
      </c>
      <c r="AJ3776" s="2">
        <f t="shared" si="608"/>
        <v>0</v>
      </c>
      <c r="AK3776" s="2">
        <f t="shared" si="620"/>
        <v>33</v>
      </c>
      <c r="AL3776" s="5">
        <f t="shared" si="619"/>
        <v>0.6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8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1">AJ3777</f>
        <v>0</v>
      </c>
      <c r="AG3777" s="2">
        <f t="shared" si="617"/>
        <v>50</v>
      </c>
      <c r="AJ3777" s="2">
        <f t="shared" ref="AJ3777:AJ3840" si="622">AI3777*T3777</f>
        <v>0</v>
      </c>
      <c r="AK3777" s="2">
        <f t="shared" si="620"/>
        <v>50</v>
      </c>
      <c r="AL3777" s="5">
        <f t="shared" si="619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1"/>
        <v>0</v>
      </c>
      <c r="AG3778" s="2">
        <f t="shared" si="617"/>
        <v>0</v>
      </c>
      <c r="AJ3778" s="2">
        <f t="shared" si="622"/>
        <v>0</v>
      </c>
      <c r="AK3778" s="2">
        <f t="shared" si="620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1"/>
        <v>0</v>
      </c>
      <c r="AG3779" s="2">
        <f t="shared" si="617"/>
        <v>0</v>
      </c>
      <c r="AJ3779" s="2">
        <f t="shared" si="622"/>
        <v>0</v>
      </c>
      <c r="AK3779" s="2">
        <f t="shared" si="620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2327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1"/>
        <v>0</v>
      </c>
      <c r="AG3780" s="2">
        <f t="shared" si="617"/>
        <v>20</v>
      </c>
      <c r="AJ3780" s="2">
        <f t="shared" si="622"/>
        <v>0</v>
      </c>
      <c r="AK3780" s="2">
        <f t="shared" si="620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1"/>
        <v>0</v>
      </c>
      <c r="AG3781" s="2">
        <f t="shared" si="617"/>
        <v>25</v>
      </c>
      <c r="AJ3781" s="2">
        <f t="shared" si="622"/>
        <v>0</v>
      </c>
      <c r="AK3781" s="2">
        <f t="shared" si="620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2327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3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1"/>
        <v>0</v>
      </c>
      <c r="AG3782" s="2">
        <f t="shared" si="617"/>
        <v>20</v>
      </c>
      <c r="AJ3782" s="2">
        <f t="shared" si="622"/>
        <v>0</v>
      </c>
      <c r="AK3782" s="2">
        <f t="shared" si="620"/>
        <v>-70</v>
      </c>
      <c r="AL3782" s="18">
        <f t="shared" ref="AL3782" si="624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2852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1"/>
        <v>0</v>
      </c>
      <c r="AJ3783" s="2">
        <f t="shared" si="622"/>
        <v>0</v>
      </c>
      <c r="AK3783" s="2">
        <f t="shared" si="620"/>
        <v>2</v>
      </c>
      <c r="AL3783" s="5">
        <f t="shared" ref="AL3783:AL3791" si="625">(T3783-W3783)/T3783</f>
        <v>0.25</v>
      </c>
    </row>
    <row r="3784" spans="1:38" x14ac:dyDescent="0.2">
      <c r="A3784" s="2">
        <v>2026</v>
      </c>
      <c r="B3784" s="2">
        <v>2</v>
      </c>
      <c r="D3784" s="2" t="s">
        <v>2327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6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1"/>
        <v>0</v>
      </c>
      <c r="AG3784" s="2">
        <f t="shared" ref="AG3784:AG3808" si="627">W3784</f>
        <v>25</v>
      </c>
      <c r="AJ3784" s="2">
        <f t="shared" si="622"/>
        <v>0</v>
      </c>
      <c r="AK3784" s="2">
        <f t="shared" si="620"/>
        <v>-75</v>
      </c>
      <c r="AL3784" s="18">
        <f t="shared" ref="AL3784" si="628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2482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9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1"/>
        <v>0</v>
      </c>
      <c r="AG3785" s="2">
        <f t="shared" si="627"/>
        <v>20</v>
      </c>
      <c r="AJ3785" s="2">
        <f t="shared" si="622"/>
        <v>0</v>
      </c>
      <c r="AK3785" s="2">
        <f t="shared" si="620"/>
        <v>30</v>
      </c>
      <c r="AL3785" s="5">
        <f t="shared" si="625"/>
        <v>0.6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9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1"/>
        <v>0</v>
      </c>
      <c r="AG3786" s="2">
        <f t="shared" si="627"/>
        <v>25</v>
      </c>
      <c r="AJ3786" s="2">
        <f t="shared" si="622"/>
        <v>0</v>
      </c>
      <c r="AK3786" s="2">
        <f t="shared" si="620"/>
        <v>25</v>
      </c>
      <c r="AL3786" s="5">
        <f t="shared" si="625"/>
        <v>0.5</v>
      </c>
    </row>
    <row r="3787" spans="1:38" x14ac:dyDescent="0.2">
      <c r="A3787" s="2">
        <v>2026</v>
      </c>
      <c r="B3787" s="2">
        <v>4</v>
      </c>
      <c r="D3787" s="2" t="s">
        <v>2781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9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1"/>
        <v>0</v>
      </c>
      <c r="AG3787" s="2">
        <f t="shared" si="627"/>
        <v>22</v>
      </c>
      <c r="AJ3787" s="2">
        <f t="shared" si="622"/>
        <v>0</v>
      </c>
      <c r="AK3787" s="2">
        <f t="shared" si="620"/>
        <v>33</v>
      </c>
      <c r="AL3787" s="5">
        <f t="shared" si="625"/>
        <v>0.6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9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1"/>
        <v>0</v>
      </c>
      <c r="AG3788" s="2">
        <f t="shared" si="627"/>
        <v>27.5</v>
      </c>
      <c r="AJ3788" s="2">
        <f t="shared" si="622"/>
        <v>0</v>
      </c>
      <c r="AK3788" s="2">
        <f t="shared" si="620"/>
        <v>27.5</v>
      </c>
      <c r="AL3788" s="5">
        <f t="shared" si="625"/>
        <v>0.5</v>
      </c>
    </row>
    <row r="3789" spans="1:38" x14ac:dyDescent="0.2">
      <c r="A3789" s="2">
        <v>2026</v>
      </c>
      <c r="B3789" s="2">
        <v>4</v>
      </c>
      <c r="D3789" s="2" t="s">
        <v>2283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9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1"/>
        <v>0</v>
      </c>
      <c r="AG3789" s="2">
        <f t="shared" si="627"/>
        <v>33.200000000000003</v>
      </c>
      <c r="AJ3789" s="2">
        <f t="shared" si="622"/>
        <v>0</v>
      </c>
      <c r="AK3789" s="2">
        <f t="shared" si="620"/>
        <v>49.8</v>
      </c>
      <c r="AL3789" s="5">
        <f t="shared" si="625"/>
        <v>0.6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9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1"/>
        <v>0</v>
      </c>
      <c r="AG3790" s="2">
        <f t="shared" si="627"/>
        <v>20.625</v>
      </c>
      <c r="AJ3790" s="2">
        <f t="shared" si="622"/>
        <v>0</v>
      </c>
      <c r="AK3790" s="2">
        <f t="shared" si="620"/>
        <v>20.625</v>
      </c>
      <c r="AL3790" s="5">
        <f t="shared" si="625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9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1"/>
        <v>0</v>
      </c>
      <c r="AG3791" s="2">
        <f t="shared" si="627"/>
        <v>25.200000000000003</v>
      </c>
      <c r="AJ3791" s="2">
        <f t="shared" si="622"/>
        <v>0</v>
      </c>
      <c r="AK3791" s="2">
        <f t="shared" si="620"/>
        <v>37.799999999999997</v>
      </c>
      <c r="AL3791" s="5">
        <f t="shared" si="625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1"/>
        <v>0</v>
      </c>
      <c r="AG3792" s="2">
        <f t="shared" si="627"/>
        <v>0</v>
      </c>
      <c r="AJ3792" s="2">
        <f t="shared" si="622"/>
        <v>0</v>
      </c>
      <c r="AK3792" s="2">
        <f t="shared" si="620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1660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1"/>
        <v>0</v>
      </c>
      <c r="AG3793" s="2">
        <f t="shared" si="627"/>
        <v>228.8</v>
      </c>
      <c r="AJ3793" s="2">
        <f t="shared" si="622"/>
        <v>0</v>
      </c>
      <c r="AK3793" s="2">
        <f t="shared" si="620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1"/>
        <v>0</v>
      </c>
      <c r="AG3794" s="2">
        <f t="shared" si="627"/>
        <v>50</v>
      </c>
      <c r="AJ3794" s="2">
        <f t="shared" si="622"/>
        <v>0</v>
      </c>
      <c r="AK3794" s="2">
        <f t="shared" si="620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1660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30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1"/>
        <v>0</v>
      </c>
      <c r="AG3795" s="2">
        <f t="shared" si="627"/>
        <v>114.4</v>
      </c>
      <c r="AJ3795" s="2">
        <f t="shared" si="622"/>
        <v>0</v>
      </c>
      <c r="AK3795" s="2">
        <f t="shared" si="620"/>
        <v>-400.4</v>
      </c>
      <c r="AL3795" s="18">
        <f t="shared" ref="AL3795:AL3796" si="631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30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1"/>
        <v>0</v>
      </c>
      <c r="AG3796" s="2">
        <f t="shared" si="627"/>
        <v>25</v>
      </c>
      <c r="AJ3796" s="2">
        <f t="shared" si="622"/>
        <v>0</v>
      </c>
      <c r="AK3796" s="2">
        <f t="shared" si="620"/>
        <v>-75</v>
      </c>
      <c r="AL3796" s="18">
        <f t="shared" si="631"/>
        <v>-0.5</v>
      </c>
    </row>
    <row r="3797" spans="1:38" x14ac:dyDescent="0.2">
      <c r="A3797" s="2">
        <v>2026</v>
      </c>
      <c r="B3797" s="2">
        <v>3</v>
      </c>
      <c r="C3797" s="2" t="s">
        <v>3318</v>
      </c>
      <c r="D3797" s="2" t="s">
        <v>2624</v>
      </c>
      <c r="E3797" s="2" t="s">
        <v>3417</v>
      </c>
      <c r="F3797" s="2" t="s">
        <v>3418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2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1"/>
        <v>0</v>
      </c>
      <c r="AG3797" s="2">
        <f t="shared" si="627"/>
        <v>71.2</v>
      </c>
      <c r="AJ3797" s="2">
        <f t="shared" si="622"/>
        <v>0</v>
      </c>
      <c r="AK3797" s="2">
        <f t="shared" si="620"/>
        <v>106.8</v>
      </c>
      <c r="AL3797" s="5">
        <f t="shared" ref="AL3797:AL3824" si="633">(T3797-W3797)/T3797</f>
        <v>0.6</v>
      </c>
    </row>
    <row r="3798" spans="1:38" x14ac:dyDescent="0.2">
      <c r="A3798" s="2">
        <v>2026</v>
      </c>
      <c r="B3798" s="2">
        <v>3</v>
      </c>
      <c r="C3798" s="2" t="s">
        <v>3318</v>
      </c>
      <c r="D3798" s="2" t="s">
        <v>2624</v>
      </c>
      <c r="E3798" s="2" t="s">
        <v>3417</v>
      </c>
      <c r="F3798" s="2" t="s">
        <v>3418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2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1"/>
        <v>0</v>
      </c>
      <c r="AG3798" s="2">
        <f t="shared" si="627"/>
        <v>41.25</v>
      </c>
      <c r="AJ3798" s="2">
        <f t="shared" si="622"/>
        <v>0</v>
      </c>
      <c r="AK3798" s="2">
        <f t="shared" si="620"/>
        <v>41.25</v>
      </c>
      <c r="AL3798" s="5">
        <f t="shared" si="633"/>
        <v>0.5</v>
      </c>
    </row>
    <row r="3799" spans="1:38" x14ac:dyDescent="0.2">
      <c r="A3799" s="2">
        <v>2026</v>
      </c>
      <c r="B3799" s="2">
        <v>2</v>
      </c>
      <c r="D3799" s="2" t="s">
        <v>2491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2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1"/>
        <v>0</v>
      </c>
      <c r="AG3799" s="2">
        <f t="shared" si="627"/>
        <v>22</v>
      </c>
      <c r="AJ3799" s="2">
        <f t="shared" si="622"/>
        <v>0</v>
      </c>
      <c r="AK3799" s="2">
        <f t="shared" si="620"/>
        <v>33</v>
      </c>
      <c r="AL3799" s="5">
        <f t="shared" si="633"/>
        <v>0.6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2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1"/>
        <v>0</v>
      </c>
      <c r="AG3800" s="2">
        <f t="shared" si="627"/>
        <v>27.5</v>
      </c>
      <c r="AJ3800" s="2">
        <f t="shared" si="622"/>
        <v>0</v>
      </c>
      <c r="AK3800" s="2">
        <f t="shared" si="620"/>
        <v>27.5</v>
      </c>
      <c r="AL3800" s="5">
        <f t="shared" si="633"/>
        <v>0.5</v>
      </c>
    </row>
    <row r="3801" spans="1:38" x14ac:dyDescent="0.2">
      <c r="A3801" s="2">
        <v>2026</v>
      </c>
      <c r="B3801" s="2">
        <v>1</v>
      </c>
      <c r="D3801" s="2" t="s">
        <v>1439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2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1"/>
        <v>0</v>
      </c>
      <c r="AG3801" s="2">
        <f t="shared" si="627"/>
        <v>31.6</v>
      </c>
      <c r="AJ3801" s="2">
        <f t="shared" si="622"/>
        <v>0</v>
      </c>
      <c r="AK3801" s="2">
        <f t="shared" si="620"/>
        <v>47.4</v>
      </c>
      <c r="AL3801" s="5">
        <f t="shared" si="633"/>
        <v>0.6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2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1"/>
        <v>0</v>
      </c>
      <c r="AG3802" s="2">
        <f t="shared" si="627"/>
        <v>50</v>
      </c>
      <c r="AJ3802" s="2">
        <f t="shared" si="622"/>
        <v>0</v>
      </c>
      <c r="AK3802" s="2">
        <f t="shared" si="620"/>
        <v>50</v>
      </c>
      <c r="AL3802" s="5">
        <f t="shared" si="633"/>
        <v>0.5</v>
      </c>
    </row>
    <row r="3803" spans="1:38" x14ac:dyDescent="0.2">
      <c r="A3803" s="2">
        <v>2026</v>
      </c>
      <c r="B3803" s="2">
        <v>3</v>
      </c>
      <c r="D3803" s="2" t="s">
        <v>1439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2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1"/>
        <v>0</v>
      </c>
      <c r="AG3803" s="2">
        <f t="shared" si="627"/>
        <v>33.200000000000003</v>
      </c>
      <c r="AJ3803" s="2">
        <f t="shared" si="622"/>
        <v>0</v>
      </c>
      <c r="AK3803" s="2">
        <f t="shared" si="620"/>
        <v>49.8</v>
      </c>
      <c r="AL3803" s="5">
        <f t="shared" si="633"/>
        <v>0.6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2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1"/>
        <v>0</v>
      </c>
      <c r="AG3804" s="2">
        <f t="shared" si="627"/>
        <v>27.5</v>
      </c>
      <c r="AJ3804" s="2">
        <f t="shared" si="622"/>
        <v>0</v>
      </c>
      <c r="AK3804" s="2">
        <f t="shared" si="620"/>
        <v>27.5</v>
      </c>
      <c r="AL3804" s="5">
        <f t="shared" si="633"/>
        <v>0.5</v>
      </c>
    </row>
    <row r="3805" spans="1:38" x14ac:dyDescent="0.2">
      <c r="A3805" s="2">
        <v>2026</v>
      </c>
      <c r="B3805" s="2">
        <v>4</v>
      </c>
      <c r="D3805" s="2" t="s">
        <v>2797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2798</v>
      </c>
      <c r="J3805" s="2" t="s">
        <v>2799</v>
      </c>
      <c r="L3805" s="2" t="s">
        <v>201</v>
      </c>
      <c r="M3805" s="2" t="s">
        <v>40</v>
      </c>
      <c r="O3805" s="2" t="s">
        <v>2800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2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1"/>
        <v>0</v>
      </c>
      <c r="AG3805" s="2">
        <f t="shared" si="627"/>
        <v>24.400000000000002</v>
      </c>
      <c r="AJ3805" s="2">
        <f t="shared" si="622"/>
        <v>0</v>
      </c>
      <c r="AK3805" s="2">
        <f t="shared" si="620"/>
        <v>36.599999999999994</v>
      </c>
      <c r="AL3805" s="5">
        <f t="shared" si="633"/>
        <v>0.59999999999999987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2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1"/>
        <v>0</v>
      </c>
      <c r="AG3806" s="2">
        <f t="shared" si="627"/>
        <v>27.5</v>
      </c>
      <c r="AJ3806" s="2">
        <f t="shared" si="622"/>
        <v>0</v>
      </c>
      <c r="AK3806" s="2">
        <f t="shared" si="620"/>
        <v>27.5</v>
      </c>
      <c r="AL3806" s="5">
        <f t="shared" si="633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2294</v>
      </c>
      <c r="J3807" s="2" t="s">
        <v>2295</v>
      </c>
      <c r="K3807" s="2">
        <v>965790183</v>
      </c>
      <c r="L3807" s="2" t="s">
        <v>177</v>
      </c>
      <c r="M3807" s="2" t="s">
        <v>40</v>
      </c>
      <c r="O3807" s="2" t="s">
        <v>2910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2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1"/>
        <v>0</v>
      </c>
      <c r="AG3807" s="2">
        <f t="shared" si="627"/>
        <v>26.8</v>
      </c>
      <c r="AJ3807" s="2">
        <f t="shared" si="622"/>
        <v>0</v>
      </c>
      <c r="AK3807" s="2">
        <f t="shared" ref="AK3807:AK3826" si="634">T3807-W3807</f>
        <v>40.200000000000003</v>
      </c>
      <c r="AL3807" s="5">
        <f t="shared" si="633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2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1"/>
        <v>0</v>
      </c>
      <c r="AG3808" s="2">
        <f t="shared" si="627"/>
        <v>27.5</v>
      </c>
      <c r="AJ3808" s="2">
        <f t="shared" si="622"/>
        <v>0</v>
      </c>
      <c r="AK3808" s="2">
        <f t="shared" si="634"/>
        <v>27.5</v>
      </c>
      <c r="AL3808" s="5">
        <f t="shared" si="633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2"/>
        <v>-0.25</v>
      </c>
      <c r="Z3809" s="2" t="s">
        <v>169</v>
      </c>
      <c r="AA3809" s="2" t="s">
        <v>169</v>
      </c>
      <c r="AF3809" s="2">
        <f t="shared" si="621"/>
        <v>0</v>
      </c>
      <c r="AJ3809" s="2">
        <f t="shared" si="622"/>
        <v>0</v>
      </c>
      <c r="AK3809" s="2">
        <f t="shared" si="634"/>
        <v>-30</v>
      </c>
      <c r="AL3809" s="5">
        <f t="shared" si="633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2"/>
        <v>-0.2</v>
      </c>
      <c r="Z3810" s="2" t="s">
        <v>169</v>
      </c>
      <c r="AA3810" s="2" t="s">
        <v>169</v>
      </c>
      <c r="AF3810" s="2">
        <f t="shared" si="621"/>
        <v>0</v>
      </c>
      <c r="AJ3810" s="2">
        <f t="shared" si="622"/>
        <v>0</v>
      </c>
      <c r="AK3810" s="2">
        <f t="shared" si="634"/>
        <v>-1</v>
      </c>
      <c r="AL3810" s="5">
        <f t="shared" si="633"/>
        <v>-0.2</v>
      </c>
    </row>
    <row r="3811" spans="1:38" x14ac:dyDescent="0.2">
      <c r="A3811" s="2">
        <v>2026</v>
      </c>
      <c r="B3811" s="2">
        <v>4</v>
      </c>
      <c r="C3811" s="2" t="s">
        <v>3449</v>
      </c>
      <c r="D3811" s="2" t="s">
        <v>2049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2779</v>
      </c>
      <c r="J3811" s="2" t="s">
        <v>2820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2"/>
        <v>-0.2</v>
      </c>
      <c r="Z3811" s="2" t="s">
        <v>169</v>
      </c>
      <c r="AA3811" s="2" t="s">
        <v>169</v>
      </c>
      <c r="AF3811" s="2">
        <f t="shared" si="621"/>
        <v>0</v>
      </c>
      <c r="AJ3811" s="2">
        <f t="shared" si="622"/>
        <v>0</v>
      </c>
      <c r="AK3811" s="2">
        <f t="shared" si="634"/>
        <v>-1</v>
      </c>
      <c r="AL3811" s="5">
        <f t="shared" si="633"/>
        <v>-0.2</v>
      </c>
    </row>
    <row r="3812" spans="1:38" x14ac:dyDescent="0.2">
      <c r="A3812" s="2">
        <v>2026</v>
      </c>
      <c r="B3812" s="2">
        <v>4</v>
      </c>
      <c r="D3812" s="2" t="s">
        <v>2526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2"/>
        <v>0.23333333333333334</v>
      </c>
      <c r="Z3812" s="2" t="s">
        <v>169</v>
      </c>
      <c r="AA3812" s="2" t="s">
        <v>169</v>
      </c>
      <c r="AF3812" s="2">
        <f t="shared" si="621"/>
        <v>0</v>
      </c>
      <c r="AJ3812" s="2">
        <f t="shared" si="622"/>
        <v>0</v>
      </c>
      <c r="AK3812" s="2">
        <f t="shared" si="634"/>
        <v>7</v>
      </c>
      <c r="AL3812" s="5">
        <f t="shared" si="633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2867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2"/>
        <v>0.25</v>
      </c>
      <c r="Z3813" s="2" t="s">
        <v>169</v>
      </c>
      <c r="AA3813" s="2" t="s">
        <v>169</v>
      </c>
      <c r="AF3813" s="2">
        <f t="shared" si="621"/>
        <v>0</v>
      </c>
      <c r="AJ3813" s="2">
        <f t="shared" si="622"/>
        <v>0</v>
      </c>
      <c r="AK3813" s="2">
        <f t="shared" si="634"/>
        <v>2</v>
      </c>
      <c r="AL3813" s="5">
        <f t="shared" si="633"/>
        <v>0.25</v>
      </c>
    </row>
    <row r="3814" spans="1:38" x14ac:dyDescent="0.2">
      <c r="A3814" s="2">
        <v>2026</v>
      </c>
      <c r="B3814" s="2">
        <v>4</v>
      </c>
      <c r="D3814" s="2" t="s">
        <v>2559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2"/>
        <v>-0.53333333333333333</v>
      </c>
      <c r="Z3814" s="2" t="s">
        <v>169</v>
      </c>
      <c r="AA3814" s="2" t="s">
        <v>169</v>
      </c>
      <c r="AF3814" s="2">
        <f t="shared" si="621"/>
        <v>0</v>
      </c>
      <c r="AJ3814" s="2">
        <f t="shared" si="622"/>
        <v>0</v>
      </c>
      <c r="AK3814" s="2">
        <f t="shared" si="634"/>
        <v>-8</v>
      </c>
      <c r="AL3814" s="5">
        <f t="shared" si="633"/>
        <v>-0.53333333333333333</v>
      </c>
    </row>
    <row r="3815" spans="1:38" x14ac:dyDescent="0.2">
      <c r="A3815" s="2">
        <v>2026</v>
      </c>
      <c r="B3815" s="2">
        <v>4</v>
      </c>
      <c r="D3815" s="2" t="s">
        <v>1295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1296</v>
      </c>
      <c r="L3815" s="2" t="s">
        <v>339</v>
      </c>
      <c r="M3815" s="2" t="s">
        <v>80</v>
      </c>
      <c r="O3815" s="2" t="s">
        <v>2888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2"/>
        <v>0.23333333333333334</v>
      </c>
      <c r="Z3815" s="2" t="s">
        <v>169</v>
      </c>
      <c r="AA3815" s="2" t="s">
        <v>169</v>
      </c>
      <c r="AF3815" s="2">
        <f t="shared" si="621"/>
        <v>0</v>
      </c>
      <c r="AG3815" s="2">
        <v>23</v>
      </c>
      <c r="AJ3815" s="2">
        <f t="shared" si="622"/>
        <v>0</v>
      </c>
      <c r="AK3815" s="2">
        <f t="shared" si="634"/>
        <v>7</v>
      </c>
      <c r="AL3815" s="5">
        <f t="shared" si="633"/>
        <v>0.23333333333333334</v>
      </c>
    </row>
    <row r="3816" spans="1:38" x14ac:dyDescent="0.2">
      <c r="A3816" s="2">
        <v>2026</v>
      </c>
      <c r="B3816" s="2">
        <v>4</v>
      </c>
      <c r="C3816" s="2" t="s">
        <v>3467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1"/>
        <v>0</v>
      </c>
      <c r="AJ3816" s="2">
        <f t="shared" si="622"/>
        <v>0</v>
      </c>
      <c r="AK3816" s="2">
        <f t="shared" si="634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2882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5">(T3817-W3817)/T3817</f>
        <v>2.000401846171453E-16</v>
      </c>
      <c r="Z3817" s="2" t="s">
        <v>3226</v>
      </c>
      <c r="AA3817" s="2" t="s">
        <v>96</v>
      </c>
      <c r="AB3817" s="2" t="s">
        <v>76</v>
      </c>
      <c r="AC3817" s="2" t="s">
        <v>93</v>
      </c>
      <c r="AF3817" s="2">
        <f t="shared" si="621"/>
        <v>0</v>
      </c>
      <c r="AJ3817" s="2">
        <f t="shared" si="622"/>
        <v>0</v>
      </c>
      <c r="AK3817" s="2">
        <f t="shared" si="634"/>
        <v>0</v>
      </c>
      <c r="AL3817" s="5">
        <f t="shared" si="633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2883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5"/>
        <v>0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21"/>
        <v>0</v>
      </c>
      <c r="AG3818" s="2">
        <v>1.48</v>
      </c>
      <c r="AH3818" s="2">
        <v>1.48</v>
      </c>
      <c r="AJ3818" s="2">
        <f t="shared" si="622"/>
        <v>0</v>
      </c>
      <c r="AK3818" s="2">
        <f t="shared" si="634"/>
        <v>0</v>
      </c>
      <c r="AL3818" s="5">
        <f t="shared" si="633"/>
        <v>0</v>
      </c>
    </row>
    <row r="3819" spans="1:38" x14ac:dyDescent="0.2">
      <c r="A3819" s="2">
        <v>2026</v>
      </c>
      <c r="B3819" s="2">
        <v>4</v>
      </c>
      <c r="C3819" s="2" t="s">
        <v>3467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5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21"/>
        <v>0</v>
      </c>
      <c r="AJ3819" s="2">
        <f t="shared" si="622"/>
        <v>0</v>
      </c>
      <c r="AK3819" s="2">
        <f t="shared" si="634"/>
        <v>0</v>
      </c>
      <c r="AL3819" s="5">
        <f t="shared" si="633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E3820" s="2" t="s">
        <v>38</v>
      </c>
      <c r="G3820" s="2">
        <v>502714913</v>
      </c>
      <c r="H3820" s="2" t="s">
        <v>40</v>
      </c>
      <c r="I3820" s="2" t="s">
        <v>371</v>
      </c>
      <c r="J3820" s="2" t="s">
        <v>1987</v>
      </c>
      <c r="L3820" s="2" t="s">
        <v>177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5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21"/>
        <v>0</v>
      </c>
      <c r="AJ3820" s="2">
        <f t="shared" si="622"/>
        <v>0</v>
      </c>
      <c r="AK3820" s="2">
        <f t="shared" si="634"/>
        <v>0</v>
      </c>
      <c r="AL3820" s="5">
        <f t="shared" si="633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2885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5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21"/>
        <v>0</v>
      </c>
      <c r="AJ3821" s="2">
        <f t="shared" si="622"/>
        <v>0</v>
      </c>
      <c r="AK3821" s="2">
        <f t="shared" si="634"/>
        <v>0</v>
      </c>
      <c r="AL3821" s="5">
        <f t="shared" si="633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5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21"/>
        <v>0</v>
      </c>
      <c r="AG3822" s="2">
        <v>1.48</v>
      </c>
      <c r="AH3822" s="2">
        <v>1.48</v>
      </c>
      <c r="AJ3822" s="2">
        <f t="shared" si="622"/>
        <v>0</v>
      </c>
      <c r="AK3822" s="2">
        <f t="shared" si="634"/>
        <v>0</v>
      </c>
      <c r="AL3822" s="5">
        <f t="shared" si="633"/>
        <v>0</v>
      </c>
    </row>
    <row r="3823" spans="1:38" x14ac:dyDescent="0.2">
      <c r="A3823" s="2">
        <v>2026</v>
      </c>
      <c r="B3823" s="2">
        <v>4</v>
      </c>
      <c r="D3823" s="2" t="s">
        <v>2877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5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21"/>
        <v>0</v>
      </c>
      <c r="AJ3823" s="2">
        <f t="shared" si="622"/>
        <v>0</v>
      </c>
      <c r="AK3823" s="2">
        <f t="shared" si="634"/>
        <v>0</v>
      </c>
      <c r="AL3823" s="5">
        <f t="shared" si="633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2895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5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21"/>
        <v>0</v>
      </c>
      <c r="AG3824" s="2">
        <v>1.48</v>
      </c>
      <c r="AH3824" s="2">
        <v>1.48</v>
      </c>
      <c r="AJ3824" s="2">
        <f t="shared" si="622"/>
        <v>0</v>
      </c>
      <c r="AK3824" s="2">
        <f t="shared" si="634"/>
        <v>0</v>
      </c>
      <c r="AL3824" s="5">
        <f t="shared" si="633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2873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21"/>
        <v>0</v>
      </c>
      <c r="AJ3825" s="2">
        <f t="shared" si="622"/>
        <v>0</v>
      </c>
      <c r="AK3825" s="2">
        <f t="shared" si="634"/>
        <v>-2.96</v>
      </c>
      <c r="AL3825" s="18">
        <f t="shared" ref="AL3825:AL3826" si="636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1553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1554</v>
      </c>
      <c r="J3826" s="2" t="s">
        <v>1555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21"/>
        <v>0</v>
      </c>
      <c r="AJ3826" s="2">
        <f t="shared" si="622"/>
        <v>0</v>
      </c>
      <c r="AK3826" s="2">
        <f t="shared" si="634"/>
        <v>-2.96</v>
      </c>
      <c r="AL3826" s="18">
        <f t="shared" si="636"/>
        <v>0</v>
      </c>
    </row>
    <row r="3827" spans="1:38" x14ac:dyDescent="0.2">
      <c r="A3827" s="2">
        <v>2026</v>
      </c>
      <c r="B3827" s="2">
        <v>4</v>
      </c>
      <c r="D3827" s="2" t="s">
        <v>2880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7">(T3827-W3827)/T3827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21"/>
        <v>0</v>
      </c>
      <c r="AJ3827" s="2">
        <f t="shared" si="622"/>
        <v>0</v>
      </c>
      <c r="AK3827" s="2">
        <f t="shared" ref="AK3827:AK3858" si="638">T3827-W3827</f>
        <v>0</v>
      </c>
      <c r="AL3827" s="5">
        <f t="shared" ref="AL3827:AL3843" si="639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7"/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21"/>
        <v>0</v>
      </c>
      <c r="AG3828" s="2">
        <v>1.48</v>
      </c>
      <c r="AH3828" s="2">
        <v>1.48</v>
      </c>
      <c r="AJ3828" s="2">
        <f t="shared" si="622"/>
        <v>0</v>
      </c>
      <c r="AK3828" s="2">
        <f t="shared" si="638"/>
        <v>0</v>
      </c>
      <c r="AL3828" s="5">
        <f t="shared" si="639"/>
        <v>0</v>
      </c>
    </row>
    <row r="3829" spans="1:38" x14ac:dyDescent="0.2">
      <c r="A3829" s="2">
        <v>2026</v>
      </c>
      <c r="B3829" s="2">
        <v>4</v>
      </c>
      <c r="C3829" s="2" t="s">
        <v>3444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7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21"/>
        <v>0</v>
      </c>
      <c r="AJ3829" s="2">
        <f t="shared" si="622"/>
        <v>0</v>
      </c>
      <c r="AK3829" s="2">
        <f t="shared" si="638"/>
        <v>0</v>
      </c>
      <c r="AL3829" s="5">
        <f t="shared" si="639"/>
        <v>0</v>
      </c>
    </row>
    <row r="3830" spans="1:38" x14ac:dyDescent="0.2">
      <c r="A3830" s="2">
        <v>2026</v>
      </c>
      <c r="B3830" s="2">
        <v>4</v>
      </c>
      <c r="C3830" s="2" t="s">
        <v>3317</v>
      </c>
      <c r="D3830" s="2" t="s">
        <v>1256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2565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7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21"/>
        <v>0</v>
      </c>
      <c r="AJ3830" s="2">
        <f t="shared" si="622"/>
        <v>0</v>
      </c>
      <c r="AK3830" s="2">
        <f t="shared" si="638"/>
        <v>0</v>
      </c>
      <c r="AL3830" s="5">
        <f t="shared" si="639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2884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7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21"/>
        <v>0</v>
      </c>
      <c r="AG3831" s="2">
        <v>1.48</v>
      </c>
      <c r="AH3831" s="2">
        <v>1.48</v>
      </c>
      <c r="AJ3831" s="2">
        <f t="shared" si="622"/>
        <v>0</v>
      </c>
      <c r="AK3831" s="2">
        <f t="shared" si="638"/>
        <v>0</v>
      </c>
      <c r="AL3831" s="5">
        <f t="shared" si="639"/>
        <v>0</v>
      </c>
    </row>
    <row r="3832" spans="1:38" x14ac:dyDescent="0.2">
      <c r="A3832" s="2">
        <v>2026</v>
      </c>
      <c r="B3832" s="2">
        <v>4</v>
      </c>
      <c r="D3832" s="2" t="s">
        <v>2526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7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21"/>
        <v>0</v>
      </c>
      <c r="AJ3832" s="2">
        <f t="shared" si="622"/>
        <v>0</v>
      </c>
      <c r="AK3832" s="2">
        <f t="shared" si="638"/>
        <v>0</v>
      </c>
      <c r="AL3832" s="5">
        <f t="shared" si="639"/>
        <v>0</v>
      </c>
    </row>
    <row r="3833" spans="1:38" x14ac:dyDescent="0.2">
      <c r="A3833" s="2">
        <v>2026</v>
      </c>
      <c r="B3833" s="2">
        <v>4</v>
      </c>
      <c r="D3833" s="2" t="s">
        <v>1419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1272</v>
      </c>
      <c r="J3833" s="2" t="s">
        <v>2394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7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21"/>
        <v>0</v>
      </c>
      <c r="AJ3833" s="2">
        <f t="shared" si="622"/>
        <v>0</v>
      </c>
      <c r="AK3833" s="2">
        <f t="shared" si="638"/>
        <v>0</v>
      </c>
      <c r="AL3833" s="5">
        <f t="shared" si="639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2876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7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21"/>
        <v>0</v>
      </c>
      <c r="AG3834" s="2">
        <v>1.48</v>
      </c>
      <c r="AH3834" s="2">
        <v>1.48</v>
      </c>
      <c r="AJ3834" s="2">
        <f t="shared" si="622"/>
        <v>0</v>
      </c>
      <c r="AK3834" s="2">
        <f t="shared" si="638"/>
        <v>0</v>
      </c>
      <c r="AL3834" s="5">
        <f t="shared" si="639"/>
        <v>0</v>
      </c>
    </row>
    <row r="3835" spans="1:38" x14ac:dyDescent="0.2">
      <c r="A3835" s="2">
        <v>2026</v>
      </c>
      <c r="B3835" s="2">
        <v>4</v>
      </c>
      <c r="C3835" s="2" t="s">
        <v>3519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7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21"/>
        <v>0</v>
      </c>
      <c r="AJ3835" s="2">
        <f t="shared" si="622"/>
        <v>0</v>
      </c>
      <c r="AK3835" s="2">
        <f t="shared" si="638"/>
        <v>0</v>
      </c>
      <c r="AL3835" s="5">
        <f t="shared" si="639"/>
        <v>0</v>
      </c>
    </row>
    <row r="3836" spans="1:38" x14ac:dyDescent="0.2">
      <c r="A3836" s="2">
        <v>2026</v>
      </c>
      <c r="B3836" s="2">
        <v>4</v>
      </c>
      <c r="D3836" s="2" t="s">
        <v>2559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7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21"/>
        <v>0</v>
      </c>
      <c r="AJ3836" s="2">
        <f t="shared" si="622"/>
        <v>0</v>
      </c>
      <c r="AK3836" s="2">
        <f t="shared" si="638"/>
        <v>0</v>
      </c>
      <c r="AL3836" s="5">
        <f t="shared" si="639"/>
        <v>0</v>
      </c>
    </row>
    <row r="3837" spans="1:38" x14ac:dyDescent="0.2">
      <c r="A3837" s="2">
        <v>2026</v>
      </c>
      <c r="B3837" s="2">
        <v>4</v>
      </c>
      <c r="D3837" s="2" t="s">
        <v>1295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1296</v>
      </c>
      <c r="L3837" s="2" t="s">
        <v>339</v>
      </c>
      <c r="M3837" s="2" t="s">
        <v>80</v>
      </c>
      <c r="O3837" s="2" t="s">
        <v>2911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7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21"/>
        <v>0</v>
      </c>
      <c r="AG3837" s="2">
        <v>1.48</v>
      </c>
      <c r="AH3837" s="2">
        <v>1.48</v>
      </c>
      <c r="AJ3837" s="2">
        <f t="shared" si="622"/>
        <v>0</v>
      </c>
      <c r="AK3837" s="2">
        <f t="shared" si="638"/>
        <v>0</v>
      </c>
      <c r="AL3837" s="5">
        <f t="shared" si="639"/>
        <v>0</v>
      </c>
    </row>
    <row r="3838" spans="1:38" x14ac:dyDescent="0.2">
      <c r="A3838" s="2">
        <v>2026</v>
      </c>
      <c r="B3838" s="2">
        <v>4</v>
      </c>
      <c r="D3838" s="2" t="s">
        <v>1955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7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21"/>
        <v>0</v>
      </c>
      <c r="AJ3838" s="2">
        <f t="shared" si="622"/>
        <v>0</v>
      </c>
      <c r="AK3838" s="2">
        <f t="shared" si="638"/>
        <v>0</v>
      </c>
      <c r="AL3838" s="5">
        <f t="shared" si="639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2903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1"/>
        <v>0</v>
      </c>
      <c r="AJ3839" s="2">
        <f t="shared" si="622"/>
        <v>0</v>
      </c>
      <c r="AK3839" s="2">
        <f t="shared" si="638"/>
        <v>0</v>
      </c>
      <c r="AL3839" s="5" t="e">
        <f t="shared" si="639"/>
        <v>#DIV/0!</v>
      </c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40">T3840*70%</f>
        <v>50.658999999999999</v>
      </c>
      <c r="X3840" s="5">
        <f>(T3840-W3840)/T3840</f>
        <v>0.30000000000000004</v>
      </c>
      <c r="Z3840" s="2" t="s">
        <v>119</v>
      </c>
      <c r="AA3840" s="2" t="s">
        <v>3378</v>
      </c>
      <c r="AF3840" s="2">
        <f t="shared" si="621"/>
        <v>0</v>
      </c>
      <c r="AJ3840" s="2">
        <f t="shared" si="622"/>
        <v>0</v>
      </c>
      <c r="AK3840" s="2">
        <f t="shared" si="638"/>
        <v>21.711000000000006</v>
      </c>
      <c r="AL3840" s="5">
        <f t="shared" si="639"/>
        <v>0.30000000000000004</v>
      </c>
    </row>
    <row r="3841" spans="1:38" x14ac:dyDescent="0.2">
      <c r="A3841" s="2">
        <v>2026</v>
      </c>
      <c r="B3841" s="2">
        <v>4</v>
      </c>
      <c r="C3841" s="2" t="s">
        <v>3467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2912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40"/>
        <v>200.452</v>
      </c>
      <c r="X3841" s="5">
        <f>(T3841-W3841)/T3841</f>
        <v>0.30000000000000004</v>
      </c>
      <c r="Z3841" s="2" t="s">
        <v>3226</v>
      </c>
      <c r="AA3841" s="2" t="s">
        <v>87</v>
      </c>
      <c r="AB3841" s="2" t="s">
        <v>119</v>
      </c>
      <c r="AC3841" s="2" t="s">
        <v>119</v>
      </c>
      <c r="AF3841" s="2">
        <f t="shared" ref="AF3841:AF3904" si="641">AJ3841</f>
        <v>0</v>
      </c>
      <c r="AJ3841" s="2">
        <f t="shared" ref="AJ3841:AJ3904" si="642">AI3841*T3841</f>
        <v>0</v>
      </c>
      <c r="AK3841" s="2">
        <f t="shared" si="638"/>
        <v>85.908000000000015</v>
      </c>
      <c r="AL3841" s="5">
        <f t="shared" si="639"/>
        <v>0.30000000000000004</v>
      </c>
    </row>
    <row r="3842" spans="1:38" x14ac:dyDescent="0.2">
      <c r="A3842" s="2">
        <v>2026</v>
      </c>
      <c r="B3842" s="2">
        <v>4</v>
      </c>
      <c r="D3842" s="2" t="s">
        <v>2908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40"/>
        <v>52.674999999999997</v>
      </c>
      <c r="X3842" s="5">
        <f>(T3842-W3842)/T3842</f>
        <v>0.30000000000000004</v>
      </c>
      <c r="Z3842" s="2" t="s">
        <v>119</v>
      </c>
      <c r="AA3842" s="2" t="s">
        <v>3378</v>
      </c>
      <c r="AF3842" s="2">
        <f t="shared" si="641"/>
        <v>0</v>
      </c>
      <c r="AJ3842" s="2">
        <f t="shared" si="642"/>
        <v>0</v>
      </c>
      <c r="AK3842" s="2">
        <f t="shared" si="638"/>
        <v>22.575000000000003</v>
      </c>
      <c r="AL3842" s="5">
        <f t="shared" si="639"/>
        <v>0.30000000000000004</v>
      </c>
    </row>
    <row r="3843" spans="1:38" x14ac:dyDescent="0.2">
      <c r="A3843" s="2">
        <v>2026</v>
      </c>
      <c r="B3843" s="2">
        <v>5</v>
      </c>
      <c r="C3843" s="2" t="s">
        <v>3368</v>
      </c>
      <c r="D3843" s="2" t="s">
        <v>37</v>
      </c>
      <c r="E3843" s="2" t="s">
        <v>38</v>
      </c>
      <c r="F3843" s="2" t="s">
        <v>39</v>
      </c>
      <c r="H3843" s="2" t="s">
        <v>40</v>
      </c>
      <c r="L3843" s="2" t="s">
        <v>133</v>
      </c>
      <c r="M3843" s="2" t="s">
        <v>80</v>
      </c>
      <c r="P3843" s="2" t="s">
        <v>152</v>
      </c>
      <c r="Q3843" s="2" t="s">
        <v>1940</v>
      </c>
      <c r="R3843" s="2" t="s">
        <v>1941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3226</v>
      </c>
      <c r="AA3843" s="2" t="s">
        <v>155</v>
      </c>
      <c r="AB3843" s="2" t="s">
        <v>1941</v>
      </c>
      <c r="AC3843" s="2" t="s">
        <v>152</v>
      </c>
      <c r="AF3843" s="2">
        <f t="shared" si="641"/>
        <v>0</v>
      </c>
      <c r="AJ3843" s="2">
        <f t="shared" si="642"/>
        <v>0</v>
      </c>
      <c r="AK3843" s="2">
        <f t="shared" si="638"/>
        <v>8.4</v>
      </c>
      <c r="AL3843" s="5">
        <f t="shared" si="639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3226</v>
      </c>
      <c r="AA3844" s="2" t="s">
        <v>46</v>
      </c>
      <c r="AB3844" s="2" t="s">
        <v>47</v>
      </c>
      <c r="AC3844" s="2" t="s">
        <v>57</v>
      </c>
      <c r="AF3844" s="2">
        <f t="shared" si="641"/>
        <v>0</v>
      </c>
      <c r="AG3844" s="2">
        <v>6.6266999999999996</v>
      </c>
      <c r="AH3844" s="2">
        <v>12</v>
      </c>
      <c r="AJ3844" s="2">
        <f t="shared" si="642"/>
        <v>0</v>
      </c>
      <c r="AK3844" s="2">
        <f t="shared" si="638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3">(T3845-W3845)/T3845</f>
        <v>0.24822695035460993</v>
      </c>
      <c r="Z3845" s="2" t="s">
        <v>3226</v>
      </c>
      <c r="AA3845" s="2" t="s">
        <v>46</v>
      </c>
      <c r="AB3845" s="2" t="s">
        <v>56</v>
      </c>
      <c r="AC3845" s="2" t="s">
        <v>57</v>
      </c>
      <c r="AF3845" s="2">
        <f t="shared" si="641"/>
        <v>0</v>
      </c>
      <c r="AG3845" s="2">
        <v>10.6</v>
      </c>
      <c r="AH3845" s="2">
        <v>18</v>
      </c>
      <c r="AJ3845" s="2">
        <f t="shared" si="642"/>
        <v>0</v>
      </c>
      <c r="AK3845" s="2">
        <f t="shared" si="638"/>
        <v>17.5</v>
      </c>
      <c r="AL3845" s="5">
        <f t="shared" ref="AL3845:AL3876" si="644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3"/>
        <v>0.30212765957446802</v>
      </c>
      <c r="Z3846" s="2" t="s">
        <v>3226</v>
      </c>
      <c r="AA3846" s="2" t="s">
        <v>46</v>
      </c>
      <c r="AB3846" s="2" t="s">
        <v>60</v>
      </c>
      <c r="AC3846" s="2" t="s">
        <v>57</v>
      </c>
      <c r="AF3846" s="2">
        <f t="shared" si="641"/>
        <v>0</v>
      </c>
      <c r="AG3846" s="2">
        <v>8.1999999999999993</v>
      </c>
      <c r="AH3846" s="2">
        <v>13</v>
      </c>
      <c r="AJ3846" s="2">
        <f t="shared" si="642"/>
        <v>0</v>
      </c>
      <c r="AK3846" s="2">
        <f t="shared" si="638"/>
        <v>14.199999999999996</v>
      </c>
      <c r="AL3846" s="5">
        <f t="shared" si="644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3"/>
        <v>0.5243888888888889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41"/>
        <v>0</v>
      </c>
      <c r="AG3847" s="2">
        <v>0.85609999999999997</v>
      </c>
      <c r="AH3847" s="2">
        <v>1.8</v>
      </c>
      <c r="AJ3847" s="2">
        <f t="shared" si="642"/>
        <v>0</v>
      </c>
      <c r="AK3847" s="2">
        <f t="shared" si="638"/>
        <v>18.878</v>
      </c>
      <c r="AL3847" s="5">
        <f t="shared" si="644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3"/>
        <v>0.62926666666666664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41"/>
        <v>0</v>
      </c>
      <c r="AG3848" s="2">
        <v>1.1122000000000001</v>
      </c>
      <c r="AH3848" s="2">
        <v>3</v>
      </c>
      <c r="AJ3848" s="2">
        <f t="shared" si="642"/>
        <v>0</v>
      </c>
      <c r="AK3848" s="2">
        <f t="shared" si="638"/>
        <v>32.092599999999997</v>
      </c>
      <c r="AL3848" s="5">
        <f t="shared" si="644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3"/>
        <v>0.35396559139784944</v>
      </c>
      <c r="Z3849" s="2" t="s">
        <v>3226</v>
      </c>
      <c r="AA3849" s="2" t="s">
        <v>46</v>
      </c>
      <c r="AB3849" s="2" t="s">
        <v>67</v>
      </c>
      <c r="AC3849" s="2" t="s">
        <v>57</v>
      </c>
      <c r="AF3849" s="2">
        <f t="shared" si="641"/>
        <v>0</v>
      </c>
      <c r="AG3849" s="2">
        <v>15.020300000000001</v>
      </c>
      <c r="AH3849" s="2">
        <v>27.6</v>
      </c>
      <c r="AJ3849" s="2">
        <f t="shared" si="642"/>
        <v>0</v>
      </c>
      <c r="AK3849" s="2">
        <f t="shared" si="638"/>
        <v>32.918799999999997</v>
      </c>
      <c r="AL3849" s="5">
        <f t="shared" si="644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2913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3"/>
        <v>0.47936318238081005</v>
      </c>
      <c r="Z3850" s="2" t="s">
        <v>3226</v>
      </c>
      <c r="AA3850" s="2" t="s">
        <v>75</v>
      </c>
      <c r="AB3850" s="2" t="s">
        <v>76</v>
      </c>
      <c r="AC3850" s="2" t="s">
        <v>77</v>
      </c>
      <c r="AF3850" s="2">
        <f t="shared" si="641"/>
        <v>0</v>
      </c>
      <c r="AJ3850" s="2">
        <f t="shared" si="642"/>
        <v>0</v>
      </c>
      <c r="AK3850" s="2">
        <f t="shared" si="638"/>
        <v>112.30999999999999</v>
      </c>
      <c r="AL3850" s="5">
        <f t="shared" si="644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2914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3"/>
        <v>0.46581160100729863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41"/>
        <v>0</v>
      </c>
      <c r="AJ3851" s="2">
        <f t="shared" si="642"/>
        <v>0</v>
      </c>
      <c r="AK3851" s="2">
        <f t="shared" si="638"/>
        <v>109.13499999999999</v>
      </c>
      <c r="AL3851" s="5">
        <f t="shared" si="644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2915</v>
      </c>
      <c r="P3852" s="2" t="s">
        <v>72</v>
      </c>
      <c r="Q3852" s="2" t="s">
        <v>1449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3"/>
        <v>0.12538571428571429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41"/>
        <v>0</v>
      </c>
      <c r="AG3852" s="2">
        <v>122.446</v>
      </c>
      <c r="AH3852" s="2">
        <v>230</v>
      </c>
      <c r="AJ3852" s="2">
        <f t="shared" si="642"/>
        <v>0</v>
      </c>
      <c r="AK3852" s="2">
        <f t="shared" si="638"/>
        <v>17.554000000000002</v>
      </c>
      <c r="AL3852" s="5">
        <f t="shared" si="644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1378</v>
      </c>
      <c r="Q3853" s="2" t="s">
        <v>2916</v>
      </c>
      <c r="R3853" s="2" t="s">
        <v>2917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3"/>
        <v>0.31552942648070553</v>
      </c>
      <c r="Z3853" s="2" t="s">
        <v>3226</v>
      </c>
      <c r="AA3853" s="2" t="s">
        <v>1041</v>
      </c>
      <c r="AB3853" s="2" t="s">
        <v>1270</v>
      </c>
      <c r="AC3853" s="2" t="s">
        <v>1378</v>
      </c>
      <c r="AF3853" s="2">
        <f t="shared" si="641"/>
        <v>0</v>
      </c>
      <c r="AJ3853" s="2">
        <f t="shared" si="642"/>
        <v>0</v>
      </c>
      <c r="AK3853" s="2">
        <f t="shared" si="638"/>
        <v>151.35000000000002</v>
      </c>
      <c r="AL3853" s="5">
        <f t="shared" si="644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2918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3"/>
        <v>2.000401846171453E-16</v>
      </c>
      <c r="Z3854" s="2" t="s">
        <v>3226</v>
      </c>
      <c r="AA3854" s="2" t="s">
        <v>96</v>
      </c>
      <c r="AB3854" s="2" t="s">
        <v>76</v>
      </c>
      <c r="AC3854" s="2" t="s">
        <v>93</v>
      </c>
      <c r="AF3854" s="2">
        <f t="shared" si="641"/>
        <v>0</v>
      </c>
      <c r="AJ3854" s="2">
        <f t="shared" si="642"/>
        <v>0</v>
      </c>
      <c r="AK3854" s="2">
        <f t="shared" si="638"/>
        <v>0</v>
      </c>
      <c r="AL3854" s="5">
        <f t="shared" si="644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2919</v>
      </c>
      <c r="R3855" s="2" t="s">
        <v>2920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3"/>
        <v>1</v>
      </c>
      <c r="Z3855" s="2" t="s">
        <v>119</v>
      </c>
      <c r="AA3855" s="2" t="s">
        <v>2921</v>
      </c>
      <c r="AF3855" s="2">
        <f t="shared" si="641"/>
        <v>0</v>
      </c>
      <c r="AJ3855" s="2">
        <f t="shared" si="642"/>
        <v>0</v>
      </c>
      <c r="AK3855" s="2">
        <f t="shared" si="638"/>
        <v>200</v>
      </c>
      <c r="AL3855" s="5">
        <f t="shared" si="644"/>
        <v>1</v>
      </c>
    </row>
    <row r="3856" spans="1:38" x14ac:dyDescent="0.2">
      <c r="A3856" s="2">
        <v>2026</v>
      </c>
      <c r="B3856" s="2">
        <v>5</v>
      </c>
      <c r="D3856" s="2" t="s">
        <v>1324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3"/>
        <v>0.41111111111111115</v>
      </c>
      <c r="Z3856" s="2" t="s">
        <v>3226</v>
      </c>
      <c r="AA3856" s="2" t="s">
        <v>46</v>
      </c>
      <c r="AB3856" s="2" t="s">
        <v>56</v>
      </c>
      <c r="AC3856" s="2" t="s">
        <v>57</v>
      </c>
      <c r="AF3856" s="2">
        <f t="shared" si="641"/>
        <v>0</v>
      </c>
      <c r="AG3856" s="2">
        <v>10.6</v>
      </c>
      <c r="AH3856" s="2">
        <v>18</v>
      </c>
      <c r="AJ3856" s="2">
        <f t="shared" si="642"/>
        <v>0</v>
      </c>
      <c r="AK3856" s="2">
        <f t="shared" si="638"/>
        <v>14.8</v>
      </c>
      <c r="AL3856" s="5">
        <f t="shared" si="644"/>
        <v>0.41111111111111115</v>
      </c>
    </row>
    <row r="3857" spans="1:38" x14ac:dyDescent="0.2">
      <c r="A3857" s="2">
        <v>2026</v>
      </c>
      <c r="B3857" s="2">
        <v>5</v>
      </c>
      <c r="C3857" s="2" t="s">
        <v>3368</v>
      </c>
      <c r="D3857" s="2" t="s">
        <v>1324</v>
      </c>
      <c r="E3857" s="2" t="s">
        <v>38</v>
      </c>
      <c r="F3857" s="2" t="s">
        <v>39</v>
      </c>
      <c r="H3857" s="2" t="s">
        <v>41</v>
      </c>
      <c r="I3857" s="2" t="s">
        <v>3367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3"/>
        <v>0.58173666666666668</v>
      </c>
      <c r="Z3857" s="2" t="s">
        <v>3226</v>
      </c>
      <c r="AA3857" s="2" t="s">
        <v>46</v>
      </c>
      <c r="AB3857" s="2" t="s">
        <v>90</v>
      </c>
      <c r="AC3857" s="2" t="s">
        <v>57</v>
      </c>
      <c r="AF3857" s="2">
        <f t="shared" si="641"/>
        <v>0</v>
      </c>
      <c r="AJ3857" s="2">
        <f t="shared" si="642"/>
        <v>0</v>
      </c>
      <c r="AK3857" s="2">
        <f t="shared" si="638"/>
        <v>34.904200000000003</v>
      </c>
      <c r="AL3857" s="5">
        <f t="shared" si="644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2922</v>
      </c>
      <c r="P3858" s="2" t="s">
        <v>282</v>
      </c>
      <c r="Q3858" s="2" t="s">
        <v>2124</v>
      </c>
      <c r="R3858" s="2" t="s">
        <v>2125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3"/>
        <v>0.39115929941618016</v>
      </c>
      <c r="Z3858" s="2" t="s">
        <v>3226</v>
      </c>
      <c r="AA3858" s="2" t="s">
        <v>71</v>
      </c>
      <c r="AB3858" s="2" t="s">
        <v>1600</v>
      </c>
      <c r="AC3858" s="2" t="s">
        <v>1600</v>
      </c>
      <c r="AF3858" s="2">
        <f t="shared" si="641"/>
        <v>0</v>
      </c>
      <c r="AG3858" s="2">
        <v>73</v>
      </c>
      <c r="AJ3858" s="2">
        <f t="shared" si="642"/>
        <v>0</v>
      </c>
      <c r="AK3858" s="2">
        <f t="shared" si="638"/>
        <v>46.900000000000006</v>
      </c>
      <c r="AL3858" s="5">
        <f t="shared" si="644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3"/>
        <v>0.34958766583004658</v>
      </c>
      <c r="Z3859" s="2" t="s">
        <v>3226</v>
      </c>
      <c r="AA3859" s="2" t="s">
        <v>71</v>
      </c>
      <c r="AB3859" s="2" t="s">
        <v>119</v>
      </c>
      <c r="AC3859" s="2" t="s">
        <v>119</v>
      </c>
      <c r="AF3859" s="2">
        <f t="shared" si="641"/>
        <v>0</v>
      </c>
      <c r="AG3859" s="2">
        <v>18.14</v>
      </c>
      <c r="AJ3859" s="2">
        <f t="shared" si="642"/>
        <v>0</v>
      </c>
      <c r="AK3859" s="2">
        <f t="shared" ref="AK3859:AK3890" si="645">T3859-W3859</f>
        <v>9.75</v>
      </c>
      <c r="AL3859" s="5">
        <f t="shared" si="644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43</v>
      </c>
      <c r="Q3860" s="2" t="s">
        <v>2923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3"/>
        <v>0.51574074074074072</v>
      </c>
      <c r="Z3860" s="2" t="s">
        <v>3226</v>
      </c>
      <c r="AA3860" s="2" t="s">
        <v>46</v>
      </c>
      <c r="AB3860" s="2" t="s">
        <v>90</v>
      </c>
      <c r="AC3860" s="2" t="s">
        <v>57</v>
      </c>
      <c r="AF3860" s="2">
        <f t="shared" si="641"/>
        <v>0</v>
      </c>
      <c r="AG3860" s="2">
        <v>5.23</v>
      </c>
      <c r="AH3860" s="2">
        <v>10.8</v>
      </c>
      <c r="AJ3860" s="2">
        <f t="shared" si="642"/>
        <v>0</v>
      </c>
      <c r="AK3860" s="2">
        <f t="shared" si="645"/>
        <v>5.57</v>
      </c>
      <c r="AL3860" s="5">
        <f t="shared" si="644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2924</v>
      </c>
      <c r="R3861" s="2" t="s">
        <v>2925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3"/>
        <v>0.73055555555555551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41"/>
        <v>0</v>
      </c>
      <c r="AG3861" s="2">
        <v>0.97</v>
      </c>
      <c r="AH3861" s="2">
        <v>6</v>
      </c>
      <c r="AJ3861" s="2">
        <f t="shared" si="642"/>
        <v>0</v>
      </c>
      <c r="AK3861" s="2">
        <f t="shared" si="645"/>
        <v>10.52</v>
      </c>
      <c r="AL3861" s="5">
        <f t="shared" si="644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3"/>
        <v>0.53121428571428575</v>
      </c>
      <c r="Z3862" s="2" t="s">
        <v>3226</v>
      </c>
      <c r="AA3862" s="2" t="s">
        <v>46</v>
      </c>
      <c r="AB3862" s="2" t="s">
        <v>56</v>
      </c>
      <c r="AC3862" s="2" t="s">
        <v>57</v>
      </c>
      <c r="AF3862" s="2">
        <f t="shared" si="641"/>
        <v>0</v>
      </c>
      <c r="AG3862" s="2">
        <v>5.9066999999999998</v>
      </c>
      <c r="AH3862" s="2">
        <v>12.6</v>
      </c>
      <c r="AJ3862" s="2">
        <f t="shared" si="642"/>
        <v>0</v>
      </c>
      <c r="AK3862" s="2">
        <f t="shared" si="645"/>
        <v>6.6932999999999998</v>
      </c>
      <c r="AL3862" s="5">
        <f t="shared" si="644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3"/>
        <v>0.49849305555555556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41"/>
        <v>0</v>
      </c>
      <c r="AG3863" s="2">
        <v>7.2217000000000002</v>
      </c>
      <c r="AH3863" s="2">
        <v>14.4</v>
      </c>
      <c r="AJ3863" s="2">
        <f t="shared" si="642"/>
        <v>0</v>
      </c>
      <c r="AK3863" s="2">
        <f t="shared" si="645"/>
        <v>7.1783000000000001</v>
      </c>
      <c r="AL3863" s="5">
        <f t="shared" si="644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3"/>
        <v>0.47844827586206895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41"/>
        <v>0</v>
      </c>
      <c r="AJ3864" s="2">
        <f t="shared" si="642"/>
        <v>0</v>
      </c>
      <c r="AK3864" s="2">
        <f t="shared" si="645"/>
        <v>8.3249999999999993</v>
      </c>
      <c r="AL3864" s="5">
        <f t="shared" si="644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3"/>
        <v>0.47404761904761905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41"/>
        <v>0</v>
      </c>
      <c r="AJ3865" s="2">
        <f t="shared" si="642"/>
        <v>0</v>
      </c>
      <c r="AK3865" s="2">
        <f t="shared" si="645"/>
        <v>9.9550000000000001</v>
      </c>
      <c r="AL3865" s="5">
        <f t="shared" si="644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3"/>
        <v>0.4679880952380952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41"/>
        <v>0</v>
      </c>
      <c r="AJ3866" s="2">
        <f t="shared" si="642"/>
        <v>0</v>
      </c>
      <c r="AK3866" s="2">
        <f t="shared" si="645"/>
        <v>11.793299999999999</v>
      </c>
      <c r="AL3866" s="5">
        <f t="shared" si="644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3"/>
        <v>0.45916999999999997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41"/>
        <v>0</v>
      </c>
      <c r="AJ3867" s="2">
        <f t="shared" si="642"/>
        <v>0</v>
      </c>
      <c r="AK3867" s="2">
        <f t="shared" si="645"/>
        <v>13.775099999999998</v>
      </c>
      <c r="AL3867" s="5">
        <f t="shared" si="644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3"/>
        <v>0.48696666666666666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41"/>
        <v>0</v>
      </c>
      <c r="AJ3868" s="2">
        <f t="shared" si="642"/>
        <v>0</v>
      </c>
      <c r="AK3868" s="2">
        <f t="shared" si="645"/>
        <v>8.7653999999999996</v>
      </c>
      <c r="AL3868" s="5">
        <f t="shared" si="644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3"/>
        <v>0.46834848484848485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41"/>
        <v>0</v>
      </c>
      <c r="AJ3869" s="2">
        <f t="shared" si="642"/>
        <v>0</v>
      </c>
      <c r="AK3869" s="2">
        <f t="shared" si="645"/>
        <v>9.2733000000000008</v>
      </c>
      <c r="AL3869" s="5">
        <f t="shared" si="644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3"/>
        <v>0.46226315789473682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41"/>
        <v>0</v>
      </c>
      <c r="AJ3870" s="2">
        <f t="shared" si="642"/>
        <v>0</v>
      </c>
      <c r="AK3870" s="2">
        <f t="shared" si="645"/>
        <v>10.5396</v>
      </c>
      <c r="AL3870" s="5">
        <f t="shared" si="644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3"/>
        <v>0.47041666666666665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41"/>
        <v>0</v>
      </c>
      <c r="AJ3871" s="2">
        <f t="shared" si="642"/>
        <v>0</v>
      </c>
      <c r="AK3871" s="2">
        <f t="shared" si="645"/>
        <v>11.29</v>
      </c>
      <c r="AL3871" s="5">
        <f t="shared" si="644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3"/>
        <v>0.26896551724137929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41"/>
        <v>0</v>
      </c>
      <c r="AG3872" s="2">
        <v>10.6</v>
      </c>
      <c r="AH3872" s="2">
        <v>18</v>
      </c>
      <c r="AJ3872" s="2">
        <f t="shared" si="642"/>
        <v>0</v>
      </c>
      <c r="AK3872" s="2">
        <f t="shared" si="645"/>
        <v>39</v>
      </c>
      <c r="AL3872" s="5">
        <f t="shared" si="644"/>
        <v>0.26896551724137929</v>
      </c>
    </row>
    <row r="3873" spans="1:38" x14ac:dyDescent="0.2">
      <c r="A3873" s="2">
        <v>2026</v>
      </c>
      <c r="B3873" s="2">
        <v>5</v>
      </c>
      <c r="C3873" s="2" t="s">
        <v>3370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3"/>
        <v>0.49808399999999997</v>
      </c>
      <c r="Z3873" s="2" t="s">
        <v>3226</v>
      </c>
      <c r="AA3873" s="2" t="s">
        <v>46</v>
      </c>
      <c r="AB3873" s="2" t="s">
        <v>90</v>
      </c>
      <c r="AC3873" s="2" t="s">
        <v>57</v>
      </c>
      <c r="AF3873" s="2">
        <f t="shared" si="641"/>
        <v>0</v>
      </c>
      <c r="AG3873" s="2">
        <v>25.094999999999999</v>
      </c>
      <c r="AH3873" s="2">
        <v>66</v>
      </c>
      <c r="AJ3873" s="2">
        <f t="shared" si="642"/>
        <v>0</v>
      </c>
      <c r="AK3873" s="2">
        <f t="shared" si="645"/>
        <v>24.904199999999999</v>
      </c>
      <c r="AL3873" s="5">
        <f t="shared" si="644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3"/>
        <v>0.29692307692307701</v>
      </c>
      <c r="Z3874" s="2" t="s">
        <v>3226</v>
      </c>
      <c r="AA3874" s="2" t="s">
        <v>46</v>
      </c>
      <c r="AB3874" s="2" t="s">
        <v>60</v>
      </c>
      <c r="AC3874" s="2" t="s">
        <v>57</v>
      </c>
      <c r="AF3874" s="2">
        <f t="shared" si="641"/>
        <v>0</v>
      </c>
      <c r="AG3874" s="2">
        <v>9.14</v>
      </c>
      <c r="AH3874" s="2">
        <v>16</v>
      </c>
      <c r="AJ3874" s="2">
        <f t="shared" si="642"/>
        <v>0</v>
      </c>
      <c r="AK3874" s="2">
        <f t="shared" si="645"/>
        <v>3.8600000000000012</v>
      </c>
      <c r="AL3874" s="5">
        <f t="shared" si="644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3"/>
        <v>0.36923076923076914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41"/>
        <v>0</v>
      </c>
      <c r="AG3875" s="2">
        <v>8.1999999999999993</v>
      </c>
      <c r="AH3875" s="2">
        <v>13</v>
      </c>
      <c r="AJ3875" s="2">
        <f t="shared" si="642"/>
        <v>0</v>
      </c>
      <c r="AK3875" s="2">
        <f t="shared" si="645"/>
        <v>19.199999999999996</v>
      </c>
      <c r="AL3875" s="5">
        <f t="shared" si="644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3"/>
        <v>0.29692307692307701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41"/>
        <v>0</v>
      </c>
      <c r="AJ3876" s="2">
        <f t="shared" si="642"/>
        <v>0</v>
      </c>
      <c r="AK3876" s="2">
        <f t="shared" si="645"/>
        <v>3.8600000000000012</v>
      </c>
      <c r="AL3876" s="5">
        <f t="shared" si="644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6">(T3877-W3877)/T3877</f>
        <v>0.5243888888888889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41"/>
        <v>0</v>
      </c>
      <c r="AG3877" s="2">
        <v>0.85609999999999997</v>
      </c>
      <c r="AH3877" s="2">
        <v>1.8</v>
      </c>
      <c r="AJ3877" s="2">
        <f t="shared" si="642"/>
        <v>0</v>
      </c>
      <c r="AK3877" s="2">
        <f t="shared" si="645"/>
        <v>7.5512000000000006</v>
      </c>
      <c r="AL3877" s="5">
        <f t="shared" ref="AL3877:AL3913" si="647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6"/>
        <v>0.62926666666666664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41"/>
        <v>0</v>
      </c>
      <c r="AG3878" s="2">
        <v>1.1122000000000001</v>
      </c>
      <c r="AH3878" s="2">
        <v>3</v>
      </c>
      <c r="AJ3878" s="2">
        <f t="shared" si="642"/>
        <v>0</v>
      </c>
      <c r="AK3878" s="2">
        <f t="shared" si="645"/>
        <v>15.102399999999999</v>
      </c>
      <c r="AL3878" s="5">
        <f t="shared" si="647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6"/>
        <v>0.5295333333333333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41"/>
        <v>0</v>
      </c>
      <c r="AG3879" s="2">
        <v>1.4114</v>
      </c>
      <c r="AH3879" s="2">
        <v>3</v>
      </c>
      <c r="AJ3879" s="2">
        <f t="shared" si="642"/>
        <v>0</v>
      </c>
      <c r="AK3879" s="2">
        <f t="shared" si="645"/>
        <v>6.3544</v>
      </c>
      <c r="AL3879" s="5">
        <f t="shared" si="647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6"/>
        <v>0.43583333333333329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41"/>
        <v>0</v>
      </c>
      <c r="AJ3880" s="2">
        <f t="shared" si="642"/>
        <v>0</v>
      </c>
      <c r="AK3880" s="2">
        <f t="shared" si="645"/>
        <v>5.2299999999999995</v>
      </c>
      <c r="AL3880" s="5">
        <f t="shared" si="647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6"/>
        <v>0.34694347826086952</v>
      </c>
      <c r="Z3881" s="2" t="s">
        <v>3226</v>
      </c>
      <c r="AA3881" s="2" t="s">
        <v>46</v>
      </c>
      <c r="AB3881" s="2" t="s">
        <v>67</v>
      </c>
      <c r="AC3881" s="2" t="s">
        <v>57</v>
      </c>
      <c r="AF3881" s="2">
        <f t="shared" si="641"/>
        <v>0</v>
      </c>
      <c r="AG3881" s="2">
        <v>15.020300000000001</v>
      </c>
      <c r="AH3881" s="2">
        <v>27.6</v>
      </c>
      <c r="AJ3881" s="2">
        <f t="shared" si="642"/>
        <v>0</v>
      </c>
      <c r="AK3881" s="2">
        <f t="shared" si="645"/>
        <v>7.9796999999999993</v>
      </c>
      <c r="AL3881" s="5">
        <f t="shared" si="647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6"/>
        <v>0.36042307692307685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41"/>
        <v>0</v>
      </c>
      <c r="AG3882" s="2">
        <v>8.3145000000000007</v>
      </c>
      <c r="AH3882" s="2">
        <v>15</v>
      </c>
      <c r="AJ3882" s="2">
        <f t="shared" si="642"/>
        <v>0</v>
      </c>
      <c r="AK3882" s="2">
        <f t="shared" si="645"/>
        <v>4.6854999999999993</v>
      </c>
      <c r="AL3882" s="5">
        <f t="shared" si="647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84</v>
      </c>
      <c r="Q3883" s="2" t="s">
        <v>1211</v>
      </c>
      <c r="R3883" s="2" t="s">
        <v>1212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6"/>
        <v>0.41287878787878785</v>
      </c>
      <c r="Z3883" s="2" t="s">
        <v>3226</v>
      </c>
      <c r="AA3883" s="2" t="s">
        <v>87</v>
      </c>
      <c r="AB3883" s="2" t="s">
        <v>90</v>
      </c>
      <c r="AC3883" s="2" t="s">
        <v>84</v>
      </c>
      <c r="AF3883" s="2">
        <f t="shared" si="641"/>
        <v>0</v>
      </c>
      <c r="AJ3883" s="2">
        <f t="shared" si="642"/>
        <v>0</v>
      </c>
      <c r="AK3883" s="2">
        <f t="shared" si="645"/>
        <v>5.4499999999999993</v>
      </c>
      <c r="AL3883" s="5">
        <f t="shared" si="647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2897</v>
      </c>
      <c r="Q3884" s="2" t="s">
        <v>2926</v>
      </c>
      <c r="R3884" s="2" t="s">
        <v>2927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6"/>
        <v>0.15454545454545454</v>
      </c>
      <c r="Z3884" s="2" t="s">
        <v>3226</v>
      </c>
      <c r="AA3884" s="2" t="s">
        <v>71</v>
      </c>
      <c r="AB3884" s="2" t="s">
        <v>2897</v>
      </c>
      <c r="AC3884" s="2" t="s">
        <v>2897</v>
      </c>
      <c r="AF3884" s="2">
        <f t="shared" si="641"/>
        <v>0</v>
      </c>
      <c r="AG3884" s="2">
        <v>139.5</v>
      </c>
      <c r="AJ3884" s="2">
        <f t="shared" si="642"/>
        <v>0</v>
      </c>
      <c r="AK3884" s="2">
        <f t="shared" si="645"/>
        <v>25.5</v>
      </c>
      <c r="AL3884" s="5">
        <f t="shared" si="647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2928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6"/>
        <v>0.58491111111111116</v>
      </c>
      <c r="Z3885" s="2" t="s">
        <v>3226</v>
      </c>
      <c r="AA3885" s="2" t="s">
        <v>46</v>
      </c>
      <c r="AB3885" s="2" t="s">
        <v>47</v>
      </c>
      <c r="AC3885" s="2" t="s">
        <v>57</v>
      </c>
      <c r="AF3885" s="2">
        <f t="shared" si="641"/>
        <v>0</v>
      </c>
      <c r="AG3885" s="2">
        <v>3.7357999999999998</v>
      </c>
      <c r="AH3885" s="2">
        <v>9</v>
      </c>
      <c r="AJ3885" s="2">
        <f t="shared" si="642"/>
        <v>0</v>
      </c>
      <c r="AK3885" s="2">
        <f t="shared" si="645"/>
        <v>21.056800000000003</v>
      </c>
      <c r="AL3885" s="5">
        <f t="shared" si="647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2446</v>
      </c>
      <c r="F3886" s="2" t="s">
        <v>39</v>
      </c>
      <c r="G3886" s="2">
        <v>505814030</v>
      </c>
      <c r="H3886" s="2" t="s">
        <v>290</v>
      </c>
      <c r="I3886" s="2" t="s">
        <v>2447</v>
      </c>
      <c r="J3886" s="2" t="s">
        <v>2448</v>
      </c>
      <c r="L3886" s="2" t="s">
        <v>339</v>
      </c>
      <c r="M3886" s="2" t="s">
        <v>80</v>
      </c>
      <c r="O3886" s="2" t="s">
        <v>2929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6"/>
        <v>0.36923076923076914</v>
      </c>
      <c r="Z3886" s="2" t="s">
        <v>3226</v>
      </c>
      <c r="AA3886" s="2" t="s">
        <v>46</v>
      </c>
      <c r="AB3886" s="2" t="s">
        <v>60</v>
      </c>
      <c r="AC3886" s="2" t="s">
        <v>57</v>
      </c>
      <c r="AF3886" s="2">
        <f t="shared" si="641"/>
        <v>0</v>
      </c>
      <c r="AG3886" s="2">
        <v>8.1999999999999993</v>
      </c>
      <c r="AH3886" s="2">
        <v>13</v>
      </c>
      <c r="AJ3886" s="2">
        <f t="shared" si="642"/>
        <v>0</v>
      </c>
      <c r="AK3886" s="2">
        <f t="shared" si="645"/>
        <v>4.7999999999999989</v>
      </c>
      <c r="AL3886" s="5">
        <f t="shared" si="647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6"/>
        <v>0.34694347826086952</v>
      </c>
      <c r="Z3887" s="2" t="s">
        <v>3226</v>
      </c>
      <c r="AA3887" s="2" t="s">
        <v>46</v>
      </c>
      <c r="AB3887" s="2" t="s">
        <v>67</v>
      </c>
      <c r="AC3887" s="2" t="s">
        <v>57</v>
      </c>
      <c r="AF3887" s="2">
        <f t="shared" si="641"/>
        <v>0</v>
      </c>
      <c r="AG3887" s="2">
        <v>15.020300000000001</v>
      </c>
      <c r="AH3887" s="2">
        <v>27.6</v>
      </c>
      <c r="AJ3887" s="2">
        <f t="shared" si="642"/>
        <v>0</v>
      </c>
      <c r="AK3887" s="2">
        <f t="shared" si="645"/>
        <v>7.9796999999999993</v>
      </c>
      <c r="AL3887" s="5">
        <f t="shared" si="647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6"/>
        <v>-0.2</v>
      </c>
      <c r="Z3888" s="2" t="s">
        <v>169</v>
      </c>
      <c r="AA3888" s="2" t="s">
        <v>169</v>
      </c>
      <c r="AF3888" s="2">
        <f t="shared" si="641"/>
        <v>0</v>
      </c>
      <c r="AJ3888" s="2">
        <f t="shared" si="642"/>
        <v>0</v>
      </c>
      <c r="AK3888" s="2">
        <f t="shared" si="645"/>
        <v>-1</v>
      </c>
      <c r="AL3888" s="5">
        <f t="shared" si="647"/>
        <v>-0.2</v>
      </c>
    </row>
    <row r="3889" spans="1:38" x14ac:dyDescent="0.2">
      <c r="A3889" s="2">
        <v>2026</v>
      </c>
      <c r="B3889" s="2">
        <v>5</v>
      </c>
      <c r="C3889" s="2" t="s">
        <v>3370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3229</v>
      </c>
      <c r="Q3889" s="2" t="s">
        <v>1786</v>
      </c>
      <c r="R3889" s="2" t="s">
        <v>1787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6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3229</v>
      </c>
      <c r="AF3889" s="2">
        <f t="shared" si="641"/>
        <v>0</v>
      </c>
      <c r="AJ3889" s="2">
        <f t="shared" si="642"/>
        <v>0</v>
      </c>
      <c r="AK3889" s="2">
        <f t="shared" si="645"/>
        <v>1649.08</v>
      </c>
      <c r="AL3889" s="5">
        <f t="shared" si="647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6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1"/>
        <v>0</v>
      </c>
      <c r="AG3890" s="2">
        <f>W3890</f>
        <v>95.100000000000009</v>
      </c>
      <c r="AJ3890" s="2">
        <f t="shared" si="642"/>
        <v>0</v>
      </c>
      <c r="AK3890" s="2">
        <f t="shared" si="645"/>
        <v>142.64999999999998</v>
      </c>
      <c r="AL3890" s="5">
        <f t="shared" si="647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6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1"/>
        <v>0</v>
      </c>
      <c r="AG3891" s="2">
        <f>W3891</f>
        <v>27.5</v>
      </c>
      <c r="AJ3891" s="2">
        <f t="shared" si="642"/>
        <v>0</v>
      </c>
      <c r="AK3891" s="2">
        <f t="shared" ref="AK3891:AK3922" si="648">T3891-W3891</f>
        <v>27.5</v>
      </c>
      <c r="AL3891" s="5">
        <f t="shared" si="647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6"/>
        <v>0.3</v>
      </c>
      <c r="Z3892" s="2" t="s">
        <v>119</v>
      </c>
      <c r="AA3892" s="2" t="s">
        <v>3378</v>
      </c>
      <c r="AF3892" s="2">
        <f t="shared" si="641"/>
        <v>0</v>
      </c>
      <c r="AJ3892" s="2">
        <f t="shared" si="642"/>
        <v>0</v>
      </c>
      <c r="AK3892" s="2">
        <f t="shared" si="648"/>
        <v>89.25</v>
      </c>
      <c r="AL3892" s="5">
        <f t="shared" si="647"/>
        <v>0.3</v>
      </c>
    </row>
    <row r="3893" spans="1:38" x14ac:dyDescent="0.2">
      <c r="A3893" s="2">
        <v>2026</v>
      </c>
      <c r="B3893" s="2">
        <v>5</v>
      </c>
      <c r="C3893" s="2" t="s">
        <v>3368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2930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6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1"/>
        <v>0</v>
      </c>
      <c r="AJ3893" s="2">
        <f t="shared" si="642"/>
        <v>0</v>
      </c>
      <c r="AK3893" s="2">
        <f t="shared" si="648"/>
        <v>146.92000000000002</v>
      </c>
      <c r="AL3893" s="5">
        <f t="shared" si="647"/>
        <v>0.57007605152879093</v>
      </c>
    </row>
    <row r="3894" spans="1:38" x14ac:dyDescent="0.2">
      <c r="A3894" s="2">
        <v>2026</v>
      </c>
      <c r="B3894" s="2">
        <v>5</v>
      </c>
      <c r="D3894" s="2" t="s">
        <v>1347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2931</v>
      </c>
      <c r="J3894" s="2" t="s">
        <v>2932</v>
      </c>
      <c r="K3894" s="2">
        <v>915170083</v>
      </c>
      <c r="L3894" s="2" t="s">
        <v>461</v>
      </c>
      <c r="M3894" s="2" t="s">
        <v>80</v>
      </c>
      <c r="O3894" s="2" t="s">
        <v>2933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6"/>
        <v>0.47191304347826091</v>
      </c>
      <c r="Z3894" s="2" t="s">
        <v>3226</v>
      </c>
      <c r="AA3894" s="2" t="s">
        <v>75</v>
      </c>
      <c r="AB3894" s="2" t="s">
        <v>76</v>
      </c>
      <c r="AC3894" s="2" t="s">
        <v>77</v>
      </c>
      <c r="AF3894" s="2">
        <f t="shared" si="641"/>
        <v>0</v>
      </c>
      <c r="AG3894" s="2">
        <v>121.46</v>
      </c>
      <c r="AH3894" s="2">
        <v>210</v>
      </c>
      <c r="AJ3894" s="2">
        <f t="shared" si="642"/>
        <v>0</v>
      </c>
      <c r="AK3894" s="2">
        <f t="shared" si="648"/>
        <v>108.54</v>
      </c>
      <c r="AL3894" s="5">
        <f t="shared" si="647"/>
        <v>0.47191304347826091</v>
      </c>
    </row>
    <row r="3895" spans="1:38" x14ac:dyDescent="0.2">
      <c r="A3895" s="2">
        <v>2026</v>
      </c>
      <c r="B3895" s="2">
        <v>5</v>
      </c>
      <c r="D3895" s="2" t="s">
        <v>1347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6"/>
        <v>0</v>
      </c>
      <c r="Z3895" s="2" t="s">
        <v>3226</v>
      </c>
      <c r="AA3895" s="2" t="s">
        <v>96</v>
      </c>
      <c r="AB3895" s="2" t="s">
        <v>76</v>
      </c>
      <c r="AC3895" s="2" t="s">
        <v>93</v>
      </c>
      <c r="AF3895" s="2">
        <f t="shared" si="641"/>
        <v>0</v>
      </c>
      <c r="AJ3895" s="2">
        <f t="shared" si="642"/>
        <v>0</v>
      </c>
      <c r="AK3895" s="2">
        <f t="shared" si="648"/>
        <v>0</v>
      </c>
      <c r="AL3895" s="5">
        <f t="shared" si="647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2934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6"/>
        <v>0.43388888888888894</v>
      </c>
      <c r="Z3896" s="2" t="s">
        <v>3226</v>
      </c>
      <c r="AA3896" s="2" t="s">
        <v>75</v>
      </c>
      <c r="AB3896" s="2" t="s">
        <v>76</v>
      </c>
      <c r="AC3896" s="2" t="s">
        <v>77</v>
      </c>
      <c r="AF3896" s="2">
        <f t="shared" si="641"/>
        <v>0</v>
      </c>
      <c r="AJ3896" s="2">
        <f t="shared" si="642"/>
        <v>0</v>
      </c>
      <c r="AK3896" s="2">
        <f t="shared" si="648"/>
        <v>117.15</v>
      </c>
      <c r="AL3896" s="5">
        <f t="shared" si="647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6"/>
        <v>0</v>
      </c>
      <c r="Z3897" s="2" t="s">
        <v>3226</v>
      </c>
      <c r="AA3897" s="2" t="s">
        <v>96</v>
      </c>
      <c r="AB3897" s="2" t="s">
        <v>76</v>
      </c>
      <c r="AC3897" s="2" t="s">
        <v>93</v>
      </c>
      <c r="AF3897" s="2">
        <f t="shared" si="641"/>
        <v>0</v>
      </c>
      <c r="AJ3897" s="2">
        <f t="shared" si="642"/>
        <v>0</v>
      </c>
      <c r="AK3897" s="2">
        <f t="shared" si="648"/>
        <v>0</v>
      </c>
      <c r="AL3897" s="5">
        <f t="shared" si="647"/>
        <v>0</v>
      </c>
    </row>
    <row r="3898" spans="1:38" x14ac:dyDescent="0.2">
      <c r="A3898" s="2">
        <v>2026</v>
      </c>
      <c r="B3898" s="2">
        <v>5</v>
      </c>
      <c r="C3898" s="2" t="s">
        <v>3370</v>
      </c>
      <c r="D3898" s="2" t="s">
        <v>2935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6"/>
        <v>0.4142857142857142</v>
      </c>
      <c r="Z3898" s="2" t="s">
        <v>3226</v>
      </c>
      <c r="AA3898" s="2" t="s">
        <v>46</v>
      </c>
      <c r="AB3898" s="2" t="s">
        <v>60</v>
      </c>
      <c r="AC3898" s="2" t="s">
        <v>57</v>
      </c>
      <c r="AF3898" s="2">
        <f t="shared" si="641"/>
        <v>0</v>
      </c>
      <c r="AG3898" s="2">
        <v>8.1999999999999993</v>
      </c>
      <c r="AH3898" s="2">
        <v>13</v>
      </c>
      <c r="AJ3898" s="2">
        <f t="shared" si="642"/>
        <v>0</v>
      </c>
      <c r="AK3898" s="2">
        <f t="shared" si="648"/>
        <v>5.7999999999999989</v>
      </c>
      <c r="AL3898" s="5">
        <f t="shared" si="647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6"/>
        <v>0.41111111111111115</v>
      </c>
      <c r="Z3899" s="2" t="s">
        <v>3226</v>
      </c>
      <c r="AA3899" s="2" t="s">
        <v>46</v>
      </c>
      <c r="AB3899" s="2" t="s">
        <v>56</v>
      </c>
      <c r="AC3899" s="2" t="s">
        <v>57</v>
      </c>
      <c r="AF3899" s="2">
        <f t="shared" si="641"/>
        <v>0</v>
      </c>
      <c r="AG3899" s="2">
        <v>10.6</v>
      </c>
      <c r="AH3899" s="2">
        <v>18</v>
      </c>
      <c r="AJ3899" s="2">
        <f t="shared" si="642"/>
        <v>0</v>
      </c>
      <c r="AK3899" s="2">
        <f t="shared" si="648"/>
        <v>14.8</v>
      </c>
      <c r="AL3899" s="5">
        <f t="shared" si="647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2936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6"/>
        <v>0.42947272727272723</v>
      </c>
      <c r="Z3900" s="2" t="s">
        <v>3226</v>
      </c>
      <c r="AA3900" s="2" t="s">
        <v>75</v>
      </c>
      <c r="AB3900" s="2" t="s">
        <v>76</v>
      </c>
      <c r="AC3900" s="2" t="s">
        <v>77</v>
      </c>
      <c r="AF3900" s="2">
        <f t="shared" si="641"/>
        <v>0</v>
      </c>
      <c r="AG3900" s="2">
        <v>125.51600000000001</v>
      </c>
      <c r="AH3900" s="2">
        <v>220</v>
      </c>
      <c r="AJ3900" s="2">
        <f t="shared" si="642"/>
        <v>0</v>
      </c>
      <c r="AK3900" s="2">
        <f t="shared" si="648"/>
        <v>94.483999999999995</v>
      </c>
      <c r="AL3900" s="5">
        <f t="shared" si="647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6"/>
        <v>0.45375609756097557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41"/>
        <v>0</v>
      </c>
      <c r="AG3901" s="2">
        <v>111.98</v>
      </c>
      <c r="AH3901" s="2">
        <v>210</v>
      </c>
      <c r="AJ3901" s="2">
        <f t="shared" si="642"/>
        <v>0</v>
      </c>
      <c r="AK3901" s="2">
        <f t="shared" si="648"/>
        <v>93.02</v>
      </c>
      <c r="AL3901" s="5">
        <f t="shared" si="647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6"/>
        <v>0</v>
      </c>
      <c r="Z3902" s="2" t="s">
        <v>3226</v>
      </c>
      <c r="AA3902" s="2" t="s">
        <v>96</v>
      </c>
      <c r="AB3902" s="2" t="s">
        <v>76</v>
      </c>
      <c r="AC3902" s="2" t="s">
        <v>93</v>
      </c>
      <c r="AF3902" s="2">
        <f t="shared" si="641"/>
        <v>0</v>
      </c>
      <c r="AG3902" s="2">
        <v>1.48</v>
      </c>
      <c r="AH3902" s="2">
        <v>1.48</v>
      </c>
      <c r="AJ3902" s="2">
        <f t="shared" si="642"/>
        <v>0</v>
      </c>
      <c r="AK3902" s="2">
        <f t="shared" si="648"/>
        <v>0</v>
      </c>
      <c r="AL3902" s="5">
        <f t="shared" si="647"/>
        <v>0</v>
      </c>
    </row>
    <row r="3903" spans="1:38" x14ac:dyDescent="0.2">
      <c r="A3903" s="2">
        <v>2026</v>
      </c>
      <c r="B3903" s="2">
        <v>5</v>
      </c>
      <c r="D3903" s="2" t="s">
        <v>1355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1356</v>
      </c>
      <c r="L3903" s="2" t="s">
        <v>418</v>
      </c>
      <c r="M3903" s="2" t="s">
        <v>41</v>
      </c>
      <c r="P3903" s="2" t="s">
        <v>282</v>
      </c>
      <c r="Q3903" s="2" t="s">
        <v>1510</v>
      </c>
      <c r="R3903" s="2" t="s">
        <v>1511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6"/>
        <v>0.39011111111111113</v>
      </c>
      <c r="Z3903" s="2" t="s">
        <v>3226</v>
      </c>
      <c r="AA3903" s="2" t="s">
        <v>71</v>
      </c>
      <c r="AB3903" s="2" t="s">
        <v>1600</v>
      </c>
      <c r="AC3903" s="2" t="s">
        <v>1600</v>
      </c>
      <c r="AF3903" s="2">
        <f t="shared" si="641"/>
        <v>0</v>
      </c>
      <c r="AJ3903" s="2">
        <f t="shared" si="642"/>
        <v>0</v>
      </c>
      <c r="AK3903" s="2">
        <f t="shared" si="648"/>
        <v>17.555</v>
      </c>
      <c r="AL3903" s="5">
        <f t="shared" si="647"/>
        <v>0.39011111111111113</v>
      </c>
    </row>
    <row r="3904" spans="1:38" x14ac:dyDescent="0.2">
      <c r="A3904" s="2">
        <v>2026</v>
      </c>
      <c r="B3904" s="2">
        <v>5</v>
      </c>
      <c r="C3904" s="2" t="s">
        <v>3433</v>
      </c>
      <c r="D3904" s="2" t="s">
        <v>2557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2937</v>
      </c>
      <c r="J3904" s="2" t="s">
        <v>2938</v>
      </c>
      <c r="K3904" s="2">
        <v>962004672</v>
      </c>
      <c r="L3904" s="2" t="s">
        <v>398</v>
      </c>
      <c r="M3904" s="2" t="s">
        <v>80</v>
      </c>
      <c r="O3904" s="2" t="s">
        <v>2939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6"/>
        <v>0.52504545454545459</v>
      </c>
      <c r="Z3904" s="2" t="s">
        <v>3226</v>
      </c>
      <c r="AA3904" s="2" t="s">
        <v>75</v>
      </c>
      <c r="AB3904" s="2" t="s">
        <v>76</v>
      </c>
      <c r="AC3904" s="2" t="s">
        <v>77</v>
      </c>
      <c r="AF3904" s="2">
        <f t="shared" si="641"/>
        <v>0</v>
      </c>
      <c r="AG3904" s="2">
        <v>104.49</v>
      </c>
      <c r="AH3904" s="2">
        <v>220</v>
      </c>
      <c r="AJ3904" s="2">
        <f t="shared" si="642"/>
        <v>0</v>
      </c>
      <c r="AK3904" s="2">
        <f t="shared" si="648"/>
        <v>115.51</v>
      </c>
      <c r="AL3904" s="5">
        <f t="shared" si="647"/>
        <v>0.52504545454545459</v>
      </c>
    </row>
    <row r="3905" spans="1:38" x14ac:dyDescent="0.2">
      <c r="A3905" s="2">
        <v>2026</v>
      </c>
      <c r="B3905" s="2">
        <v>5</v>
      </c>
      <c r="C3905" s="2" t="s">
        <v>3433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W3905" s="2">
        <v>1.48</v>
      </c>
      <c r="X3905" s="5">
        <f t="shared" si="646"/>
        <v>0</v>
      </c>
      <c r="Z3905" s="2" t="s">
        <v>3226</v>
      </c>
      <c r="AA3905" s="2" t="s">
        <v>96</v>
      </c>
      <c r="AB3905" s="2" t="s">
        <v>76</v>
      </c>
      <c r="AC3905" s="2" t="s">
        <v>93</v>
      </c>
      <c r="AF3905" s="2">
        <f t="shared" ref="AF3905:AF3968" si="649">AJ3905</f>
        <v>0</v>
      </c>
      <c r="AJ3905" s="2">
        <f t="shared" ref="AJ3905:AJ3968" si="650">AI3905*T3905</f>
        <v>0</v>
      </c>
      <c r="AK3905" s="2">
        <f t="shared" si="648"/>
        <v>0</v>
      </c>
      <c r="AL3905" s="5">
        <f t="shared" si="647"/>
        <v>0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2940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6"/>
        <v>0.31428571428571428</v>
      </c>
      <c r="Z3906" s="2" t="s">
        <v>3226</v>
      </c>
      <c r="AA3906" s="2" t="s">
        <v>46</v>
      </c>
      <c r="AB3906" s="2" t="s">
        <v>47</v>
      </c>
      <c r="AC3906" s="2" t="s">
        <v>57</v>
      </c>
      <c r="AF3906" s="2">
        <f t="shared" si="649"/>
        <v>0</v>
      </c>
      <c r="AG3906" s="2">
        <v>14.4</v>
      </c>
      <c r="AH3906" s="2">
        <v>21</v>
      </c>
      <c r="AJ3906" s="2">
        <f t="shared" si="650"/>
        <v>0</v>
      </c>
      <c r="AK3906" s="2">
        <f t="shared" si="648"/>
        <v>6.6</v>
      </c>
      <c r="AL3906" s="5">
        <f t="shared" si="647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2941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6"/>
        <v>0.29333333333333333</v>
      </c>
      <c r="Z3907" s="2" t="s">
        <v>3226</v>
      </c>
      <c r="AA3907" s="2" t="s">
        <v>46</v>
      </c>
      <c r="AB3907" s="2" t="s">
        <v>56</v>
      </c>
      <c r="AC3907" s="2" t="s">
        <v>57</v>
      </c>
      <c r="AF3907" s="2">
        <f t="shared" si="649"/>
        <v>0</v>
      </c>
      <c r="AG3907" s="2">
        <v>10.6</v>
      </c>
      <c r="AH3907" s="2">
        <v>18</v>
      </c>
      <c r="AJ3907" s="2">
        <f t="shared" si="650"/>
        <v>0</v>
      </c>
      <c r="AK3907" s="2">
        <f t="shared" si="648"/>
        <v>44</v>
      </c>
      <c r="AL3907" s="5">
        <f t="shared" si="647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2940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6"/>
        <v>0.38692653061224486</v>
      </c>
      <c r="Z3908" s="2" t="s">
        <v>3226</v>
      </c>
      <c r="AA3908" s="2" t="s">
        <v>46</v>
      </c>
      <c r="AB3908" s="2" t="s">
        <v>67</v>
      </c>
      <c r="AC3908" s="2" t="s">
        <v>57</v>
      </c>
      <c r="AF3908" s="2">
        <f t="shared" si="649"/>
        <v>0</v>
      </c>
      <c r="AG3908" s="2">
        <v>15.020300000000001</v>
      </c>
      <c r="AH3908" s="2">
        <v>27.6</v>
      </c>
      <c r="AJ3908" s="2">
        <f t="shared" si="650"/>
        <v>0</v>
      </c>
      <c r="AK3908" s="2">
        <f t="shared" si="648"/>
        <v>9.4796999999999993</v>
      </c>
      <c r="AL3908" s="5">
        <f t="shared" si="647"/>
        <v>0.38692653061224486</v>
      </c>
    </row>
    <row r="3909" spans="1:38" x14ac:dyDescent="0.2">
      <c r="A3909" s="2">
        <v>2026</v>
      </c>
      <c r="B3909" s="2">
        <v>5</v>
      </c>
      <c r="D3909" s="2" t="s">
        <v>1524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1525</v>
      </c>
      <c r="J3909" s="2" t="s">
        <v>1526</v>
      </c>
      <c r="K3909" s="2">
        <v>962461409</v>
      </c>
      <c r="L3909" s="2" t="s">
        <v>344</v>
      </c>
      <c r="M3909" s="2" t="s">
        <v>40</v>
      </c>
      <c r="O3909" s="2" t="s">
        <v>2942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1">(T3909-W3909)/T3909</f>
        <v>0.3</v>
      </c>
      <c r="Z3909" s="2" t="s">
        <v>117</v>
      </c>
      <c r="AA3909" s="2" t="s">
        <v>1310</v>
      </c>
      <c r="AF3909" s="2">
        <f t="shared" si="649"/>
        <v>0</v>
      </c>
      <c r="AJ3909" s="2">
        <f t="shared" si="650"/>
        <v>0</v>
      </c>
      <c r="AK3909" s="2">
        <f t="shared" si="648"/>
        <v>31.448999999999998</v>
      </c>
      <c r="AL3909" s="5">
        <f t="shared" si="647"/>
        <v>0.3</v>
      </c>
    </row>
    <row r="3910" spans="1:38" x14ac:dyDescent="0.2">
      <c r="A3910" s="2">
        <v>2026</v>
      </c>
      <c r="B3910" s="2">
        <v>5</v>
      </c>
      <c r="D3910" s="2" t="s">
        <v>2943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1"/>
        <v>0.29333333333333333</v>
      </c>
      <c r="Z3910" s="2" t="s">
        <v>3226</v>
      </c>
      <c r="AA3910" s="2" t="s">
        <v>46</v>
      </c>
      <c r="AB3910" s="2" t="s">
        <v>56</v>
      </c>
      <c r="AC3910" s="2" t="s">
        <v>57</v>
      </c>
      <c r="AF3910" s="2">
        <f t="shared" si="649"/>
        <v>0</v>
      </c>
      <c r="AG3910" s="2">
        <v>10.6</v>
      </c>
      <c r="AH3910" s="2">
        <v>18</v>
      </c>
      <c r="AJ3910" s="2">
        <f t="shared" si="650"/>
        <v>0</v>
      </c>
      <c r="AK3910" s="2">
        <f t="shared" si="648"/>
        <v>44</v>
      </c>
      <c r="AL3910" s="5">
        <f t="shared" si="647"/>
        <v>0.29333333333333333</v>
      </c>
    </row>
    <row r="3911" spans="1:38" x14ac:dyDescent="0.2">
      <c r="A3911" s="2">
        <v>2026</v>
      </c>
      <c r="B3911" s="2">
        <v>5</v>
      </c>
      <c r="D3911" s="2" t="s">
        <v>2231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1"/>
        <v>0.25454545454545452</v>
      </c>
      <c r="Z3911" s="2" t="s">
        <v>3226</v>
      </c>
      <c r="AA3911" s="2" t="s">
        <v>46</v>
      </c>
      <c r="AB3911" s="2" t="s">
        <v>60</v>
      </c>
      <c r="AC3911" s="2" t="s">
        <v>57</v>
      </c>
      <c r="AF3911" s="2">
        <f t="shared" si="649"/>
        <v>0</v>
      </c>
      <c r="AG3911" s="2">
        <v>8.1999999999999993</v>
      </c>
      <c r="AH3911" s="2">
        <v>13</v>
      </c>
      <c r="AJ3911" s="2">
        <f t="shared" si="650"/>
        <v>0</v>
      </c>
      <c r="AK3911" s="2">
        <f t="shared" si="648"/>
        <v>28</v>
      </c>
      <c r="AL3911" s="5">
        <f t="shared" si="647"/>
        <v>0.25454545454545452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1"/>
        <v>-0.2</v>
      </c>
      <c r="Z3912" s="2" t="s">
        <v>169</v>
      </c>
      <c r="AA3912" s="2" t="s">
        <v>169</v>
      </c>
      <c r="AF3912" s="2">
        <f t="shared" si="649"/>
        <v>0</v>
      </c>
      <c r="AJ3912" s="2">
        <f t="shared" si="650"/>
        <v>0</v>
      </c>
      <c r="AK3912" s="2">
        <f t="shared" si="648"/>
        <v>-1</v>
      </c>
      <c r="AL3912" s="5">
        <f t="shared" si="647"/>
        <v>-0.2</v>
      </c>
    </row>
    <row r="3913" spans="1:38" x14ac:dyDescent="0.2">
      <c r="A3913" s="2">
        <v>2026</v>
      </c>
      <c r="B3913" s="2">
        <v>5</v>
      </c>
      <c r="C3913" s="2" t="s">
        <v>3433</v>
      </c>
      <c r="D3913" s="2" t="s">
        <v>2944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1"/>
        <v>0.33938947368421052</v>
      </c>
      <c r="Z3913" s="2" t="s">
        <v>3226</v>
      </c>
      <c r="AA3913" s="2" t="s">
        <v>75</v>
      </c>
      <c r="AB3913" s="2" t="s">
        <v>76</v>
      </c>
      <c r="AC3913" s="2" t="s">
        <v>77</v>
      </c>
      <c r="AF3913" s="2">
        <f t="shared" si="649"/>
        <v>0</v>
      </c>
      <c r="AG3913" s="2">
        <v>125.51600000000001</v>
      </c>
      <c r="AH3913" s="2">
        <v>220</v>
      </c>
      <c r="AJ3913" s="2">
        <f t="shared" si="650"/>
        <v>0</v>
      </c>
      <c r="AK3913" s="2">
        <f t="shared" si="648"/>
        <v>64.483999999999995</v>
      </c>
      <c r="AL3913" s="5">
        <f t="shared" si="647"/>
        <v>0.33938947368421052</v>
      </c>
    </row>
    <row r="3914" spans="1:38" x14ac:dyDescent="0.2">
      <c r="A3914" s="2">
        <v>2026</v>
      </c>
      <c r="B3914" s="2">
        <v>5</v>
      </c>
      <c r="D3914" s="2" t="s">
        <v>2944</v>
      </c>
      <c r="M3914" s="2" t="s">
        <v>40</v>
      </c>
      <c r="P3914" s="2" t="s">
        <v>187</v>
      </c>
      <c r="Q3914" s="2" t="s">
        <v>1308</v>
      </c>
      <c r="R3914" s="2" t="s">
        <v>1309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1310</v>
      </c>
      <c r="AF3914" s="2">
        <f t="shared" si="649"/>
        <v>0</v>
      </c>
      <c r="AJ3914" s="2">
        <f t="shared" si="650"/>
        <v>0</v>
      </c>
      <c r="AK3914" s="2">
        <f t="shared" si="648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3433</v>
      </c>
      <c r="D3915" s="2" t="s">
        <v>2944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3226</v>
      </c>
      <c r="AA3915" s="2" t="s">
        <v>96</v>
      </c>
      <c r="AB3915" s="2" t="s">
        <v>76</v>
      </c>
      <c r="AC3915" s="2" t="s">
        <v>93</v>
      </c>
      <c r="AF3915" s="2">
        <f t="shared" si="649"/>
        <v>0</v>
      </c>
      <c r="AJ3915" s="2">
        <f t="shared" si="650"/>
        <v>0</v>
      </c>
      <c r="AK3915" s="2">
        <f t="shared" si="648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2877</v>
      </c>
      <c r="G3916" s="2">
        <v>506647188</v>
      </c>
      <c r="I3916" s="2" t="s">
        <v>2945</v>
      </c>
      <c r="M3916" s="2" t="s">
        <v>40</v>
      </c>
      <c r="O3916" s="2" t="s">
        <v>2946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9"/>
        <v>0</v>
      </c>
      <c r="AG3916" s="2">
        <v>35.931699999999999</v>
      </c>
      <c r="AJ3916" s="2">
        <f t="shared" si="650"/>
        <v>0</v>
      </c>
      <c r="AK3916" s="2">
        <f t="shared" si="648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2877</v>
      </c>
      <c r="M3917" s="2" t="s">
        <v>40</v>
      </c>
      <c r="O3917" s="2" t="s">
        <v>2946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9"/>
        <v>0</v>
      </c>
      <c r="AG3917" s="2">
        <v>5.33</v>
      </c>
      <c r="AJ3917" s="2">
        <f t="shared" si="650"/>
        <v>0</v>
      </c>
      <c r="AK3917" s="2">
        <f t="shared" si="648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2131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2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9"/>
        <v>0</v>
      </c>
      <c r="AG3918" s="2">
        <f>W3918</f>
        <v>27.400000000000002</v>
      </c>
      <c r="AJ3918" s="2">
        <f t="shared" si="650"/>
        <v>0</v>
      </c>
      <c r="AK3918" s="2">
        <f t="shared" si="648"/>
        <v>-95.9</v>
      </c>
      <c r="AL3918" s="18">
        <f t="shared" ref="AL3918:AL3919" si="653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2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9"/>
        <v>0</v>
      </c>
      <c r="AG3919" s="2">
        <f>W3919</f>
        <v>3.125</v>
      </c>
      <c r="AJ3919" s="2">
        <f t="shared" si="650"/>
        <v>0</v>
      </c>
      <c r="AK3919" s="2">
        <f t="shared" si="648"/>
        <v>-9.375</v>
      </c>
      <c r="AL3919" s="18">
        <f t="shared" si="653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2947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4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9"/>
        <v>0</v>
      </c>
      <c r="AJ3920" s="2">
        <f t="shared" si="650"/>
        <v>0</v>
      </c>
      <c r="AK3920" s="2">
        <f t="shared" si="648"/>
        <v>146.92000000000002</v>
      </c>
      <c r="AL3920" s="5">
        <f t="shared" ref="AL3920:AL3939" si="655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3368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2948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4"/>
        <v>0.29333333333333333</v>
      </c>
      <c r="Z3921" s="2" t="s">
        <v>3226</v>
      </c>
      <c r="AA3921" s="2" t="s">
        <v>46</v>
      </c>
      <c r="AB3921" s="2" t="s">
        <v>56</v>
      </c>
      <c r="AC3921" s="2" t="s">
        <v>57</v>
      </c>
      <c r="AF3921" s="2">
        <f t="shared" si="649"/>
        <v>0</v>
      </c>
      <c r="AG3921" s="2">
        <v>10.6</v>
      </c>
      <c r="AH3921" s="2">
        <v>18</v>
      </c>
      <c r="AJ3921" s="2">
        <f t="shared" si="650"/>
        <v>0</v>
      </c>
      <c r="AK3921" s="2">
        <f t="shared" si="648"/>
        <v>17.600000000000001</v>
      </c>
      <c r="AL3921" s="5">
        <f t="shared" si="655"/>
        <v>0.29333333333333333</v>
      </c>
    </row>
    <row r="3922" spans="1:38" x14ac:dyDescent="0.2">
      <c r="A3922" s="2">
        <v>2026</v>
      </c>
      <c r="B3922" s="2">
        <v>5</v>
      </c>
      <c r="C3922" s="2" t="s">
        <v>3368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2949</v>
      </c>
      <c r="P3922" s="2" t="s">
        <v>43</v>
      </c>
      <c r="Q3922" s="2" t="s">
        <v>2869</v>
      </c>
      <c r="R3922" s="2" t="s">
        <v>2870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4"/>
        <v>0.28439999999999999</v>
      </c>
      <c r="Z3922" s="2" t="s">
        <v>3226</v>
      </c>
      <c r="AA3922" s="2" t="s">
        <v>46</v>
      </c>
      <c r="AB3922" s="2" t="s">
        <v>90</v>
      </c>
      <c r="AC3922" s="2" t="s">
        <v>57</v>
      </c>
      <c r="AF3922" s="2">
        <f t="shared" si="649"/>
        <v>0</v>
      </c>
      <c r="AJ3922" s="2">
        <f t="shared" si="650"/>
        <v>0</v>
      </c>
      <c r="AK3922" s="2">
        <f t="shared" si="648"/>
        <v>14.219999999999999</v>
      </c>
      <c r="AL3922" s="5">
        <f t="shared" si="655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2950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4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9"/>
        <v>0</v>
      </c>
      <c r="AG3923" s="2">
        <v>35.931699999999999</v>
      </c>
      <c r="AJ3923" s="2">
        <f t="shared" si="650"/>
        <v>0</v>
      </c>
      <c r="AK3923" s="2">
        <f t="shared" ref="AK3923:AK3940" si="656">T3923-W3923</f>
        <v>84.728400000000008</v>
      </c>
      <c r="AL3923" s="5">
        <f t="shared" si="655"/>
        <v>0.53905331467107775</v>
      </c>
    </row>
    <row r="3924" spans="1:38" x14ac:dyDescent="0.2">
      <c r="A3924" s="2">
        <v>2026</v>
      </c>
      <c r="B3924" s="2">
        <v>5</v>
      </c>
      <c r="C3924" s="2" t="s">
        <v>3370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4"/>
        <v>0.45578623188405798</v>
      </c>
      <c r="Z3924" s="2" t="s">
        <v>3226</v>
      </c>
      <c r="AA3924" s="2" t="s">
        <v>46</v>
      </c>
      <c r="AB3924" s="2" t="s">
        <v>67</v>
      </c>
      <c r="AC3924" s="2" t="s">
        <v>57</v>
      </c>
      <c r="AF3924" s="2">
        <f t="shared" si="649"/>
        <v>0</v>
      </c>
      <c r="AG3924" s="2">
        <v>15.020300000000001</v>
      </c>
      <c r="AH3924" s="2">
        <v>27.6</v>
      </c>
      <c r="AJ3924" s="2">
        <f t="shared" si="650"/>
        <v>0</v>
      </c>
      <c r="AK3924" s="2">
        <f t="shared" si="656"/>
        <v>12.579700000000001</v>
      </c>
      <c r="AL3924" s="5">
        <f t="shared" si="655"/>
        <v>0.45578623188405798</v>
      </c>
    </row>
    <row r="3925" spans="1:38" x14ac:dyDescent="0.2">
      <c r="A3925" s="2">
        <v>2026</v>
      </c>
      <c r="B3925" s="2">
        <v>5</v>
      </c>
      <c r="D3925" s="2" t="s">
        <v>2951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2952</v>
      </c>
      <c r="J3925" s="2" t="s">
        <v>2953</v>
      </c>
      <c r="K3925" s="2">
        <v>962543971</v>
      </c>
      <c r="L3925" s="2" t="s">
        <v>133</v>
      </c>
      <c r="M3925" s="2" t="s">
        <v>109</v>
      </c>
      <c r="O3925" s="2" t="s">
        <v>2954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4"/>
        <v>0.42639130434782607</v>
      </c>
      <c r="Z3925" s="2" t="s">
        <v>3226</v>
      </c>
      <c r="AA3925" s="2" t="s">
        <v>75</v>
      </c>
      <c r="AB3925" s="2" t="s">
        <v>76</v>
      </c>
      <c r="AC3925" s="2" t="s">
        <v>77</v>
      </c>
      <c r="AF3925" s="2">
        <f t="shared" si="649"/>
        <v>0</v>
      </c>
      <c r="AG3925" s="2">
        <v>131.93</v>
      </c>
      <c r="AH3925" s="2">
        <v>220</v>
      </c>
      <c r="AJ3925" s="2">
        <f t="shared" si="650"/>
        <v>0</v>
      </c>
      <c r="AK3925" s="2">
        <f t="shared" si="656"/>
        <v>98.07</v>
      </c>
      <c r="AL3925" s="5">
        <f t="shared" si="655"/>
        <v>0.42639130434782607</v>
      </c>
    </row>
    <row r="3926" spans="1:38" x14ac:dyDescent="0.2">
      <c r="A3926" s="2">
        <v>2026</v>
      </c>
      <c r="B3926" s="2">
        <v>5</v>
      </c>
      <c r="D3926" s="2" t="s">
        <v>2951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4"/>
        <v>0</v>
      </c>
      <c r="Z3926" s="2" t="s">
        <v>3226</v>
      </c>
      <c r="AA3926" s="2" t="s">
        <v>96</v>
      </c>
      <c r="AB3926" s="2" t="s">
        <v>76</v>
      </c>
      <c r="AC3926" s="2" t="s">
        <v>93</v>
      </c>
      <c r="AF3926" s="2">
        <f t="shared" si="649"/>
        <v>0</v>
      </c>
      <c r="AJ3926" s="2">
        <f t="shared" si="650"/>
        <v>0</v>
      </c>
      <c r="AK3926" s="2">
        <f t="shared" si="656"/>
        <v>0</v>
      </c>
      <c r="AL3926" s="5">
        <f t="shared" si="655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2955</v>
      </c>
      <c r="P3927" s="2" t="s">
        <v>43</v>
      </c>
      <c r="Q3927" s="2" t="s">
        <v>2923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4"/>
        <v>0.65133333333333332</v>
      </c>
      <c r="Z3927" s="2" t="s">
        <v>3226</v>
      </c>
      <c r="AA3927" s="2" t="s">
        <v>46</v>
      </c>
      <c r="AB3927" s="2" t="s">
        <v>90</v>
      </c>
      <c r="AC3927" s="2" t="s">
        <v>57</v>
      </c>
      <c r="AF3927" s="2">
        <f t="shared" si="649"/>
        <v>0</v>
      </c>
      <c r="AG3927" s="2">
        <v>5.23</v>
      </c>
      <c r="AH3927" s="2">
        <v>10.8</v>
      </c>
      <c r="AJ3927" s="2">
        <f t="shared" si="650"/>
        <v>0</v>
      </c>
      <c r="AK3927" s="2">
        <f t="shared" si="656"/>
        <v>9.77</v>
      </c>
      <c r="AL3927" s="5">
        <f t="shared" si="655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2924</v>
      </c>
      <c r="R3928" s="2" t="s">
        <v>2925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4"/>
        <v>0.80600000000000005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9"/>
        <v>0</v>
      </c>
      <c r="AG3928" s="2">
        <v>0.97</v>
      </c>
      <c r="AH3928" s="2">
        <v>6</v>
      </c>
      <c r="AJ3928" s="2">
        <f t="shared" si="650"/>
        <v>0</v>
      </c>
      <c r="AK3928" s="2">
        <f t="shared" si="656"/>
        <v>4.03</v>
      </c>
      <c r="AL3928" s="5">
        <f t="shared" si="655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4"/>
        <v>0.58491111111111116</v>
      </c>
      <c r="Z3929" s="2" t="s">
        <v>3226</v>
      </c>
      <c r="AA3929" s="2" t="s">
        <v>46</v>
      </c>
      <c r="AB3929" s="2" t="s">
        <v>47</v>
      </c>
      <c r="AC3929" s="2" t="s">
        <v>57</v>
      </c>
      <c r="AF3929" s="2">
        <f t="shared" si="649"/>
        <v>0</v>
      </c>
      <c r="AG3929" s="2">
        <v>3.7357999999999998</v>
      </c>
      <c r="AH3929" s="2">
        <v>9</v>
      </c>
      <c r="AJ3929" s="2">
        <f t="shared" si="650"/>
        <v>0</v>
      </c>
      <c r="AK3929" s="2">
        <f t="shared" si="656"/>
        <v>5.2642000000000007</v>
      </c>
      <c r="AL3929" s="5">
        <f t="shared" si="655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4"/>
        <v>0.41111111111111109</v>
      </c>
      <c r="Z3930" s="2" t="s">
        <v>3226</v>
      </c>
      <c r="AA3930" s="2" t="s">
        <v>46</v>
      </c>
      <c r="AB3930" s="2" t="s">
        <v>56</v>
      </c>
      <c r="AC3930" s="2" t="s">
        <v>57</v>
      </c>
      <c r="AF3930" s="2">
        <f t="shared" si="649"/>
        <v>0</v>
      </c>
      <c r="AG3930" s="2">
        <v>10.6</v>
      </c>
      <c r="AH3930" s="2">
        <v>18</v>
      </c>
      <c r="AJ3930" s="2">
        <f t="shared" si="650"/>
        <v>0</v>
      </c>
      <c r="AK3930" s="2">
        <f t="shared" si="656"/>
        <v>37</v>
      </c>
      <c r="AL3930" s="5">
        <f t="shared" si="655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4"/>
        <v>0.24885496183206102</v>
      </c>
      <c r="Z3931" s="2" t="s">
        <v>3226</v>
      </c>
      <c r="AA3931" s="2" t="s">
        <v>46</v>
      </c>
      <c r="AB3931" s="2" t="s">
        <v>60</v>
      </c>
      <c r="AC3931" s="2" t="s">
        <v>57</v>
      </c>
      <c r="AF3931" s="2">
        <f t="shared" si="649"/>
        <v>0</v>
      </c>
      <c r="AG3931" s="2">
        <v>8.1999999999999993</v>
      </c>
      <c r="AH3931" s="2">
        <v>13</v>
      </c>
      <c r="AJ3931" s="2">
        <f t="shared" si="650"/>
        <v>0</v>
      </c>
      <c r="AK3931" s="2">
        <f t="shared" si="656"/>
        <v>32.599999999999994</v>
      </c>
      <c r="AL3931" s="5">
        <f t="shared" si="655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4"/>
        <v>0.42875000000000008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9"/>
        <v>0</v>
      </c>
      <c r="AJ3932" s="2">
        <f t="shared" si="650"/>
        <v>0</v>
      </c>
      <c r="AK3932" s="2">
        <f t="shared" si="656"/>
        <v>6.8600000000000012</v>
      </c>
      <c r="AL3932" s="5">
        <f t="shared" si="655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4"/>
        <v>0.36923076923076914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9"/>
        <v>0</v>
      </c>
      <c r="AG3933" s="2">
        <v>8.1999999999999993</v>
      </c>
      <c r="AH3933" s="2">
        <v>13</v>
      </c>
      <c r="AJ3933" s="2">
        <f t="shared" si="650"/>
        <v>0</v>
      </c>
      <c r="AK3933" s="2">
        <f t="shared" si="656"/>
        <v>4.7999999999999989</v>
      </c>
      <c r="AL3933" s="5">
        <f t="shared" si="655"/>
        <v>0.36923076923076914</v>
      </c>
    </row>
    <row r="3934" spans="1:38" x14ac:dyDescent="0.2">
      <c r="A3934" s="2">
        <v>2026</v>
      </c>
      <c r="B3934" s="2">
        <v>5</v>
      </c>
      <c r="C3934" s="2" t="s">
        <v>3433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4"/>
        <v>0.42947272727272723</v>
      </c>
      <c r="Z3934" s="2" t="s">
        <v>3226</v>
      </c>
      <c r="AA3934" s="2" t="s">
        <v>75</v>
      </c>
      <c r="AB3934" s="2" t="s">
        <v>76</v>
      </c>
      <c r="AC3934" s="2" t="s">
        <v>77</v>
      </c>
      <c r="AF3934" s="2">
        <f t="shared" si="649"/>
        <v>0</v>
      </c>
      <c r="AG3934" s="2">
        <v>125.51600000000001</v>
      </c>
      <c r="AH3934" s="2">
        <v>220</v>
      </c>
      <c r="AJ3934" s="2">
        <f t="shared" si="650"/>
        <v>0</v>
      </c>
      <c r="AK3934" s="2">
        <f t="shared" si="656"/>
        <v>94.483999999999995</v>
      </c>
      <c r="AL3934" s="5">
        <f t="shared" si="655"/>
        <v>0.42947272727272723</v>
      </c>
    </row>
    <row r="3935" spans="1:38" x14ac:dyDescent="0.2">
      <c r="A3935" s="2">
        <v>2026</v>
      </c>
      <c r="B3935" s="2">
        <v>5</v>
      </c>
      <c r="C3935" s="2" t="s">
        <v>3433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4"/>
        <v>0</v>
      </c>
      <c r="Z3935" s="2" t="s">
        <v>3226</v>
      </c>
      <c r="AA3935" s="2" t="s">
        <v>96</v>
      </c>
      <c r="AB3935" s="2" t="s">
        <v>76</v>
      </c>
      <c r="AC3935" s="2" t="s">
        <v>93</v>
      </c>
      <c r="AF3935" s="2">
        <f t="shared" si="649"/>
        <v>0</v>
      </c>
      <c r="AJ3935" s="2">
        <f t="shared" si="650"/>
        <v>0</v>
      </c>
      <c r="AK3935" s="2">
        <f t="shared" si="656"/>
        <v>0</v>
      </c>
      <c r="AL3935" s="5">
        <f t="shared" si="655"/>
        <v>0</v>
      </c>
    </row>
    <row r="3936" spans="1:38" x14ac:dyDescent="0.2">
      <c r="A3936" s="2">
        <v>2026</v>
      </c>
      <c r="B3936" s="2">
        <v>5</v>
      </c>
      <c r="C3936" s="2" t="s">
        <v>3368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2956</v>
      </c>
      <c r="P3936" s="2" t="s">
        <v>1038</v>
      </c>
      <c r="Q3936" s="2" t="s">
        <v>2957</v>
      </c>
      <c r="R3936" s="2" t="s">
        <v>2958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4"/>
        <v>0.35232383808095952</v>
      </c>
      <c r="Z3936" s="2" t="s">
        <v>3226</v>
      </c>
      <c r="AA3936" s="2" t="s">
        <v>75</v>
      </c>
      <c r="AB3936" s="2" t="s">
        <v>76</v>
      </c>
      <c r="AC3936" s="2" t="s">
        <v>1038</v>
      </c>
      <c r="AF3936" s="2">
        <f t="shared" si="649"/>
        <v>0</v>
      </c>
      <c r="AJ3936" s="2">
        <f t="shared" si="650"/>
        <v>0</v>
      </c>
      <c r="AK3936" s="2">
        <f t="shared" si="656"/>
        <v>94</v>
      </c>
      <c r="AL3936" s="5">
        <f t="shared" si="655"/>
        <v>0.35232383808095952</v>
      </c>
    </row>
    <row r="3937" spans="1:38" x14ac:dyDescent="0.2">
      <c r="A3937" s="2">
        <v>2026</v>
      </c>
      <c r="B3937" s="2">
        <v>5</v>
      </c>
      <c r="C3937" s="2" t="s">
        <v>3368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4"/>
        <v>0</v>
      </c>
      <c r="Z3937" s="2" t="s">
        <v>3226</v>
      </c>
      <c r="AA3937" s="2" t="s">
        <v>96</v>
      </c>
      <c r="AB3937" s="2" t="s">
        <v>76</v>
      </c>
      <c r="AC3937" s="2" t="s">
        <v>93</v>
      </c>
      <c r="AF3937" s="2">
        <f t="shared" si="649"/>
        <v>0</v>
      </c>
      <c r="AG3937" s="2">
        <v>1.48</v>
      </c>
      <c r="AH3937" s="2">
        <v>1.48</v>
      </c>
      <c r="AJ3937" s="2">
        <f t="shared" si="650"/>
        <v>0</v>
      </c>
      <c r="AK3937" s="2">
        <f t="shared" si="656"/>
        <v>0</v>
      </c>
      <c r="AL3937" s="5">
        <f t="shared" si="655"/>
        <v>0</v>
      </c>
    </row>
    <row r="3938" spans="1:38" x14ac:dyDescent="0.2">
      <c r="A3938" s="2">
        <v>2026</v>
      </c>
      <c r="B3938" s="2">
        <v>5</v>
      </c>
      <c r="C3938" s="2" t="s">
        <v>3448</v>
      </c>
      <c r="D3938" s="2" t="s">
        <v>1901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2959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4"/>
        <v>0.38066770186335414</v>
      </c>
      <c r="Z3938" s="2" t="s">
        <v>3226</v>
      </c>
      <c r="AA3938" s="2" t="s">
        <v>75</v>
      </c>
      <c r="AB3938" s="2" t="s">
        <v>76</v>
      </c>
      <c r="AC3938" s="2" t="s">
        <v>77</v>
      </c>
      <c r="AF3938" s="2">
        <f t="shared" si="649"/>
        <v>0</v>
      </c>
      <c r="AG3938" s="2">
        <f>144.14+15.4</f>
        <v>159.54</v>
      </c>
      <c r="AH3938" s="2">
        <v>280</v>
      </c>
      <c r="AJ3938" s="2">
        <f t="shared" si="650"/>
        <v>0</v>
      </c>
      <c r="AK3938" s="2">
        <f t="shared" si="656"/>
        <v>98.060000000000031</v>
      </c>
      <c r="AL3938" s="5">
        <f t="shared" si="655"/>
        <v>0.38066770186335414</v>
      </c>
    </row>
    <row r="3939" spans="1:38" x14ac:dyDescent="0.2">
      <c r="A3939" s="2">
        <v>2026</v>
      </c>
      <c r="B3939" s="2">
        <v>5</v>
      </c>
      <c r="C3939" s="2" t="s">
        <v>3448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4"/>
        <v>0</v>
      </c>
      <c r="Z3939" s="2" t="s">
        <v>3226</v>
      </c>
      <c r="AA3939" s="2" t="s">
        <v>96</v>
      </c>
      <c r="AB3939" s="2" t="s">
        <v>76</v>
      </c>
      <c r="AC3939" s="2" t="s">
        <v>93</v>
      </c>
      <c r="AF3939" s="2">
        <f t="shared" si="649"/>
        <v>0</v>
      </c>
      <c r="AJ3939" s="2">
        <f t="shared" si="650"/>
        <v>0</v>
      </c>
      <c r="AK3939" s="2">
        <f t="shared" si="656"/>
        <v>0</v>
      </c>
      <c r="AL3939" s="5">
        <f t="shared" si="655"/>
        <v>0</v>
      </c>
    </row>
    <row r="3940" spans="1:38" x14ac:dyDescent="0.2">
      <c r="A3940" s="2">
        <v>2026</v>
      </c>
      <c r="B3940" s="2">
        <v>5</v>
      </c>
      <c r="C3940" s="2" t="s">
        <v>3433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9"/>
        <v>0</v>
      </c>
      <c r="AJ3940" s="2">
        <f t="shared" si="650"/>
        <v>0</v>
      </c>
      <c r="AK3940" s="2">
        <f t="shared" si="656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2960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2961</v>
      </c>
      <c r="J3941" s="2" t="s">
        <v>2962</v>
      </c>
      <c r="K3941" s="2">
        <v>966567958</v>
      </c>
      <c r="L3941" s="2" t="s">
        <v>344</v>
      </c>
      <c r="M3941" s="2" t="s">
        <v>80</v>
      </c>
      <c r="O3941" s="2" t="s">
        <v>2963</v>
      </c>
      <c r="P3941" s="2" t="s">
        <v>282</v>
      </c>
      <c r="Q3941" s="2" t="s">
        <v>1436</v>
      </c>
      <c r="R3941" s="2" t="s">
        <v>1437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7">(T3941-W3941)/T3941</f>
        <v>0.25579710144927542</v>
      </c>
      <c r="Z3941" s="2" t="s">
        <v>3226</v>
      </c>
      <c r="AA3941" s="2" t="s">
        <v>71</v>
      </c>
      <c r="AB3941" s="2" t="s">
        <v>119</v>
      </c>
      <c r="AC3941" s="2" t="s">
        <v>119</v>
      </c>
      <c r="AF3941" s="2">
        <f t="shared" si="649"/>
        <v>0</v>
      </c>
      <c r="AG3941" s="2">
        <v>5.1349999999999998</v>
      </c>
      <c r="AJ3941" s="2">
        <f t="shared" si="650"/>
        <v>0</v>
      </c>
      <c r="AK3941" s="2">
        <f t="shared" ref="AK3941:AK3950" si="658">T3941-W3941</f>
        <v>17.650000000000006</v>
      </c>
      <c r="AL3941" s="5">
        <f t="shared" ref="AL3941:AL3946" si="659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1588</v>
      </c>
      <c r="R3942" s="2" t="s">
        <v>1589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7"/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9"/>
        <v>0</v>
      </c>
      <c r="AG3942" s="2">
        <v>5.1349999999999998</v>
      </c>
      <c r="AJ3942" s="2">
        <f t="shared" si="650"/>
        <v>0</v>
      </c>
      <c r="AK3942" s="2">
        <f t="shared" si="658"/>
        <v>17.650000000000006</v>
      </c>
      <c r="AL3942" s="5">
        <f t="shared" si="659"/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7"/>
        <v>0.31428571428571428</v>
      </c>
      <c r="Z3943" s="2" t="s">
        <v>3226</v>
      </c>
      <c r="AA3943" s="2" t="s">
        <v>46</v>
      </c>
      <c r="AB3943" s="2" t="s">
        <v>47</v>
      </c>
      <c r="AC3943" s="2" t="s">
        <v>57</v>
      </c>
      <c r="AF3943" s="2">
        <f t="shared" si="649"/>
        <v>0</v>
      </c>
      <c r="AG3943" s="2">
        <v>14.4</v>
      </c>
      <c r="AH3943" s="2">
        <v>21</v>
      </c>
      <c r="AJ3943" s="2">
        <f t="shared" si="650"/>
        <v>0</v>
      </c>
      <c r="AK3943" s="2">
        <f t="shared" si="658"/>
        <v>6.6</v>
      </c>
      <c r="AL3943" s="5">
        <f t="shared" si="659"/>
        <v>0.31428571428571428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7"/>
        <v>0.61904761904761907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9"/>
        <v>0</v>
      </c>
      <c r="AJ3944" s="2">
        <f t="shared" si="650"/>
        <v>0</v>
      </c>
      <c r="AK3944" s="2">
        <f t="shared" si="658"/>
        <v>26</v>
      </c>
      <c r="AL3944" s="5">
        <f t="shared" si="659"/>
        <v>0.61904761904761907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7"/>
        <v>0.48696666666666666</v>
      </c>
      <c r="Z3945" s="2" t="s">
        <v>3226</v>
      </c>
      <c r="AA3945" s="2" t="s">
        <v>46</v>
      </c>
      <c r="AB3945" s="2" t="s">
        <v>56</v>
      </c>
      <c r="AC3945" s="2" t="s">
        <v>57</v>
      </c>
      <c r="AF3945" s="2">
        <f t="shared" si="649"/>
        <v>0</v>
      </c>
      <c r="AG3945" s="2">
        <v>9.2346000000000004</v>
      </c>
      <c r="AJ3945" s="2">
        <f t="shared" si="650"/>
        <v>0</v>
      </c>
      <c r="AK3945" s="2">
        <f t="shared" si="658"/>
        <v>8.7653999999999996</v>
      </c>
      <c r="AL3945" s="5">
        <f t="shared" si="659"/>
        <v>0.48696666666666666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7"/>
        <v>0.25454545454545452</v>
      </c>
      <c r="Z3946" s="2" t="s">
        <v>3226</v>
      </c>
      <c r="AA3946" s="2" t="s">
        <v>46</v>
      </c>
      <c r="AB3946" s="2" t="s">
        <v>60</v>
      </c>
      <c r="AC3946" s="2" t="s">
        <v>57</v>
      </c>
      <c r="AF3946" s="2">
        <f t="shared" si="649"/>
        <v>0</v>
      </c>
      <c r="AG3946" s="2">
        <v>8.1999999999999993</v>
      </c>
      <c r="AH3946" s="2">
        <v>13</v>
      </c>
      <c r="AJ3946" s="2">
        <f t="shared" si="650"/>
        <v>0</v>
      </c>
      <c r="AK3946" s="2">
        <f t="shared" si="658"/>
        <v>28</v>
      </c>
      <c r="AL3946" s="5">
        <f t="shared" si="659"/>
        <v>0.25454545454545452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2964</v>
      </c>
      <c r="R3947" s="2" t="s">
        <v>2965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3226</v>
      </c>
      <c r="AA3947" s="2" t="s">
        <v>46</v>
      </c>
      <c r="AB3947" s="2" t="s">
        <v>56</v>
      </c>
      <c r="AC3947" s="2" t="s">
        <v>57</v>
      </c>
      <c r="AF3947" s="2">
        <f t="shared" si="649"/>
        <v>0</v>
      </c>
      <c r="AG3947" s="2">
        <v>19.68</v>
      </c>
      <c r="AJ3947" s="2">
        <f t="shared" si="650"/>
        <v>0</v>
      </c>
      <c r="AK3947" s="2">
        <f t="shared" si="658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2966</v>
      </c>
      <c r="R3948" s="2" t="s">
        <v>2967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9"/>
        <v>0</v>
      </c>
      <c r="AG3948" s="2">
        <v>11.525</v>
      </c>
      <c r="AJ3948" s="2">
        <f t="shared" si="650"/>
        <v>0</v>
      </c>
      <c r="AK3948" s="2">
        <f t="shared" si="658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2238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2968</v>
      </c>
      <c r="J3949" s="2" t="s">
        <v>2969</v>
      </c>
      <c r="K3949" s="2">
        <v>939310247</v>
      </c>
      <c r="L3949" s="2" t="s">
        <v>461</v>
      </c>
      <c r="M3949" s="2" t="s">
        <v>40</v>
      </c>
      <c r="O3949" s="2" t="s">
        <v>2970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9"/>
        <v>0</v>
      </c>
      <c r="AG3949" s="2">
        <v>25.2</v>
      </c>
      <c r="AJ3949" s="2">
        <f t="shared" si="650"/>
        <v>0</v>
      </c>
      <c r="AK3949" s="2">
        <f t="shared" si="658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3370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2971</v>
      </c>
      <c r="P3950" s="2" t="s">
        <v>114</v>
      </c>
      <c r="Q3950" s="2" t="s">
        <v>1578</v>
      </c>
      <c r="R3950" s="2" t="s">
        <v>1579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9"/>
        <v>0</v>
      </c>
      <c r="AG3950" s="2">
        <f>4893.23+171</f>
        <v>5064.2299999999996</v>
      </c>
      <c r="AJ3950" s="2">
        <f t="shared" si="650"/>
        <v>0</v>
      </c>
      <c r="AK3950" s="2">
        <f t="shared" si="658"/>
        <v>-12054.23</v>
      </c>
      <c r="AL3950" s="18">
        <f t="shared" ref="AL3950" si="660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3448</v>
      </c>
      <c r="D3951" s="2" t="s">
        <v>3446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1172</v>
      </c>
      <c r="O3951" s="2" t="s">
        <v>2972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1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9"/>
        <v>0</v>
      </c>
      <c r="AG3951" s="2">
        <v>6468.73</v>
      </c>
      <c r="AJ3951" s="2">
        <f t="shared" si="650"/>
        <v>0</v>
      </c>
      <c r="AK3951" s="2">
        <f t="shared" ref="AK3951:AK3982" si="662">T3951-W3951</f>
        <v>3461.2700000000004</v>
      </c>
      <c r="AL3951" s="5">
        <f t="shared" ref="AL3951:AL3982" si="663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3368</v>
      </c>
      <c r="D3952" s="2" t="s">
        <v>3447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2973</v>
      </c>
      <c r="P3952" s="2" t="s">
        <v>3229</v>
      </c>
      <c r="Q3952" s="2" t="s">
        <v>2974</v>
      </c>
      <c r="R3952" s="2" t="s">
        <v>2975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1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3229</v>
      </c>
      <c r="AF3952" s="2">
        <f t="shared" si="649"/>
        <v>0</v>
      </c>
      <c r="AJ3952" s="2">
        <f t="shared" si="650"/>
        <v>0</v>
      </c>
      <c r="AK3952" s="2">
        <f t="shared" si="662"/>
        <v>1163.8</v>
      </c>
      <c r="AL3952" s="5">
        <f t="shared" si="663"/>
        <v>0.47308943089430894</v>
      </c>
    </row>
    <row r="3953" spans="1:38" x14ac:dyDescent="0.2">
      <c r="A3953" s="2">
        <v>2026</v>
      </c>
      <c r="B3953" s="2">
        <v>5</v>
      </c>
      <c r="C3953" s="2" t="s">
        <v>3448</v>
      </c>
      <c r="D3953" s="2" t="s">
        <v>2567</v>
      </c>
      <c r="E3953" s="2" t="s">
        <v>38</v>
      </c>
      <c r="F3953" s="2" t="s">
        <v>39</v>
      </c>
      <c r="G3953" s="2">
        <v>501561196</v>
      </c>
      <c r="H3953" s="2" t="s">
        <v>109</v>
      </c>
      <c r="I3953" s="2" t="s">
        <v>2568</v>
      </c>
      <c r="J3953" s="2" t="s">
        <v>2569</v>
      </c>
      <c r="L3953" s="2" t="s">
        <v>133</v>
      </c>
      <c r="M3953" s="2" t="s">
        <v>109</v>
      </c>
      <c r="P3953" s="2" t="s">
        <v>72</v>
      </c>
      <c r="Q3953" s="2" t="s">
        <v>1449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1"/>
        <v>0.46762608695652175</v>
      </c>
      <c r="Z3953" s="2" t="s">
        <v>3226</v>
      </c>
      <c r="AA3953" s="2" t="s">
        <v>75</v>
      </c>
      <c r="AB3953" s="2" t="s">
        <v>76</v>
      </c>
      <c r="AC3953" s="2" t="s">
        <v>77</v>
      </c>
      <c r="AF3953" s="2">
        <f t="shared" si="649"/>
        <v>0</v>
      </c>
      <c r="AG3953" s="2">
        <v>122.446</v>
      </c>
      <c r="AH3953" s="2">
        <v>230</v>
      </c>
      <c r="AJ3953" s="2">
        <f t="shared" si="650"/>
        <v>0</v>
      </c>
      <c r="AK3953" s="2">
        <f t="shared" si="662"/>
        <v>107.554</v>
      </c>
      <c r="AL3953" s="5">
        <f t="shared" si="663"/>
        <v>0.46762608695652175</v>
      </c>
    </row>
    <row r="3954" spans="1:38" x14ac:dyDescent="0.2">
      <c r="A3954" s="2">
        <v>2026</v>
      </c>
      <c r="B3954" s="2">
        <v>5</v>
      </c>
      <c r="C3954" s="2" t="s">
        <v>3448</v>
      </c>
      <c r="D3954" s="2" t="s">
        <v>2567</v>
      </c>
      <c r="E3954" s="2" t="s">
        <v>38</v>
      </c>
      <c r="F3954" s="2" t="s">
        <v>39</v>
      </c>
      <c r="G3954" s="2">
        <v>501561196</v>
      </c>
      <c r="H3954" s="2" t="s">
        <v>109</v>
      </c>
      <c r="I3954" s="2" t="s">
        <v>2568</v>
      </c>
      <c r="J3954" s="2" t="s">
        <v>2569</v>
      </c>
      <c r="L3954" s="2" t="s">
        <v>133</v>
      </c>
      <c r="M3954" s="2" t="s">
        <v>109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1"/>
        <v>0</v>
      </c>
      <c r="Z3954" s="2" t="s">
        <v>3226</v>
      </c>
      <c r="AA3954" s="2" t="s">
        <v>96</v>
      </c>
      <c r="AB3954" s="2" t="s">
        <v>76</v>
      </c>
      <c r="AC3954" s="2" t="s">
        <v>93</v>
      </c>
      <c r="AF3954" s="2">
        <f t="shared" si="649"/>
        <v>0</v>
      </c>
      <c r="AJ3954" s="2">
        <f t="shared" si="650"/>
        <v>0</v>
      </c>
      <c r="AK3954" s="2">
        <f t="shared" si="662"/>
        <v>0</v>
      </c>
      <c r="AL3954" s="5">
        <f t="shared" si="663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2976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1"/>
        <v>0.44777500000000003</v>
      </c>
      <c r="Z3955" s="2" t="s">
        <v>3226</v>
      </c>
      <c r="AA3955" s="2" t="s">
        <v>46</v>
      </c>
      <c r="AB3955" s="2" t="s">
        <v>47</v>
      </c>
      <c r="AC3955" s="2" t="s">
        <v>57</v>
      </c>
      <c r="AF3955" s="2">
        <f t="shared" si="649"/>
        <v>0</v>
      </c>
      <c r="AG3955" s="2">
        <v>6.6266999999999996</v>
      </c>
      <c r="AH3955" s="2">
        <v>12</v>
      </c>
      <c r="AJ3955" s="2">
        <f t="shared" si="650"/>
        <v>0</v>
      </c>
      <c r="AK3955" s="2">
        <f t="shared" si="662"/>
        <v>5.3733000000000004</v>
      </c>
      <c r="AL3955" s="5">
        <f t="shared" si="663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1"/>
        <v>0.41111111111111115</v>
      </c>
      <c r="Z3956" s="2" t="s">
        <v>3226</v>
      </c>
      <c r="AA3956" s="2" t="s">
        <v>46</v>
      </c>
      <c r="AB3956" s="2" t="s">
        <v>56</v>
      </c>
      <c r="AC3956" s="2" t="s">
        <v>57</v>
      </c>
      <c r="AF3956" s="2">
        <f t="shared" si="649"/>
        <v>0</v>
      </c>
      <c r="AG3956" s="2">
        <v>10.6</v>
      </c>
      <c r="AH3956" s="2">
        <v>18</v>
      </c>
      <c r="AJ3956" s="2">
        <f t="shared" si="650"/>
        <v>0</v>
      </c>
      <c r="AK3956" s="2">
        <f t="shared" si="662"/>
        <v>14.8</v>
      </c>
      <c r="AL3956" s="5">
        <f t="shared" si="663"/>
        <v>0.41111111111111115</v>
      </c>
    </row>
    <row r="3957" spans="1:38" x14ac:dyDescent="0.2">
      <c r="A3957" s="2">
        <v>2026</v>
      </c>
      <c r="B3957" s="2">
        <v>5</v>
      </c>
      <c r="C3957" s="2" t="s">
        <v>3368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2977</v>
      </c>
      <c r="P3957" s="2" t="s">
        <v>114</v>
      </c>
      <c r="Q3957" s="2" t="s">
        <v>1383</v>
      </c>
      <c r="R3957" s="2" t="s">
        <v>1384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1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9"/>
        <v>0</v>
      </c>
      <c r="AG3957" s="2">
        <v>71.381</v>
      </c>
      <c r="AJ3957" s="2">
        <f t="shared" si="650"/>
        <v>0</v>
      </c>
      <c r="AK3957" s="2">
        <f t="shared" si="662"/>
        <v>81.028999999999996</v>
      </c>
      <c r="AL3957" s="5">
        <f t="shared" si="663"/>
        <v>0.53165146643921002</v>
      </c>
    </row>
    <row r="3958" spans="1:38" x14ac:dyDescent="0.2">
      <c r="A3958" s="2">
        <v>2026</v>
      </c>
      <c r="B3958" s="2">
        <v>5</v>
      </c>
      <c r="C3958" s="2" t="s">
        <v>3368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1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9"/>
        <v>0</v>
      </c>
      <c r="AG3958" s="2">
        <f>9.75+0.63</f>
        <v>10.38</v>
      </c>
      <c r="AJ3958" s="2">
        <f t="shared" si="650"/>
        <v>0</v>
      </c>
      <c r="AK3958" s="2">
        <f t="shared" si="662"/>
        <v>22.23</v>
      </c>
      <c r="AL3958" s="5">
        <f t="shared" si="663"/>
        <v>0.51709699930216324</v>
      </c>
    </row>
    <row r="3959" spans="1:38" x14ac:dyDescent="0.2">
      <c r="A3959" s="2">
        <v>2026</v>
      </c>
      <c r="B3959" s="2">
        <v>5</v>
      </c>
      <c r="C3959" s="2" t="s">
        <v>3433</v>
      </c>
      <c r="D3959" s="2" t="s">
        <v>1255</v>
      </c>
      <c r="E3959" s="2" t="s">
        <v>108</v>
      </c>
      <c r="F3959" s="2" t="s">
        <v>39</v>
      </c>
      <c r="G3959" s="2">
        <v>513777377</v>
      </c>
      <c r="H3959" s="2" t="s">
        <v>290</v>
      </c>
      <c r="I3959" s="2" t="s">
        <v>2711</v>
      </c>
      <c r="J3959" s="2" t="s">
        <v>2712</v>
      </c>
      <c r="K3959" s="2">
        <v>935047029</v>
      </c>
      <c r="L3959" s="2" t="s">
        <v>446</v>
      </c>
      <c r="M3959" s="2" t="s">
        <v>80</v>
      </c>
      <c r="P3959" s="2" t="s">
        <v>72</v>
      </c>
      <c r="Q3959" s="2" t="s">
        <v>1449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1"/>
        <v>0.46762608695652175</v>
      </c>
      <c r="Z3959" s="2" t="s">
        <v>3226</v>
      </c>
      <c r="AA3959" s="2" t="s">
        <v>75</v>
      </c>
      <c r="AB3959" s="2" t="s">
        <v>76</v>
      </c>
      <c r="AC3959" s="2" t="s">
        <v>77</v>
      </c>
      <c r="AF3959" s="2">
        <f t="shared" si="649"/>
        <v>0</v>
      </c>
      <c r="AG3959" s="2">
        <v>122.446</v>
      </c>
      <c r="AH3959" s="2">
        <v>230</v>
      </c>
      <c r="AJ3959" s="2">
        <f t="shared" si="650"/>
        <v>0</v>
      </c>
      <c r="AK3959" s="2">
        <f t="shared" si="662"/>
        <v>107.554</v>
      </c>
      <c r="AL3959" s="5">
        <f t="shared" si="663"/>
        <v>0.46762608695652175</v>
      </c>
    </row>
    <row r="3960" spans="1:38" x14ac:dyDescent="0.2">
      <c r="A3960" s="2">
        <v>2026</v>
      </c>
      <c r="B3960" s="2">
        <v>5</v>
      </c>
      <c r="C3960" s="2" t="s">
        <v>3368</v>
      </c>
      <c r="D3960" s="2" t="s">
        <v>1255</v>
      </c>
      <c r="E3960" s="2" t="s">
        <v>108</v>
      </c>
      <c r="F3960" s="2" t="s">
        <v>39</v>
      </c>
      <c r="G3960" s="2">
        <v>513777377</v>
      </c>
      <c r="H3960" s="2" t="s">
        <v>290</v>
      </c>
      <c r="I3960" s="2" t="s">
        <v>2711</v>
      </c>
      <c r="J3960" s="2" t="s">
        <v>2712</v>
      </c>
      <c r="K3960" s="2">
        <v>935047029</v>
      </c>
      <c r="L3960" s="2" t="s">
        <v>446</v>
      </c>
      <c r="M3960" s="2" t="s">
        <v>80</v>
      </c>
      <c r="P3960" s="2" t="s">
        <v>1038</v>
      </c>
      <c r="Q3960" s="2" t="s">
        <v>2978</v>
      </c>
      <c r="R3960" s="2" t="s">
        <v>2979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1"/>
        <v>0.41537037037037039</v>
      </c>
      <c r="Z3960" s="2" t="s">
        <v>3226</v>
      </c>
      <c r="AA3960" s="2" t="s">
        <v>75</v>
      </c>
      <c r="AB3960" s="2" t="s">
        <v>76</v>
      </c>
      <c r="AC3960" s="2" t="s">
        <v>1038</v>
      </c>
      <c r="AF3960" s="2">
        <f t="shared" si="649"/>
        <v>0</v>
      </c>
      <c r="AJ3960" s="2">
        <f t="shared" si="650"/>
        <v>0</v>
      </c>
      <c r="AK3960" s="2">
        <f t="shared" si="662"/>
        <v>112.15</v>
      </c>
      <c r="AL3960" s="5">
        <f t="shared" si="663"/>
        <v>0.41537037037037039</v>
      </c>
    </row>
    <row r="3961" spans="1:38" x14ac:dyDescent="0.2">
      <c r="A3961" s="2">
        <v>2026</v>
      </c>
      <c r="B3961" s="2">
        <v>5</v>
      </c>
      <c r="C3961" s="2" t="s">
        <v>3368</v>
      </c>
      <c r="D3961" s="2" t="s">
        <v>1255</v>
      </c>
      <c r="E3961" s="2" t="s">
        <v>108</v>
      </c>
      <c r="F3961" s="2" t="s">
        <v>39</v>
      </c>
      <c r="G3961" s="2">
        <v>513777377</v>
      </c>
      <c r="H3961" s="2" t="s">
        <v>290</v>
      </c>
      <c r="I3961" s="2" t="s">
        <v>2711</v>
      </c>
      <c r="J3961" s="2" t="s">
        <v>2712</v>
      </c>
      <c r="K3961" s="2">
        <v>935047029</v>
      </c>
      <c r="L3961" s="2" t="s">
        <v>446</v>
      </c>
      <c r="M3961" s="2" t="s">
        <v>80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1"/>
        <v>0</v>
      </c>
      <c r="Z3961" s="2" t="s">
        <v>3226</v>
      </c>
      <c r="AA3961" s="2" t="s">
        <v>96</v>
      </c>
      <c r="AB3961" s="2" t="s">
        <v>76</v>
      </c>
      <c r="AC3961" s="2" t="s">
        <v>93</v>
      </c>
      <c r="AF3961" s="2">
        <f t="shared" si="649"/>
        <v>0</v>
      </c>
      <c r="AJ3961" s="2">
        <f t="shared" si="650"/>
        <v>0</v>
      </c>
      <c r="AK3961" s="2">
        <f t="shared" si="662"/>
        <v>0</v>
      </c>
      <c r="AL3961" s="5">
        <f t="shared" si="663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2980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1"/>
        <v>1</v>
      </c>
      <c r="Z3962" s="2" t="s">
        <v>119</v>
      </c>
      <c r="AA3962" s="2" t="s">
        <v>492</v>
      </c>
      <c r="AF3962" s="2">
        <f t="shared" si="649"/>
        <v>0</v>
      </c>
      <c r="AJ3962" s="2">
        <f t="shared" si="650"/>
        <v>0</v>
      </c>
      <c r="AK3962" s="2">
        <f t="shared" si="662"/>
        <v>1357.82</v>
      </c>
      <c r="AL3962" s="5">
        <f t="shared" si="663"/>
        <v>1</v>
      </c>
    </row>
    <row r="3963" spans="1:38" x14ac:dyDescent="0.2">
      <c r="A3963" s="2">
        <v>2026</v>
      </c>
      <c r="B3963" s="2">
        <v>5</v>
      </c>
      <c r="D3963" s="2" t="s">
        <v>2981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2982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2983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1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9"/>
        <v>0</v>
      </c>
      <c r="AG3963" s="2">
        <f>88.6+1.81</f>
        <v>90.41</v>
      </c>
      <c r="AJ3963" s="2">
        <f t="shared" si="650"/>
        <v>0</v>
      </c>
      <c r="AK3963" s="2">
        <f t="shared" si="662"/>
        <v>97.509999999999991</v>
      </c>
      <c r="AL3963" s="5">
        <f t="shared" si="663"/>
        <v>0.51889101745423583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795</v>
      </c>
      <c r="R3964" s="2" t="s">
        <v>2984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1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9"/>
        <v>0</v>
      </c>
      <c r="AG3964" s="2">
        <f>12.87+0.3</f>
        <v>13.17</v>
      </c>
      <c r="AJ3964" s="2">
        <f t="shared" si="650"/>
        <v>0</v>
      </c>
      <c r="AK3964" s="2">
        <f t="shared" si="662"/>
        <v>14.664999999999999</v>
      </c>
      <c r="AL3964" s="5">
        <f t="shared" si="663"/>
        <v>0.51673713883016203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1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9"/>
        <v>0</v>
      </c>
      <c r="AG3965" s="2">
        <f>W3965</f>
        <v>37.6</v>
      </c>
      <c r="AJ3965" s="2">
        <f t="shared" si="650"/>
        <v>0</v>
      </c>
      <c r="AK3965" s="2">
        <f t="shared" si="662"/>
        <v>56.4</v>
      </c>
      <c r="AL3965" s="5">
        <f t="shared" si="663"/>
        <v>0.6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1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9"/>
        <v>0</v>
      </c>
      <c r="AG3966" s="2">
        <f>W3966</f>
        <v>27.5</v>
      </c>
      <c r="AJ3966" s="2">
        <f t="shared" si="650"/>
        <v>0</v>
      </c>
      <c r="AK3966" s="2">
        <f t="shared" si="662"/>
        <v>27.5</v>
      </c>
      <c r="AL3966" s="5">
        <f t="shared" si="663"/>
        <v>0.5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1"/>
        <v>0.3000000000000001</v>
      </c>
      <c r="Z3967" s="2" t="s">
        <v>117</v>
      </c>
      <c r="AA3967" s="2" t="s">
        <v>1310</v>
      </c>
      <c r="AF3967" s="2">
        <f t="shared" si="649"/>
        <v>0</v>
      </c>
      <c r="AJ3967" s="2">
        <f t="shared" si="650"/>
        <v>0</v>
      </c>
      <c r="AK3967" s="2">
        <f t="shared" si="662"/>
        <v>26.250000000000007</v>
      </c>
      <c r="AL3967" s="5">
        <f t="shared" si="663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2985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1"/>
        <v>0.4729523809523809</v>
      </c>
      <c r="Z3968" s="2" t="s">
        <v>3226</v>
      </c>
      <c r="AA3968" s="2" t="s">
        <v>75</v>
      </c>
      <c r="AB3968" s="2" t="s">
        <v>76</v>
      </c>
      <c r="AC3968" s="2" t="s">
        <v>77</v>
      </c>
      <c r="AF3968" s="2">
        <f t="shared" si="649"/>
        <v>0</v>
      </c>
      <c r="AG3968" s="2">
        <v>110.68</v>
      </c>
      <c r="AH3968" s="2">
        <v>210</v>
      </c>
      <c r="AJ3968" s="2">
        <f t="shared" si="650"/>
        <v>0</v>
      </c>
      <c r="AK3968" s="2">
        <f t="shared" si="662"/>
        <v>198.64</v>
      </c>
      <c r="AL3968" s="5">
        <f t="shared" si="663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1"/>
        <v>0</v>
      </c>
      <c r="Z3969" s="2" t="s">
        <v>3226</v>
      </c>
      <c r="AA3969" s="2" t="s">
        <v>96</v>
      </c>
      <c r="AB3969" s="2" t="s">
        <v>76</v>
      </c>
      <c r="AC3969" s="2" t="s">
        <v>93</v>
      </c>
      <c r="AF3969" s="2">
        <f t="shared" ref="AF3969:AF4032" si="664">AJ3969</f>
        <v>0</v>
      </c>
      <c r="AJ3969" s="2">
        <f t="shared" ref="AJ3969:AJ4032" si="665">AI3969*T3969</f>
        <v>0</v>
      </c>
      <c r="AK3969" s="2">
        <f t="shared" si="662"/>
        <v>0</v>
      </c>
      <c r="AL3969" s="5">
        <f t="shared" si="663"/>
        <v>0</v>
      </c>
    </row>
    <row r="3970" spans="1:38" x14ac:dyDescent="0.2">
      <c r="A3970" s="2">
        <v>2026</v>
      </c>
      <c r="B3970" s="2">
        <v>5</v>
      </c>
      <c r="D3970" s="2" t="s">
        <v>2986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3226</v>
      </c>
      <c r="AA3970" s="2" t="s">
        <v>75</v>
      </c>
      <c r="AB3970" s="2" t="s">
        <v>76</v>
      </c>
      <c r="AC3970" s="2" t="s">
        <v>77</v>
      </c>
      <c r="AF3970" s="2">
        <f t="shared" si="664"/>
        <v>0</v>
      </c>
      <c r="AG3970" s="2">
        <v>125.51600000000001</v>
      </c>
      <c r="AH3970" s="2">
        <v>220</v>
      </c>
      <c r="AJ3970" s="2">
        <f t="shared" si="665"/>
        <v>0</v>
      </c>
      <c r="AK3970" s="2">
        <f t="shared" si="662"/>
        <v>94.483999999999995</v>
      </c>
      <c r="AL3970" s="5">
        <f t="shared" si="663"/>
        <v>0.42947272727272723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6">(T3971-W3971)/T3971</f>
        <v>0</v>
      </c>
      <c r="Z3971" s="2" t="s">
        <v>3226</v>
      </c>
      <c r="AA3971" s="2" t="s">
        <v>96</v>
      </c>
      <c r="AB3971" s="2" t="s">
        <v>76</v>
      </c>
      <c r="AC3971" s="2" t="s">
        <v>93</v>
      </c>
      <c r="AF3971" s="2">
        <f t="shared" si="664"/>
        <v>0</v>
      </c>
      <c r="AJ3971" s="2">
        <f t="shared" si="665"/>
        <v>0</v>
      </c>
      <c r="AK3971" s="2">
        <f t="shared" si="662"/>
        <v>0</v>
      </c>
      <c r="AL3971" s="5">
        <f t="shared" si="663"/>
        <v>0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6"/>
        <v>0.44659999999999994</v>
      </c>
      <c r="Z3972" s="2" t="s">
        <v>3226</v>
      </c>
      <c r="AA3972" s="2" t="s">
        <v>75</v>
      </c>
      <c r="AB3972" s="2" t="s">
        <v>76</v>
      </c>
      <c r="AC3972" s="2" t="s">
        <v>77</v>
      </c>
      <c r="AF3972" s="2">
        <f t="shared" si="664"/>
        <v>0</v>
      </c>
      <c r="AG3972" s="2">
        <v>110.68</v>
      </c>
      <c r="AH3972" s="2">
        <v>210</v>
      </c>
      <c r="AJ3972" s="2">
        <f t="shared" si="665"/>
        <v>0</v>
      </c>
      <c r="AK3972" s="2">
        <f t="shared" si="662"/>
        <v>89.32</v>
      </c>
      <c r="AL3972" s="5">
        <f t="shared" si="663"/>
        <v>0.44659999999999994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6"/>
        <v>0</v>
      </c>
      <c r="Z3973" s="2" t="s">
        <v>3226</v>
      </c>
      <c r="AA3973" s="2" t="s">
        <v>96</v>
      </c>
      <c r="AB3973" s="2" t="s">
        <v>76</v>
      </c>
      <c r="AC3973" s="2" t="s">
        <v>93</v>
      </c>
      <c r="AF3973" s="2">
        <f t="shared" si="664"/>
        <v>0</v>
      </c>
      <c r="AJ3973" s="2">
        <f t="shared" si="665"/>
        <v>0</v>
      </c>
      <c r="AK3973" s="2">
        <f t="shared" si="662"/>
        <v>0</v>
      </c>
      <c r="AL3973" s="5">
        <f t="shared" si="663"/>
        <v>0</v>
      </c>
    </row>
    <row r="3974" spans="1:38" x14ac:dyDescent="0.2">
      <c r="A3974" s="2">
        <v>2026</v>
      </c>
      <c r="B3974" s="2">
        <v>5</v>
      </c>
      <c r="D3974" s="2" t="s">
        <v>1593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1594</v>
      </c>
      <c r="J3974" s="2" t="s">
        <v>1595</v>
      </c>
      <c r="L3974" s="2" t="s">
        <v>201</v>
      </c>
      <c r="M3974" s="2" t="s">
        <v>80</v>
      </c>
      <c r="O3974" s="2" t="s">
        <v>2988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6"/>
        <v>0.37426086956521742</v>
      </c>
      <c r="Z3974" s="2" t="s">
        <v>3226</v>
      </c>
      <c r="AA3974" s="2" t="s">
        <v>75</v>
      </c>
      <c r="AB3974" s="2" t="s">
        <v>76</v>
      </c>
      <c r="AC3974" s="2" t="s">
        <v>77</v>
      </c>
      <c r="AF3974" s="2">
        <f t="shared" si="664"/>
        <v>0</v>
      </c>
      <c r="AG3974" s="2">
        <v>143.91999999999999</v>
      </c>
      <c r="AJ3974" s="2">
        <f t="shared" si="665"/>
        <v>0</v>
      </c>
      <c r="AK3974" s="2">
        <f t="shared" si="662"/>
        <v>86.080000000000013</v>
      </c>
      <c r="AL3974" s="5">
        <f t="shared" si="663"/>
        <v>0.37426086956521742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6"/>
        <v>0</v>
      </c>
      <c r="Z3975" s="2" t="s">
        <v>3226</v>
      </c>
      <c r="AA3975" s="2" t="s">
        <v>96</v>
      </c>
      <c r="AB3975" s="2" t="s">
        <v>76</v>
      </c>
      <c r="AC3975" s="2" t="s">
        <v>93</v>
      </c>
      <c r="AF3975" s="2">
        <f t="shared" si="664"/>
        <v>0</v>
      </c>
      <c r="AG3975" s="2">
        <v>1.48</v>
      </c>
      <c r="AH3975" s="2">
        <v>1.48</v>
      </c>
      <c r="AJ3975" s="2">
        <f t="shared" si="665"/>
        <v>0</v>
      </c>
      <c r="AK3975" s="2">
        <f t="shared" si="662"/>
        <v>0</v>
      </c>
      <c r="AL3975" s="5">
        <f t="shared" si="663"/>
        <v>0</v>
      </c>
    </row>
    <row r="3976" spans="1:38" x14ac:dyDescent="0.2">
      <c r="A3976" s="2">
        <v>2026</v>
      </c>
      <c r="B3976" s="2">
        <v>5</v>
      </c>
      <c r="D3976" s="2" t="s">
        <v>1719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3233</v>
      </c>
      <c r="J3976" s="2" t="s">
        <v>3234</v>
      </c>
      <c r="L3976" s="2" t="s">
        <v>571</v>
      </c>
      <c r="M3976" s="2" t="s">
        <v>80</v>
      </c>
      <c r="O3976" s="2" t="s">
        <v>3236</v>
      </c>
      <c r="P3976" s="2" t="s">
        <v>72</v>
      </c>
      <c r="Q3976" s="2" t="s">
        <v>2414</v>
      </c>
      <c r="R3976" s="2" t="s">
        <v>2415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6"/>
        <v>0.53546153846153843</v>
      </c>
      <c r="Z3976" s="2" t="s">
        <v>3226</v>
      </c>
      <c r="AA3976" s="2" t="s">
        <v>75</v>
      </c>
      <c r="AB3976" s="2" t="s">
        <v>76</v>
      </c>
      <c r="AC3976" s="2" t="s">
        <v>77</v>
      </c>
      <c r="AF3976" s="2">
        <f t="shared" si="664"/>
        <v>0</v>
      </c>
      <c r="AG3976" s="2">
        <v>120.78</v>
      </c>
      <c r="AH3976" s="2">
        <v>210</v>
      </c>
      <c r="AJ3976" s="2">
        <f t="shared" si="665"/>
        <v>0</v>
      </c>
      <c r="AK3976" s="2">
        <f t="shared" si="662"/>
        <v>139.22</v>
      </c>
      <c r="AL3976" s="5">
        <f t="shared" si="663"/>
        <v>0.53546153846153843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6"/>
        <v>0</v>
      </c>
      <c r="Z3977" s="2" t="s">
        <v>3226</v>
      </c>
      <c r="AA3977" s="2" t="s">
        <v>96</v>
      </c>
      <c r="AB3977" s="2" t="s">
        <v>76</v>
      </c>
      <c r="AC3977" s="2" t="s">
        <v>93</v>
      </c>
      <c r="AF3977" s="2">
        <f t="shared" si="664"/>
        <v>0</v>
      </c>
      <c r="AJ3977" s="2">
        <f t="shared" si="665"/>
        <v>0</v>
      </c>
      <c r="AK3977" s="2">
        <f t="shared" si="662"/>
        <v>0</v>
      </c>
      <c r="AL3977" s="5">
        <f t="shared" si="663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6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4"/>
        <v>0</v>
      </c>
      <c r="AG3978" s="2">
        <f>W3978</f>
        <v>24</v>
      </c>
      <c r="AJ3978" s="2">
        <f t="shared" si="665"/>
        <v>0</v>
      </c>
      <c r="AK3978" s="2">
        <f t="shared" si="662"/>
        <v>36</v>
      </c>
      <c r="AL3978" s="5">
        <f t="shared" si="663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6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4"/>
        <v>0</v>
      </c>
      <c r="AG3979" s="2">
        <f>W3979</f>
        <v>27.5</v>
      </c>
      <c r="AJ3979" s="2">
        <f t="shared" si="665"/>
        <v>0</v>
      </c>
      <c r="AK3979" s="2">
        <f t="shared" si="662"/>
        <v>27.5</v>
      </c>
      <c r="AL3979" s="5">
        <f t="shared" si="663"/>
        <v>0.5</v>
      </c>
    </row>
    <row r="3980" spans="1:38" x14ac:dyDescent="0.2">
      <c r="A3980" s="2">
        <v>2026</v>
      </c>
      <c r="B3980" s="2">
        <v>5</v>
      </c>
      <c r="C3980" s="2" t="s">
        <v>3368</v>
      </c>
      <c r="D3980" s="2" t="s">
        <v>2049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2779</v>
      </c>
      <c r="J3980" s="2" t="s">
        <v>2820</v>
      </c>
      <c r="K3980" s="2">
        <v>914732950</v>
      </c>
      <c r="L3980" s="2" t="s">
        <v>480</v>
      </c>
      <c r="M3980" s="2" t="s">
        <v>40</v>
      </c>
      <c r="O3980" s="2" t="s">
        <v>2989</v>
      </c>
      <c r="P3980" s="2" t="s">
        <v>1604</v>
      </c>
      <c r="Q3980" s="2" t="s">
        <v>1602</v>
      </c>
      <c r="R3980" s="2" t="s">
        <v>1603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1604</v>
      </c>
      <c r="AF3980" s="2">
        <f t="shared" si="664"/>
        <v>0</v>
      </c>
      <c r="AG3980" s="2">
        <v>10.15</v>
      </c>
      <c r="AJ3980" s="2">
        <f t="shared" si="665"/>
        <v>0</v>
      </c>
      <c r="AK3980" s="2">
        <f t="shared" si="662"/>
        <v>-79.010000000000005</v>
      </c>
      <c r="AL3980" s="18">
        <f t="shared" ref="AL3980" si="667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3368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8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4"/>
        <v>0</v>
      </c>
      <c r="AG3981" s="2">
        <f>W3981</f>
        <v>58.800000000000004</v>
      </c>
      <c r="AJ3981" s="2">
        <f t="shared" si="665"/>
        <v>0</v>
      </c>
      <c r="AK3981" s="2">
        <f t="shared" si="662"/>
        <v>88.199999999999989</v>
      </c>
      <c r="AL3981" s="5">
        <f t="shared" si="663"/>
        <v>0.6</v>
      </c>
    </row>
    <row r="3982" spans="1:38" x14ac:dyDescent="0.2">
      <c r="A3982" s="2">
        <v>2026</v>
      </c>
      <c r="B3982" s="2">
        <v>5</v>
      </c>
      <c r="C3982" s="2" t="s">
        <v>3368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8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4"/>
        <v>0</v>
      </c>
      <c r="AG3982" s="2">
        <f>W3982</f>
        <v>27.5</v>
      </c>
      <c r="AJ3982" s="2">
        <f t="shared" si="665"/>
        <v>0</v>
      </c>
      <c r="AK3982" s="2">
        <f t="shared" si="662"/>
        <v>27.5</v>
      </c>
      <c r="AL3982" s="5">
        <f t="shared" si="663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8"/>
        <v>0.37321392902323725</v>
      </c>
      <c r="Z3983" s="2" t="s">
        <v>3226</v>
      </c>
      <c r="AA3983" s="2" t="s">
        <v>75</v>
      </c>
      <c r="AB3983" s="2" t="s">
        <v>76</v>
      </c>
      <c r="AC3983" s="2" t="s">
        <v>77</v>
      </c>
      <c r="AF3983" s="2">
        <f t="shared" si="664"/>
        <v>0</v>
      </c>
      <c r="AG3983" s="2">
        <v>125.51600000000001</v>
      </c>
      <c r="AH3983" s="2">
        <v>220</v>
      </c>
      <c r="AJ3983" s="2">
        <f t="shared" si="665"/>
        <v>0</v>
      </c>
      <c r="AK3983" s="2">
        <f t="shared" ref="AK3983:AK4014" si="669">T3983-W3983</f>
        <v>224.21199999999999</v>
      </c>
      <c r="AL3983" s="5">
        <f t="shared" ref="AL3983:AL4018" si="670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1345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8"/>
        <v>0.56271602692377654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4"/>
        <v>0</v>
      </c>
      <c r="AJ3984" s="2">
        <f t="shared" si="665"/>
        <v>0</v>
      </c>
      <c r="AK3984" s="2">
        <f t="shared" si="669"/>
        <v>123.72999999999999</v>
      </c>
      <c r="AL3984" s="5">
        <f t="shared" si="670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8"/>
        <v>0.47693761814744795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4"/>
        <v>0</v>
      </c>
      <c r="AG3985" s="2">
        <v>110.68</v>
      </c>
      <c r="AH3985" s="2">
        <v>210</v>
      </c>
      <c r="AJ3985" s="2">
        <f t="shared" si="665"/>
        <v>0</v>
      </c>
      <c r="AK3985" s="2">
        <f t="shared" si="669"/>
        <v>100.91999999999999</v>
      </c>
      <c r="AL3985" s="5">
        <f t="shared" si="670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8"/>
        <v>0</v>
      </c>
      <c r="Z3986" s="2" t="s">
        <v>3226</v>
      </c>
      <c r="AA3986" s="2" t="s">
        <v>96</v>
      </c>
      <c r="AB3986" s="2" t="s">
        <v>76</v>
      </c>
      <c r="AC3986" s="2" t="s">
        <v>93</v>
      </c>
      <c r="AF3986" s="2">
        <f t="shared" si="664"/>
        <v>0</v>
      </c>
      <c r="AJ3986" s="2">
        <f t="shared" si="665"/>
        <v>0</v>
      </c>
      <c r="AK3986" s="2">
        <f t="shared" si="669"/>
        <v>0</v>
      </c>
      <c r="AL3986" s="5">
        <f t="shared" si="670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2990</v>
      </c>
      <c r="R3987" s="2" t="s">
        <v>2991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8"/>
        <v>0.41106099656357398</v>
      </c>
      <c r="Z3987" s="2" t="s">
        <v>3226</v>
      </c>
      <c r="AA3987" s="2" t="s">
        <v>75</v>
      </c>
      <c r="AB3987" s="2" t="s">
        <v>76</v>
      </c>
      <c r="AC3987" s="2" t="s">
        <v>1038</v>
      </c>
      <c r="AF3987" s="2">
        <f t="shared" si="664"/>
        <v>0</v>
      </c>
      <c r="AJ3987" s="2">
        <f t="shared" si="665"/>
        <v>0</v>
      </c>
      <c r="AK3987" s="2">
        <f t="shared" si="669"/>
        <v>191.39000000000004</v>
      </c>
      <c r="AL3987" s="5">
        <f t="shared" si="670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8"/>
        <v>0.23333333333333334</v>
      </c>
      <c r="Z3988" s="2" t="s">
        <v>169</v>
      </c>
      <c r="AA3988" s="2" t="s">
        <v>169</v>
      </c>
      <c r="AF3988" s="2">
        <f t="shared" si="664"/>
        <v>0</v>
      </c>
      <c r="AJ3988" s="2">
        <f t="shared" si="665"/>
        <v>0</v>
      </c>
      <c r="AK3988" s="2">
        <f t="shared" si="669"/>
        <v>7</v>
      </c>
      <c r="AL3988" s="5">
        <f t="shared" si="670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8"/>
        <v>0</v>
      </c>
      <c r="Z3989" s="2" t="s">
        <v>3226</v>
      </c>
      <c r="AA3989" s="2" t="s">
        <v>96</v>
      </c>
      <c r="AB3989" s="2" t="s">
        <v>76</v>
      </c>
      <c r="AC3989" s="2" t="s">
        <v>93</v>
      </c>
      <c r="AF3989" s="2">
        <f t="shared" si="664"/>
        <v>0</v>
      </c>
      <c r="AJ3989" s="2">
        <f t="shared" si="665"/>
        <v>0</v>
      </c>
      <c r="AK3989" s="2">
        <f t="shared" si="669"/>
        <v>0</v>
      </c>
      <c r="AL3989" s="5">
        <f t="shared" si="670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8"/>
        <v>0.12471332542506916</v>
      </c>
      <c r="Z3990" s="2" t="s">
        <v>3226</v>
      </c>
      <c r="AA3990" s="2" t="s">
        <v>75</v>
      </c>
      <c r="AB3990" s="2" t="s">
        <v>76</v>
      </c>
      <c r="AC3990" s="2" t="s">
        <v>77</v>
      </c>
      <c r="AF3990" s="2">
        <f t="shared" si="664"/>
        <v>0</v>
      </c>
      <c r="AG3990" s="2">
        <v>110.68</v>
      </c>
      <c r="AH3990" s="2">
        <v>210</v>
      </c>
      <c r="AJ3990" s="2">
        <f t="shared" si="665"/>
        <v>0</v>
      </c>
      <c r="AK3990" s="2">
        <f t="shared" si="669"/>
        <v>31.539999999999992</v>
      </c>
      <c r="AL3990" s="5">
        <f t="shared" si="670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8"/>
        <v>0</v>
      </c>
      <c r="Z3991" s="2" t="s">
        <v>3226</v>
      </c>
      <c r="AA3991" s="2" t="s">
        <v>96</v>
      </c>
      <c r="AB3991" s="2" t="s">
        <v>76</v>
      </c>
      <c r="AC3991" s="2" t="s">
        <v>93</v>
      </c>
      <c r="AF3991" s="2">
        <f t="shared" si="664"/>
        <v>0</v>
      </c>
      <c r="AJ3991" s="2">
        <f t="shared" si="665"/>
        <v>0</v>
      </c>
      <c r="AK3991" s="2">
        <f t="shared" si="669"/>
        <v>0</v>
      </c>
      <c r="AL3991" s="5">
        <f t="shared" si="670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8"/>
        <v>0.42947272727272723</v>
      </c>
      <c r="Z3992" s="2" t="s">
        <v>3226</v>
      </c>
      <c r="AA3992" s="2" t="s">
        <v>75</v>
      </c>
      <c r="AB3992" s="2" t="s">
        <v>76</v>
      </c>
      <c r="AC3992" s="2" t="s">
        <v>77</v>
      </c>
      <c r="AF3992" s="2">
        <f t="shared" si="664"/>
        <v>0</v>
      </c>
      <c r="AG3992" s="2">
        <v>125.51600000000001</v>
      </c>
      <c r="AH3992" s="2">
        <v>220</v>
      </c>
      <c r="AJ3992" s="2">
        <f t="shared" si="665"/>
        <v>0</v>
      </c>
      <c r="AK3992" s="2">
        <f t="shared" si="669"/>
        <v>94.483999999999995</v>
      </c>
      <c r="AL3992" s="5">
        <f t="shared" si="670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8"/>
        <v>0</v>
      </c>
      <c r="Z3993" s="2" t="s">
        <v>3226</v>
      </c>
      <c r="AA3993" s="2" t="s">
        <v>96</v>
      </c>
      <c r="AB3993" s="2" t="s">
        <v>76</v>
      </c>
      <c r="AC3993" s="2" t="s">
        <v>93</v>
      </c>
      <c r="AF3993" s="2">
        <f t="shared" si="664"/>
        <v>0</v>
      </c>
      <c r="AJ3993" s="2">
        <f t="shared" si="665"/>
        <v>0</v>
      </c>
      <c r="AK3993" s="2">
        <f t="shared" si="669"/>
        <v>0</v>
      </c>
      <c r="AL3993" s="5">
        <f t="shared" si="670"/>
        <v>0</v>
      </c>
    </row>
    <row r="3994" spans="1:38" x14ac:dyDescent="0.2">
      <c r="A3994" s="2">
        <v>2026</v>
      </c>
      <c r="B3994" s="2">
        <v>5</v>
      </c>
      <c r="D3994" s="2" t="s">
        <v>1622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1623</v>
      </c>
      <c r="J3994" s="2" t="s">
        <v>1624</v>
      </c>
      <c r="L3994" s="2" t="s">
        <v>293</v>
      </c>
      <c r="M3994" s="2" t="s">
        <v>40</v>
      </c>
      <c r="O3994" s="2" t="s">
        <v>2992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8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4"/>
        <v>0</v>
      </c>
      <c r="AJ3994" s="2">
        <f t="shared" si="665"/>
        <v>0</v>
      </c>
      <c r="AK3994" s="2">
        <f t="shared" si="669"/>
        <v>9.715799999999998</v>
      </c>
      <c r="AL3994" s="5">
        <f t="shared" si="670"/>
        <v>0.649886287625418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8"/>
        <v>-0.2</v>
      </c>
      <c r="Z3995" s="2" t="s">
        <v>169</v>
      </c>
      <c r="AA3995" s="2" t="s">
        <v>169</v>
      </c>
      <c r="AF3995" s="2">
        <f t="shared" si="664"/>
        <v>0</v>
      </c>
      <c r="AJ3995" s="2">
        <f t="shared" si="665"/>
        <v>0</v>
      </c>
      <c r="AK3995" s="2">
        <f t="shared" si="669"/>
        <v>-1</v>
      </c>
      <c r="AL3995" s="5">
        <f t="shared" si="670"/>
        <v>-0.2</v>
      </c>
    </row>
    <row r="3996" spans="1:38" x14ac:dyDescent="0.2">
      <c r="A3996" s="2">
        <v>2026</v>
      </c>
      <c r="B3996" s="2">
        <v>5</v>
      </c>
      <c r="D3996" s="2" t="s">
        <v>1281</v>
      </c>
      <c r="E3996" s="2" t="s">
        <v>183</v>
      </c>
      <c r="F3996" s="2" t="s">
        <v>2993</v>
      </c>
      <c r="G3996" s="2">
        <v>517805383</v>
      </c>
      <c r="H3996" s="2" t="s">
        <v>40</v>
      </c>
      <c r="I3996" s="2" t="s">
        <v>99</v>
      </c>
      <c r="J3996" s="2" t="s">
        <v>2994</v>
      </c>
      <c r="K3996" s="2">
        <v>964651239</v>
      </c>
      <c r="L3996" s="2" t="s">
        <v>99</v>
      </c>
      <c r="M3996" s="2" t="s">
        <v>40</v>
      </c>
      <c r="O3996" s="2" t="s">
        <v>2995</v>
      </c>
      <c r="P3996" s="2" t="s">
        <v>282</v>
      </c>
      <c r="Q3996" s="2" t="s">
        <v>2996</v>
      </c>
      <c r="R3996" s="2" t="s">
        <v>2997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8"/>
        <v>0.31578947368421051</v>
      </c>
      <c r="Z3996" s="2" t="s">
        <v>117</v>
      </c>
      <c r="AA3996" s="2" t="s">
        <v>181</v>
      </c>
      <c r="AB3996" s="2" t="s">
        <v>3379</v>
      </c>
      <c r="AC3996" s="2" t="s">
        <v>1327</v>
      </c>
      <c r="AF3996" s="2">
        <f t="shared" si="664"/>
        <v>0</v>
      </c>
      <c r="AG3996" s="2">
        <v>773.5</v>
      </c>
      <c r="AJ3996" s="2">
        <f t="shared" si="665"/>
        <v>0</v>
      </c>
      <c r="AK3996" s="2">
        <f t="shared" si="669"/>
        <v>357</v>
      </c>
      <c r="AL3996" s="5">
        <f t="shared" si="670"/>
        <v>0.31578947368421051</v>
      </c>
    </row>
    <row r="3997" spans="1:38" x14ac:dyDescent="0.2">
      <c r="A3997" s="2">
        <v>2026</v>
      </c>
      <c r="B3997" s="2">
        <v>5</v>
      </c>
      <c r="C3997" s="2" t="s">
        <v>3448</v>
      </c>
      <c r="D3997" s="2" t="s">
        <v>2998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2999</v>
      </c>
      <c r="J3997" s="2" t="s">
        <v>3000</v>
      </c>
      <c r="K3997" s="2">
        <v>969030161</v>
      </c>
      <c r="L3997" s="2" t="s">
        <v>3001</v>
      </c>
      <c r="M3997" s="2" t="s">
        <v>40</v>
      </c>
      <c r="O3997" s="2" t="s">
        <v>3002</v>
      </c>
      <c r="P3997" s="2" t="s">
        <v>114</v>
      </c>
      <c r="Q3997" s="2" t="s">
        <v>1471</v>
      </c>
      <c r="R3997" s="2" t="s">
        <v>1472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8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4"/>
        <v>0</v>
      </c>
      <c r="AG3997" s="2">
        <v>343.38</v>
      </c>
      <c r="AJ3997" s="2">
        <f t="shared" si="665"/>
        <v>0</v>
      </c>
      <c r="AK3997" s="2">
        <f t="shared" si="669"/>
        <v>347.23</v>
      </c>
      <c r="AL3997" s="5">
        <f t="shared" si="670"/>
        <v>0.50278739085735802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1578</v>
      </c>
      <c r="R3998" s="2" t="s">
        <v>1579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8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4"/>
        <v>0</v>
      </c>
      <c r="AG3998" s="2">
        <f>4893.23+171</f>
        <v>5064.2299999999996</v>
      </c>
      <c r="AJ3998" s="2">
        <f t="shared" si="665"/>
        <v>0</v>
      </c>
      <c r="AK3998" s="2">
        <f t="shared" si="669"/>
        <v>1925.7700000000004</v>
      </c>
      <c r="AL3998" s="5">
        <f t="shared" si="670"/>
        <v>0.27550357653791135</v>
      </c>
    </row>
    <row r="3999" spans="1:38" x14ac:dyDescent="0.2">
      <c r="A3999" s="2">
        <v>2026</v>
      </c>
      <c r="B3999" s="2">
        <v>5</v>
      </c>
      <c r="D3999" s="2" t="s">
        <v>2334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3003</v>
      </c>
      <c r="L3999" s="2" t="s">
        <v>177</v>
      </c>
      <c r="M3999" s="2" t="s">
        <v>41</v>
      </c>
      <c r="O3999" s="2" t="s">
        <v>3004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8"/>
        <v>0.34034999999999999</v>
      </c>
      <c r="Z3999" s="2" t="s">
        <v>3226</v>
      </c>
      <c r="AA3999" s="2" t="s">
        <v>75</v>
      </c>
      <c r="AB3999" s="2" t="s">
        <v>76</v>
      </c>
      <c r="AC3999" s="2" t="s">
        <v>77</v>
      </c>
      <c r="AF3999" s="2">
        <f t="shared" si="664"/>
        <v>0</v>
      </c>
      <c r="AG3999" s="2">
        <v>131.93</v>
      </c>
      <c r="AH3999" s="2">
        <v>220</v>
      </c>
      <c r="AJ3999" s="2">
        <f t="shared" si="665"/>
        <v>0</v>
      </c>
      <c r="AK3999" s="2">
        <f t="shared" si="669"/>
        <v>68.069999999999993</v>
      </c>
      <c r="AL3999" s="5">
        <f t="shared" si="670"/>
        <v>0.34034999999999999</v>
      </c>
    </row>
    <row r="4000" spans="1:38" x14ac:dyDescent="0.2">
      <c r="A4000" s="2">
        <v>2026</v>
      </c>
      <c r="B4000" s="2">
        <v>5</v>
      </c>
      <c r="D4000" s="2" t="s">
        <v>2334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8"/>
        <v>0</v>
      </c>
      <c r="Z4000" s="2" t="s">
        <v>3226</v>
      </c>
      <c r="AA4000" s="2" t="s">
        <v>96</v>
      </c>
      <c r="AB4000" s="2" t="s">
        <v>76</v>
      </c>
      <c r="AC4000" s="2" t="s">
        <v>93</v>
      </c>
      <c r="AF4000" s="2">
        <f t="shared" si="664"/>
        <v>0</v>
      </c>
      <c r="AJ4000" s="2">
        <f t="shared" si="665"/>
        <v>0</v>
      </c>
      <c r="AK4000" s="2">
        <f t="shared" si="669"/>
        <v>0</v>
      </c>
      <c r="AL4000" s="5">
        <f t="shared" si="670"/>
        <v>0</v>
      </c>
    </row>
    <row r="4001" spans="1:38" x14ac:dyDescent="0.2">
      <c r="A4001" s="2">
        <v>2026</v>
      </c>
      <c r="B4001" s="2">
        <v>5</v>
      </c>
      <c r="D4001" s="2" t="s">
        <v>3005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3239</v>
      </c>
      <c r="L4001" s="2" t="s">
        <v>112</v>
      </c>
      <c r="M4001" s="2" t="s">
        <v>109</v>
      </c>
      <c r="O4001" s="2" t="s">
        <v>3240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8"/>
        <v>0.45165454545454548</v>
      </c>
      <c r="Z4001" s="2" t="s">
        <v>3226</v>
      </c>
      <c r="AA4001" s="2" t="s">
        <v>75</v>
      </c>
      <c r="AB4001" s="2" t="s">
        <v>76</v>
      </c>
      <c r="AC4001" s="2" t="s">
        <v>77</v>
      </c>
      <c r="AF4001" s="2">
        <f t="shared" si="664"/>
        <v>0</v>
      </c>
      <c r="AG4001" s="2">
        <v>120.636</v>
      </c>
      <c r="AH4001" s="2">
        <v>220</v>
      </c>
      <c r="AJ4001" s="2">
        <f t="shared" si="665"/>
        <v>0</v>
      </c>
      <c r="AK4001" s="2">
        <f t="shared" si="669"/>
        <v>99.364000000000004</v>
      </c>
      <c r="AL4001" s="5">
        <f t="shared" si="670"/>
        <v>0.45165454545454548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8"/>
        <v>0</v>
      </c>
      <c r="Z4002" s="2" t="s">
        <v>3226</v>
      </c>
      <c r="AA4002" s="2" t="s">
        <v>96</v>
      </c>
      <c r="AB4002" s="2" t="s">
        <v>76</v>
      </c>
      <c r="AC4002" s="2" t="s">
        <v>93</v>
      </c>
      <c r="AF4002" s="2">
        <f t="shared" si="664"/>
        <v>0</v>
      </c>
      <c r="AJ4002" s="2">
        <f t="shared" si="665"/>
        <v>0</v>
      </c>
      <c r="AK4002" s="2">
        <f t="shared" si="669"/>
        <v>0</v>
      </c>
      <c r="AL4002" s="5">
        <f t="shared" si="670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3006</v>
      </c>
      <c r="P4003" s="2" t="s">
        <v>114</v>
      </c>
      <c r="Q4003" s="2" t="s">
        <v>2211</v>
      </c>
      <c r="R4003" s="2" t="s">
        <v>2212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8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4"/>
        <v>0</v>
      </c>
      <c r="AG4003" s="2">
        <f>78.74+0.63</f>
        <v>79.36999999999999</v>
      </c>
      <c r="AJ4003" s="2">
        <f t="shared" si="665"/>
        <v>0</v>
      </c>
      <c r="AK4003" s="2">
        <f t="shared" si="669"/>
        <v>73.650000000000006</v>
      </c>
      <c r="AL4003" s="5">
        <f t="shared" si="670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8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4"/>
        <v>0</v>
      </c>
      <c r="AG4004" s="2">
        <f>78.74+0.63</f>
        <v>79.36999999999999</v>
      </c>
      <c r="AJ4004" s="2">
        <f t="shared" si="665"/>
        <v>0</v>
      </c>
      <c r="AK4004" s="2">
        <f t="shared" si="669"/>
        <v>9.9999999999994316E-2</v>
      </c>
      <c r="AL4004" s="5">
        <f t="shared" si="670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3007</v>
      </c>
      <c r="R4005" s="2" t="s">
        <v>3008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8"/>
        <v>1</v>
      </c>
      <c r="Z4005" s="2" t="s">
        <v>104</v>
      </c>
      <c r="AA4005" s="2" t="s">
        <v>616</v>
      </c>
      <c r="AB4005" s="2" t="s">
        <v>3435</v>
      </c>
      <c r="AC4005" s="2" t="s">
        <v>114</v>
      </c>
      <c r="AF4005" s="2">
        <f t="shared" si="664"/>
        <v>0</v>
      </c>
      <c r="AJ4005" s="2">
        <f t="shared" si="665"/>
        <v>0</v>
      </c>
      <c r="AK4005" s="2">
        <f t="shared" si="669"/>
        <v>3990</v>
      </c>
      <c r="AL4005" s="5">
        <f t="shared" si="670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3009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8"/>
        <v>0.47838888888888892</v>
      </c>
      <c r="Z4006" s="2" t="s">
        <v>3226</v>
      </c>
      <c r="AA4006" s="2" t="s">
        <v>46</v>
      </c>
      <c r="AB4006" s="2" t="s">
        <v>60</v>
      </c>
      <c r="AC4006" s="2" t="s">
        <v>57</v>
      </c>
      <c r="AF4006" s="2">
        <f t="shared" si="664"/>
        <v>0</v>
      </c>
      <c r="AG4006" s="2">
        <v>3.7555999999999998</v>
      </c>
      <c r="AH4006" s="2">
        <v>7.2</v>
      </c>
      <c r="AJ4006" s="2">
        <f t="shared" si="665"/>
        <v>0</v>
      </c>
      <c r="AK4006" s="2">
        <f t="shared" si="669"/>
        <v>51.666000000000004</v>
      </c>
      <c r="AL4006" s="5">
        <f t="shared" si="670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8"/>
        <v>0.62926666666666664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4"/>
        <v>0</v>
      </c>
      <c r="AG4007" s="2">
        <v>1.1122000000000001</v>
      </c>
      <c r="AH4007" s="2">
        <v>3</v>
      </c>
      <c r="AJ4007" s="2">
        <f t="shared" si="665"/>
        <v>0</v>
      </c>
      <c r="AK4007" s="2">
        <f t="shared" si="669"/>
        <v>37.756</v>
      </c>
      <c r="AL4007" s="5">
        <f t="shared" si="670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8"/>
        <v>0.38692653061224486</v>
      </c>
      <c r="Z4008" s="2" t="s">
        <v>3226</v>
      </c>
      <c r="AA4008" s="2" t="s">
        <v>46</v>
      </c>
      <c r="AB4008" s="2" t="s">
        <v>67</v>
      </c>
      <c r="AC4008" s="2" t="s">
        <v>57</v>
      </c>
      <c r="AF4008" s="2">
        <f t="shared" si="664"/>
        <v>0</v>
      </c>
      <c r="AG4008" s="2">
        <v>15.020300000000001</v>
      </c>
      <c r="AH4008" s="2">
        <v>27.6</v>
      </c>
      <c r="AJ4008" s="2">
        <f t="shared" si="665"/>
        <v>0</v>
      </c>
      <c r="AK4008" s="2">
        <f t="shared" si="669"/>
        <v>18.959399999999999</v>
      </c>
      <c r="AL4008" s="5">
        <f t="shared" si="670"/>
        <v>0.38692653061224486</v>
      </c>
    </row>
    <row r="4009" spans="1:38" x14ac:dyDescent="0.2">
      <c r="A4009" s="2">
        <v>2026</v>
      </c>
      <c r="B4009" s="2">
        <v>5</v>
      </c>
      <c r="D4009" s="2" t="s">
        <v>3010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8"/>
        <v>0.34714285714285725</v>
      </c>
      <c r="Z4009" s="2" t="s">
        <v>3226</v>
      </c>
      <c r="AA4009" s="2" t="s">
        <v>46</v>
      </c>
      <c r="AB4009" s="2" t="s">
        <v>60</v>
      </c>
      <c r="AC4009" s="2" t="s">
        <v>57</v>
      </c>
      <c r="AF4009" s="2">
        <f t="shared" si="664"/>
        <v>0</v>
      </c>
      <c r="AJ4009" s="2">
        <f t="shared" si="665"/>
        <v>0</v>
      </c>
      <c r="AK4009" s="2">
        <f t="shared" si="669"/>
        <v>4.8600000000000012</v>
      </c>
      <c r="AL4009" s="5">
        <f t="shared" si="670"/>
        <v>0.34714285714285725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8"/>
        <v>-0.2</v>
      </c>
      <c r="Z4010" s="2" t="s">
        <v>169</v>
      </c>
      <c r="AA4010" s="2" t="s">
        <v>169</v>
      </c>
      <c r="AF4010" s="2">
        <f t="shared" si="664"/>
        <v>0</v>
      </c>
      <c r="AJ4010" s="2">
        <f t="shared" si="665"/>
        <v>0</v>
      </c>
      <c r="AK4010" s="2">
        <f t="shared" si="669"/>
        <v>-1</v>
      </c>
      <c r="AL4010" s="5">
        <f t="shared" si="670"/>
        <v>-0.2</v>
      </c>
    </row>
    <row r="4011" spans="1:38" x14ac:dyDescent="0.2">
      <c r="A4011" s="2">
        <v>2026</v>
      </c>
      <c r="B4011" s="2">
        <v>5</v>
      </c>
      <c r="C4011" s="2" t="s">
        <v>3448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8"/>
        <v>0.31428571428571428</v>
      </c>
      <c r="Z4011" s="2" t="s">
        <v>3226</v>
      </c>
      <c r="AA4011" s="2" t="s">
        <v>46</v>
      </c>
      <c r="AB4011" s="2" t="s">
        <v>47</v>
      </c>
      <c r="AC4011" s="2" t="s">
        <v>57</v>
      </c>
      <c r="AF4011" s="2">
        <f t="shared" si="664"/>
        <v>0</v>
      </c>
      <c r="AG4011" s="2">
        <v>14.4</v>
      </c>
      <c r="AH4011" s="2">
        <v>21</v>
      </c>
      <c r="AJ4011" s="2">
        <f t="shared" si="665"/>
        <v>0</v>
      </c>
      <c r="AK4011" s="2">
        <f t="shared" si="669"/>
        <v>6.6</v>
      </c>
      <c r="AL4011" s="5">
        <f t="shared" si="670"/>
        <v>0.31428571428571428</v>
      </c>
    </row>
    <row r="4012" spans="1:38" x14ac:dyDescent="0.2">
      <c r="A4012" s="2">
        <v>2026</v>
      </c>
      <c r="B4012" s="2">
        <v>5</v>
      </c>
      <c r="C4012" s="2" t="s">
        <v>3368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8"/>
        <v>0.25454545454545452</v>
      </c>
      <c r="Z4012" s="2" t="s">
        <v>3226</v>
      </c>
      <c r="AA4012" s="2" t="s">
        <v>46</v>
      </c>
      <c r="AB4012" s="2" t="s">
        <v>60</v>
      </c>
      <c r="AC4012" s="2" t="s">
        <v>57</v>
      </c>
      <c r="AF4012" s="2">
        <f t="shared" si="664"/>
        <v>0</v>
      </c>
      <c r="AG4012" s="2">
        <v>8.1999999999999993</v>
      </c>
      <c r="AH4012" s="2">
        <v>13</v>
      </c>
      <c r="AJ4012" s="2">
        <f t="shared" si="665"/>
        <v>0</v>
      </c>
      <c r="AK4012" s="2">
        <f t="shared" si="669"/>
        <v>28</v>
      </c>
      <c r="AL4012" s="5">
        <f t="shared" si="670"/>
        <v>0.25454545454545452</v>
      </c>
    </row>
    <row r="4013" spans="1:38" x14ac:dyDescent="0.2">
      <c r="A4013" s="2">
        <v>2026</v>
      </c>
      <c r="B4013" s="2">
        <v>5</v>
      </c>
      <c r="C4013" s="2" t="s">
        <v>3368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8"/>
        <v>0.50763546798029557</v>
      </c>
      <c r="Z4013" s="2" t="s">
        <v>3226</v>
      </c>
      <c r="AA4013" s="2" t="s">
        <v>46</v>
      </c>
      <c r="AB4013" s="2" t="s">
        <v>60</v>
      </c>
      <c r="AC4013" s="2" t="s">
        <v>84</v>
      </c>
      <c r="AF4013" s="2">
        <f t="shared" si="664"/>
        <v>0</v>
      </c>
      <c r="AJ4013" s="2">
        <f t="shared" si="665"/>
        <v>0</v>
      </c>
      <c r="AK4013" s="2">
        <f t="shared" si="669"/>
        <v>5.1525000000000007</v>
      </c>
      <c r="AL4013" s="5">
        <f t="shared" si="670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8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4"/>
        <v>0</v>
      </c>
      <c r="AG4014" s="2">
        <f>W4014</f>
        <v>30.400000000000002</v>
      </c>
      <c r="AJ4014" s="2">
        <f t="shared" si="665"/>
        <v>0</v>
      </c>
      <c r="AK4014" s="2">
        <f t="shared" si="669"/>
        <v>45.599999999999994</v>
      </c>
      <c r="AL4014" s="5">
        <f t="shared" si="670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8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4"/>
        <v>0</v>
      </c>
      <c r="AG4015" s="2">
        <f>W4015</f>
        <v>27.5</v>
      </c>
      <c r="AJ4015" s="2">
        <f t="shared" si="665"/>
        <v>0</v>
      </c>
      <c r="AK4015" s="2">
        <f t="shared" ref="AK4015:AK4046" si="671">T4015-W4015</f>
        <v>27.5</v>
      </c>
      <c r="AL4015" s="5">
        <f t="shared" si="670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8"/>
        <v>0.3000000000000001</v>
      </c>
      <c r="Z4016" s="2" t="s">
        <v>119</v>
      </c>
      <c r="AA4016" s="2" t="s">
        <v>3378</v>
      </c>
      <c r="AF4016" s="2">
        <f t="shared" si="664"/>
        <v>0</v>
      </c>
      <c r="AJ4016" s="2">
        <f t="shared" si="665"/>
        <v>0</v>
      </c>
      <c r="AK4016" s="2">
        <f t="shared" si="671"/>
        <v>1.7970000000000006</v>
      </c>
      <c r="AL4016" s="5">
        <f t="shared" si="670"/>
        <v>0.3000000000000001</v>
      </c>
    </row>
    <row r="4017" spans="1:38" x14ac:dyDescent="0.2">
      <c r="A4017" s="2">
        <v>2026</v>
      </c>
      <c r="B4017" s="2">
        <v>5</v>
      </c>
      <c r="C4017" s="2" t="s">
        <v>3368</v>
      </c>
      <c r="D4017" s="2" t="s">
        <v>1740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1741</v>
      </c>
      <c r="K4017" s="2">
        <v>968602188</v>
      </c>
      <c r="L4017" s="2" t="s">
        <v>461</v>
      </c>
      <c r="M4017" s="2" t="s">
        <v>40</v>
      </c>
      <c r="O4017" s="2" t="s">
        <v>3011</v>
      </c>
      <c r="P4017" s="2" t="s">
        <v>114</v>
      </c>
      <c r="Q4017" s="2" t="s">
        <v>1471</v>
      </c>
      <c r="R4017" s="2" t="s">
        <v>1472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8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4"/>
        <v>0</v>
      </c>
      <c r="AG4017" s="2">
        <v>343.38</v>
      </c>
      <c r="AJ4017" s="2">
        <f t="shared" si="665"/>
        <v>0</v>
      </c>
      <c r="AK4017" s="2">
        <f t="shared" si="671"/>
        <v>355.91999999999996</v>
      </c>
      <c r="AL4017" s="5">
        <f t="shared" si="670"/>
        <v>0.50896610896610894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8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4"/>
        <v>0</v>
      </c>
      <c r="AG4018" s="2">
        <f>W4018</f>
        <v>90</v>
      </c>
      <c r="AJ4018" s="2">
        <f t="shared" si="665"/>
        <v>0</v>
      </c>
      <c r="AK4018" s="2">
        <f t="shared" si="671"/>
        <v>135</v>
      </c>
      <c r="AL4018" s="5">
        <f t="shared" si="670"/>
        <v>0.6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4"/>
        <v>0</v>
      </c>
      <c r="AG4019" s="2">
        <f>W4019</f>
        <v>0</v>
      </c>
      <c r="AJ4019" s="2">
        <f t="shared" si="665"/>
        <v>0</v>
      </c>
      <c r="AK4019" s="2">
        <f t="shared" si="671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1295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1296</v>
      </c>
      <c r="L4020" s="2" t="s">
        <v>339</v>
      </c>
      <c r="M4020" s="2" t="s">
        <v>80</v>
      </c>
      <c r="O4020" s="2" t="s">
        <v>3012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2">(T4020-W4020)/T4020</f>
        <v>0.46676190476190477</v>
      </c>
      <c r="Z4020" s="2" t="s">
        <v>3226</v>
      </c>
      <c r="AA4020" s="2" t="s">
        <v>75</v>
      </c>
      <c r="AB4020" s="2" t="s">
        <v>76</v>
      </c>
      <c r="AC4020" s="2" t="s">
        <v>77</v>
      </c>
      <c r="AF4020" s="2">
        <f t="shared" si="664"/>
        <v>0</v>
      </c>
      <c r="AG4020" s="2">
        <v>111.98</v>
      </c>
      <c r="AH4020" s="2">
        <v>210</v>
      </c>
      <c r="AJ4020" s="2">
        <f t="shared" si="665"/>
        <v>0</v>
      </c>
      <c r="AK4020" s="2">
        <f t="shared" si="671"/>
        <v>98.02</v>
      </c>
      <c r="AL4020" s="5">
        <f t="shared" ref="AL4020:AL4046" si="673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2"/>
        <v>0</v>
      </c>
      <c r="Z4021" s="2" t="s">
        <v>3226</v>
      </c>
      <c r="AA4021" s="2" t="s">
        <v>96</v>
      </c>
      <c r="AB4021" s="2" t="s">
        <v>76</v>
      </c>
      <c r="AC4021" s="2" t="s">
        <v>93</v>
      </c>
      <c r="AF4021" s="2">
        <f t="shared" si="664"/>
        <v>0</v>
      </c>
      <c r="AG4021" s="2">
        <v>1.48</v>
      </c>
      <c r="AH4021" s="2">
        <v>1.48</v>
      </c>
      <c r="AJ4021" s="2">
        <f t="shared" si="665"/>
        <v>0</v>
      </c>
      <c r="AK4021" s="2">
        <f t="shared" si="671"/>
        <v>0</v>
      </c>
      <c r="AL4021" s="5">
        <f t="shared" si="673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1363</v>
      </c>
      <c r="R4022" s="2" t="s">
        <v>1364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2"/>
        <v>0.71491228070175439</v>
      </c>
      <c r="Z4022" s="2" t="s">
        <v>3226</v>
      </c>
      <c r="AA4022" s="2" t="s">
        <v>46</v>
      </c>
      <c r="AB4022" s="2" t="s">
        <v>47</v>
      </c>
      <c r="AC4022" s="2" t="s">
        <v>57</v>
      </c>
      <c r="AF4022" s="2">
        <f t="shared" si="664"/>
        <v>0</v>
      </c>
      <c r="AJ4022" s="2">
        <f t="shared" si="665"/>
        <v>0</v>
      </c>
      <c r="AK4022" s="2">
        <f t="shared" si="671"/>
        <v>48.900000000000006</v>
      </c>
      <c r="AL4022" s="5">
        <f t="shared" si="673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2"/>
        <v>0.58491111111111116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4"/>
        <v>0</v>
      </c>
      <c r="AG4023" s="2">
        <v>3.7357999999999998</v>
      </c>
      <c r="AH4023" s="2">
        <v>9</v>
      </c>
      <c r="AJ4023" s="2">
        <f t="shared" si="665"/>
        <v>0</v>
      </c>
      <c r="AK4023" s="2">
        <f t="shared" si="671"/>
        <v>10.528400000000001</v>
      </c>
      <c r="AL4023" s="5">
        <f t="shared" si="673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2"/>
        <v>0.26896551724137929</v>
      </c>
      <c r="Z4024" s="2" t="s">
        <v>3226</v>
      </c>
      <c r="AA4024" s="2" t="s">
        <v>46</v>
      </c>
      <c r="AB4024" s="2" t="s">
        <v>56</v>
      </c>
      <c r="AC4024" s="2" t="s">
        <v>57</v>
      </c>
      <c r="AF4024" s="2">
        <f t="shared" si="664"/>
        <v>0</v>
      </c>
      <c r="AG4024" s="2">
        <v>10.6</v>
      </c>
      <c r="AH4024" s="2">
        <v>18</v>
      </c>
      <c r="AJ4024" s="2">
        <f t="shared" si="665"/>
        <v>0</v>
      </c>
      <c r="AK4024" s="2">
        <f t="shared" si="671"/>
        <v>39</v>
      </c>
      <c r="AL4024" s="5">
        <f t="shared" si="673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3013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2"/>
        <v>0.29692307692307696</v>
      </c>
      <c r="Z4025" s="2" t="s">
        <v>3226</v>
      </c>
      <c r="AA4025" s="2" t="s">
        <v>46</v>
      </c>
      <c r="AB4025" s="2" t="s">
        <v>60</v>
      </c>
      <c r="AC4025" s="2" t="s">
        <v>57</v>
      </c>
      <c r="AF4025" s="2">
        <f t="shared" si="664"/>
        <v>0</v>
      </c>
      <c r="AG4025" s="2">
        <v>9.14</v>
      </c>
      <c r="AH4025" s="2">
        <v>16</v>
      </c>
      <c r="AJ4025" s="2">
        <f t="shared" si="665"/>
        <v>0</v>
      </c>
      <c r="AK4025" s="2">
        <f t="shared" si="671"/>
        <v>11.580000000000002</v>
      </c>
      <c r="AL4025" s="5">
        <f t="shared" si="673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2"/>
        <v>0.3692307692307692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4"/>
        <v>0</v>
      </c>
      <c r="AG4026" s="2">
        <v>8.1999999999999993</v>
      </c>
      <c r="AH4026" s="2">
        <v>13</v>
      </c>
      <c r="AJ4026" s="2">
        <f t="shared" si="665"/>
        <v>0</v>
      </c>
      <c r="AK4026" s="2">
        <f t="shared" si="671"/>
        <v>14.399999999999999</v>
      </c>
      <c r="AL4026" s="5">
        <f t="shared" si="673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3014</v>
      </c>
      <c r="P4027" s="2" t="s">
        <v>43</v>
      </c>
      <c r="Q4027" s="2" t="s">
        <v>3015</v>
      </c>
      <c r="R4027" s="2" t="s">
        <v>3016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2"/>
        <v>0.62374999999999992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4"/>
        <v>0</v>
      </c>
      <c r="AG4027" s="2">
        <v>0.90300000000000002</v>
      </c>
      <c r="AH4027" s="2">
        <v>2.4</v>
      </c>
      <c r="AJ4027" s="2">
        <f t="shared" si="665"/>
        <v>0</v>
      </c>
      <c r="AK4027" s="2">
        <f t="shared" si="671"/>
        <v>17.963999999999999</v>
      </c>
      <c r="AL4027" s="5">
        <f t="shared" si="673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3017</v>
      </c>
      <c r="R4028" s="2" t="s">
        <v>3018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2"/>
        <v>0.62416666666666665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4"/>
        <v>0</v>
      </c>
      <c r="AG4028" s="2">
        <v>0.90200000000000002</v>
      </c>
      <c r="AH4028" s="2">
        <v>2.8</v>
      </c>
      <c r="AJ4028" s="2">
        <f t="shared" si="665"/>
        <v>0</v>
      </c>
      <c r="AK4028" s="2">
        <f t="shared" si="671"/>
        <v>17.975999999999999</v>
      </c>
      <c r="AL4028" s="5">
        <f t="shared" si="673"/>
        <v>0.62416666666666665</v>
      </c>
    </row>
    <row r="4029" spans="1:38" x14ac:dyDescent="0.2">
      <c r="A4029" s="2">
        <v>2026</v>
      </c>
      <c r="B4029" s="2">
        <v>5</v>
      </c>
      <c r="C4029" s="2" t="s">
        <v>3448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3019</v>
      </c>
      <c r="P4029" s="2" t="s">
        <v>114</v>
      </c>
      <c r="Q4029" s="2" t="s">
        <v>3020</v>
      </c>
      <c r="R4029" s="2" t="s">
        <v>3021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2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4"/>
        <v>0</v>
      </c>
      <c r="AG4029" s="2">
        <f>104.4+1.77</f>
        <v>106.17</v>
      </c>
      <c r="AJ4029" s="2">
        <f t="shared" si="665"/>
        <v>0</v>
      </c>
      <c r="AK4029" s="2">
        <f t="shared" si="671"/>
        <v>139.08000000000001</v>
      </c>
      <c r="AL4029" s="5">
        <f t="shared" si="673"/>
        <v>0.39576575038415573</v>
      </c>
    </row>
    <row r="4030" spans="1:38" x14ac:dyDescent="0.2">
      <c r="A4030" s="2">
        <v>2026</v>
      </c>
      <c r="B4030" s="2">
        <v>5</v>
      </c>
      <c r="C4030" s="2" t="s">
        <v>3370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3022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2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4"/>
        <v>0</v>
      </c>
      <c r="AG4030" s="2">
        <v>342.22</v>
      </c>
      <c r="AJ4030" s="2">
        <f t="shared" si="665"/>
        <v>0</v>
      </c>
      <c r="AK4030" s="2">
        <f t="shared" si="671"/>
        <v>120.4966</v>
      </c>
      <c r="AL4030" s="5">
        <f t="shared" si="673"/>
        <v>0.25874296757569254</v>
      </c>
    </row>
    <row r="4031" spans="1:38" x14ac:dyDescent="0.2">
      <c r="A4031" s="2">
        <v>2026</v>
      </c>
      <c r="B4031" s="2">
        <v>5</v>
      </c>
      <c r="D4031" s="2" t="s">
        <v>3023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2"/>
        <v>0.42947272727272723</v>
      </c>
      <c r="Z4031" s="2" t="s">
        <v>3226</v>
      </c>
      <c r="AA4031" s="2" t="s">
        <v>75</v>
      </c>
      <c r="AB4031" s="2" t="s">
        <v>76</v>
      </c>
      <c r="AC4031" s="2" t="s">
        <v>77</v>
      </c>
      <c r="AF4031" s="2">
        <f t="shared" si="664"/>
        <v>0</v>
      </c>
      <c r="AG4031" s="2">
        <v>125.51600000000001</v>
      </c>
      <c r="AH4031" s="2">
        <v>220</v>
      </c>
      <c r="AJ4031" s="2">
        <f t="shared" si="665"/>
        <v>0</v>
      </c>
      <c r="AK4031" s="2">
        <f t="shared" si="671"/>
        <v>94.483999999999995</v>
      </c>
      <c r="AL4031" s="5">
        <f t="shared" si="673"/>
        <v>0.42947272727272723</v>
      </c>
    </row>
    <row r="4032" spans="1:38" x14ac:dyDescent="0.2">
      <c r="A4032" s="2">
        <v>2026</v>
      </c>
      <c r="B4032" s="2">
        <v>5</v>
      </c>
      <c r="D4032" s="2" t="s">
        <v>3023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2"/>
        <v>0</v>
      </c>
      <c r="Z4032" s="2" t="s">
        <v>3226</v>
      </c>
      <c r="AA4032" s="2" t="s">
        <v>96</v>
      </c>
      <c r="AB4032" s="2" t="s">
        <v>76</v>
      </c>
      <c r="AC4032" s="2" t="s">
        <v>93</v>
      </c>
      <c r="AF4032" s="2">
        <f t="shared" si="664"/>
        <v>0</v>
      </c>
      <c r="AJ4032" s="2">
        <f t="shared" si="665"/>
        <v>0</v>
      </c>
      <c r="AK4032" s="2">
        <f t="shared" si="671"/>
        <v>0</v>
      </c>
      <c r="AL4032" s="5">
        <f t="shared" si="673"/>
        <v>0</v>
      </c>
    </row>
    <row r="4033" spans="1:38" x14ac:dyDescent="0.2">
      <c r="A4033" s="2">
        <v>2026</v>
      </c>
      <c r="B4033" s="2">
        <v>5</v>
      </c>
      <c r="D4033" s="2" t="s">
        <v>3024</v>
      </c>
      <c r="M4033" s="2" t="s">
        <v>40</v>
      </c>
      <c r="O4033" s="2" t="s">
        <v>3025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2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4">AJ4033</f>
        <v>0</v>
      </c>
      <c r="AJ4033" s="2">
        <f t="shared" ref="AJ4033:AJ4046" si="675">AI4033*T4033</f>
        <v>0</v>
      </c>
      <c r="AK4033" s="2">
        <f t="shared" si="671"/>
        <v>352.72999999999996</v>
      </c>
      <c r="AL4033" s="5">
        <f t="shared" si="673"/>
        <v>0.50440440440440437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2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4"/>
        <v>0</v>
      </c>
      <c r="AG4034" s="2">
        <f>W4034</f>
        <v>70</v>
      </c>
      <c r="AJ4034" s="2">
        <f t="shared" si="675"/>
        <v>0</v>
      </c>
      <c r="AK4034" s="2">
        <f t="shared" si="671"/>
        <v>105</v>
      </c>
      <c r="AL4034" s="5">
        <f t="shared" si="673"/>
        <v>0.6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2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4"/>
        <v>0</v>
      </c>
      <c r="AG4035" s="2">
        <f>W4035</f>
        <v>110</v>
      </c>
      <c r="AJ4035" s="2">
        <f t="shared" si="675"/>
        <v>0</v>
      </c>
      <c r="AK4035" s="2">
        <f t="shared" si="671"/>
        <v>110</v>
      </c>
      <c r="AL4035" s="5">
        <f t="shared" si="673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3026</v>
      </c>
      <c r="P4036" s="2" t="s">
        <v>72</v>
      </c>
      <c r="Q4036" s="2" t="s">
        <v>3027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2"/>
        <v>0.39445595854922277</v>
      </c>
      <c r="Z4036" s="2" t="s">
        <v>3226</v>
      </c>
      <c r="AA4036" s="2" t="s">
        <v>75</v>
      </c>
      <c r="AB4036" s="2" t="s">
        <v>76</v>
      </c>
      <c r="AC4036" s="2" t="s">
        <v>77</v>
      </c>
      <c r="AF4036" s="2">
        <f t="shared" si="674"/>
        <v>0</v>
      </c>
      <c r="AG4036" s="2">
        <v>125.51600000000001</v>
      </c>
      <c r="AH4036" s="2">
        <v>220</v>
      </c>
      <c r="AJ4036" s="2">
        <f t="shared" si="675"/>
        <v>0</v>
      </c>
      <c r="AK4036" s="2">
        <f t="shared" si="671"/>
        <v>76.13</v>
      </c>
      <c r="AL4036" s="5">
        <f t="shared" si="673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2"/>
        <v>0.49690909090909086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4"/>
        <v>0</v>
      </c>
      <c r="AG4037" s="2">
        <v>110.68</v>
      </c>
      <c r="AH4037" s="2">
        <v>210</v>
      </c>
      <c r="AJ4037" s="2">
        <f t="shared" si="675"/>
        <v>0</v>
      </c>
      <c r="AK4037" s="2">
        <f t="shared" si="671"/>
        <v>109.32</v>
      </c>
      <c r="AL4037" s="5">
        <f t="shared" si="673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3028</v>
      </c>
      <c r="R4038" s="2" t="s">
        <v>3029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2"/>
        <v>0.45881818181818179</v>
      </c>
      <c r="Z4038" s="2" t="s">
        <v>3226</v>
      </c>
      <c r="AA4038" s="2" t="s">
        <v>75</v>
      </c>
      <c r="AB4038" s="2" t="s">
        <v>76</v>
      </c>
      <c r="AC4038" s="2" t="s">
        <v>1038</v>
      </c>
      <c r="AF4038" s="2">
        <f t="shared" si="674"/>
        <v>0</v>
      </c>
      <c r="AJ4038" s="2">
        <f t="shared" si="675"/>
        <v>0</v>
      </c>
      <c r="AK4038" s="2">
        <f t="shared" si="671"/>
        <v>100.94</v>
      </c>
      <c r="AL4038" s="5">
        <f t="shared" si="673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2"/>
        <v>2.000401846171453E-16</v>
      </c>
      <c r="Z4039" s="2" t="s">
        <v>3226</v>
      </c>
      <c r="AA4039" s="2" t="s">
        <v>96</v>
      </c>
      <c r="AB4039" s="2" t="s">
        <v>76</v>
      </c>
      <c r="AC4039" s="2" t="s">
        <v>93</v>
      </c>
      <c r="AF4039" s="2">
        <f t="shared" si="674"/>
        <v>0</v>
      </c>
      <c r="AJ4039" s="2">
        <f t="shared" si="675"/>
        <v>0</v>
      </c>
      <c r="AK4039" s="2">
        <f t="shared" si="671"/>
        <v>0</v>
      </c>
      <c r="AL4039" s="5">
        <f t="shared" si="673"/>
        <v>2.000401846171453E-16</v>
      </c>
    </row>
    <row r="4040" spans="1:38" x14ac:dyDescent="0.2">
      <c r="A4040" s="2">
        <v>2026</v>
      </c>
      <c r="B4040" s="2">
        <v>5</v>
      </c>
      <c r="D4040" s="2" t="s">
        <v>2364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2365</v>
      </c>
      <c r="J4040" s="2" t="s">
        <v>2366</v>
      </c>
      <c r="K4040" s="2">
        <v>963062174</v>
      </c>
      <c r="L4040" s="2" t="s">
        <v>418</v>
      </c>
      <c r="M4040" s="2" t="s">
        <v>41</v>
      </c>
      <c r="O4040" s="2" t="s">
        <v>3030</v>
      </c>
      <c r="P4040" s="2" t="s">
        <v>282</v>
      </c>
      <c r="Q4040" s="2" t="s">
        <v>3031</v>
      </c>
      <c r="R4040" s="2" t="s">
        <v>3032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2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4"/>
        <v>0</v>
      </c>
      <c r="AG4040" s="2">
        <v>285</v>
      </c>
      <c r="AJ4040" s="2">
        <f t="shared" si="675"/>
        <v>0</v>
      </c>
      <c r="AK4040" s="2">
        <f t="shared" si="671"/>
        <v>-45</v>
      </c>
      <c r="AL4040" s="5">
        <f t="shared" si="673"/>
        <v>-0.1875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2"/>
        <v>0.37647058823529411</v>
      </c>
      <c r="Z4041" s="2" t="s">
        <v>3226</v>
      </c>
      <c r="AA4041" s="2" t="s">
        <v>46</v>
      </c>
      <c r="AB4041" s="2" t="s">
        <v>56</v>
      </c>
      <c r="AC4041" s="2" t="s">
        <v>57</v>
      </c>
      <c r="AF4041" s="2">
        <f t="shared" si="674"/>
        <v>0</v>
      </c>
      <c r="AG4041" s="2">
        <v>10.6</v>
      </c>
      <c r="AH4041" s="2">
        <v>18</v>
      </c>
      <c r="AJ4041" s="2">
        <f t="shared" si="675"/>
        <v>0</v>
      </c>
      <c r="AK4041" s="2">
        <f t="shared" si="671"/>
        <v>25.6</v>
      </c>
      <c r="AL4041" s="5">
        <f t="shared" si="673"/>
        <v>0.37647058823529411</v>
      </c>
    </row>
    <row r="4042" spans="1:38" x14ac:dyDescent="0.2">
      <c r="A4042" s="2">
        <v>2026</v>
      </c>
      <c r="B4042" s="2">
        <v>5</v>
      </c>
      <c r="C4042" s="2" t="s">
        <v>3370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3033</v>
      </c>
      <c r="P4042" s="2" t="s">
        <v>114</v>
      </c>
      <c r="Q4042" s="2" t="s">
        <v>1578</v>
      </c>
      <c r="R4042" s="2" t="s">
        <v>1579</v>
      </c>
      <c r="S4042" s="2">
        <v>1</v>
      </c>
      <c r="T4042" s="2">
        <v>5490</v>
      </c>
      <c r="U4042" s="2">
        <f t="shared" ref="U4042:U4064" si="676">T4042*23%</f>
        <v>1262.7</v>
      </c>
      <c r="V4042" s="2">
        <f t="shared" ref="V4042:V4064" si="677">T4042+U4042</f>
        <v>6752.7</v>
      </c>
      <c r="W4042" s="2">
        <v>5064.2299999999996</v>
      </c>
      <c r="X4042" s="5">
        <f t="shared" si="672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5"/>
        <v>0</v>
      </c>
      <c r="AK4042" s="2">
        <f t="shared" si="671"/>
        <v>425.77000000000044</v>
      </c>
      <c r="AL4042" s="5">
        <f t="shared" si="673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3034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6"/>
        <v>16.79</v>
      </c>
      <c r="V4043" s="2">
        <f t="shared" si="677"/>
        <v>89.789999999999992</v>
      </c>
      <c r="W4043" s="2">
        <f>T4043*40%</f>
        <v>29.200000000000003</v>
      </c>
      <c r="X4043" s="5">
        <f t="shared" si="672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5"/>
        <v>0</v>
      </c>
      <c r="AK4043" s="2">
        <f t="shared" si="671"/>
        <v>43.8</v>
      </c>
      <c r="AL4043" s="5">
        <f t="shared" si="673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6"/>
        <v>12.65</v>
      </c>
      <c r="V4044" s="2">
        <f t="shared" si="677"/>
        <v>67.650000000000006</v>
      </c>
      <c r="W4044" s="2">
        <f>T4044*50%</f>
        <v>27.5</v>
      </c>
      <c r="X4044" s="5">
        <f t="shared" si="672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5"/>
        <v>0</v>
      </c>
      <c r="AK4044" s="2">
        <f t="shared" si="671"/>
        <v>27.5</v>
      </c>
      <c r="AL4044" s="5">
        <f t="shared" si="673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6"/>
        <v>59.800000000000004</v>
      </c>
      <c r="V4045" s="10">
        <f t="shared" si="677"/>
        <v>319.8</v>
      </c>
      <c r="W4045" s="2">
        <v>152.85</v>
      </c>
      <c r="X4045" s="5">
        <f t="shared" si="672"/>
        <v>0.41211538461538466</v>
      </c>
      <c r="Z4045" s="2" t="s">
        <v>3226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5"/>
        <v>0</v>
      </c>
      <c r="AK4045" s="2">
        <f t="shared" si="671"/>
        <v>107.15</v>
      </c>
      <c r="AL4045" s="5">
        <f t="shared" si="673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6"/>
        <v>0.34040000000000004</v>
      </c>
      <c r="V4046" s="10">
        <f t="shared" si="677"/>
        <v>1.8204</v>
      </c>
      <c r="W4046" s="2">
        <f>1.48*S4046</f>
        <v>1.48</v>
      </c>
      <c r="X4046" s="5">
        <f t="shared" si="672"/>
        <v>0</v>
      </c>
      <c r="Z4046" s="2" t="s">
        <v>3226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5"/>
        <v>0</v>
      </c>
      <c r="AK4046" s="2">
        <f t="shared" si="671"/>
        <v>0</v>
      </c>
      <c r="AL4046" s="5">
        <f t="shared" si="673"/>
        <v>0</v>
      </c>
    </row>
    <row r="4047" spans="1:38" x14ac:dyDescent="0.2">
      <c r="A4047" s="8">
        <v>2026</v>
      </c>
      <c r="B4047" s="8">
        <v>6</v>
      </c>
      <c r="C4047" s="8" t="s">
        <v>3321</v>
      </c>
      <c r="D4047" s="2" t="s">
        <v>1450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6"/>
        <v>17.820400000000003</v>
      </c>
      <c r="V4047" s="10">
        <f t="shared" si="677"/>
        <v>95.30040000000001</v>
      </c>
      <c r="X4047" s="5">
        <f t="shared" si="672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3321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2480</v>
      </c>
      <c r="R4048" s="2" t="s">
        <v>1387</v>
      </c>
      <c r="S4048" s="9">
        <v>1</v>
      </c>
      <c r="T4048" s="10">
        <v>466.58</v>
      </c>
      <c r="U4048" s="2">
        <f t="shared" si="676"/>
        <v>107.3134</v>
      </c>
      <c r="V4048" s="10">
        <f t="shared" si="677"/>
        <v>573.89339999999993</v>
      </c>
      <c r="W4048" s="2">
        <v>222.18</v>
      </c>
      <c r="X4048" s="5">
        <f t="shared" si="672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8">T4048-W4048</f>
        <v>244.39999999999998</v>
      </c>
      <c r="AL4048" s="5">
        <f t="shared" ref="AL4048" si="679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3321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6"/>
        <v>28.75</v>
      </c>
      <c r="V4049" s="2">
        <f t="shared" si="677"/>
        <v>153.75</v>
      </c>
      <c r="W4049" s="2">
        <f>T4049*40%</f>
        <v>50</v>
      </c>
      <c r="X4049" s="5">
        <f t="shared" si="672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3321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6"/>
        <v>25.3</v>
      </c>
      <c r="V4050" s="2">
        <f t="shared" si="677"/>
        <v>135.30000000000001</v>
      </c>
      <c r="W4050" s="2">
        <f>T4050*50%</f>
        <v>55</v>
      </c>
      <c r="X4050" s="5">
        <f t="shared" si="672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1323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6"/>
        <v>4.1400000000000006</v>
      </c>
      <c r="V4051" s="10">
        <f t="shared" si="677"/>
        <v>22.14</v>
      </c>
      <c r="W4051" s="2">
        <v>10.6</v>
      </c>
      <c r="X4051" s="5">
        <f t="shared" si="672"/>
        <v>0.41111111111111115</v>
      </c>
      <c r="Z4051" s="2" t="s">
        <v>3226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6"/>
        <v>2.99</v>
      </c>
      <c r="V4052" s="10">
        <f t="shared" si="677"/>
        <v>15.99</v>
      </c>
      <c r="W4052" s="2">
        <f>0.082*S4052</f>
        <v>8.2000000000000011</v>
      </c>
      <c r="X4052" s="5">
        <f t="shared" ref="X4052:X4074" si="680">(T4052-W4052)/T4052</f>
        <v>0.36923076923076914</v>
      </c>
      <c r="Z4052" s="2" t="s">
        <v>3226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6"/>
        <v>4.6000000000000005</v>
      </c>
      <c r="V4053" s="10">
        <f t="shared" si="677"/>
        <v>24.6</v>
      </c>
      <c r="W4053" s="2">
        <f>15.0203*S4053</f>
        <v>15.020300000000001</v>
      </c>
      <c r="X4053" s="5">
        <f t="shared" si="680"/>
        <v>0.24898499999999996</v>
      </c>
      <c r="Z4053" s="2" t="s">
        <v>3226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1">T4053-W4053</f>
        <v>4.9796999999999993</v>
      </c>
      <c r="AL4053" s="5">
        <f t="shared" ref="AL4053" si="682">(T4053-W4053)/T4053</f>
        <v>0.24898499999999996</v>
      </c>
    </row>
    <row r="4054" spans="1:38" x14ac:dyDescent="0.2">
      <c r="A4054" s="8">
        <v>2026</v>
      </c>
      <c r="B4054" s="8">
        <v>6</v>
      </c>
      <c r="C4054" s="8" t="s">
        <v>3376</v>
      </c>
      <c r="D4054" s="2" t="s">
        <v>3100</v>
      </c>
      <c r="E4054" s="2" t="s">
        <v>38</v>
      </c>
      <c r="F4054" s="2" t="s">
        <v>39</v>
      </c>
      <c r="L4054" s="2" t="s">
        <v>99</v>
      </c>
      <c r="M4054" s="2" t="s">
        <v>80</v>
      </c>
      <c r="P4054" s="2" t="s">
        <v>1038</v>
      </c>
      <c r="Q4054" s="2" t="s">
        <v>3035</v>
      </c>
      <c r="R4054" s="2" t="s">
        <v>3036</v>
      </c>
      <c r="S4054" s="9">
        <v>1</v>
      </c>
      <c r="T4054" s="10">
        <v>280</v>
      </c>
      <c r="U4054" s="2">
        <f t="shared" si="676"/>
        <v>64.400000000000006</v>
      </c>
      <c r="V4054" s="2">
        <f t="shared" si="677"/>
        <v>344.4</v>
      </c>
      <c r="W4054" s="2">
        <v>153.4</v>
      </c>
      <c r="X4054" s="5">
        <f t="shared" si="680"/>
        <v>0.45214285714285712</v>
      </c>
      <c r="Z4054" s="2" t="s">
        <v>3226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 t="s">
        <v>3376</v>
      </c>
      <c r="D4055" s="2" t="s">
        <v>3100</v>
      </c>
      <c r="E4055" s="2" t="s">
        <v>38</v>
      </c>
      <c r="F4055" s="2" t="s">
        <v>39</v>
      </c>
      <c r="L4055" s="2" t="s">
        <v>99</v>
      </c>
      <c r="M4055" s="2" t="s">
        <v>80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6"/>
        <v>0.34040000000000004</v>
      </c>
      <c r="V4055" s="10">
        <f t="shared" si="677"/>
        <v>1.8204</v>
      </c>
      <c r="W4055" s="2">
        <f>1.48*S4055</f>
        <v>1.48</v>
      </c>
      <c r="X4055" s="5">
        <f t="shared" si="680"/>
        <v>0</v>
      </c>
      <c r="Z4055" s="2" t="s">
        <v>3226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3292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6"/>
        <v>4.83</v>
      </c>
      <c r="V4056" s="10">
        <f t="shared" si="677"/>
        <v>25.83</v>
      </c>
      <c r="W4056" s="2">
        <f>11.045*S4056</f>
        <v>11.045</v>
      </c>
      <c r="X4056" s="5">
        <f t="shared" si="680"/>
        <v>0.47404761904761905</v>
      </c>
      <c r="Z4056" s="2" t="s">
        <v>3226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3">T4056-W4056</f>
        <v>9.9550000000000001</v>
      </c>
      <c r="AL4056" s="5">
        <f t="shared" ref="AL4056" si="684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3292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6"/>
        <v>6.9</v>
      </c>
      <c r="V4057" s="10">
        <f t="shared" si="677"/>
        <v>36.9</v>
      </c>
      <c r="W4057" s="2">
        <f>16.2249*S4057</f>
        <v>16.224900000000002</v>
      </c>
      <c r="X4057" s="5">
        <f t="shared" si="680"/>
        <v>0.45916999999999997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3292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6"/>
        <v>4.5540000000000003</v>
      </c>
      <c r="V4058" s="10">
        <f t="shared" si="677"/>
        <v>24.353999999999999</v>
      </c>
      <c r="W4058" s="2">
        <f>10.5267*S4058</f>
        <v>10.5267</v>
      </c>
      <c r="X4058" s="5">
        <f t="shared" si="680"/>
        <v>0.46834848484848485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5">T4058-W4058</f>
        <v>9.2733000000000008</v>
      </c>
      <c r="AL4058" s="5">
        <f t="shared" ref="AL4058" si="686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3292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6"/>
        <v>8.2800000000000011</v>
      </c>
      <c r="V4059" s="10">
        <f t="shared" si="677"/>
        <v>44.28</v>
      </c>
      <c r="W4059" s="2">
        <f>10.6*S4059</f>
        <v>21.2</v>
      </c>
      <c r="X4059" s="5">
        <f t="shared" si="680"/>
        <v>0.41111111111111115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6"/>
        <v>50.6</v>
      </c>
      <c r="V4060" s="10">
        <f t="shared" si="677"/>
        <v>270.60000000000002</v>
      </c>
      <c r="W4060" s="2">
        <v>131.93</v>
      </c>
      <c r="X4060" s="5">
        <f t="shared" si="680"/>
        <v>0.4003181818181818</v>
      </c>
      <c r="Z4060" s="2" t="s">
        <v>3226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6"/>
        <v>0.34040000000000004</v>
      </c>
      <c r="V4061" s="10">
        <f t="shared" si="677"/>
        <v>1.8204</v>
      </c>
      <c r="W4061" s="2">
        <f>1.48*S4061</f>
        <v>1.48</v>
      </c>
      <c r="X4061" s="5">
        <f t="shared" si="680"/>
        <v>0</v>
      </c>
      <c r="Z4061" s="2" t="s">
        <v>3226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6"/>
        <v>13.8</v>
      </c>
      <c r="V4062" s="2">
        <f t="shared" si="677"/>
        <v>73.8</v>
      </c>
      <c r="W4062" s="2">
        <f>T4062*40%</f>
        <v>24</v>
      </c>
      <c r="X4062" s="5">
        <f t="shared" si="680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6"/>
        <v>12.65</v>
      </c>
      <c r="V4063" s="2">
        <f t="shared" si="677"/>
        <v>67.650000000000006</v>
      </c>
      <c r="W4063" s="2">
        <f>T4063*50%</f>
        <v>27.5</v>
      </c>
      <c r="X4063" s="5">
        <f t="shared" si="680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6"/>
        <v>160.839</v>
      </c>
      <c r="V4064" s="10">
        <f t="shared" si="677"/>
        <v>860.1389999999999</v>
      </c>
      <c r="W4064" s="2">
        <v>345.20339999999999</v>
      </c>
      <c r="X4064" s="5">
        <f t="shared" si="680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1977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80"/>
        <v>0.25</v>
      </c>
      <c r="Z4065" s="2" t="s">
        <v>3226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7">T4066*23%</f>
        <v>26.68</v>
      </c>
      <c r="V4066" s="10">
        <f t="shared" ref="V4066:V4074" si="688">T4066+U4066</f>
        <v>142.68</v>
      </c>
      <c r="W4066" s="2">
        <f>18.9342*S4066</f>
        <v>75.736800000000002</v>
      </c>
      <c r="X4066" s="5">
        <f t="shared" si="680"/>
        <v>0.34709655172413789</v>
      </c>
      <c r="Z4066" s="2" t="s">
        <v>3226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9">T4066-W4066</f>
        <v>40.263199999999998</v>
      </c>
      <c r="AL4066" s="5">
        <f t="shared" ref="AL4066" si="690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3261</v>
      </c>
      <c r="E4067" s="2" t="s">
        <v>38</v>
      </c>
      <c r="F4067" s="2" t="s">
        <v>3418</v>
      </c>
      <c r="G4067" s="2">
        <v>500844321</v>
      </c>
      <c r="H4067" s="2" t="s">
        <v>40</v>
      </c>
      <c r="I4067" s="2" t="s">
        <v>339</v>
      </c>
      <c r="J4067" s="2" t="s">
        <v>2646</v>
      </c>
      <c r="L4067" s="2" t="s">
        <v>339</v>
      </c>
      <c r="M4067" s="2" t="s">
        <v>290</v>
      </c>
      <c r="O4067" s="2" t="s">
        <v>3260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7"/>
        <v>4577</v>
      </c>
      <c r="V4067" s="2">
        <f t="shared" si="688"/>
        <v>24477</v>
      </c>
      <c r="W4067" s="2">
        <f>10699.41+285.74</f>
        <v>10985.15</v>
      </c>
      <c r="X4067" s="5">
        <f t="shared" si="680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3257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418</v>
      </c>
      <c r="M4068" s="2" t="s">
        <v>41</v>
      </c>
      <c r="O4068" s="2" t="s">
        <v>3262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7"/>
        <v>2053.9</v>
      </c>
      <c r="V4068" s="10">
        <f t="shared" si="688"/>
        <v>10983.9</v>
      </c>
      <c r="W4068" s="2">
        <f>6348.73+221.85</f>
        <v>6570.58</v>
      </c>
      <c r="X4068" s="5">
        <f t="shared" si="680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1">T4068-W4068</f>
        <v>2359.42</v>
      </c>
      <c r="AL4068" s="5">
        <f t="shared" ref="AL4068" si="692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1578</v>
      </c>
      <c r="R4069" s="2" t="s">
        <v>1579</v>
      </c>
      <c r="S4069" s="9">
        <v>1</v>
      </c>
      <c r="T4069" s="10">
        <v>6990</v>
      </c>
      <c r="U4069" s="2">
        <f t="shared" si="687"/>
        <v>1607.7</v>
      </c>
      <c r="V4069" s="10">
        <f t="shared" si="688"/>
        <v>8597.7000000000007</v>
      </c>
      <c r="W4069" s="2">
        <f>4893.23+171</f>
        <v>5064.2299999999996</v>
      </c>
      <c r="X4069" s="5">
        <f t="shared" si="680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3">T4069-W4069</f>
        <v>1925.7700000000004</v>
      </c>
      <c r="AL4069" s="5">
        <f t="shared" ref="AL4069:AL4074" si="694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3104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7"/>
        <v>72.22</v>
      </c>
      <c r="V4070" s="2">
        <f t="shared" si="688"/>
        <v>386.22</v>
      </c>
      <c r="W4070" s="2">
        <f>T4070*40%</f>
        <v>125.60000000000001</v>
      </c>
      <c r="X4070" s="5">
        <f t="shared" si="680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3"/>
        <v>188.39999999999998</v>
      </c>
      <c r="AL4070" s="5">
        <f t="shared" si="694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7"/>
        <v>50.6</v>
      </c>
      <c r="V4071" s="2">
        <f t="shared" si="688"/>
        <v>270.60000000000002</v>
      </c>
      <c r="W4071" s="2">
        <f>T4071*50%</f>
        <v>110</v>
      </c>
      <c r="X4071" s="5">
        <f t="shared" si="680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3"/>
        <v>110</v>
      </c>
      <c r="AL4071" s="5">
        <f t="shared" si="694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7"/>
        <v>23</v>
      </c>
      <c r="V4072" s="10">
        <f t="shared" si="688"/>
        <v>123</v>
      </c>
      <c r="W4072" s="2">
        <f>T4072*70%</f>
        <v>70</v>
      </c>
      <c r="X4072" s="5">
        <f t="shared" si="680"/>
        <v>0.3</v>
      </c>
      <c r="Z4072" s="2" t="s">
        <v>119</v>
      </c>
      <c r="AA4072" s="2" t="s">
        <v>3378</v>
      </c>
      <c r="AI4072" s="2"/>
      <c r="AK4072" s="2">
        <f t="shared" si="693"/>
        <v>30</v>
      </c>
      <c r="AL4072" s="5">
        <f t="shared" si="694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2123</v>
      </c>
      <c r="P4073" s="2" t="s">
        <v>1038</v>
      </c>
      <c r="Q4073" s="2" t="s">
        <v>3037</v>
      </c>
      <c r="R4073" s="2" t="s">
        <v>3038</v>
      </c>
      <c r="S4073" s="9">
        <v>4</v>
      </c>
      <c r="T4073" s="10">
        <v>560.97</v>
      </c>
      <c r="U4073" s="2">
        <f t="shared" si="687"/>
        <v>129.0231</v>
      </c>
      <c r="V4073" s="2">
        <f t="shared" si="688"/>
        <v>689.99310000000003</v>
      </c>
      <c r="W4073" s="2">
        <f>80.93*4</f>
        <v>323.72000000000003</v>
      </c>
      <c r="X4073" s="5">
        <f t="shared" si="680"/>
        <v>0.4229281423249015</v>
      </c>
      <c r="Z4073" s="2" t="s">
        <v>3226</v>
      </c>
      <c r="AA4073" s="2" t="s">
        <v>1041</v>
      </c>
      <c r="AB4073" s="2" t="s">
        <v>1270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3"/>
        <v>237.25</v>
      </c>
      <c r="AL4073" s="5">
        <f t="shared" si="694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7"/>
        <v>8.2800000000000011</v>
      </c>
      <c r="V4074" s="10">
        <f t="shared" si="688"/>
        <v>44.28</v>
      </c>
      <c r="W4074" s="2">
        <f>0.8561*S4074</f>
        <v>17.122</v>
      </c>
      <c r="X4074" s="5">
        <f t="shared" si="680"/>
        <v>0.5243888888888889</v>
      </c>
      <c r="Z4074" s="2" t="s">
        <v>3226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3"/>
        <v>18.878</v>
      </c>
      <c r="AL4074" s="5">
        <f t="shared" si="694"/>
        <v>0.5243888888888889</v>
      </c>
    </row>
    <row r="4075" spans="1:38" x14ac:dyDescent="0.2">
      <c r="A4075" s="8">
        <v>2026</v>
      </c>
      <c r="B4075" s="8">
        <v>6</v>
      </c>
      <c r="C4075" s="8" t="s">
        <v>3445</v>
      </c>
      <c r="D4075" s="2" t="s">
        <v>3098</v>
      </c>
      <c r="E4075" s="2" t="s">
        <v>38</v>
      </c>
      <c r="F4075" s="2" t="s">
        <v>3515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3"/>
        <v>-566.46</v>
      </c>
    </row>
    <row r="4076" spans="1:38" x14ac:dyDescent="0.2">
      <c r="A4076" s="8">
        <v>2026</v>
      </c>
      <c r="B4076" s="8">
        <v>6</v>
      </c>
      <c r="C4076" s="8" t="s">
        <v>3445</v>
      </c>
      <c r="D4076" s="2" t="s">
        <v>3098</v>
      </c>
      <c r="E4076" s="2" t="s">
        <v>38</v>
      </c>
      <c r="F4076" s="2" t="s">
        <v>3515</v>
      </c>
      <c r="L4076" s="2" t="s">
        <v>99</v>
      </c>
      <c r="M4076" s="2" t="s">
        <v>40</v>
      </c>
      <c r="P4076" s="2" t="s">
        <v>114</v>
      </c>
      <c r="Q4076" s="2" t="s">
        <v>2114</v>
      </c>
      <c r="R4076" s="2" t="s">
        <v>2115</v>
      </c>
      <c r="S4076" s="9">
        <v>1</v>
      </c>
      <c r="T4076" s="10">
        <v>700</v>
      </c>
      <c r="U4076" s="2">
        <f t="shared" ref="U4076:U4107" si="695">T4076*23%</f>
        <v>161</v>
      </c>
      <c r="V4076" s="10">
        <f t="shared" ref="V4076:V4107" si="696">T4076+U4076</f>
        <v>861</v>
      </c>
      <c r="W4076" s="2">
        <f>484.5+21.54</f>
        <v>506.04</v>
      </c>
      <c r="X4076" s="5">
        <f t="shared" ref="X4076:X4091" si="697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8">T4076-W4076</f>
        <v>193.95999999999998</v>
      </c>
      <c r="AL4076" s="5">
        <f t="shared" ref="AL4076:AL4091" si="699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3445</v>
      </c>
      <c r="D4077" s="2" t="s">
        <v>3098</v>
      </c>
      <c r="E4077" s="2" t="s">
        <v>38</v>
      </c>
      <c r="F4077" s="2" t="s">
        <v>3515</v>
      </c>
      <c r="L4077" s="2" t="s">
        <v>99</v>
      </c>
      <c r="M4077" s="2" t="s">
        <v>40</v>
      </c>
      <c r="P4077" s="2" t="s">
        <v>114</v>
      </c>
      <c r="Q4077" s="2" t="s">
        <v>1183</v>
      </c>
      <c r="R4077" s="2" t="s">
        <v>1184</v>
      </c>
      <c r="S4077" s="9">
        <v>1</v>
      </c>
      <c r="T4077" s="10">
        <v>11500</v>
      </c>
      <c r="U4077" s="2">
        <f t="shared" si="695"/>
        <v>2645</v>
      </c>
      <c r="V4077" s="10">
        <f t="shared" si="696"/>
        <v>14145</v>
      </c>
      <c r="W4077" s="2">
        <v>7437.5950000000003</v>
      </c>
      <c r="X4077" s="5">
        <f t="shared" si="697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8"/>
        <v>4062.4049999999997</v>
      </c>
      <c r="AL4077" s="5">
        <f t="shared" si="699"/>
        <v>0.35325260869565217</v>
      </c>
    </row>
    <row r="4078" spans="1:38" x14ac:dyDescent="0.2">
      <c r="A4078" s="8">
        <v>2026</v>
      </c>
      <c r="B4078" s="8">
        <v>6</v>
      </c>
      <c r="C4078" s="8" t="s">
        <v>3376</v>
      </c>
      <c r="D4078" s="2" t="s">
        <v>1355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1356</v>
      </c>
      <c r="L4078" s="2" t="s">
        <v>418</v>
      </c>
      <c r="M4078" s="2" t="s">
        <v>41</v>
      </c>
      <c r="P4078" s="2" t="s">
        <v>43</v>
      </c>
      <c r="Q4078" s="2" t="s">
        <v>2923</v>
      </c>
      <c r="R4078" s="2" t="s">
        <v>269</v>
      </c>
      <c r="S4078" s="9">
        <v>1</v>
      </c>
      <c r="T4078" s="10">
        <v>10.8</v>
      </c>
      <c r="U4078" s="2">
        <f t="shared" si="695"/>
        <v>2.4840000000000004</v>
      </c>
      <c r="V4078" s="10">
        <f t="shared" si="696"/>
        <v>13.284000000000001</v>
      </c>
      <c r="W4078" s="2">
        <v>5.23</v>
      </c>
      <c r="X4078" s="5">
        <f t="shared" si="697"/>
        <v>0.51574074074074072</v>
      </c>
      <c r="Z4078" s="2" t="s">
        <v>3226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8"/>
        <v>5.57</v>
      </c>
      <c r="AL4078" s="5">
        <f t="shared" si="699"/>
        <v>0.51574074074074072</v>
      </c>
    </row>
    <row r="4079" spans="1:38" x14ac:dyDescent="0.2">
      <c r="A4079" s="8">
        <v>2026</v>
      </c>
      <c r="B4079" s="8">
        <v>6</v>
      </c>
      <c r="C4079" s="8" t="s">
        <v>3376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2924</v>
      </c>
      <c r="R4079" s="2" t="s">
        <v>2925</v>
      </c>
      <c r="S4079" s="9">
        <v>1</v>
      </c>
      <c r="T4079" s="10">
        <v>3.6</v>
      </c>
      <c r="U4079" s="2">
        <f t="shared" si="695"/>
        <v>0.82800000000000007</v>
      </c>
      <c r="V4079" s="10">
        <f t="shared" si="696"/>
        <v>4.4279999999999999</v>
      </c>
      <c r="W4079" s="2">
        <f>0.97*S4079</f>
        <v>0.97</v>
      </c>
      <c r="X4079" s="5">
        <f t="shared" si="697"/>
        <v>0.73055555555555551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8"/>
        <v>2.63</v>
      </c>
      <c r="AL4079" s="5">
        <f t="shared" si="699"/>
        <v>0.73055555555555551</v>
      </c>
    </row>
    <row r="4080" spans="1:38" x14ac:dyDescent="0.2">
      <c r="A4080" s="8">
        <v>2026</v>
      </c>
      <c r="B4080" s="8">
        <v>6</v>
      </c>
      <c r="C4080" s="8" t="s">
        <v>3376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5"/>
        <v>4.83</v>
      </c>
      <c r="V4080" s="10">
        <f t="shared" si="696"/>
        <v>25.83</v>
      </c>
      <c r="W4080" s="2">
        <f>10.67*S4080</f>
        <v>10.67</v>
      </c>
      <c r="X4080" s="5">
        <f t="shared" si="697"/>
        <v>0.4919047619047619</v>
      </c>
      <c r="Z4080" s="2" t="s">
        <v>3226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8"/>
        <v>10.33</v>
      </c>
      <c r="AL4080" s="5">
        <f t="shared" si="699"/>
        <v>0.4919047619047619</v>
      </c>
    </row>
    <row r="4081" spans="1:38" x14ac:dyDescent="0.2">
      <c r="A4081" s="8">
        <v>2026</v>
      </c>
      <c r="B4081" s="8">
        <v>6</v>
      </c>
      <c r="C4081" s="8" t="s">
        <v>3376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5"/>
        <v>4.83</v>
      </c>
      <c r="V4081" s="10">
        <f t="shared" si="696"/>
        <v>25.83</v>
      </c>
      <c r="W4081" s="2">
        <f>9.3*S4081</f>
        <v>9.3000000000000007</v>
      </c>
      <c r="X4081" s="5">
        <f t="shared" si="697"/>
        <v>0.55714285714285716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8"/>
        <v>11.7</v>
      </c>
      <c r="AL4081" s="5">
        <f t="shared" si="699"/>
        <v>0.55714285714285716</v>
      </c>
    </row>
    <row r="4082" spans="1:38" x14ac:dyDescent="0.2">
      <c r="A4082" s="8">
        <v>2026</v>
      </c>
      <c r="B4082" s="8">
        <v>6</v>
      </c>
      <c r="C4082" s="8" t="s">
        <v>3376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5"/>
        <v>2.0700000000000003</v>
      </c>
      <c r="V4082" s="10">
        <f t="shared" si="696"/>
        <v>11.07</v>
      </c>
      <c r="W4082" s="2">
        <f>3.7358*S4082</f>
        <v>3.7357999999999998</v>
      </c>
      <c r="X4082" s="5">
        <f t="shared" si="697"/>
        <v>0.58491111111111116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8"/>
        <v>5.2642000000000007</v>
      </c>
      <c r="AL4082" s="5">
        <f t="shared" si="699"/>
        <v>0.58491111111111116</v>
      </c>
    </row>
    <row r="4083" spans="1:38" x14ac:dyDescent="0.2">
      <c r="A4083" s="8">
        <v>2026</v>
      </c>
      <c r="B4083" s="8">
        <v>6</v>
      </c>
      <c r="C4083" s="8" t="s">
        <v>3376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5"/>
        <v>3.3120000000000003</v>
      </c>
      <c r="V4083" s="10">
        <f t="shared" si="696"/>
        <v>17.712</v>
      </c>
      <c r="W4083" s="2">
        <v>7.2217000000000002</v>
      </c>
      <c r="X4083" s="5">
        <f t="shared" si="697"/>
        <v>0.49849305555555556</v>
      </c>
      <c r="Z4083" s="2" t="s">
        <v>3226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8"/>
        <v>7.1783000000000001</v>
      </c>
      <c r="AL4083" s="5">
        <f t="shared" si="699"/>
        <v>0.49849305555555556</v>
      </c>
    </row>
    <row r="4084" spans="1:38" x14ac:dyDescent="0.2">
      <c r="A4084" s="8">
        <v>2026</v>
      </c>
      <c r="B4084" s="8">
        <v>6</v>
      </c>
      <c r="C4084" s="8" t="s">
        <v>3376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5"/>
        <v>4.0019999999999998</v>
      </c>
      <c r="V4084" s="10">
        <f t="shared" si="696"/>
        <v>21.401999999999997</v>
      </c>
      <c r="W4084" s="2">
        <f>9.075*S4084</f>
        <v>9.0749999999999993</v>
      </c>
      <c r="X4084" s="5">
        <f t="shared" si="697"/>
        <v>0.47844827586206895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8"/>
        <v>8.3249999999999993</v>
      </c>
      <c r="AL4084" s="5">
        <f t="shared" si="699"/>
        <v>0.47844827586206895</v>
      </c>
    </row>
    <row r="4085" spans="1:38" x14ac:dyDescent="0.2">
      <c r="A4085" s="8">
        <v>2026</v>
      </c>
      <c r="B4085" s="8">
        <v>6</v>
      </c>
      <c r="C4085" s="8" t="s">
        <v>3376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5"/>
        <v>4.83</v>
      </c>
      <c r="V4085" s="10">
        <f t="shared" si="696"/>
        <v>25.83</v>
      </c>
      <c r="W4085" s="2">
        <f>11.045*S4085</f>
        <v>11.045</v>
      </c>
      <c r="X4085" s="5">
        <f t="shared" si="697"/>
        <v>0.47404761904761905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8"/>
        <v>9.9550000000000001</v>
      </c>
      <c r="AL4085" s="5">
        <f t="shared" si="699"/>
        <v>0.47404761904761905</v>
      </c>
    </row>
    <row r="4086" spans="1:38" x14ac:dyDescent="0.2">
      <c r="A4086" s="8">
        <v>2026</v>
      </c>
      <c r="B4086" s="8">
        <v>6</v>
      </c>
      <c r="C4086" s="8" t="s">
        <v>3376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5"/>
        <v>5.7960000000000003</v>
      </c>
      <c r="V4086" s="10">
        <f t="shared" si="696"/>
        <v>30.995999999999999</v>
      </c>
      <c r="W4086" s="2">
        <f>13.4067*S4086</f>
        <v>13.406700000000001</v>
      </c>
      <c r="X4086" s="5">
        <f t="shared" si="697"/>
        <v>0.4679880952380952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8"/>
        <v>11.793299999999999</v>
      </c>
      <c r="AL4086" s="5">
        <f t="shared" si="699"/>
        <v>0.4679880952380952</v>
      </c>
    </row>
    <row r="4087" spans="1:38" x14ac:dyDescent="0.2">
      <c r="A4087" s="8">
        <v>2026</v>
      </c>
      <c r="B4087" s="8">
        <v>6</v>
      </c>
      <c r="C4087" s="8" t="s">
        <v>3376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5"/>
        <v>6.9</v>
      </c>
      <c r="V4087" s="10">
        <f t="shared" si="696"/>
        <v>36.9</v>
      </c>
      <c r="W4087" s="2">
        <f>16.2249*S4087</f>
        <v>16.224900000000002</v>
      </c>
      <c r="X4087" s="5">
        <f t="shared" si="697"/>
        <v>0.45916999999999997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8"/>
        <v>13.775099999999998</v>
      </c>
      <c r="AL4087" s="5">
        <f t="shared" si="699"/>
        <v>0.45916999999999997</v>
      </c>
    </row>
    <row r="4088" spans="1:38" x14ac:dyDescent="0.2">
      <c r="A4088" s="8">
        <v>2026</v>
      </c>
      <c r="B4088" s="8">
        <v>6</v>
      </c>
      <c r="C4088" s="8" t="s">
        <v>3376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5"/>
        <v>4.1400000000000006</v>
      </c>
      <c r="V4088" s="10">
        <f t="shared" si="696"/>
        <v>22.14</v>
      </c>
      <c r="W4088" s="2">
        <f>9.2346*S4088</f>
        <v>9.2346000000000004</v>
      </c>
      <c r="X4088" s="5">
        <f t="shared" si="697"/>
        <v>0.48696666666666666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8"/>
        <v>8.7653999999999996</v>
      </c>
      <c r="AL4088" s="5">
        <f t="shared" si="699"/>
        <v>0.48696666666666666</v>
      </c>
    </row>
    <row r="4089" spans="1:38" x14ac:dyDescent="0.2">
      <c r="A4089" s="8">
        <v>2026</v>
      </c>
      <c r="B4089" s="8">
        <v>6</v>
      </c>
      <c r="C4089" s="8" t="s">
        <v>3376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5"/>
        <v>4.5540000000000003</v>
      </c>
      <c r="V4089" s="10">
        <f t="shared" si="696"/>
        <v>24.353999999999999</v>
      </c>
      <c r="W4089" s="2">
        <f>10.5267*S4089</f>
        <v>10.5267</v>
      </c>
      <c r="X4089" s="5">
        <f t="shared" si="697"/>
        <v>0.46834848484848485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8"/>
        <v>9.2733000000000008</v>
      </c>
      <c r="AL4089" s="5">
        <f t="shared" si="699"/>
        <v>0.46834848484848485</v>
      </c>
    </row>
    <row r="4090" spans="1:38" x14ac:dyDescent="0.2">
      <c r="A4090" s="8">
        <v>2026</v>
      </c>
      <c r="B4090" s="8">
        <v>6</v>
      </c>
      <c r="C4090" s="8" t="s">
        <v>3376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5"/>
        <v>5.2440000000000007</v>
      </c>
      <c r="V4090" s="10">
        <f t="shared" si="696"/>
        <v>28.044</v>
      </c>
      <c r="W4090" s="2">
        <f>12.2604*S4090</f>
        <v>12.260400000000001</v>
      </c>
      <c r="X4090" s="5">
        <f t="shared" si="697"/>
        <v>0.46226315789473682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8"/>
        <v>10.5396</v>
      </c>
      <c r="AL4090" s="5">
        <f t="shared" si="699"/>
        <v>0.46226315789473682</v>
      </c>
    </row>
    <row r="4091" spans="1:38" x14ac:dyDescent="0.2">
      <c r="A4091" s="8">
        <v>2026</v>
      </c>
      <c r="B4091" s="8">
        <v>6</v>
      </c>
      <c r="C4091" s="8" t="s">
        <v>3376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5"/>
        <v>5.5200000000000005</v>
      </c>
      <c r="V4091" s="10">
        <f t="shared" si="696"/>
        <v>29.52</v>
      </c>
      <c r="W4091" s="2">
        <f>12.71*S4091</f>
        <v>12.71</v>
      </c>
      <c r="X4091" s="5">
        <f t="shared" si="697"/>
        <v>0.47041666666666665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8"/>
        <v>11.29</v>
      </c>
      <c r="AL4091" s="5">
        <f t="shared" si="699"/>
        <v>0.47041666666666665</v>
      </c>
    </row>
    <row r="4092" spans="1:38" x14ac:dyDescent="0.2">
      <c r="A4092" s="8">
        <v>2026</v>
      </c>
      <c r="B4092" s="8">
        <v>6</v>
      </c>
      <c r="C4092" s="8" t="s">
        <v>3376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5"/>
        <v>0</v>
      </c>
      <c r="V4092" s="10">
        <f t="shared" si="696"/>
        <v>0</v>
      </c>
      <c r="W4092" s="2">
        <v>10.6</v>
      </c>
      <c r="X4092" s="5">
        <v>0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700">T4092-W4092</f>
        <v>-10.6</v>
      </c>
    </row>
    <row r="4093" spans="1:38" x14ac:dyDescent="0.2">
      <c r="A4093" s="8">
        <v>2026</v>
      </c>
      <c r="B4093" s="8">
        <v>6</v>
      </c>
      <c r="C4093" s="8" t="s">
        <v>3376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5"/>
        <v>3.22</v>
      </c>
      <c r="V4093" s="10">
        <f t="shared" si="696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3226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3376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5"/>
        <v>2.99</v>
      </c>
      <c r="V4094" s="10">
        <f t="shared" si="696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3226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3376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5"/>
        <v>3.22</v>
      </c>
      <c r="V4095" s="10">
        <f t="shared" si="696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3376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2964</v>
      </c>
      <c r="R4096" s="2" t="s">
        <v>2965</v>
      </c>
      <c r="S4096" s="9">
        <v>1</v>
      </c>
      <c r="T4096" s="10">
        <v>0</v>
      </c>
      <c r="U4096" s="2">
        <f t="shared" si="695"/>
        <v>0</v>
      </c>
      <c r="V4096" s="10">
        <f t="shared" si="696"/>
        <v>0</v>
      </c>
      <c r="W4096" s="2">
        <v>19.68</v>
      </c>
      <c r="Z4096" s="2" t="s">
        <v>3226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3376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2966</v>
      </c>
      <c r="R4097" s="2" t="s">
        <v>2967</v>
      </c>
      <c r="S4097" s="9">
        <v>2</v>
      </c>
      <c r="T4097" s="10">
        <v>40</v>
      </c>
      <c r="U4097" s="2">
        <f t="shared" si="695"/>
        <v>9.2000000000000011</v>
      </c>
      <c r="V4097" s="10">
        <f t="shared" si="696"/>
        <v>49.2</v>
      </c>
      <c r="W4097" s="2">
        <f>11.525*S4097</f>
        <v>23.05</v>
      </c>
      <c r="X4097" s="5">
        <f t="shared" ref="X4097:X4128" si="701">(T4097-W4097)/T4097</f>
        <v>0.42374999999999996</v>
      </c>
      <c r="Z4097" s="2" t="s">
        <v>3226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2">T4097-W4097</f>
        <v>16.95</v>
      </c>
      <c r="AL4097" s="5">
        <f t="shared" ref="AL4097:AL4119" si="703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3376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5"/>
        <v>0.69000000000000006</v>
      </c>
      <c r="V4098" s="10">
        <f t="shared" si="696"/>
        <v>3.69</v>
      </c>
      <c r="W4098" s="2">
        <f>0.98*S4098</f>
        <v>0.98</v>
      </c>
      <c r="X4098" s="5">
        <f t="shared" si="701"/>
        <v>0.67333333333333334</v>
      </c>
      <c r="Z4098" s="2" t="s">
        <v>3226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2"/>
        <v>2.02</v>
      </c>
      <c r="AL4098" s="5">
        <f t="shared" si="703"/>
        <v>0.67333333333333334</v>
      </c>
    </row>
    <row r="4099" spans="1:38" x14ac:dyDescent="0.2">
      <c r="A4099" s="8">
        <v>2026</v>
      </c>
      <c r="B4099" s="8">
        <v>6</v>
      </c>
      <c r="C4099" s="8" t="s">
        <v>3376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5"/>
        <v>4.83</v>
      </c>
      <c r="V4099" s="10">
        <f t="shared" si="696"/>
        <v>25.83</v>
      </c>
      <c r="W4099" s="2">
        <f>8*S4099</f>
        <v>8</v>
      </c>
      <c r="X4099" s="5">
        <f t="shared" si="701"/>
        <v>0.61904761904761907</v>
      </c>
      <c r="Z4099" s="2" t="s">
        <v>3226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2"/>
        <v>13</v>
      </c>
      <c r="AL4099" s="5">
        <f t="shared" si="703"/>
        <v>0.61904761904761907</v>
      </c>
    </row>
    <row r="4100" spans="1:38" x14ac:dyDescent="0.2">
      <c r="A4100" s="8">
        <v>2026</v>
      </c>
      <c r="B4100" s="8">
        <v>6</v>
      </c>
      <c r="C4100" s="8" t="s">
        <v>3376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5"/>
        <v>3.3120000000000003</v>
      </c>
      <c r="V4100" s="10">
        <f t="shared" si="696"/>
        <v>17.712</v>
      </c>
      <c r="W4100" s="2">
        <f>0.8561*S4100</f>
        <v>6.8487999999999998</v>
      </c>
      <c r="X4100" s="5">
        <f t="shared" si="701"/>
        <v>0.5243888888888889</v>
      </c>
      <c r="Z4100" s="2" t="s">
        <v>3226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2"/>
        <v>7.5512000000000006</v>
      </c>
      <c r="AL4100" s="5">
        <f t="shared" si="703"/>
        <v>0.5243888888888889</v>
      </c>
    </row>
    <row r="4101" spans="1:38" x14ac:dyDescent="0.2">
      <c r="A4101" s="8">
        <v>2026</v>
      </c>
      <c r="B4101" s="8">
        <v>6</v>
      </c>
      <c r="C4101" s="8" t="s">
        <v>3376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5"/>
        <v>2.7600000000000002</v>
      </c>
      <c r="V4101" s="10">
        <f t="shared" si="696"/>
        <v>14.76</v>
      </c>
      <c r="W4101" s="2">
        <f>1.4114*S4101</f>
        <v>5.6456</v>
      </c>
      <c r="X4101" s="5">
        <f t="shared" si="701"/>
        <v>0.5295333333333333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2"/>
        <v>6.3544</v>
      </c>
      <c r="AL4101" s="5">
        <f t="shared" si="703"/>
        <v>0.5295333333333333</v>
      </c>
    </row>
    <row r="4102" spans="1:38" x14ac:dyDescent="0.2">
      <c r="A4102" s="8">
        <v>2026</v>
      </c>
      <c r="B4102" s="8">
        <v>6</v>
      </c>
      <c r="C4102" s="8" t="s">
        <v>3376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5"/>
        <v>2.7600000000000002</v>
      </c>
      <c r="V4102" s="10">
        <f t="shared" si="696"/>
        <v>14.76</v>
      </c>
      <c r="W4102" s="2">
        <f>0.677*S4102</f>
        <v>6.7700000000000005</v>
      </c>
      <c r="X4102" s="5">
        <f t="shared" si="701"/>
        <v>0.43583333333333329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2"/>
        <v>5.2299999999999995</v>
      </c>
      <c r="AL4102" s="5">
        <f t="shared" si="703"/>
        <v>0.43583333333333329</v>
      </c>
    </row>
    <row r="4103" spans="1:38" x14ac:dyDescent="0.2">
      <c r="A4103" s="8">
        <v>2026</v>
      </c>
      <c r="B4103" s="8">
        <v>6</v>
      </c>
      <c r="C4103" s="8" t="s">
        <v>3376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5"/>
        <v>5.29</v>
      </c>
      <c r="V4103" s="10">
        <f t="shared" si="696"/>
        <v>28.29</v>
      </c>
      <c r="W4103" s="2">
        <f>15.0203*S4103</f>
        <v>15.020300000000001</v>
      </c>
      <c r="X4103" s="5">
        <f t="shared" si="701"/>
        <v>0.34694347826086952</v>
      </c>
      <c r="Z4103" s="2" t="s">
        <v>3226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2"/>
        <v>7.9796999999999993</v>
      </c>
      <c r="AL4103" s="5">
        <f t="shared" si="703"/>
        <v>0.34694347826086952</v>
      </c>
    </row>
    <row r="4104" spans="1:38" x14ac:dyDescent="0.2">
      <c r="A4104" s="8">
        <v>2026</v>
      </c>
      <c r="B4104" s="8">
        <v>6</v>
      </c>
      <c r="C4104" s="8" t="s">
        <v>3376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3039</v>
      </c>
      <c r="R4104" s="2" t="s">
        <v>3040</v>
      </c>
      <c r="S4104" s="9">
        <v>1</v>
      </c>
      <c r="T4104" s="10">
        <v>7.8</v>
      </c>
      <c r="U4104" s="2">
        <f t="shared" si="695"/>
        <v>1.794</v>
      </c>
      <c r="V4104" s="10">
        <f t="shared" si="696"/>
        <v>9.5939999999999994</v>
      </c>
      <c r="W4104" s="2">
        <v>5.43</v>
      </c>
      <c r="X4104" s="5">
        <f t="shared" si="701"/>
        <v>0.30384615384615388</v>
      </c>
      <c r="Z4104" s="2" t="s">
        <v>3226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2"/>
        <v>2.37</v>
      </c>
      <c r="AL4104" s="5">
        <f t="shared" si="703"/>
        <v>0.30384615384615388</v>
      </c>
    </row>
    <row r="4105" spans="1:38" x14ac:dyDescent="0.2">
      <c r="A4105" s="8">
        <v>2026</v>
      </c>
      <c r="B4105" s="8">
        <v>6</v>
      </c>
      <c r="C4105" s="8" t="s">
        <v>3376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84</v>
      </c>
      <c r="Q4105" s="2" t="s">
        <v>1971</v>
      </c>
      <c r="R4105" s="2" t="s">
        <v>1972</v>
      </c>
      <c r="S4105" s="9">
        <v>1</v>
      </c>
      <c r="T4105" s="10">
        <v>12</v>
      </c>
      <c r="U4105" s="2">
        <f t="shared" si="695"/>
        <v>2.7600000000000002</v>
      </c>
      <c r="V4105" s="2">
        <f t="shared" si="696"/>
        <v>14.76</v>
      </c>
      <c r="W4105" s="2">
        <f>6.895*S4105</f>
        <v>6.8949999999999996</v>
      </c>
      <c r="X4105" s="5">
        <f t="shared" si="701"/>
        <v>0.42541666666666672</v>
      </c>
      <c r="Z4105" s="2" t="s">
        <v>3226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2"/>
        <v>5.1050000000000004</v>
      </c>
      <c r="AL4105" s="5">
        <f t="shared" si="703"/>
        <v>0.42541666666666672</v>
      </c>
    </row>
    <row r="4106" spans="1:38" x14ac:dyDescent="0.2">
      <c r="A4106" s="8">
        <v>2026</v>
      </c>
      <c r="B4106" s="8">
        <v>6</v>
      </c>
      <c r="C4106" s="8" t="s">
        <v>3376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5"/>
        <v>2.7600000000000002</v>
      </c>
      <c r="V4106" s="2">
        <f t="shared" si="696"/>
        <v>14.76</v>
      </c>
      <c r="W4106" s="2">
        <v>6.86</v>
      </c>
      <c r="X4106" s="5">
        <f t="shared" si="701"/>
        <v>0.42833333333333329</v>
      </c>
      <c r="Z4106" s="2" t="s">
        <v>3226</v>
      </c>
      <c r="AA4106" s="2" t="s">
        <v>3377</v>
      </c>
      <c r="AB4106" s="2" t="s">
        <v>90</v>
      </c>
      <c r="AC4106" s="2" t="s">
        <v>84</v>
      </c>
      <c r="AI4106" s="2"/>
      <c r="AK4106" s="2">
        <f t="shared" si="702"/>
        <v>5.14</v>
      </c>
      <c r="AL4106" s="5">
        <f t="shared" si="703"/>
        <v>0.42833333333333329</v>
      </c>
    </row>
    <row r="4107" spans="1:38" x14ac:dyDescent="0.2">
      <c r="A4107" s="8">
        <v>2026</v>
      </c>
      <c r="B4107" s="8">
        <v>6</v>
      </c>
      <c r="C4107" s="8" t="s">
        <v>3376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3041</v>
      </c>
      <c r="R4107" s="2" t="s">
        <v>3042</v>
      </c>
      <c r="S4107" s="9">
        <v>1</v>
      </c>
      <c r="T4107" s="10">
        <v>3</v>
      </c>
      <c r="U4107" s="2">
        <f t="shared" si="695"/>
        <v>0.69000000000000006</v>
      </c>
      <c r="V4107" s="2">
        <f t="shared" si="696"/>
        <v>3.69</v>
      </c>
      <c r="W4107" s="2">
        <v>1.67</v>
      </c>
      <c r="X4107" s="5">
        <f t="shared" si="701"/>
        <v>0.44333333333333336</v>
      </c>
      <c r="Z4107" s="2" t="s">
        <v>3226</v>
      </c>
      <c r="AA4107" s="2" t="s">
        <v>3377</v>
      </c>
      <c r="AB4107" s="2" t="s">
        <v>90</v>
      </c>
      <c r="AC4107" s="2" t="s">
        <v>84</v>
      </c>
      <c r="AI4107" s="2"/>
      <c r="AK4107" s="2">
        <f t="shared" si="702"/>
        <v>1.33</v>
      </c>
      <c r="AL4107" s="5">
        <f t="shared" si="703"/>
        <v>0.44333333333333336</v>
      </c>
    </row>
    <row r="4108" spans="1:38" x14ac:dyDescent="0.2">
      <c r="A4108" s="8">
        <v>2026</v>
      </c>
      <c r="B4108" s="8">
        <v>6</v>
      </c>
      <c r="C4108" s="8" t="s">
        <v>3321</v>
      </c>
      <c r="D4108" s="2" t="s">
        <v>2557</v>
      </c>
      <c r="E4108" s="2" t="s">
        <v>108</v>
      </c>
      <c r="F4108" s="2" t="s">
        <v>717</v>
      </c>
      <c r="G4108" s="2">
        <v>500228264</v>
      </c>
      <c r="H4108" s="2" t="s">
        <v>109</v>
      </c>
      <c r="I4108" s="2" t="s">
        <v>2937</v>
      </c>
      <c r="J4108" s="2" t="s">
        <v>2938</v>
      </c>
      <c r="K4108" s="2">
        <v>962004672</v>
      </c>
      <c r="L4108" s="2" t="s">
        <v>398</v>
      </c>
      <c r="M4108" s="2" t="s">
        <v>40</v>
      </c>
      <c r="P4108" s="2" t="s">
        <v>114</v>
      </c>
      <c r="Q4108" s="2" t="s">
        <v>3043</v>
      </c>
      <c r="R4108" s="2" t="s">
        <v>3044</v>
      </c>
      <c r="S4108" s="9">
        <v>1</v>
      </c>
      <c r="T4108" s="10">
        <v>140.37</v>
      </c>
      <c r="U4108" s="2">
        <f t="shared" ref="U4108:U4139" si="704">T4108*23%</f>
        <v>32.2851</v>
      </c>
      <c r="V4108" s="10">
        <f t="shared" ref="V4108:V4139" si="705">T4108+U4108</f>
        <v>172.6551</v>
      </c>
      <c r="W4108" s="2">
        <v>64.001000000000005</v>
      </c>
      <c r="X4108" s="5">
        <f t="shared" si="701"/>
        <v>0.5440549975065897</v>
      </c>
      <c r="Z4108" s="2" t="s">
        <v>117</v>
      </c>
      <c r="AA4108" s="2" t="s">
        <v>118</v>
      </c>
      <c r="AB4108" s="2" t="s">
        <v>119</v>
      </c>
      <c r="AC4108" s="2" t="s">
        <v>114</v>
      </c>
      <c r="AI4108" s="2"/>
      <c r="AK4108" s="2">
        <f t="shared" si="702"/>
        <v>76.369</v>
      </c>
      <c r="AL4108" s="5">
        <f t="shared" si="703"/>
        <v>0.5440549975065897</v>
      </c>
    </row>
    <row r="4109" spans="1:38" x14ac:dyDescent="0.2">
      <c r="A4109" s="8">
        <v>2026</v>
      </c>
      <c r="B4109" s="8">
        <v>6</v>
      </c>
      <c r="C4109" s="8" t="s">
        <v>3321</v>
      </c>
      <c r="D4109" s="2" t="s">
        <v>2557</v>
      </c>
      <c r="E4109" s="2" t="s">
        <v>108</v>
      </c>
      <c r="F4109" s="2" t="s">
        <v>717</v>
      </c>
      <c r="G4109" s="2">
        <v>500228264</v>
      </c>
      <c r="H4109" s="2" t="s">
        <v>109</v>
      </c>
      <c r="I4109" s="2" t="s">
        <v>2937</v>
      </c>
      <c r="J4109" s="2" t="s">
        <v>2938</v>
      </c>
      <c r="K4109" s="2">
        <v>962004672</v>
      </c>
      <c r="L4109" s="2" t="s">
        <v>398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4"/>
        <v>76.59</v>
      </c>
      <c r="V4109" s="2">
        <f t="shared" si="705"/>
        <v>409.59000000000003</v>
      </c>
      <c r="W4109" s="2">
        <f>T4109*40%</f>
        <v>133.20000000000002</v>
      </c>
      <c r="X4109" s="5">
        <f t="shared" si="701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2"/>
        <v>199.79999999999998</v>
      </c>
      <c r="AL4109" s="5">
        <f t="shared" si="703"/>
        <v>0.6</v>
      </c>
    </row>
    <row r="4110" spans="1:38" x14ac:dyDescent="0.2">
      <c r="A4110" s="8">
        <v>2026</v>
      </c>
      <c r="B4110" s="8">
        <v>6</v>
      </c>
      <c r="C4110" s="8" t="s">
        <v>3321</v>
      </c>
      <c r="D4110" s="2" t="s">
        <v>2557</v>
      </c>
      <c r="E4110" s="2" t="s">
        <v>108</v>
      </c>
      <c r="F4110" s="2" t="s">
        <v>717</v>
      </c>
      <c r="G4110" s="2">
        <v>500228264</v>
      </c>
      <c r="H4110" s="2" t="s">
        <v>109</v>
      </c>
      <c r="I4110" s="2" t="s">
        <v>2937</v>
      </c>
      <c r="J4110" s="2" t="s">
        <v>2938</v>
      </c>
      <c r="K4110" s="2">
        <v>962004672</v>
      </c>
      <c r="L4110" s="2" t="s">
        <v>398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4"/>
        <v>25.3</v>
      </c>
      <c r="V4110" s="2">
        <f t="shared" si="705"/>
        <v>135.30000000000001</v>
      </c>
      <c r="W4110" s="2">
        <f>T4110*50%</f>
        <v>55</v>
      </c>
      <c r="X4110" s="5">
        <f t="shared" si="701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2"/>
        <v>55</v>
      </c>
      <c r="AL4110" s="5">
        <f t="shared" si="703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E4111" s="2" t="s">
        <v>108</v>
      </c>
      <c r="F4111" s="2" t="s">
        <v>39</v>
      </c>
      <c r="G4111" s="2">
        <v>510039537</v>
      </c>
      <c r="H4111" s="2" t="s">
        <v>40</v>
      </c>
      <c r="I4111" s="2" t="s">
        <v>571</v>
      </c>
      <c r="J4111" s="2" t="s">
        <v>750</v>
      </c>
      <c r="K4111" s="2">
        <v>969042927</v>
      </c>
      <c r="L4111" s="2" t="s">
        <v>571</v>
      </c>
      <c r="M4111" s="2" t="s">
        <v>40</v>
      </c>
      <c r="P4111" s="2" t="s">
        <v>114</v>
      </c>
      <c r="Q4111" s="2" t="s">
        <v>3045</v>
      </c>
      <c r="R4111" s="2" t="s">
        <v>3046</v>
      </c>
      <c r="S4111" s="9">
        <v>1</v>
      </c>
      <c r="T4111" s="10">
        <v>76.150000000000006</v>
      </c>
      <c r="U4111" s="2">
        <f t="shared" si="704"/>
        <v>17.514500000000002</v>
      </c>
      <c r="V4111" s="10">
        <f t="shared" si="705"/>
        <v>93.664500000000004</v>
      </c>
      <c r="X4111" s="5">
        <f t="shared" si="701"/>
        <v>1</v>
      </c>
      <c r="AI4111" s="2"/>
      <c r="AK4111" s="2">
        <f t="shared" si="702"/>
        <v>76.150000000000006</v>
      </c>
      <c r="AL4111" s="5">
        <f t="shared" si="703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E4112" s="2" t="s">
        <v>108</v>
      </c>
      <c r="F4112" s="2" t="s">
        <v>39</v>
      </c>
      <c r="G4112" s="2">
        <v>510039537</v>
      </c>
      <c r="H4112" s="2" t="s">
        <v>40</v>
      </c>
      <c r="I4112" s="2" t="s">
        <v>571</v>
      </c>
      <c r="J4112" s="2" t="s">
        <v>750</v>
      </c>
      <c r="K4112" s="2">
        <v>969042927</v>
      </c>
      <c r="L4112" s="2" t="s">
        <v>571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4"/>
        <v>275.72399999999999</v>
      </c>
      <c r="V4112" s="10">
        <f t="shared" si="705"/>
        <v>1474.5239999999999</v>
      </c>
      <c r="W4112" s="2">
        <f>346.57*S4112</f>
        <v>693.14</v>
      </c>
      <c r="X4112" s="5">
        <f t="shared" si="701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2"/>
        <v>505.65999999999997</v>
      </c>
      <c r="AL4112" s="5">
        <f t="shared" si="703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E4113" s="2" t="s">
        <v>108</v>
      </c>
      <c r="F4113" s="2" t="s">
        <v>39</v>
      </c>
      <c r="G4113" s="2">
        <v>510039537</v>
      </c>
      <c r="H4113" s="2" t="s">
        <v>40</v>
      </c>
      <c r="I4113" s="2" t="s">
        <v>571</v>
      </c>
      <c r="J4113" s="2" t="s">
        <v>750</v>
      </c>
      <c r="K4113" s="2">
        <v>969042927</v>
      </c>
      <c r="L4113" s="2" t="s">
        <v>571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4"/>
        <v>96.367699999999999</v>
      </c>
      <c r="V4113" s="10">
        <f t="shared" si="705"/>
        <v>515.35770000000002</v>
      </c>
      <c r="W4113" s="2">
        <v>237.8466</v>
      </c>
      <c r="X4113" s="5">
        <f t="shared" si="701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2"/>
        <v>181.14340000000001</v>
      </c>
      <c r="AL4113" s="5">
        <f t="shared" si="703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E4114" s="2" t="s">
        <v>108</v>
      </c>
      <c r="F4114" s="2" t="s">
        <v>39</v>
      </c>
      <c r="G4114" s="2">
        <v>510039537</v>
      </c>
      <c r="H4114" s="2" t="s">
        <v>40</v>
      </c>
      <c r="I4114" s="2" t="s">
        <v>571</v>
      </c>
      <c r="J4114" s="2" t="s">
        <v>750</v>
      </c>
      <c r="K4114" s="2">
        <v>969042927</v>
      </c>
      <c r="L4114" s="2" t="s">
        <v>571</v>
      </c>
      <c r="M4114" s="2" t="s">
        <v>40</v>
      </c>
      <c r="P4114" s="2" t="s">
        <v>114</v>
      </c>
      <c r="Q4114" s="2" t="s">
        <v>2211</v>
      </c>
      <c r="R4114" s="2" t="s">
        <v>2212</v>
      </c>
      <c r="S4114" s="9">
        <v>1</v>
      </c>
      <c r="T4114" s="10">
        <v>131.16</v>
      </c>
      <c r="U4114" s="2">
        <f t="shared" si="704"/>
        <v>30.166800000000002</v>
      </c>
      <c r="V4114" s="10">
        <f t="shared" si="705"/>
        <v>161.32679999999999</v>
      </c>
      <c r="X4114" s="5">
        <f t="shared" si="701"/>
        <v>1</v>
      </c>
      <c r="AI4114" s="2"/>
      <c r="AK4114" s="2">
        <f t="shared" si="702"/>
        <v>131.16</v>
      </c>
      <c r="AL4114" s="5">
        <f t="shared" si="703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E4115" s="2" t="s">
        <v>108</v>
      </c>
      <c r="F4115" s="2" t="s">
        <v>39</v>
      </c>
      <c r="G4115" s="2">
        <v>510039537</v>
      </c>
      <c r="H4115" s="2" t="s">
        <v>40</v>
      </c>
      <c r="I4115" s="2" t="s">
        <v>571</v>
      </c>
      <c r="J4115" s="2" t="s">
        <v>750</v>
      </c>
      <c r="K4115" s="2">
        <v>969042927</v>
      </c>
      <c r="L4115" s="2" t="s">
        <v>571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4"/>
        <v>54.74</v>
      </c>
      <c r="V4115" s="2">
        <f t="shared" si="705"/>
        <v>292.74</v>
      </c>
      <c r="W4115" s="2">
        <f>T4115*40%</f>
        <v>95.2</v>
      </c>
      <c r="X4115" s="5">
        <f t="shared" si="701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2"/>
        <v>142.80000000000001</v>
      </c>
      <c r="AL4115" s="5">
        <f t="shared" si="703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E4116" s="2" t="s">
        <v>108</v>
      </c>
      <c r="F4116" s="2" t="s">
        <v>39</v>
      </c>
      <c r="G4116" s="2">
        <v>510039537</v>
      </c>
      <c r="H4116" s="2" t="s">
        <v>40</v>
      </c>
      <c r="I4116" s="2" t="s">
        <v>571</v>
      </c>
      <c r="J4116" s="2" t="s">
        <v>750</v>
      </c>
      <c r="K4116" s="2">
        <v>969042927</v>
      </c>
      <c r="L4116" s="2" t="s">
        <v>571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4"/>
        <v>12.65</v>
      </c>
      <c r="V4116" s="2">
        <f t="shared" si="705"/>
        <v>67.650000000000006</v>
      </c>
      <c r="W4116" s="2">
        <f>T4116*50%</f>
        <v>27.5</v>
      </c>
      <c r="X4116" s="5">
        <f t="shared" si="701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2"/>
        <v>27.5</v>
      </c>
      <c r="AL4116" s="5">
        <f t="shared" si="703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1524</v>
      </c>
      <c r="P4117" s="2" t="s">
        <v>282</v>
      </c>
      <c r="Q4117" s="2" t="s">
        <v>3047</v>
      </c>
      <c r="R4117" s="2" t="s">
        <v>3048</v>
      </c>
      <c r="S4117" s="9">
        <v>1</v>
      </c>
      <c r="T4117" s="10">
        <v>17.5</v>
      </c>
      <c r="U4117" s="2">
        <f t="shared" si="704"/>
        <v>4.0250000000000004</v>
      </c>
      <c r="V4117" s="10">
        <f t="shared" si="705"/>
        <v>21.524999999999999</v>
      </c>
      <c r="X4117" s="5">
        <f t="shared" si="701"/>
        <v>1</v>
      </c>
      <c r="AI4117" s="2"/>
      <c r="AK4117" s="2">
        <f t="shared" si="702"/>
        <v>17.5</v>
      </c>
      <c r="AL4117" s="5">
        <f t="shared" si="703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4"/>
        <v>1.84</v>
      </c>
      <c r="V4118" s="10">
        <f t="shared" si="705"/>
        <v>9.84</v>
      </c>
      <c r="W4118" s="2">
        <v>6</v>
      </c>
      <c r="X4118" s="5">
        <f t="shared" si="701"/>
        <v>0.25</v>
      </c>
      <c r="Z4118" s="2" t="s">
        <v>169</v>
      </c>
      <c r="AA4118" s="2" t="s">
        <v>169</v>
      </c>
      <c r="AI4118" s="2"/>
      <c r="AK4118" s="2">
        <f t="shared" si="702"/>
        <v>2</v>
      </c>
      <c r="AL4118" s="5">
        <f t="shared" si="703"/>
        <v>0.25</v>
      </c>
    </row>
    <row r="4119" spans="1:38" x14ac:dyDescent="0.2">
      <c r="A4119" s="8">
        <v>2026</v>
      </c>
      <c r="B4119" s="8">
        <v>6</v>
      </c>
      <c r="C4119" s="8" t="s">
        <v>3321</v>
      </c>
      <c r="D4119" s="2" t="s">
        <v>2513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3229</v>
      </c>
      <c r="Q4119" s="2" t="s">
        <v>2974</v>
      </c>
      <c r="R4119" s="2" t="s">
        <v>2975</v>
      </c>
      <c r="S4119" s="9">
        <v>1</v>
      </c>
      <c r="T4119" s="10">
        <v>2460</v>
      </c>
      <c r="U4119" s="2">
        <f t="shared" si="704"/>
        <v>565.80000000000007</v>
      </c>
      <c r="V4119" s="10">
        <f t="shared" si="705"/>
        <v>3025.8</v>
      </c>
      <c r="W4119" s="2">
        <v>1296.2</v>
      </c>
      <c r="X4119" s="5">
        <f t="shared" si="701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3229</v>
      </c>
      <c r="AI4119" s="2"/>
      <c r="AK4119" s="2">
        <f t="shared" si="702"/>
        <v>1163.8</v>
      </c>
      <c r="AL4119" s="5">
        <f t="shared" si="703"/>
        <v>0.47308943089430894</v>
      </c>
    </row>
    <row r="4120" spans="1:38" x14ac:dyDescent="0.2">
      <c r="A4120" s="8">
        <v>2026</v>
      </c>
      <c r="B4120" s="8">
        <v>6</v>
      </c>
      <c r="C4120" s="8" t="s">
        <v>3445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3049</v>
      </c>
      <c r="R4120" s="2" t="s">
        <v>3050</v>
      </c>
      <c r="S4120" s="9">
        <v>2</v>
      </c>
      <c r="T4120" s="10">
        <v>17.8</v>
      </c>
      <c r="U4120" s="2">
        <f t="shared" si="704"/>
        <v>4.0940000000000003</v>
      </c>
      <c r="V4120" s="10">
        <f t="shared" si="705"/>
        <v>21.894000000000002</v>
      </c>
      <c r="W4120" s="2">
        <f>6.23*2</f>
        <v>12.46</v>
      </c>
      <c r="X4120" s="5">
        <f t="shared" si="701"/>
        <v>0.3</v>
      </c>
      <c r="Z4120" s="2" t="s">
        <v>3226</v>
      </c>
      <c r="AA4120" s="2" t="s">
        <v>155</v>
      </c>
      <c r="AB4120" s="2" t="s">
        <v>3401</v>
      </c>
      <c r="AC4120" s="2" t="s">
        <v>1327</v>
      </c>
      <c r="AI4120" s="2"/>
      <c r="AK4120" s="2">
        <f t="shared" ref="AK4120:AK4125" si="706">T4120-W4120</f>
        <v>5.34</v>
      </c>
      <c r="AL4120" s="5">
        <f t="shared" ref="AL4120:AL4125" si="707">(T4120-W4120)/T4120</f>
        <v>0.3</v>
      </c>
    </row>
    <row r="4121" spans="1:38" x14ac:dyDescent="0.2">
      <c r="A4121" s="8">
        <v>2026</v>
      </c>
      <c r="B4121" s="8">
        <v>6</v>
      </c>
      <c r="C4121" s="8" t="s">
        <v>3445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1779</v>
      </c>
      <c r="R4121" s="2" t="s">
        <v>1780</v>
      </c>
      <c r="S4121" s="9">
        <v>1</v>
      </c>
      <c r="T4121" s="10">
        <v>2150</v>
      </c>
      <c r="U4121" s="2">
        <f t="shared" si="704"/>
        <v>494.5</v>
      </c>
      <c r="V4121" s="10">
        <f t="shared" si="705"/>
        <v>2644.5</v>
      </c>
      <c r="W4121" s="2">
        <v>1492.7</v>
      </c>
      <c r="X4121" s="5">
        <f t="shared" si="701"/>
        <v>0.30572093023255814</v>
      </c>
      <c r="Z4121" s="2" t="s">
        <v>104</v>
      </c>
      <c r="AA4121" s="2" t="s">
        <v>387</v>
      </c>
      <c r="AB4121" s="2" t="s">
        <v>1330</v>
      </c>
      <c r="AC4121" s="2" t="s">
        <v>1327</v>
      </c>
      <c r="AI4121" s="2"/>
      <c r="AK4121" s="2">
        <f t="shared" si="706"/>
        <v>657.3</v>
      </c>
      <c r="AL4121" s="5">
        <f t="shared" si="707"/>
        <v>0.30572093023255814</v>
      </c>
    </row>
    <row r="4122" spans="1:38" x14ac:dyDescent="0.2">
      <c r="A4122" s="8">
        <v>2026</v>
      </c>
      <c r="B4122" s="8">
        <v>6</v>
      </c>
      <c r="C4122" s="8" t="s">
        <v>3445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1328</v>
      </c>
      <c r="R4122" s="2" t="s">
        <v>1329</v>
      </c>
      <c r="S4122" s="9">
        <v>1</v>
      </c>
      <c r="T4122" s="10">
        <v>2190</v>
      </c>
      <c r="U4122" s="2">
        <f t="shared" si="704"/>
        <v>503.70000000000005</v>
      </c>
      <c r="V4122" s="10">
        <f t="shared" si="705"/>
        <v>2693.7</v>
      </c>
      <c r="W4122" s="2">
        <v>1578</v>
      </c>
      <c r="X4122" s="5">
        <f t="shared" si="701"/>
        <v>0.27945205479452057</v>
      </c>
      <c r="Z4122" s="2" t="s">
        <v>104</v>
      </c>
      <c r="AA4122" s="2" t="s">
        <v>387</v>
      </c>
      <c r="AB4122" s="2" t="s">
        <v>1330</v>
      </c>
      <c r="AC4122" s="2" t="s">
        <v>1327</v>
      </c>
      <c r="AI4122" s="2"/>
      <c r="AK4122" s="2">
        <f t="shared" si="706"/>
        <v>612</v>
      </c>
      <c r="AL4122" s="5">
        <f t="shared" si="707"/>
        <v>0.27945205479452057</v>
      </c>
    </row>
    <row r="4123" spans="1:38" x14ac:dyDescent="0.2">
      <c r="A4123" s="8">
        <v>2026</v>
      </c>
      <c r="B4123" s="8">
        <v>6</v>
      </c>
      <c r="C4123" s="8" t="s">
        <v>3445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3516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4"/>
        <v>161.31050000000002</v>
      </c>
      <c r="V4123" s="10">
        <f t="shared" si="705"/>
        <v>862.66050000000007</v>
      </c>
      <c r="W4123" s="2">
        <f>T4123*70%</f>
        <v>490.94499999999999</v>
      </c>
      <c r="X4123" s="5">
        <f t="shared" si="701"/>
        <v>0.30000000000000004</v>
      </c>
      <c r="Z4123" s="2" t="s">
        <v>3226</v>
      </c>
      <c r="AA4123" s="2" t="s">
        <v>155</v>
      </c>
      <c r="AB4123" s="2" t="s">
        <v>3401</v>
      </c>
      <c r="AC4123" s="2" t="s">
        <v>1327</v>
      </c>
      <c r="AI4123" s="2"/>
      <c r="AK4123" s="2">
        <f t="shared" si="706"/>
        <v>210.40500000000003</v>
      </c>
      <c r="AL4123" s="5">
        <f t="shared" si="707"/>
        <v>0.30000000000000004</v>
      </c>
    </row>
    <row r="4124" spans="1:38" x14ac:dyDescent="0.2">
      <c r="A4124" s="8">
        <v>2026</v>
      </c>
      <c r="B4124" s="8">
        <v>6</v>
      </c>
      <c r="C4124" s="8" t="s">
        <v>3390</v>
      </c>
      <c r="D4124" s="2" t="s">
        <v>2944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4"/>
        <v>52.900000000000006</v>
      </c>
      <c r="V4124" s="10">
        <f t="shared" si="705"/>
        <v>282.89999999999998</v>
      </c>
      <c r="W4124" s="2">
        <v>122.25</v>
      </c>
      <c r="X4124" s="5">
        <f t="shared" si="701"/>
        <v>0.46847826086956523</v>
      </c>
      <c r="Z4124" s="2" t="s">
        <v>3226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6"/>
        <v>107.75</v>
      </c>
      <c r="AL4124" s="5">
        <f t="shared" si="707"/>
        <v>0.46847826086956523</v>
      </c>
    </row>
    <row r="4125" spans="1:38" x14ac:dyDescent="0.2">
      <c r="A4125" s="8">
        <v>2026</v>
      </c>
      <c r="B4125" s="8">
        <v>6</v>
      </c>
      <c r="C4125" s="8" t="s">
        <v>3390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4"/>
        <v>0.34040000000000004</v>
      </c>
      <c r="V4125" s="10">
        <f t="shared" si="705"/>
        <v>1.8204</v>
      </c>
      <c r="W4125" s="2">
        <f>1.48*S4125</f>
        <v>1.48</v>
      </c>
      <c r="X4125" s="5">
        <f t="shared" si="701"/>
        <v>0</v>
      </c>
      <c r="Z4125" s="2" t="s">
        <v>3226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6"/>
        <v>0</v>
      </c>
      <c r="AL4125" s="5">
        <f t="shared" si="707"/>
        <v>0</v>
      </c>
    </row>
    <row r="4126" spans="1:38" x14ac:dyDescent="0.2">
      <c r="A4126" s="8">
        <v>2026</v>
      </c>
      <c r="B4126" s="8">
        <v>6</v>
      </c>
      <c r="C4126" s="8" t="s">
        <v>3390</v>
      </c>
      <c r="D4126" s="2" t="s">
        <v>3105</v>
      </c>
      <c r="E4126" s="2" t="s">
        <v>108</v>
      </c>
      <c r="F4126" s="2" t="s">
        <v>3443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4"/>
        <v>2053.9</v>
      </c>
      <c r="V4126" s="10">
        <f t="shared" si="705"/>
        <v>10983.9</v>
      </c>
      <c r="W4126" s="2">
        <f>6348.73+221.85</f>
        <v>6570.58</v>
      </c>
      <c r="X4126" s="5">
        <f t="shared" si="701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8">T4126-W4126</f>
        <v>2359.42</v>
      </c>
      <c r="AL4126" s="5">
        <f t="shared" ref="AL4126" si="709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3390</v>
      </c>
      <c r="D4127" s="2" t="s">
        <v>3105</v>
      </c>
      <c r="E4127" s="2" t="s">
        <v>108</v>
      </c>
      <c r="F4127" s="2" t="s">
        <v>3443</v>
      </c>
      <c r="L4127" s="2" t="s">
        <v>626</v>
      </c>
      <c r="M4127" s="2" t="s">
        <v>40</v>
      </c>
      <c r="P4127" s="2" t="s">
        <v>114</v>
      </c>
      <c r="Q4127" s="2" t="s">
        <v>1578</v>
      </c>
      <c r="R4127" s="2" t="s">
        <v>1579</v>
      </c>
      <c r="S4127" s="9">
        <v>1</v>
      </c>
      <c r="T4127" s="10">
        <v>7490</v>
      </c>
      <c r="U4127" s="2">
        <f t="shared" si="704"/>
        <v>1722.7</v>
      </c>
      <c r="V4127" s="10">
        <f t="shared" si="705"/>
        <v>9212.7000000000007</v>
      </c>
      <c r="W4127" s="2">
        <f>4893.23+171</f>
        <v>5064.2299999999996</v>
      </c>
      <c r="X4127" s="5">
        <f t="shared" si="701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3445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3480</v>
      </c>
      <c r="Q4128" s="2" t="s">
        <v>3051</v>
      </c>
      <c r="R4128" s="2" t="s">
        <v>3052</v>
      </c>
      <c r="S4128" s="9">
        <v>1</v>
      </c>
      <c r="T4128" s="10">
        <v>10</v>
      </c>
      <c r="U4128" s="2">
        <f t="shared" si="704"/>
        <v>2.3000000000000003</v>
      </c>
      <c r="V4128" s="10">
        <f t="shared" si="705"/>
        <v>12.3</v>
      </c>
      <c r="W4128" s="2">
        <v>13.965</v>
      </c>
      <c r="X4128" s="5">
        <f t="shared" si="701"/>
        <v>-0.39649999999999996</v>
      </c>
      <c r="Z4128" s="2" t="s">
        <v>3226</v>
      </c>
      <c r="AA4128" s="2" t="s">
        <v>87</v>
      </c>
      <c r="AB4128" s="2" t="s">
        <v>90</v>
      </c>
      <c r="AC4128" s="2" t="s">
        <v>3480</v>
      </c>
      <c r="AI4128" s="2"/>
      <c r="AK4128" s="2">
        <f t="shared" ref="AK4128:AK4139" si="710">T4128-W4128</f>
        <v>-3.9649999999999999</v>
      </c>
      <c r="AL4128" s="5">
        <f t="shared" ref="AL4128:AL4139" si="711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3445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2181</v>
      </c>
      <c r="R4129" s="2" t="s">
        <v>2182</v>
      </c>
      <c r="S4129" s="9">
        <v>4</v>
      </c>
      <c r="T4129" s="10">
        <v>12</v>
      </c>
      <c r="U4129" s="2">
        <f t="shared" si="704"/>
        <v>2.7600000000000002</v>
      </c>
      <c r="V4129" s="10">
        <f t="shared" si="705"/>
        <v>14.76</v>
      </c>
      <c r="W4129" s="2">
        <f>2.2*S4129</f>
        <v>8.8000000000000007</v>
      </c>
      <c r="X4129" s="5">
        <f t="shared" ref="X4129:X4149" si="712">(T4129-W4129)/T4129</f>
        <v>0.26666666666666661</v>
      </c>
      <c r="Z4129" s="2" t="s">
        <v>3226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10"/>
        <v>3.1999999999999993</v>
      </c>
      <c r="AL4129" s="5">
        <f t="shared" si="711"/>
        <v>0.26666666666666661</v>
      </c>
    </row>
    <row r="4130" spans="1:38" x14ac:dyDescent="0.2">
      <c r="A4130" s="8">
        <v>2026</v>
      </c>
      <c r="B4130" s="8">
        <v>6</v>
      </c>
      <c r="C4130" s="8" t="s">
        <v>3445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3053</v>
      </c>
      <c r="R4130" s="2" t="s">
        <v>3054</v>
      </c>
      <c r="S4130" s="9">
        <v>2</v>
      </c>
      <c r="T4130" s="10">
        <v>4</v>
      </c>
      <c r="U4130" s="2">
        <f t="shared" si="704"/>
        <v>0.92</v>
      </c>
      <c r="V4130" s="10">
        <f t="shared" si="705"/>
        <v>4.92</v>
      </c>
      <c r="W4130" s="2">
        <f>1.34*S4130</f>
        <v>2.68</v>
      </c>
      <c r="X4130" s="5">
        <f t="shared" si="712"/>
        <v>0.32999999999999996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10"/>
        <v>1.3199999999999998</v>
      </c>
      <c r="AL4130" s="5">
        <f t="shared" si="711"/>
        <v>0.32999999999999996</v>
      </c>
    </row>
    <row r="4131" spans="1:38" x14ac:dyDescent="0.2">
      <c r="A4131" s="8">
        <v>2026</v>
      </c>
      <c r="B4131" s="8">
        <v>6</v>
      </c>
      <c r="C4131" s="8" t="s">
        <v>3445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4"/>
        <v>1.1500000000000001</v>
      </c>
      <c r="V4131" s="10">
        <f t="shared" si="705"/>
        <v>6.15</v>
      </c>
      <c r="W4131" s="2">
        <v>6</v>
      </c>
      <c r="X4131" s="5">
        <f t="shared" si="712"/>
        <v>-0.2</v>
      </c>
      <c r="Z4131" s="2" t="s">
        <v>169</v>
      </c>
      <c r="AA4131" s="2" t="s">
        <v>169</v>
      </c>
      <c r="AI4131" s="2"/>
      <c r="AK4131" s="2">
        <f t="shared" si="710"/>
        <v>-1</v>
      </c>
      <c r="AL4131" s="5">
        <f t="shared" si="711"/>
        <v>-0.2</v>
      </c>
    </row>
    <row r="4132" spans="1:38" x14ac:dyDescent="0.2">
      <c r="A4132" s="8">
        <v>2026</v>
      </c>
      <c r="B4132" s="8">
        <v>6</v>
      </c>
      <c r="C4132" s="8" t="s">
        <v>3445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1308</v>
      </c>
      <c r="R4132" s="2" t="s">
        <v>3518</v>
      </c>
      <c r="S4132" s="9">
        <v>1</v>
      </c>
      <c r="T4132" s="10">
        <v>50.85</v>
      </c>
      <c r="U4132" s="2">
        <f t="shared" si="704"/>
        <v>11.695500000000001</v>
      </c>
      <c r="V4132" s="2">
        <f t="shared" si="705"/>
        <v>62.545500000000004</v>
      </c>
      <c r="W4132" s="2">
        <v>35</v>
      </c>
      <c r="X4132" s="5">
        <f t="shared" si="712"/>
        <v>0.31170108161258608</v>
      </c>
      <c r="Z4132" s="2" t="s">
        <v>3226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10"/>
        <v>15.850000000000001</v>
      </c>
      <c r="AL4132" s="5">
        <f t="shared" si="711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1875</v>
      </c>
      <c r="R4133" s="2" t="s">
        <v>1876</v>
      </c>
      <c r="S4133" s="9">
        <v>1</v>
      </c>
      <c r="T4133" s="10">
        <v>219.45</v>
      </c>
      <c r="U4133" s="2">
        <f t="shared" si="704"/>
        <v>50.473500000000001</v>
      </c>
      <c r="V4133" s="10">
        <f t="shared" si="705"/>
        <v>269.92349999999999</v>
      </c>
      <c r="X4133" s="5">
        <f t="shared" si="712"/>
        <v>1</v>
      </c>
      <c r="AI4133" s="2"/>
      <c r="AK4133" s="2">
        <f t="shared" si="710"/>
        <v>219.45</v>
      </c>
      <c r="AL4133" s="5">
        <f t="shared" si="711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4"/>
        <v>13.8</v>
      </c>
      <c r="V4134" s="2">
        <f t="shared" si="705"/>
        <v>73.8</v>
      </c>
      <c r="W4134" s="2">
        <f>T4134*40%</f>
        <v>24</v>
      </c>
      <c r="X4134" s="5">
        <f t="shared" si="712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10"/>
        <v>36</v>
      </c>
      <c r="AL4134" s="5">
        <f t="shared" si="711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4"/>
        <v>12.65</v>
      </c>
      <c r="V4135" s="2">
        <f t="shared" si="705"/>
        <v>67.650000000000006</v>
      </c>
      <c r="W4135" s="2">
        <f>T4135*50%</f>
        <v>27.5</v>
      </c>
      <c r="X4135" s="5">
        <f t="shared" si="712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10"/>
        <v>27.5</v>
      </c>
      <c r="AL4135" s="5">
        <f t="shared" si="711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2578</v>
      </c>
      <c r="E4136" s="2" t="s">
        <v>183</v>
      </c>
      <c r="F4136" s="2" t="s">
        <v>2579</v>
      </c>
      <c r="G4136" s="2">
        <v>515259144</v>
      </c>
      <c r="H4136" s="2" t="s">
        <v>80</v>
      </c>
      <c r="I4136" s="2" t="s">
        <v>156</v>
      </c>
      <c r="J4136" s="2" t="s">
        <v>2580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2889</v>
      </c>
      <c r="R4136" s="2" t="s">
        <v>2890</v>
      </c>
      <c r="S4136" s="9">
        <v>1</v>
      </c>
      <c r="T4136" s="10">
        <v>223.1</v>
      </c>
      <c r="U4136" s="2">
        <f t="shared" si="704"/>
        <v>51.313000000000002</v>
      </c>
      <c r="V4136" s="2">
        <f t="shared" si="705"/>
        <v>274.41300000000001</v>
      </c>
      <c r="W4136" s="2">
        <v>141.18</v>
      </c>
      <c r="X4136" s="5">
        <f t="shared" si="712"/>
        <v>0.36718960107575072</v>
      </c>
      <c r="Z4136" s="2" t="s">
        <v>3226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10"/>
        <v>81.919999999999987</v>
      </c>
      <c r="AL4136" s="5">
        <f t="shared" si="711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4"/>
        <v>0.34040000000000004</v>
      </c>
      <c r="V4137" s="10">
        <f t="shared" si="705"/>
        <v>1.8204</v>
      </c>
      <c r="W4137" s="2">
        <f>1.48*S4137</f>
        <v>1.48</v>
      </c>
      <c r="X4137" s="5">
        <f t="shared" si="712"/>
        <v>0</v>
      </c>
      <c r="Z4137" s="2" t="s">
        <v>3226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10"/>
        <v>0</v>
      </c>
      <c r="AL4137" s="5">
        <f t="shared" si="711"/>
        <v>0</v>
      </c>
    </row>
    <row r="4138" spans="1:38" x14ac:dyDescent="0.2">
      <c r="A4138" s="8">
        <v>2026</v>
      </c>
      <c r="B4138" s="8">
        <v>6</v>
      </c>
      <c r="C4138" s="8" t="s">
        <v>3376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4"/>
        <v>4.1400000000000006</v>
      </c>
      <c r="V4138" s="10">
        <f t="shared" si="705"/>
        <v>22.14</v>
      </c>
      <c r="W4138" s="2">
        <v>10.6</v>
      </c>
      <c r="X4138" s="5">
        <f t="shared" si="712"/>
        <v>0.41111111111111115</v>
      </c>
      <c r="Z4138" s="2" t="s">
        <v>3226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10"/>
        <v>7.4</v>
      </c>
      <c r="AL4138" s="5">
        <f t="shared" si="711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4"/>
        <v>4.83</v>
      </c>
      <c r="V4139" s="10">
        <f t="shared" si="705"/>
        <v>25.83</v>
      </c>
      <c r="W4139" s="2">
        <f>10.67*S4139</f>
        <v>10.67</v>
      </c>
      <c r="X4139" s="5">
        <f t="shared" si="712"/>
        <v>0.4919047619047619</v>
      </c>
      <c r="Z4139" s="2" t="s">
        <v>3226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10"/>
        <v>10.33</v>
      </c>
      <c r="AL4139" s="5">
        <f t="shared" si="711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2008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3">T4140*23%</f>
        <v>52.900000000000006</v>
      </c>
      <c r="V4140" s="10">
        <f t="shared" ref="V4140:V4171" si="714">T4140+U4140</f>
        <v>282.89999999999998</v>
      </c>
      <c r="W4140" s="2">
        <f>115.92+6.06</f>
        <v>121.98</v>
      </c>
      <c r="X4140" s="5">
        <f t="shared" si="712"/>
        <v>0.46965217391304348</v>
      </c>
      <c r="Z4140" s="2" t="s">
        <v>3226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5">T4140-W4140</f>
        <v>108.02</v>
      </c>
      <c r="AL4140" s="5">
        <f t="shared" ref="AL4140:AL4149" si="716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3"/>
        <v>0.34040000000000004</v>
      </c>
      <c r="V4141" s="10">
        <f t="shared" si="714"/>
        <v>1.8204</v>
      </c>
      <c r="W4141" s="2">
        <f>1.48*S4141</f>
        <v>1.48</v>
      </c>
      <c r="X4141" s="5">
        <f t="shared" si="712"/>
        <v>0</v>
      </c>
      <c r="Z4141" s="2" t="s">
        <v>3226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5"/>
        <v>0</v>
      </c>
      <c r="AL4141" s="5">
        <f t="shared" si="716"/>
        <v>0</v>
      </c>
    </row>
    <row r="4142" spans="1:38" x14ac:dyDescent="0.2">
      <c r="A4142" s="8">
        <v>2026</v>
      </c>
      <c r="B4142" s="8">
        <v>6</v>
      </c>
      <c r="C4142" s="8" t="s">
        <v>3321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3055</v>
      </c>
      <c r="R4142" s="2" t="s">
        <v>207</v>
      </c>
      <c r="S4142" s="9">
        <v>1</v>
      </c>
      <c r="T4142" s="10">
        <v>400</v>
      </c>
      <c r="U4142" s="2">
        <f t="shared" si="713"/>
        <v>92</v>
      </c>
      <c r="V4142" s="10">
        <f t="shared" si="714"/>
        <v>492</v>
      </c>
      <c r="W4142" s="2">
        <f>271.66+19.93</f>
        <v>291.59000000000003</v>
      </c>
      <c r="X4142" s="5">
        <f t="shared" si="712"/>
        <v>0.2710249999999999</v>
      </c>
      <c r="Z4142" s="2" t="s">
        <v>3226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5"/>
        <v>108.40999999999997</v>
      </c>
      <c r="AL4142" s="5">
        <f t="shared" si="716"/>
        <v>0.2710249999999999</v>
      </c>
    </row>
    <row r="4143" spans="1:38" x14ac:dyDescent="0.2">
      <c r="A4143" s="8">
        <v>2026</v>
      </c>
      <c r="B4143" s="8">
        <v>6</v>
      </c>
      <c r="C4143" s="8" t="s">
        <v>3321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3"/>
        <v>0.34040000000000004</v>
      </c>
      <c r="V4143" s="10">
        <f t="shared" si="714"/>
        <v>1.8204</v>
      </c>
      <c r="W4143" s="2">
        <f>1.48*S4143</f>
        <v>1.48</v>
      </c>
      <c r="X4143" s="5">
        <f t="shared" si="712"/>
        <v>0</v>
      </c>
      <c r="Z4143" s="2" t="s">
        <v>3226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5"/>
        <v>0</v>
      </c>
      <c r="AL4143" s="5">
        <f t="shared" si="716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3"/>
        <v>92</v>
      </c>
      <c r="V4144" s="10">
        <f t="shared" si="714"/>
        <v>492</v>
      </c>
      <c r="W4144" s="2">
        <v>290</v>
      </c>
      <c r="X4144" s="5">
        <f t="shared" si="712"/>
        <v>0.27500000000000002</v>
      </c>
      <c r="Z4144" s="2" t="s">
        <v>3226</v>
      </c>
      <c r="AA4144" s="2" t="s">
        <v>46</v>
      </c>
      <c r="AB4144" s="2" t="s">
        <v>60</v>
      </c>
      <c r="AC4144" s="2" t="s">
        <v>3330</v>
      </c>
      <c r="AI4144" s="2"/>
      <c r="AK4144" s="2">
        <f t="shared" si="715"/>
        <v>110</v>
      </c>
      <c r="AL4144" s="5">
        <f t="shared" si="716"/>
        <v>0.27500000000000002</v>
      </c>
    </row>
    <row r="4145" spans="1:38" x14ac:dyDescent="0.2">
      <c r="A4145" s="8">
        <v>2026</v>
      </c>
      <c r="B4145" s="8">
        <v>6</v>
      </c>
      <c r="C4145" s="8" t="s">
        <v>3292</v>
      </c>
      <c r="D4145" s="2" t="s">
        <v>3327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3168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3"/>
        <v>1285.7</v>
      </c>
      <c r="V4145" s="10">
        <f t="shared" si="714"/>
        <v>6875.7</v>
      </c>
      <c r="W4145" s="2">
        <v>4275.9799999999996</v>
      </c>
      <c r="X4145" s="5">
        <f t="shared" si="712"/>
        <v>0.23506618962432924</v>
      </c>
      <c r="Z4145" s="2" t="s">
        <v>104</v>
      </c>
      <c r="AA4145" s="2" t="s">
        <v>616</v>
      </c>
      <c r="AB4145" s="2" t="s">
        <v>3172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5"/>
        <v>1314.0200000000004</v>
      </c>
      <c r="AL4145" s="5">
        <f t="shared" si="716"/>
        <v>0.23506618962432924</v>
      </c>
    </row>
    <row r="4146" spans="1:38" x14ac:dyDescent="0.2">
      <c r="A4146" s="8">
        <v>2026</v>
      </c>
      <c r="B4146" s="8">
        <v>6</v>
      </c>
      <c r="C4146" s="8" t="s">
        <v>3292</v>
      </c>
      <c r="D4146" s="2" t="s">
        <v>3327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3"/>
        <v>1021.2</v>
      </c>
      <c r="V4146" s="10">
        <f t="shared" si="714"/>
        <v>5461.2</v>
      </c>
      <c r="W4146" s="2">
        <v>3345.125</v>
      </c>
      <c r="X4146" s="5">
        <f t="shared" si="712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5"/>
        <v>1094.875</v>
      </c>
      <c r="AL4146" s="5">
        <f t="shared" si="716"/>
        <v>0.24659346846846847</v>
      </c>
    </row>
    <row r="4147" spans="1:38" x14ac:dyDescent="0.2">
      <c r="A4147" s="8">
        <v>2026</v>
      </c>
      <c r="B4147" s="8">
        <v>6</v>
      </c>
      <c r="C4147" s="8" t="s">
        <v>3292</v>
      </c>
      <c r="D4147" s="2" t="s">
        <v>3327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1608</v>
      </c>
      <c r="Q4147" s="2" t="s">
        <v>3056</v>
      </c>
      <c r="R4147" s="2" t="s">
        <v>3057</v>
      </c>
      <c r="S4147" s="9">
        <v>2</v>
      </c>
      <c r="T4147" s="10">
        <v>10000</v>
      </c>
      <c r="U4147" s="2">
        <f t="shared" si="713"/>
        <v>2300</v>
      </c>
      <c r="V4147" s="10">
        <f t="shared" si="714"/>
        <v>12300</v>
      </c>
      <c r="W4147" s="2">
        <f>3681.98*2</f>
        <v>7363.96</v>
      </c>
      <c r="X4147" s="5">
        <f t="shared" si="712"/>
        <v>0.263604</v>
      </c>
      <c r="Z4147" s="2" t="s">
        <v>104</v>
      </c>
      <c r="AA4147" s="2" t="s">
        <v>264</v>
      </c>
      <c r="AB4147" s="2" t="s">
        <v>1095</v>
      </c>
      <c r="AC4147" s="2" t="s">
        <v>1608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5"/>
        <v>2636.04</v>
      </c>
      <c r="AL4147" s="5">
        <f t="shared" si="716"/>
        <v>0.263604</v>
      </c>
    </row>
    <row r="4148" spans="1:38" x14ac:dyDescent="0.2">
      <c r="A4148" s="8">
        <v>2026</v>
      </c>
      <c r="B4148" s="8">
        <v>6</v>
      </c>
      <c r="C4148" s="8" t="s">
        <v>3292</v>
      </c>
      <c r="D4148" s="2" t="s">
        <v>3327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3"/>
        <v>602.6</v>
      </c>
      <c r="V4148" s="10">
        <f t="shared" si="714"/>
        <v>3222.6</v>
      </c>
      <c r="W4148" s="2">
        <v>1978.46</v>
      </c>
      <c r="X4148" s="5">
        <f t="shared" si="712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5"/>
        <v>641.54</v>
      </c>
      <c r="AL4148" s="5">
        <f t="shared" si="716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1547</v>
      </c>
      <c r="R4149" s="2" t="s">
        <v>1548</v>
      </c>
      <c r="S4149" s="9">
        <v>1</v>
      </c>
      <c r="T4149" s="10">
        <v>499</v>
      </c>
      <c r="U4149" s="2">
        <f t="shared" si="713"/>
        <v>114.77000000000001</v>
      </c>
      <c r="V4149" s="10">
        <f t="shared" si="714"/>
        <v>613.77</v>
      </c>
      <c r="W4149" s="2">
        <v>297</v>
      </c>
      <c r="X4149" s="5">
        <f t="shared" si="712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5"/>
        <v>202</v>
      </c>
      <c r="AL4149" s="5">
        <f t="shared" si="716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3"/>
        <v>0</v>
      </c>
      <c r="V4150" s="10">
        <f t="shared" si="714"/>
        <v>0</v>
      </c>
      <c r="W4150" s="2">
        <f>14.5099*S4150</f>
        <v>29.0198</v>
      </c>
      <c r="X4150" s="18">
        <v>-1</v>
      </c>
      <c r="Z4150" s="2" t="s">
        <v>3226</v>
      </c>
      <c r="AA4150" s="2" t="s">
        <v>46</v>
      </c>
      <c r="AB4150" s="2" t="s">
        <v>60</v>
      </c>
      <c r="AC4150" s="2" t="s">
        <v>3330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3"/>
        <v>0</v>
      </c>
      <c r="V4151" s="10">
        <f t="shared" si="714"/>
        <v>0</v>
      </c>
      <c r="W4151" s="2">
        <f>14.5099*S4151</f>
        <v>29.0198</v>
      </c>
      <c r="X4151" s="19">
        <v>-1</v>
      </c>
      <c r="Z4151" s="2" t="s">
        <v>3226</v>
      </c>
      <c r="AA4151" s="2" t="s">
        <v>46</v>
      </c>
      <c r="AB4151" s="2" t="s">
        <v>60</v>
      </c>
      <c r="AC4151" s="2" t="s">
        <v>3330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3390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3"/>
        <v>8.2800000000000011</v>
      </c>
      <c r="V4152" s="10">
        <f t="shared" si="714"/>
        <v>44.28</v>
      </c>
      <c r="W4152" s="2">
        <f>10.6*S4152</f>
        <v>21.2</v>
      </c>
      <c r="X4152" s="5">
        <f t="shared" ref="X4152:X4188" si="717">(T4152-W4152)/T4152</f>
        <v>0.41111111111111115</v>
      </c>
      <c r="Z4152" s="2" t="s">
        <v>3226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8">T4152-W4152</f>
        <v>14.8</v>
      </c>
      <c r="AL4152" s="5">
        <f t="shared" ref="AL4152" si="719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3390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3"/>
        <v>1.84</v>
      </c>
      <c r="V4153" s="10">
        <f t="shared" si="714"/>
        <v>9.84</v>
      </c>
      <c r="W4153" s="2">
        <v>6</v>
      </c>
      <c r="X4153" s="5">
        <f t="shared" si="717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2538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3"/>
        <v>14.49</v>
      </c>
      <c r="V4154" s="10">
        <f t="shared" si="714"/>
        <v>77.489999999999995</v>
      </c>
      <c r="W4154" s="2">
        <f>10.67*S4154</f>
        <v>32.01</v>
      </c>
      <c r="X4154" s="5">
        <f t="shared" si="717"/>
        <v>0.49190476190476196</v>
      </c>
      <c r="Z4154" s="2" t="s">
        <v>3226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20">T4154-W4154</f>
        <v>30.990000000000002</v>
      </c>
      <c r="AL4154" s="5">
        <f t="shared" ref="AL4154:AL4171" si="721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3"/>
        <v>6.21</v>
      </c>
      <c r="V4155" s="10">
        <f t="shared" si="714"/>
        <v>33.21</v>
      </c>
      <c r="W4155" s="2">
        <f>3.7358*S4155</f>
        <v>11.2074</v>
      </c>
      <c r="X4155" s="5">
        <f t="shared" si="717"/>
        <v>0.58491111111111116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20"/>
        <v>15.7926</v>
      </c>
      <c r="AL4155" s="5">
        <f t="shared" si="721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1373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3"/>
        <v>9.6508000000000003</v>
      </c>
      <c r="V4156" s="10">
        <f t="shared" si="714"/>
        <v>51.610799999999998</v>
      </c>
      <c r="W4156" s="2">
        <f>23.042*S4156</f>
        <v>23.042000000000002</v>
      </c>
      <c r="X4156" s="5">
        <f t="shared" si="717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20"/>
        <v>18.917999999999999</v>
      </c>
      <c r="AL4156" s="5">
        <f t="shared" si="721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1553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1554</v>
      </c>
      <c r="J4157" s="2" t="s">
        <v>1555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3"/>
        <v>92</v>
      </c>
      <c r="V4157" s="10">
        <f t="shared" si="714"/>
        <v>492</v>
      </c>
      <c r="W4157" s="2">
        <f>14.5099*S4157</f>
        <v>290.19799999999998</v>
      </c>
      <c r="X4157" s="5">
        <f t="shared" si="717"/>
        <v>0.27450500000000005</v>
      </c>
      <c r="Z4157" s="2" t="s">
        <v>3226</v>
      </c>
      <c r="AA4157" s="2" t="s">
        <v>46</v>
      </c>
      <c r="AB4157" s="2" t="s">
        <v>60</v>
      </c>
      <c r="AC4157" s="2" t="s">
        <v>3330</v>
      </c>
      <c r="AI4157" s="2"/>
      <c r="AK4157" s="2">
        <f t="shared" si="720"/>
        <v>109.80200000000002</v>
      </c>
      <c r="AL4157" s="5">
        <f t="shared" si="721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3"/>
        <v>92</v>
      </c>
      <c r="V4158" s="10">
        <f t="shared" si="714"/>
        <v>492</v>
      </c>
      <c r="W4158" s="2">
        <f>14.5099*S4158</f>
        <v>290.19799999999998</v>
      </c>
      <c r="X4158" s="5">
        <f t="shared" si="717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3330</v>
      </c>
      <c r="AI4158" s="2"/>
      <c r="AK4158" s="2">
        <f t="shared" si="720"/>
        <v>109.80200000000002</v>
      </c>
      <c r="AL4158" s="5">
        <f t="shared" si="721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1376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3194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3"/>
        <v>46</v>
      </c>
      <c r="V4159" s="10">
        <f t="shared" si="714"/>
        <v>246</v>
      </c>
      <c r="W4159" s="2">
        <f>110.125+11.77</f>
        <v>121.895</v>
      </c>
      <c r="X4159" s="5">
        <f t="shared" si="717"/>
        <v>0.39052500000000001</v>
      </c>
      <c r="Z4159" s="2" t="s">
        <v>3226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2">AI4159*T4159</f>
        <v>0</v>
      </c>
      <c r="AK4159" s="2">
        <f t="shared" si="720"/>
        <v>78.105000000000004</v>
      </c>
      <c r="AL4159" s="5">
        <f t="shared" si="721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3"/>
        <v>0.34040000000000004</v>
      </c>
      <c r="V4160" s="10">
        <f t="shared" si="714"/>
        <v>1.8204</v>
      </c>
      <c r="W4160" s="2">
        <f>1.48*S4160</f>
        <v>1.48</v>
      </c>
      <c r="X4160" s="5">
        <f t="shared" si="717"/>
        <v>0</v>
      </c>
      <c r="Z4160" s="2" t="s">
        <v>3226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2"/>
        <v>0</v>
      </c>
      <c r="AK4160" s="2">
        <f t="shared" si="720"/>
        <v>0</v>
      </c>
      <c r="AL4160" s="5">
        <f t="shared" si="721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3101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3"/>
        <v>31.51</v>
      </c>
      <c r="V4161" s="2">
        <f t="shared" si="714"/>
        <v>168.51</v>
      </c>
      <c r="W4161" s="2">
        <f>T4161*40%</f>
        <v>54.800000000000004</v>
      </c>
      <c r="X4161" s="5">
        <f t="shared" si="717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2"/>
        <v>0</v>
      </c>
      <c r="AK4161" s="2">
        <f t="shared" si="720"/>
        <v>82.199999999999989</v>
      </c>
      <c r="AL4161" s="5">
        <f t="shared" si="721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3"/>
        <v>18.975000000000001</v>
      </c>
      <c r="V4162" s="2">
        <f t="shared" si="714"/>
        <v>101.47499999999999</v>
      </c>
      <c r="W4162" s="2">
        <f>T4162*50%</f>
        <v>41.25</v>
      </c>
      <c r="X4162" s="5">
        <f t="shared" si="717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2"/>
        <v>0</v>
      </c>
      <c r="AK4162" s="2">
        <f t="shared" si="720"/>
        <v>41.25</v>
      </c>
      <c r="AL4162" s="5">
        <f t="shared" si="721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1242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3"/>
        <v>62.1</v>
      </c>
      <c r="V4163" s="10">
        <f t="shared" si="714"/>
        <v>332.1</v>
      </c>
      <c r="W4163" s="2">
        <v>139.46</v>
      </c>
      <c r="X4163" s="5">
        <f t="shared" si="717"/>
        <v>0.48348148148148146</v>
      </c>
      <c r="Z4163" s="2" t="s">
        <v>3226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2"/>
        <v>0</v>
      </c>
      <c r="AK4163" s="2">
        <f t="shared" si="720"/>
        <v>130.54</v>
      </c>
      <c r="AL4163" s="5">
        <f t="shared" si="721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3"/>
        <v>0.34040000000000004</v>
      </c>
      <c r="V4164" s="10">
        <f t="shared" si="714"/>
        <v>1.8204</v>
      </c>
      <c r="W4164" s="2">
        <f>1.48*S4164</f>
        <v>1.48</v>
      </c>
      <c r="X4164" s="5">
        <f t="shared" si="717"/>
        <v>0</v>
      </c>
      <c r="Z4164" s="2" t="s">
        <v>3226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2"/>
        <v>0</v>
      </c>
      <c r="AK4164" s="2">
        <f t="shared" si="720"/>
        <v>0</v>
      </c>
      <c r="AL4164" s="5">
        <f t="shared" si="721"/>
        <v>0</v>
      </c>
    </row>
    <row r="4165" spans="1:38" x14ac:dyDescent="0.2">
      <c r="A4165" s="8">
        <v>2026</v>
      </c>
      <c r="B4165" s="8">
        <v>6</v>
      </c>
      <c r="C4165" s="8" t="s">
        <v>3390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3"/>
        <v>30.985600000000002</v>
      </c>
      <c r="V4165" s="10">
        <f t="shared" si="714"/>
        <v>165.7056</v>
      </c>
      <c r="W4165" s="2">
        <f>36.2258*S4165</f>
        <v>72.451599999999999</v>
      </c>
      <c r="X4165" s="5">
        <f t="shared" si="717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20"/>
        <v>62.2684</v>
      </c>
      <c r="AL4165" s="5">
        <f t="shared" si="721"/>
        <v>0.46220605700712591</v>
      </c>
    </row>
    <row r="4166" spans="1:38" x14ac:dyDescent="0.2">
      <c r="A4166" s="8">
        <v>2026</v>
      </c>
      <c r="B4166" s="8">
        <v>6</v>
      </c>
      <c r="C4166" s="8" t="s">
        <v>3321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3"/>
        <v>138.345</v>
      </c>
      <c r="V4166" s="2">
        <f t="shared" si="714"/>
        <v>739.84500000000003</v>
      </c>
      <c r="W4166" s="2">
        <f>T4166*40%</f>
        <v>240.60000000000002</v>
      </c>
      <c r="X4166" s="5">
        <f t="shared" si="717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20"/>
        <v>360.9</v>
      </c>
      <c r="AL4166" s="5">
        <f t="shared" si="721"/>
        <v>0.6</v>
      </c>
    </row>
    <row r="4167" spans="1:38" x14ac:dyDescent="0.2">
      <c r="A4167" s="8">
        <v>2026</v>
      </c>
      <c r="B4167" s="8">
        <v>6</v>
      </c>
      <c r="C4167" s="8" t="s">
        <v>3321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3"/>
        <v>85.387500000000003</v>
      </c>
      <c r="V4167" s="2">
        <f t="shared" si="714"/>
        <v>456.63749999999999</v>
      </c>
      <c r="W4167" s="2">
        <f>T4167*50%</f>
        <v>185.625</v>
      </c>
      <c r="X4167" s="5">
        <f t="shared" si="717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20"/>
        <v>185.625</v>
      </c>
      <c r="AL4167" s="5">
        <f t="shared" si="721"/>
        <v>0.5</v>
      </c>
    </row>
    <row r="4168" spans="1:38" x14ac:dyDescent="0.2">
      <c r="A4168" s="8">
        <v>2026</v>
      </c>
      <c r="B4168" s="8">
        <v>6</v>
      </c>
      <c r="C4168" s="8" t="s">
        <v>3292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3"/>
        <v>6.21</v>
      </c>
      <c r="V4168" s="10">
        <f t="shared" si="714"/>
        <v>33.21</v>
      </c>
      <c r="W4168" s="2">
        <f>T4168*70%</f>
        <v>18.899999999999999</v>
      </c>
      <c r="X4168" s="5">
        <f t="shared" si="717"/>
        <v>0.30000000000000004</v>
      </c>
      <c r="Z4168" s="2" t="s">
        <v>119</v>
      </c>
      <c r="AA4168" s="2" t="s">
        <v>3378</v>
      </c>
      <c r="AI4168" s="2"/>
      <c r="AK4168" s="2">
        <f t="shared" si="720"/>
        <v>8.1000000000000014</v>
      </c>
      <c r="AL4168" s="5">
        <f t="shared" si="721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3"/>
        <v>44.160000000000004</v>
      </c>
      <c r="V4169" s="10">
        <f t="shared" si="714"/>
        <v>236.16</v>
      </c>
      <c r="W4169" s="2">
        <f>14.5099*S4169</f>
        <v>116.0792</v>
      </c>
      <c r="X4169" s="5">
        <f t="shared" si="717"/>
        <v>0.39542083333333333</v>
      </c>
      <c r="Z4169" s="2" t="s">
        <v>3226</v>
      </c>
      <c r="AA4169" s="2" t="s">
        <v>46</v>
      </c>
      <c r="AB4169" s="2" t="s">
        <v>60</v>
      </c>
      <c r="AC4169" s="2" t="s">
        <v>3330</v>
      </c>
      <c r="AI4169" s="2"/>
      <c r="AK4169" s="2">
        <f t="shared" si="720"/>
        <v>75.9208</v>
      </c>
      <c r="AL4169" s="5">
        <f t="shared" si="721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3"/>
        <v>16.100000000000001</v>
      </c>
      <c r="V4170" s="10">
        <f t="shared" si="714"/>
        <v>86.1</v>
      </c>
      <c r="W4170" s="2">
        <f>0.0914*S4170</f>
        <v>45.699999999999996</v>
      </c>
      <c r="X4170" s="5">
        <f t="shared" si="717"/>
        <v>0.3471428571428572</v>
      </c>
      <c r="Z4170" s="2" t="s">
        <v>3226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20"/>
        <v>24.300000000000004</v>
      </c>
      <c r="AL4170" s="5">
        <f t="shared" si="721"/>
        <v>0.3471428571428572</v>
      </c>
    </row>
    <row r="4171" spans="1:38" x14ac:dyDescent="0.2">
      <c r="A4171" s="8">
        <v>2026</v>
      </c>
      <c r="B4171" s="8">
        <v>6</v>
      </c>
      <c r="C4171" s="8" t="s">
        <v>3376</v>
      </c>
      <c r="D4171" s="2" t="s">
        <v>2143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3"/>
        <v>46</v>
      </c>
      <c r="V4171" s="10">
        <f t="shared" si="714"/>
        <v>246</v>
      </c>
      <c r="W4171" s="2">
        <v>120.636</v>
      </c>
      <c r="X4171" s="5">
        <f t="shared" si="717"/>
        <v>0.39682000000000001</v>
      </c>
      <c r="Z4171" s="2" t="s">
        <v>3226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20"/>
        <v>79.364000000000004</v>
      </c>
      <c r="AL4171" s="5">
        <f t="shared" si="721"/>
        <v>0.39682000000000001</v>
      </c>
    </row>
    <row r="4172" spans="1:38" x14ac:dyDescent="0.2">
      <c r="A4172" s="8">
        <v>2026</v>
      </c>
      <c r="B4172" s="8">
        <v>6</v>
      </c>
      <c r="C4172" s="8" t="s">
        <v>3376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3">T4172*23%</f>
        <v>6.9</v>
      </c>
      <c r="V4172" s="10">
        <f t="shared" ref="V4172:V4173" si="724">T4172+U4172</f>
        <v>36.9</v>
      </c>
      <c r="W4172" s="2">
        <v>0</v>
      </c>
      <c r="X4172" s="5">
        <f t="shared" si="717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3376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3"/>
        <v>0.34040000000000004</v>
      </c>
      <c r="V4173" s="10">
        <f t="shared" si="724"/>
        <v>1.8204</v>
      </c>
      <c r="W4173" s="2">
        <f>1.48*S4173</f>
        <v>1.48</v>
      </c>
      <c r="X4173" s="5">
        <f t="shared" si="717"/>
        <v>0</v>
      </c>
      <c r="Z4173" s="2" t="s">
        <v>3226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5">T4173-W4173</f>
        <v>0</v>
      </c>
      <c r="AL4173" s="5">
        <f t="shared" ref="AL4173:AL4188" si="726">(T4173-W4173)/T4173</f>
        <v>0</v>
      </c>
    </row>
    <row r="4174" spans="1:38" x14ac:dyDescent="0.2">
      <c r="A4174" s="8">
        <v>2026</v>
      </c>
      <c r="B4174" s="8">
        <v>6</v>
      </c>
      <c r="C4174" s="8" t="s">
        <v>3292</v>
      </c>
      <c r="D4174" s="2" t="s">
        <v>3396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3228</v>
      </c>
      <c r="P4174" s="2" t="s">
        <v>1194</v>
      </c>
      <c r="Q4174" s="2" t="s">
        <v>3058</v>
      </c>
      <c r="R4174" s="2" t="s">
        <v>3059</v>
      </c>
      <c r="S4174" s="9">
        <v>1</v>
      </c>
      <c r="T4174" s="10">
        <v>5990</v>
      </c>
      <c r="U4174" s="2">
        <f t="shared" si="723"/>
        <v>1377.7</v>
      </c>
      <c r="V4174" s="10">
        <f>U4174+T4174</f>
        <v>7367.7</v>
      </c>
      <c r="W4174" s="2">
        <v>4214</v>
      </c>
      <c r="X4174" s="5">
        <f t="shared" si="717"/>
        <v>0.29649415692821368</v>
      </c>
      <c r="Z4174" s="2" t="s">
        <v>104</v>
      </c>
      <c r="AA4174" s="2" t="s">
        <v>2746</v>
      </c>
      <c r="AB4174" s="2" t="s">
        <v>3395</v>
      </c>
      <c r="AC4174" s="2" t="s">
        <v>1194</v>
      </c>
      <c r="AI4174" s="2"/>
      <c r="AK4174" s="2">
        <f t="shared" si="725"/>
        <v>1776</v>
      </c>
      <c r="AL4174" s="5">
        <f t="shared" si="726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3"/>
        <v>13.8</v>
      </c>
      <c r="V4175" s="2">
        <f t="shared" ref="V4175:V4206" si="727">T4175+U4175</f>
        <v>73.8</v>
      </c>
      <c r="W4175" s="2">
        <f>T4175*40%</f>
        <v>24</v>
      </c>
      <c r="X4175" s="5">
        <f t="shared" si="717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5"/>
        <v>36</v>
      </c>
      <c r="AL4175" s="5">
        <f t="shared" si="726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3"/>
        <v>25.3</v>
      </c>
      <c r="V4176" s="2">
        <f t="shared" si="727"/>
        <v>135.30000000000001</v>
      </c>
      <c r="W4176" s="2">
        <f>T4176*50%</f>
        <v>55</v>
      </c>
      <c r="X4176" s="5">
        <f t="shared" si="717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5"/>
        <v>55</v>
      </c>
      <c r="AL4176" s="5">
        <f t="shared" si="726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3111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3"/>
        <v>21.16</v>
      </c>
      <c r="V4177" s="2">
        <f t="shared" si="727"/>
        <v>113.16</v>
      </c>
      <c r="W4177" s="2">
        <f>T4177*40%</f>
        <v>36.800000000000004</v>
      </c>
      <c r="X4177" s="5">
        <f t="shared" si="717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5"/>
        <v>55.199999999999996</v>
      </c>
      <c r="AL4177" s="5">
        <f t="shared" si="726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3"/>
        <v>12.65</v>
      </c>
      <c r="V4178" s="2">
        <f t="shared" si="727"/>
        <v>67.650000000000006</v>
      </c>
      <c r="W4178" s="2">
        <f>T4178*50%</f>
        <v>27.5</v>
      </c>
      <c r="X4178" s="5">
        <f t="shared" si="717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5"/>
        <v>27.5</v>
      </c>
      <c r="AL4178" s="5">
        <f t="shared" si="726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3"/>
        <v>22.983900000000002</v>
      </c>
      <c r="V4179" s="10">
        <f t="shared" si="727"/>
        <v>122.91390000000001</v>
      </c>
      <c r="W4179" s="2">
        <f>T4179*70%</f>
        <v>69.950999999999993</v>
      </c>
      <c r="X4179" s="5">
        <f t="shared" si="717"/>
        <v>0.3000000000000001</v>
      </c>
      <c r="Z4179" s="2" t="s">
        <v>119</v>
      </c>
      <c r="AA4179" s="2" t="s">
        <v>3378</v>
      </c>
      <c r="AI4179" s="2"/>
      <c r="AK4179" s="2">
        <f t="shared" si="725"/>
        <v>29.979000000000013</v>
      </c>
      <c r="AL4179" s="5">
        <f t="shared" si="726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1907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3"/>
        <v>23</v>
      </c>
      <c r="V4180" s="10">
        <f t="shared" si="727"/>
        <v>123</v>
      </c>
      <c r="W4180" s="2">
        <f>14.5099*S4180</f>
        <v>58.0396</v>
      </c>
      <c r="X4180" s="5">
        <f t="shared" si="717"/>
        <v>0.41960399999999998</v>
      </c>
      <c r="Z4180" s="2" t="s">
        <v>3226</v>
      </c>
      <c r="AA4180" s="2" t="s">
        <v>46</v>
      </c>
      <c r="AB4180" s="2" t="s">
        <v>60</v>
      </c>
      <c r="AC4180" s="2" t="s">
        <v>3330</v>
      </c>
      <c r="AI4180" s="2"/>
      <c r="AK4180" s="2">
        <f t="shared" si="725"/>
        <v>41.9604</v>
      </c>
      <c r="AL4180" s="5">
        <f t="shared" si="726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3"/>
        <v>23</v>
      </c>
      <c r="V4181" s="10">
        <f t="shared" si="727"/>
        <v>123</v>
      </c>
      <c r="W4181" s="2">
        <f>14.5099*S4181</f>
        <v>58.0396</v>
      </c>
      <c r="X4181" s="5">
        <f t="shared" si="717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3330</v>
      </c>
      <c r="AI4181" s="2"/>
      <c r="AK4181" s="2">
        <f t="shared" si="725"/>
        <v>41.9604</v>
      </c>
      <c r="AL4181" s="5">
        <f t="shared" si="726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3"/>
        <v>156.14930000000001</v>
      </c>
      <c r="V4182" s="10">
        <f t="shared" si="727"/>
        <v>835.05930000000001</v>
      </c>
      <c r="X4182" s="5">
        <f t="shared" si="717"/>
        <v>1</v>
      </c>
      <c r="Z4182" s="2" t="s">
        <v>119</v>
      </c>
      <c r="AA4182" s="2" t="s">
        <v>492</v>
      </c>
      <c r="AI4182" s="2"/>
      <c r="AK4182" s="2">
        <f t="shared" si="725"/>
        <v>678.91</v>
      </c>
      <c r="AL4182" s="5">
        <f t="shared" si="726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3112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3"/>
        <v>13.8</v>
      </c>
      <c r="V4183" s="2">
        <f t="shared" si="727"/>
        <v>73.8</v>
      </c>
      <c r="W4183" s="2">
        <f>T4183*40%</f>
        <v>24</v>
      </c>
      <c r="X4183" s="5">
        <f t="shared" si="717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5"/>
        <v>36</v>
      </c>
      <c r="AL4183" s="5">
        <f t="shared" si="726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3"/>
        <v>50.6</v>
      </c>
      <c r="V4184" s="2">
        <f t="shared" si="727"/>
        <v>270.60000000000002</v>
      </c>
      <c r="W4184" s="2">
        <f>T4184*50%</f>
        <v>110</v>
      </c>
      <c r="X4184" s="5">
        <f t="shared" si="717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5"/>
        <v>110</v>
      </c>
      <c r="AL4184" s="5">
        <f t="shared" si="726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1397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3216</v>
      </c>
      <c r="J4185" s="2" t="s">
        <v>3215</v>
      </c>
      <c r="K4185" s="2">
        <v>913814877</v>
      </c>
      <c r="L4185" s="2" t="s">
        <v>201</v>
      </c>
      <c r="M4185" s="2" t="s">
        <v>80</v>
      </c>
      <c r="O4185" s="2" t="s">
        <v>3214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3"/>
        <v>12.42</v>
      </c>
      <c r="V4185" s="10">
        <f t="shared" si="727"/>
        <v>66.42</v>
      </c>
      <c r="W4185" s="2">
        <f>10.6*S4185</f>
        <v>31.799999999999997</v>
      </c>
      <c r="X4185" s="5">
        <f t="shared" si="717"/>
        <v>0.41111111111111115</v>
      </c>
      <c r="Z4185" s="2" t="s">
        <v>3226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5"/>
        <v>22.200000000000003</v>
      </c>
      <c r="AL4185" s="5">
        <f t="shared" si="726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3"/>
        <v>1.84</v>
      </c>
      <c r="V4186" s="10">
        <f t="shared" si="727"/>
        <v>9.84</v>
      </c>
      <c r="W4186" s="2">
        <v>6</v>
      </c>
      <c r="X4186" s="5">
        <f t="shared" si="717"/>
        <v>0.25</v>
      </c>
      <c r="Z4186" s="2" t="s">
        <v>169</v>
      </c>
      <c r="AA4186" s="2" t="s">
        <v>169</v>
      </c>
      <c r="AI4186" s="2"/>
      <c r="AK4186" s="2">
        <f t="shared" si="725"/>
        <v>2</v>
      </c>
      <c r="AL4186" s="5">
        <f t="shared" si="726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2432</v>
      </c>
      <c r="P4187" s="2" t="s">
        <v>43</v>
      </c>
      <c r="Q4187" s="2" t="s">
        <v>2869</v>
      </c>
      <c r="R4187" s="2" t="s">
        <v>2870</v>
      </c>
      <c r="S4187" s="9">
        <v>2</v>
      </c>
      <c r="T4187" s="10">
        <v>100</v>
      </c>
      <c r="U4187" s="2">
        <f t="shared" si="723"/>
        <v>23</v>
      </c>
      <c r="V4187" s="10">
        <f t="shared" si="727"/>
        <v>123</v>
      </c>
      <c r="W4187" s="2">
        <f>W3922*S4187</f>
        <v>71.56</v>
      </c>
      <c r="X4187" s="5">
        <f t="shared" si="717"/>
        <v>0.28439999999999999</v>
      </c>
      <c r="Z4187" s="2" t="s">
        <v>3226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5"/>
        <v>28.439999999999998</v>
      </c>
      <c r="AL4187" s="5">
        <f t="shared" si="726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3"/>
        <v>1.84</v>
      </c>
      <c r="V4188" s="10">
        <f t="shared" si="727"/>
        <v>9.84</v>
      </c>
      <c r="W4188" s="2">
        <v>6</v>
      </c>
      <c r="X4188" s="5">
        <f t="shared" si="717"/>
        <v>0.25</v>
      </c>
      <c r="Z4188" s="2" t="s">
        <v>169</v>
      </c>
      <c r="AA4188" s="2" t="s">
        <v>169</v>
      </c>
      <c r="AI4188" s="2"/>
      <c r="AK4188" s="2">
        <f t="shared" si="725"/>
        <v>2</v>
      </c>
      <c r="AL4188" s="5">
        <f t="shared" si="726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2981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2982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3"/>
        <v>-43.221600000000002</v>
      </c>
      <c r="V4189" s="10">
        <f t="shared" si="727"/>
        <v>-231.14159999999998</v>
      </c>
      <c r="W4189" s="2">
        <f>92.63+1.2</f>
        <v>93.83</v>
      </c>
      <c r="X4189" s="18">
        <f t="shared" ref="X4189:X4190" si="728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5"/>
        <v>-281.75</v>
      </c>
      <c r="AL4189" s="18">
        <f t="shared" ref="AL4189:AL4193" si="729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2984</v>
      </c>
      <c r="S4190" s="9">
        <v>-1</v>
      </c>
      <c r="T4190" s="10">
        <v>-28.38</v>
      </c>
      <c r="U4190" s="2">
        <f t="shared" si="723"/>
        <v>-6.5274000000000001</v>
      </c>
      <c r="V4190" s="10">
        <f t="shared" si="727"/>
        <v>-34.907399999999996</v>
      </c>
      <c r="W4190" s="2">
        <f>13.715</f>
        <v>13.715</v>
      </c>
      <c r="X4190" s="18">
        <f t="shared" si="728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5"/>
        <v>-42.094999999999999</v>
      </c>
      <c r="AL4190" s="18">
        <f t="shared" si="729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3"/>
        <v>-21.62</v>
      </c>
      <c r="V4191" s="2">
        <f t="shared" si="727"/>
        <v>-115.62</v>
      </c>
      <c r="W4191" s="2">
        <f>94*40%</f>
        <v>37.6</v>
      </c>
      <c r="X4191" s="18">
        <f t="shared" ref="X4191:X4193" si="730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5"/>
        <v>-131.6</v>
      </c>
      <c r="AL4191" s="18">
        <f t="shared" si="729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3"/>
        <v>-12.65</v>
      </c>
      <c r="V4192" s="2">
        <f t="shared" si="727"/>
        <v>-67.650000000000006</v>
      </c>
      <c r="W4192" s="2">
        <f>55*50%</f>
        <v>27.5</v>
      </c>
      <c r="X4192" s="18">
        <f t="shared" si="730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5"/>
        <v>-82.5</v>
      </c>
      <c r="AL4192" s="18">
        <f t="shared" si="729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3"/>
        <v>-20.125</v>
      </c>
      <c r="V4193" s="10">
        <f t="shared" si="727"/>
        <v>-107.625</v>
      </c>
      <c r="W4193" s="2">
        <v>61.25</v>
      </c>
      <c r="X4193" s="18">
        <f t="shared" si="730"/>
        <v>-0.3</v>
      </c>
      <c r="Z4193" s="2" t="s">
        <v>119</v>
      </c>
      <c r="AA4193" s="2" t="s">
        <v>3378</v>
      </c>
      <c r="AI4193" s="2"/>
      <c r="AK4193" s="2">
        <f t="shared" ref="AK4193" si="731">T4193-W4193</f>
        <v>-148.75</v>
      </c>
      <c r="AL4193" s="18">
        <f t="shared" si="729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3"/>
        <v>11.040000000000001</v>
      </c>
      <c r="V4194" s="10">
        <f t="shared" si="727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3226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3"/>
        <v>50.6</v>
      </c>
      <c r="V4195" s="10">
        <f t="shared" si="727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3226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3"/>
        <v>0.34040000000000004</v>
      </c>
      <c r="V4196" s="10">
        <f t="shared" si="727"/>
        <v>1.8204</v>
      </c>
      <c r="W4196" s="2">
        <f>1.48*S4196</f>
        <v>1.48</v>
      </c>
      <c r="X4196" s="5">
        <f>(T4196-W4196)/T4196</f>
        <v>0</v>
      </c>
      <c r="Z4196" s="2" t="s">
        <v>3226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3329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3"/>
        <v>-73.160699999999991</v>
      </c>
      <c r="V4197" s="10">
        <f t="shared" si="727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2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3329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3"/>
        <v>15.019</v>
      </c>
      <c r="V4198" s="10">
        <f t="shared" si="727"/>
        <v>80.319000000000003</v>
      </c>
      <c r="W4198" s="2">
        <f>T4198*70%</f>
        <v>45.709999999999994</v>
      </c>
      <c r="X4198" s="5">
        <f t="shared" ref="X4198:X4203" si="733">(T4198-W4198)/T4198</f>
        <v>0.30000000000000004</v>
      </c>
      <c r="Z4198" s="2" t="s">
        <v>119</v>
      </c>
      <c r="AA4198" s="2" t="s">
        <v>3378</v>
      </c>
      <c r="AI4198" s="2"/>
      <c r="AK4198" s="2">
        <f t="shared" si="732"/>
        <v>19.590000000000003</v>
      </c>
      <c r="AL4198" s="5">
        <f t="shared" ref="AL4198" si="734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3445</v>
      </c>
      <c r="D4199" s="2" t="s">
        <v>3109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3060</v>
      </c>
      <c r="R4199" s="2" t="s">
        <v>3061</v>
      </c>
      <c r="S4199" s="9">
        <v>11601</v>
      </c>
      <c r="T4199" s="10">
        <v>2098.09</v>
      </c>
      <c r="U4199" s="2">
        <f t="shared" si="723"/>
        <v>482.56070000000005</v>
      </c>
      <c r="V4199" s="10">
        <f t="shared" si="727"/>
        <v>2580.6507000000001</v>
      </c>
      <c r="X4199" s="5">
        <f t="shared" si="733"/>
        <v>1</v>
      </c>
      <c r="Z4199" s="2" t="s">
        <v>119</v>
      </c>
      <c r="AA4199" s="2" t="s">
        <v>3290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3133</v>
      </c>
      <c r="L4200" s="2" t="s">
        <v>177</v>
      </c>
      <c r="M4200" s="2" t="s">
        <v>41</v>
      </c>
      <c r="O4200" s="2" t="s">
        <v>3143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3"/>
        <v>42.398200000000003</v>
      </c>
      <c r="V4200" s="10">
        <f t="shared" si="727"/>
        <v>226.73820000000001</v>
      </c>
      <c r="W4200" s="2">
        <v>69.67</v>
      </c>
      <c r="X4200" s="5">
        <f t="shared" si="733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3144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3"/>
        <v>5.98</v>
      </c>
      <c r="V4201" s="10">
        <f t="shared" si="727"/>
        <v>31.98</v>
      </c>
      <c r="W4201" s="2">
        <f>6.6267*S4201</f>
        <v>13.253399999999999</v>
      </c>
      <c r="X4201" s="5">
        <f t="shared" si="733"/>
        <v>0.49025384615384621</v>
      </c>
      <c r="Z4201" s="2" t="s">
        <v>3226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5">AI4201*T4201</f>
        <v>0</v>
      </c>
      <c r="AK4201" s="2">
        <f t="shared" ref="AK4201:AK4228" si="736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3142</v>
      </c>
      <c r="P4202" s="2" t="s">
        <v>166</v>
      </c>
      <c r="Q4202" s="2" t="s">
        <v>3062</v>
      </c>
      <c r="R4202" s="2" t="s">
        <v>3063</v>
      </c>
      <c r="S4202" s="9">
        <v>6</v>
      </c>
      <c r="T4202" s="10">
        <v>8.82</v>
      </c>
      <c r="U4202" s="2">
        <f t="shared" si="723"/>
        <v>2.0286</v>
      </c>
      <c r="V4202" s="10">
        <f t="shared" si="727"/>
        <v>10.848600000000001</v>
      </c>
      <c r="W4202" s="2">
        <f>1.32*S4202</f>
        <v>7.92</v>
      </c>
      <c r="X4202" s="5">
        <f t="shared" si="733"/>
        <v>0.10204081632653066</v>
      </c>
      <c r="Z4202" s="2" t="s">
        <v>3226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5"/>
        <v>0</v>
      </c>
      <c r="AK4202" s="2">
        <f t="shared" si="736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3"/>
        <v>3.3809999999999998</v>
      </c>
      <c r="V4203" s="10">
        <f t="shared" si="727"/>
        <v>18.081</v>
      </c>
      <c r="W4203" s="2">
        <f>1.7*S4203</f>
        <v>10.199999999999999</v>
      </c>
      <c r="X4203" s="5">
        <f t="shared" si="733"/>
        <v>0.30612244897959184</v>
      </c>
      <c r="Z4203" s="2" t="s">
        <v>3226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5"/>
        <v>0</v>
      </c>
      <c r="AK4203" s="2">
        <f t="shared" si="736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40</v>
      </c>
      <c r="O4204" s="2" t="s">
        <v>3143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7">T4204*23%</f>
        <v>0</v>
      </c>
      <c r="V4204" s="2">
        <f t="shared" si="727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5"/>
        <v>0</v>
      </c>
      <c r="AK4204" s="2">
        <f t="shared" si="736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7"/>
        <v>12.65</v>
      </c>
      <c r="V4205" s="2">
        <f t="shared" si="727"/>
        <v>67.650000000000006</v>
      </c>
      <c r="W4205" s="2">
        <f>T4205*50%</f>
        <v>27.5</v>
      </c>
      <c r="X4205" s="5">
        <f t="shared" ref="X4205:X4227" si="738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5"/>
        <v>0</v>
      </c>
      <c r="AK4205" s="2">
        <f t="shared" si="736"/>
        <v>27.5</v>
      </c>
      <c r="AL4205" s="5">
        <f t="shared" ref="AL4205:AL4227" si="739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3110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7"/>
        <v>28.75</v>
      </c>
      <c r="V4206" s="2">
        <f t="shared" si="727"/>
        <v>153.75</v>
      </c>
      <c r="W4206" s="2">
        <f>T4206*40%</f>
        <v>50</v>
      </c>
      <c r="X4206" s="5">
        <f t="shared" si="738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5"/>
        <v>0</v>
      </c>
      <c r="AK4206" s="2">
        <f t="shared" si="736"/>
        <v>75</v>
      </c>
      <c r="AL4206" s="5">
        <f t="shared" si="739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7"/>
        <v>12.65</v>
      </c>
      <c r="V4207" s="2">
        <f t="shared" ref="V4207:V4234" si="740">T4207+U4207</f>
        <v>67.650000000000006</v>
      </c>
      <c r="W4207" s="2">
        <f>T4207*50%</f>
        <v>27.5</v>
      </c>
      <c r="X4207" s="5">
        <f t="shared" si="738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5"/>
        <v>0</v>
      </c>
      <c r="AK4207" s="2">
        <f t="shared" si="736"/>
        <v>27.5</v>
      </c>
      <c r="AL4207" s="5">
        <f t="shared" si="739"/>
        <v>0.5</v>
      </c>
    </row>
    <row r="4208" spans="1:38" x14ac:dyDescent="0.2">
      <c r="A4208" s="8">
        <v>2026</v>
      </c>
      <c r="B4208" s="8">
        <v>6</v>
      </c>
      <c r="C4208" s="8" t="s">
        <v>3390</v>
      </c>
      <c r="D4208" s="2" t="s">
        <v>1718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1436</v>
      </c>
      <c r="R4208" s="2" t="s">
        <v>1437</v>
      </c>
      <c r="S4208" s="9">
        <v>1</v>
      </c>
      <c r="T4208" s="10">
        <v>6.9</v>
      </c>
      <c r="U4208" s="2">
        <f t="shared" si="737"/>
        <v>1.5870000000000002</v>
      </c>
      <c r="V4208" s="2">
        <f t="shared" si="740"/>
        <v>8.4870000000000001</v>
      </c>
      <c r="W4208" s="2">
        <f>5.135*S4208</f>
        <v>5.1349999999999998</v>
      </c>
      <c r="X4208" s="5">
        <f t="shared" si="738"/>
        <v>0.25579710144927542</v>
      </c>
      <c r="Z4208" s="2" t="s">
        <v>3226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6"/>
        <v>1.7650000000000006</v>
      </c>
      <c r="AL4208" s="5">
        <f t="shared" si="739"/>
        <v>0.25579710144927542</v>
      </c>
    </row>
    <row r="4209" spans="1:38" x14ac:dyDescent="0.2">
      <c r="A4209" s="8">
        <v>2026</v>
      </c>
      <c r="B4209" s="8">
        <v>6</v>
      </c>
      <c r="C4209" s="8" t="s">
        <v>3390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2897</v>
      </c>
      <c r="Q4209" s="2" t="s">
        <v>3064</v>
      </c>
      <c r="R4209" s="2" t="s">
        <v>3065</v>
      </c>
      <c r="S4209" s="9">
        <v>1</v>
      </c>
      <c r="T4209" s="10">
        <v>7.24</v>
      </c>
      <c r="U4209" s="2">
        <f t="shared" si="737"/>
        <v>1.6652</v>
      </c>
      <c r="V4209" s="2">
        <f t="shared" si="740"/>
        <v>8.9052000000000007</v>
      </c>
      <c r="W4209" s="2">
        <v>5.07</v>
      </c>
      <c r="X4209" s="5">
        <f t="shared" si="738"/>
        <v>0.29972375690607733</v>
      </c>
      <c r="Z4209" s="2" t="s">
        <v>3226</v>
      </c>
      <c r="AA4209" s="2" t="s">
        <v>71</v>
      </c>
      <c r="AB4209" s="2" t="s">
        <v>2897</v>
      </c>
      <c r="AC4209" s="2" t="s">
        <v>2897</v>
      </c>
      <c r="AI4209" s="2"/>
      <c r="AK4209" s="2">
        <f t="shared" si="736"/>
        <v>2.17</v>
      </c>
      <c r="AL4209" s="5">
        <f t="shared" si="739"/>
        <v>0.29972375690607733</v>
      </c>
    </row>
    <row r="4210" spans="1:38" x14ac:dyDescent="0.2">
      <c r="A4210" s="8">
        <v>2026</v>
      </c>
      <c r="B4210" s="8">
        <v>6</v>
      </c>
      <c r="C4210" s="8" t="s">
        <v>3390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3066</v>
      </c>
      <c r="R4210" s="2" t="s">
        <v>3067</v>
      </c>
      <c r="S4210" s="9">
        <v>1</v>
      </c>
      <c r="T4210" s="10">
        <v>7.24</v>
      </c>
      <c r="U4210" s="2">
        <f t="shared" si="737"/>
        <v>1.6652</v>
      </c>
      <c r="V4210" s="2">
        <f t="shared" si="740"/>
        <v>8.9052000000000007</v>
      </c>
      <c r="W4210" s="2">
        <v>5.07</v>
      </c>
      <c r="X4210" s="5">
        <f t="shared" si="738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36"/>
        <v>2.17</v>
      </c>
      <c r="AL4210" s="5">
        <f t="shared" si="739"/>
        <v>0.29972375690607733</v>
      </c>
    </row>
    <row r="4211" spans="1:38" x14ac:dyDescent="0.2">
      <c r="A4211" s="8">
        <v>2026</v>
      </c>
      <c r="B4211" s="8">
        <v>6</v>
      </c>
      <c r="C4211" s="8" t="s">
        <v>3390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3068</v>
      </c>
      <c r="R4211" s="2" t="s">
        <v>3069</v>
      </c>
      <c r="S4211" s="9">
        <v>1</v>
      </c>
      <c r="T4211" s="10">
        <v>7.24</v>
      </c>
      <c r="U4211" s="2">
        <f t="shared" si="737"/>
        <v>1.6652</v>
      </c>
      <c r="V4211" s="2">
        <f t="shared" si="740"/>
        <v>8.9052000000000007</v>
      </c>
      <c r="W4211" s="2">
        <f>5.07</f>
        <v>5.07</v>
      </c>
      <c r="X4211" s="5">
        <f t="shared" si="738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36"/>
        <v>2.17</v>
      </c>
      <c r="AL4211" s="5">
        <f t="shared" si="739"/>
        <v>0.29972375690607733</v>
      </c>
    </row>
    <row r="4212" spans="1:38" x14ac:dyDescent="0.2">
      <c r="A4212" s="8">
        <v>2026</v>
      </c>
      <c r="B4212" s="8">
        <v>6</v>
      </c>
      <c r="C4212" s="8" t="s">
        <v>3390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3070</v>
      </c>
      <c r="R4212" s="2" t="s">
        <v>3071</v>
      </c>
      <c r="S4212" s="9">
        <v>1</v>
      </c>
      <c r="T4212" s="10">
        <v>16.899999999999999</v>
      </c>
      <c r="U4212" s="2">
        <f t="shared" si="737"/>
        <v>3.887</v>
      </c>
      <c r="V4212" s="2">
        <f t="shared" si="740"/>
        <v>20.786999999999999</v>
      </c>
      <c r="W4212" s="2">
        <f>12.68</f>
        <v>12.68</v>
      </c>
      <c r="X4212" s="5">
        <f t="shared" si="738"/>
        <v>0.24970414201183427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36"/>
        <v>4.2199999999999989</v>
      </c>
      <c r="AL4212" s="5">
        <f t="shared" si="739"/>
        <v>0.24970414201183427</v>
      </c>
    </row>
    <row r="4213" spans="1:38" x14ac:dyDescent="0.2">
      <c r="A4213" s="8">
        <v>2026</v>
      </c>
      <c r="B4213" s="8">
        <v>6</v>
      </c>
      <c r="C4213" s="8" t="s">
        <v>3390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3072</v>
      </c>
      <c r="R4213" s="2" t="s">
        <v>3073</v>
      </c>
      <c r="S4213" s="9">
        <v>1</v>
      </c>
      <c r="T4213" s="10">
        <v>19</v>
      </c>
      <c r="U4213" s="2">
        <f t="shared" si="737"/>
        <v>4.37</v>
      </c>
      <c r="V4213" s="2">
        <f t="shared" si="740"/>
        <v>23.37</v>
      </c>
      <c r="W4213" s="2">
        <f>14.25</f>
        <v>14.25</v>
      </c>
      <c r="X4213" s="5">
        <f t="shared" si="738"/>
        <v>0.25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36"/>
        <v>4.75</v>
      </c>
      <c r="AL4213" s="5">
        <f t="shared" si="739"/>
        <v>0.25</v>
      </c>
    </row>
    <row r="4214" spans="1:38" x14ac:dyDescent="0.2">
      <c r="A4214" s="8">
        <v>2026</v>
      </c>
      <c r="B4214" s="8">
        <v>6</v>
      </c>
      <c r="C4214" s="8" t="s">
        <v>3390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3074</v>
      </c>
      <c r="R4214" s="2" t="s">
        <v>3075</v>
      </c>
      <c r="S4214" s="9">
        <v>1</v>
      </c>
      <c r="T4214" s="10">
        <v>43.5</v>
      </c>
      <c r="U4214" s="2">
        <f t="shared" si="737"/>
        <v>10.005000000000001</v>
      </c>
      <c r="V4214" s="2">
        <f t="shared" si="740"/>
        <v>53.505000000000003</v>
      </c>
      <c r="W4214" s="2">
        <f>32.63</f>
        <v>32.630000000000003</v>
      </c>
      <c r="X4214" s="5">
        <f t="shared" si="738"/>
        <v>0.2498850574712643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36"/>
        <v>10.869999999999997</v>
      </c>
      <c r="AL4214" s="5">
        <f t="shared" si="739"/>
        <v>0.2498850574712643</v>
      </c>
    </row>
    <row r="4215" spans="1:38" x14ac:dyDescent="0.2">
      <c r="A4215" s="8">
        <v>2026</v>
      </c>
      <c r="B4215" s="8">
        <v>6</v>
      </c>
      <c r="C4215" s="8" t="s">
        <v>3390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3076</v>
      </c>
      <c r="R4215" s="2" t="s">
        <v>3077</v>
      </c>
      <c r="S4215" s="9">
        <v>1</v>
      </c>
      <c r="T4215" s="10">
        <v>13.6</v>
      </c>
      <c r="U4215" s="2">
        <f t="shared" si="737"/>
        <v>3.1280000000000001</v>
      </c>
      <c r="V4215" s="2">
        <f t="shared" si="740"/>
        <v>16.728000000000002</v>
      </c>
      <c r="W4215" s="2">
        <f>10.2</f>
        <v>10.199999999999999</v>
      </c>
      <c r="X4215" s="5">
        <f t="shared" si="738"/>
        <v>0.25000000000000006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36"/>
        <v>3.4000000000000004</v>
      </c>
      <c r="AL4215" s="5">
        <f t="shared" si="739"/>
        <v>0.25000000000000006</v>
      </c>
    </row>
    <row r="4216" spans="1:38" x14ac:dyDescent="0.2">
      <c r="A4216" s="8">
        <v>2026</v>
      </c>
      <c r="B4216" s="8">
        <v>6</v>
      </c>
      <c r="C4216" s="8" t="s">
        <v>3292</v>
      </c>
      <c r="D4216" s="2" t="s">
        <v>3108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3078</v>
      </c>
      <c r="R4216" s="2" t="s">
        <v>3079</v>
      </c>
      <c r="S4216" s="9">
        <v>1</v>
      </c>
      <c r="T4216" s="10">
        <v>43</v>
      </c>
      <c r="U4216" s="2">
        <f t="shared" si="737"/>
        <v>9.89</v>
      </c>
      <c r="V4216" s="2">
        <f t="shared" si="740"/>
        <v>52.89</v>
      </c>
      <c r="W4216" s="2">
        <v>35.49</v>
      </c>
      <c r="X4216" s="5">
        <f t="shared" si="738"/>
        <v>0.17465116279069762</v>
      </c>
      <c r="Z4216" s="2" t="s">
        <v>3226</v>
      </c>
      <c r="AA4216" s="2" t="s">
        <v>71</v>
      </c>
      <c r="AB4216" s="2" t="s">
        <v>68</v>
      </c>
      <c r="AC4216" s="2" t="s">
        <v>3434</v>
      </c>
      <c r="AI4216" s="2"/>
      <c r="AK4216" s="2">
        <f t="shared" si="736"/>
        <v>7.509999999999998</v>
      </c>
      <c r="AL4216" s="5">
        <f t="shared" si="739"/>
        <v>0.17465116279069762</v>
      </c>
    </row>
    <row r="4217" spans="1:38" x14ac:dyDescent="0.2">
      <c r="A4217" s="8">
        <v>2026</v>
      </c>
      <c r="B4217" s="8">
        <v>6</v>
      </c>
      <c r="C4217" s="8" t="s">
        <v>3292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2897</v>
      </c>
      <c r="Q4217" s="2" t="s">
        <v>3080</v>
      </c>
      <c r="R4217" s="2" t="s">
        <v>3081</v>
      </c>
      <c r="S4217" s="9">
        <v>1</v>
      </c>
      <c r="T4217" s="10">
        <v>198</v>
      </c>
      <c r="U4217" s="2">
        <f t="shared" si="737"/>
        <v>45.54</v>
      </c>
      <c r="V4217" s="2">
        <f t="shared" si="740"/>
        <v>243.54</v>
      </c>
      <c r="W4217" s="2">
        <v>148.5</v>
      </c>
      <c r="X4217" s="5">
        <f t="shared" si="738"/>
        <v>0.25</v>
      </c>
      <c r="Z4217" s="2" t="s">
        <v>3226</v>
      </c>
      <c r="AA4217" s="2" t="s">
        <v>71</v>
      </c>
      <c r="AB4217" s="2" t="s">
        <v>2897</v>
      </c>
      <c r="AC4217" s="2" t="s">
        <v>2897</v>
      </c>
      <c r="AI4217" s="2"/>
      <c r="AK4217" s="2">
        <f t="shared" si="736"/>
        <v>49.5</v>
      </c>
      <c r="AL4217" s="5">
        <f t="shared" si="739"/>
        <v>0.25</v>
      </c>
    </row>
    <row r="4218" spans="1:38" x14ac:dyDescent="0.2">
      <c r="A4218" s="8">
        <v>2026</v>
      </c>
      <c r="B4218" s="8">
        <v>6</v>
      </c>
      <c r="C4218" s="8" t="s">
        <v>3292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3082</v>
      </c>
      <c r="R4218" s="2" t="s">
        <v>3083</v>
      </c>
      <c r="S4218" s="9">
        <v>1</v>
      </c>
      <c r="T4218" s="10">
        <v>3000</v>
      </c>
      <c r="U4218" s="2">
        <f t="shared" si="737"/>
        <v>690</v>
      </c>
      <c r="V4218" s="10">
        <f t="shared" si="740"/>
        <v>3690</v>
      </c>
      <c r="W4218" s="2">
        <f>T4218*75%</f>
        <v>2250</v>
      </c>
      <c r="X4218" s="5">
        <f t="shared" si="738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6"/>
        <v>750</v>
      </c>
      <c r="AL4218" s="5">
        <f t="shared" si="739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2047</v>
      </c>
      <c r="P4219" s="2" t="s">
        <v>1038</v>
      </c>
      <c r="Q4219" s="2" t="s">
        <v>3084</v>
      </c>
      <c r="R4219" s="2" t="s">
        <v>3085</v>
      </c>
      <c r="S4219" s="9">
        <v>1</v>
      </c>
      <c r="T4219" s="10">
        <v>240</v>
      </c>
      <c r="U4219" s="2">
        <f t="shared" si="737"/>
        <v>55.2</v>
      </c>
      <c r="V4219" s="2">
        <f t="shared" si="740"/>
        <v>295.2</v>
      </c>
      <c r="W4219" s="2">
        <v>128.99</v>
      </c>
      <c r="X4219" s="5">
        <f t="shared" si="738"/>
        <v>0.46254166666666663</v>
      </c>
      <c r="Z4219" s="2" t="s">
        <v>3226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6"/>
        <v>111.00999999999999</v>
      </c>
      <c r="AL4219" s="5">
        <f t="shared" si="739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7"/>
        <v>6.9</v>
      </c>
      <c r="V4220" s="10">
        <f t="shared" si="740"/>
        <v>36.9</v>
      </c>
      <c r="W4220" s="2">
        <v>28</v>
      </c>
      <c r="X4220" s="5">
        <f t="shared" si="738"/>
        <v>6.6666666666666666E-2</v>
      </c>
      <c r="Z4220" s="2" t="s">
        <v>169</v>
      </c>
      <c r="AA4220" s="2" t="s">
        <v>169</v>
      </c>
      <c r="AI4220" s="2"/>
      <c r="AK4220" s="2">
        <f t="shared" si="736"/>
        <v>2</v>
      </c>
      <c r="AL4220" s="5">
        <f t="shared" si="739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7"/>
        <v>0.34040000000000004</v>
      </c>
      <c r="V4221" s="10">
        <f t="shared" si="740"/>
        <v>1.8204</v>
      </c>
      <c r="W4221" s="2">
        <f>1.48*S4221</f>
        <v>1.48</v>
      </c>
      <c r="X4221" s="5">
        <f t="shared" si="738"/>
        <v>0</v>
      </c>
      <c r="Z4221" s="2" t="s">
        <v>3226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6"/>
        <v>0</v>
      </c>
      <c r="AL4221" s="5">
        <f t="shared" si="739"/>
        <v>0</v>
      </c>
    </row>
    <row r="4222" spans="1:38" x14ac:dyDescent="0.2">
      <c r="A4222" s="8">
        <v>2026</v>
      </c>
      <c r="B4222" s="8">
        <v>6</v>
      </c>
      <c r="C4222" s="8" t="s">
        <v>3321</v>
      </c>
      <c r="D4222" s="2" t="s">
        <v>2049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2779</v>
      </c>
      <c r="J4222" s="2" t="s">
        <v>2820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2281</v>
      </c>
      <c r="R4222" s="2" t="s">
        <v>2282</v>
      </c>
      <c r="S4222" s="9">
        <v>1</v>
      </c>
      <c r="T4222" s="10">
        <v>278.67</v>
      </c>
      <c r="U4222" s="2">
        <f t="shared" si="737"/>
        <v>64.094100000000012</v>
      </c>
      <c r="V4222" s="2">
        <f t="shared" si="740"/>
        <v>342.76410000000004</v>
      </c>
      <c r="W4222" s="2">
        <f>134.41</f>
        <v>134.41</v>
      </c>
      <c r="X4222" s="5">
        <f t="shared" si="738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6"/>
        <v>144.26000000000002</v>
      </c>
      <c r="AL4222" s="5">
        <f t="shared" si="739"/>
        <v>0.51767323357376116</v>
      </c>
    </row>
    <row r="4223" spans="1:38" x14ac:dyDescent="0.2">
      <c r="A4223" s="8">
        <v>2026</v>
      </c>
      <c r="B4223" s="8">
        <v>6</v>
      </c>
      <c r="C4223" s="8" t="s">
        <v>3321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7"/>
        <v>33.81</v>
      </c>
      <c r="V4223" s="2">
        <f t="shared" si="740"/>
        <v>180.81</v>
      </c>
      <c r="W4223" s="2">
        <f>T4223*40%</f>
        <v>58.800000000000004</v>
      </c>
      <c r="X4223" s="5">
        <f t="shared" si="738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6"/>
        <v>88.199999999999989</v>
      </c>
      <c r="AL4223" s="5">
        <f t="shared" si="739"/>
        <v>0.6</v>
      </c>
    </row>
    <row r="4224" spans="1:38" x14ac:dyDescent="0.2">
      <c r="A4224" s="8">
        <v>2026</v>
      </c>
      <c r="B4224" s="8">
        <v>6</v>
      </c>
      <c r="C4224" s="8" t="s">
        <v>3321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7"/>
        <v>25.3</v>
      </c>
      <c r="V4224" s="2">
        <f t="shared" si="740"/>
        <v>135.30000000000001</v>
      </c>
      <c r="W4224" s="2">
        <f>T4224*50%</f>
        <v>55</v>
      </c>
      <c r="X4224" s="5">
        <f t="shared" si="738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6"/>
        <v>55</v>
      </c>
      <c r="AL4224" s="5">
        <f t="shared" si="739"/>
        <v>0.5</v>
      </c>
    </row>
    <row r="4225" spans="1:38" x14ac:dyDescent="0.2">
      <c r="A4225" s="8">
        <v>2026</v>
      </c>
      <c r="B4225" s="8">
        <v>6</v>
      </c>
      <c r="C4225" s="8" t="s">
        <v>3445</v>
      </c>
      <c r="D4225" s="2" t="s">
        <v>2904</v>
      </c>
      <c r="E4225" s="2" t="s">
        <v>38</v>
      </c>
      <c r="F4225" s="2" t="s">
        <v>3443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7"/>
        <v>13.34</v>
      </c>
      <c r="V4225" s="2">
        <f t="shared" si="740"/>
        <v>71.34</v>
      </c>
      <c r="W4225" s="2">
        <f>14.5099*S4225</f>
        <v>29.0198</v>
      </c>
      <c r="X4225" s="5">
        <f t="shared" si="738"/>
        <v>0.49965862068965516</v>
      </c>
      <c r="Z4225" s="2" t="s">
        <v>3226</v>
      </c>
      <c r="AA4225" s="2" t="s">
        <v>46</v>
      </c>
      <c r="AB4225" s="2" t="s">
        <v>60</v>
      </c>
      <c r="AC4225" s="2" t="s">
        <v>3330</v>
      </c>
      <c r="AI4225" s="2"/>
      <c r="AK4225" s="2">
        <f t="shared" si="736"/>
        <v>28.9802</v>
      </c>
      <c r="AL4225" s="5">
        <f t="shared" si="739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7"/>
        <v>50.572400000000002</v>
      </c>
      <c r="V4226" s="10">
        <f t="shared" si="740"/>
        <v>270.45240000000001</v>
      </c>
      <c r="W4226" s="2">
        <v>125.51600000000001</v>
      </c>
      <c r="X4226" s="5">
        <f t="shared" si="738"/>
        <v>0.429161360742223</v>
      </c>
      <c r="Z4226" s="2" t="s">
        <v>3226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6"/>
        <v>94.36399999999999</v>
      </c>
      <c r="AL4226" s="5">
        <f t="shared" si="739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3155</v>
      </c>
      <c r="P4227" s="2" t="s">
        <v>1038</v>
      </c>
      <c r="Q4227" s="2" t="s">
        <v>1833</v>
      </c>
      <c r="R4227" s="2" t="s">
        <v>1834</v>
      </c>
      <c r="S4227" s="9">
        <v>1</v>
      </c>
      <c r="T4227" s="10">
        <v>269.56</v>
      </c>
      <c r="U4227" s="2">
        <f t="shared" si="737"/>
        <v>61.998800000000003</v>
      </c>
      <c r="V4227" s="2">
        <f t="shared" si="740"/>
        <v>331.55880000000002</v>
      </c>
      <c r="W4227" s="2">
        <v>157.85</v>
      </c>
      <c r="X4227" s="5">
        <f t="shared" si="738"/>
        <v>0.4144160854726221</v>
      </c>
      <c r="Z4227" s="2" t="s">
        <v>3226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6"/>
        <v>111.71000000000001</v>
      </c>
      <c r="AL4227" s="5">
        <f t="shared" si="739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7"/>
        <v>-4.7495000000000003</v>
      </c>
      <c r="V4228" s="10">
        <f t="shared" si="740"/>
        <v>-25.3995</v>
      </c>
      <c r="X4228" s="18"/>
      <c r="Z4228" s="2" t="s">
        <v>119</v>
      </c>
      <c r="AA4228" s="2" t="s">
        <v>142</v>
      </c>
      <c r="AI4228" s="2"/>
      <c r="AK4228" s="2">
        <f t="shared" si="736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7"/>
        <v>0.68080000000000007</v>
      </c>
      <c r="V4229" s="10">
        <f t="shared" si="740"/>
        <v>3.6408</v>
      </c>
      <c r="W4229" s="2">
        <f>1.48*S4229</f>
        <v>2.96</v>
      </c>
      <c r="X4229" s="5">
        <f t="shared" ref="X4229:X4234" si="741">(T4229-W4229)/T4229</f>
        <v>0</v>
      </c>
      <c r="Z4229" s="2" t="s">
        <v>3226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2526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7"/>
        <v>5.3819999999999997</v>
      </c>
      <c r="V4230" s="10">
        <f t="shared" si="740"/>
        <v>28.781999999999996</v>
      </c>
      <c r="W4230" s="2">
        <v>12.4434</v>
      </c>
      <c r="X4230" s="5">
        <f t="shared" si="741"/>
        <v>0.46823076923076917</v>
      </c>
      <c r="Z4230" s="2" t="s">
        <v>3226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7"/>
        <v>6.9</v>
      </c>
      <c r="V4231" s="10">
        <f t="shared" si="740"/>
        <v>36.9</v>
      </c>
      <c r="W4231" s="2">
        <f>16*S4231</f>
        <v>16</v>
      </c>
      <c r="X4231" s="5">
        <f t="shared" si="741"/>
        <v>0.46666666666666667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2">T4231-W4231</f>
        <v>14</v>
      </c>
      <c r="AL4231" s="5">
        <f t="shared" ref="AL4231:AL4232" si="743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7"/>
        <v>4.83</v>
      </c>
      <c r="V4232" s="10">
        <f t="shared" si="740"/>
        <v>25.83</v>
      </c>
      <c r="W4232" s="2">
        <f>11.045*S4232</f>
        <v>11.045</v>
      </c>
      <c r="X4232" s="5">
        <f t="shared" si="741"/>
        <v>0.47404761904761905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2"/>
        <v>9.9550000000000001</v>
      </c>
      <c r="AL4232" s="5">
        <f t="shared" si="743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7"/>
        <v>8.9700000000000006</v>
      </c>
      <c r="V4233" s="10">
        <f t="shared" si="740"/>
        <v>47.97</v>
      </c>
      <c r="W4233" s="2">
        <f>0.082*S4233</f>
        <v>24.6</v>
      </c>
      <c r="X4233" s="5">
        <f t="shared" si="741"/>
        <v>0.3692307692307692</v>
      </c>
      <c r="Z4233" s="2" t="s">
        <v>3226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2966</v>
      </c>
      <c r="R4234" s="2" t="s">
        <v>2967</v>
      </c>
      <c r="S4234" s="9">
        <v>2</v>
      </c>
      <c r="T4234" s="10">
        <v>36</v>
      </c>
      <c r="U4234" s="2">
        <f t="shared" si="737"/>
        <v>8.2800000000000011</v>
      </c>
      <c r="V4234" s="10">
        <f t="shared" si="740"/>
        <v>44.28</v>
      </c>
      <c r="W4234" s="2">
        <f>11.525*S4234</f>
        <v>23.05</v>
      </c>
      <c r="X4234" s="5">
        <f t="shared" si="741"/>
        <v>0.35972222222222222</v>
      </c>
      <c r="Z4234" s="2" t="s">
        <v>3226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40</v>
      </c>
      <c r="Q4235" s="2" t="s">
        <v>1308</v>
      </c>
      <c r="R4235" s="2" t="s">
        <v>1309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1310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1271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1272</v>
      </c>
      <c r="J4236" s="2" t="s">
        <v>1273</v>
      </c>
      <c r="L4236" s="2" t="s">
        <v>177</v>
      </c>
      <c r="M4236" s="2" t="s">
        <v>41</v>
      </c>
      <c r="O4236" s="2" t="s">
        <v>3159</v>
      </c>
      <c r="P4236" s="2" t="s">
        <v>1038</v>
      </c>
      <c r="Q4236" s="2" t="s">
        <v>3086</v>
      </c>
      <c r="R4236" s="2" t="s">
        <v>3087</v>
      </c>
      <c r="S4236" s="9">
        <v>1</v>
      </c>
      <c r="T4236" s="10">
        <v>270</v>
      </c>
      <c r="U4236" s="2">
        <f t="shared" ref="U4236:U4257" si="744">T4236*23%</f>
        <v>62.1</v>
      </c>
      <c r="V4236" s="2">
        <f t="shared" ref="V4236:V4257" si="745">T4236+U4236</f>
        <v>332.1</v>
      </c>
      <c r="W4236" s="2">
        <v>141.16</v>
      </c>
      <c r="X4236" s="5">
        <f t="shared" ref="X4236:X4273" si="746">(T4236-W4236)/T4236</f>
        <v>0.47718518518518521</v>
      </c>
      <c r="Z4236" s="2" t="s">
        <v>3226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4"/>
        <v>0.34040000000000004</v>
      </c>
      <c r="V4237" s="10">
        <f t="shared" si="745"/>
        <v>1.8204</v>
      </c>
      <c r="W4237" s="2">
        <f>1.48*S4237</f>
        <v>1.48</v>
      </c>
      <c r="X4237" s="5">
        <f t="shared" si="746"/>
        <v>0</v>
      </c>
      <c r="Z4237" s="2" t="s">
        <v>3226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3390</v>
      </c>
      <c r="D4238" s="2" t="s">
        <v>3107</v>
      </c>
      <c r="E4238" s="2" t="s">
        <v>108</v>
      </c>
      <c r="F4238" s="2" t="s">
        <v>3443</v>
      </c>
      <c r="L4238" s="2" t="s">
        <v>2438</v>
      </c>
      <c r="M4238" s="2" t="s">
        <v>40</v>
      </c>
      <c r="P4238" s="2" t="s">
        <v>282</v>
      </c>
      <c r="Q4238" s="2" t="s">
        <v>3088</v>
      </c>
      <c r="R4238" s="2" t="s">
        <v>3089</v>
      </c>
      <c r="S4238" s="9">
        <v>1</v>
      </c>
      <c r="T4238" s="10">
        <v>2490</v>
      </c>
      <c r="U4238" s="2">
        <f t="shared" si="744"/>
        <v>572.70000000000005</v>
      </c>
      <c r="V4238" s="10">
        <f t="shared" si="745"/>
        <v>3062.7</v>
      </c>
      <c r="W4238" s="2">
        <f>1970.05+49</f>
        <v>2019.05</v>
      </c>
      <c r="X4238" s="5">
        <f t="shared" si="746"/>
        <v>0.18913654618473896</v>
      </c>
      <c r="Z4238" s="2" t="s">
        <v>104</v>
      </c>
      <c r="AA4238" s="2" t="s">
        <v>387</v>
      </c>
      <c r="AB4238" s="2" t="s">
        <v>1330</v>
      </c>
      <c r="AC4238" s="2" t="s">
        <v>1327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3390</v>
      </c>
      <c r="D4239" s="2" t="s">
        <v>3107</v>
      </c>
      <c r="E4239" s="2" t="s">
        <v>108</v>
      </c>
      <c r="F4239" s="2" t="s">
        <v>3443</v>
      </c>
      <c r="L4239" s="2" t="s">
        <v>2438</v>
      </c>
      <c r="M4239" s="2" t="s">
        <v>40</v>
      </c>
      <c r="P4239" s="2" t="s">
        <v>282</v>
      </c>
      <c r="Q4239" s="2" t="s">
        <v>3090</v>
      </c>
      <c r="R4239" s="2" t="s">
        <v>3091</v>
      </c>
      <c r="S4239" s="9">
        <v>1</v>
      </c>
      <c r="T4239" s="10">
        <v>2490</v>
      </c>
      <c r="U4239" s="2">
        <f t="shared" si="744"/>
        <v>572.70000000000005</v>
      </c>
      <c r="V4239" s="10">
        <f t="shared" si="745"/>
        <v>3062.7</v>
      </c>
      <c r="W4239" s="2">
        <f>1995.2+43.97</f>
        <v>2039.17</v>
      </c>
      <c r="X4239" s="5">
        <f t="shared" si="746"/>
        <v>0.18105622489959836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2908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4"/>
        <v>36.151400000000002</v>
      </c>
      <c r="V4240" s="10">
        <f t="shared" si="745"/>
        <v>193.3314</v>
      </c>
      <c r="W4240" s="2">
        <f>36.2258*S4240</f>
        <v>72.451599999999999</v>
      </c>
      <c r="X4240" s="5">
        <f t="shared" si="746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4"/>
        <v>6.5711000000000004</v>
      </c>
      <c r="V4241" s="10">
        <f t="shared" si="745"/>
        <v>35.141100000000002</v>
      </c>
      <c r="W4241" s="2">
        <f>5.33*S4241</f>
        <v>10.66</v>
      </c>
      <c r="X4241" s="5">
        <f t="shared" si="746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7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4"/>
        <v>25.3</v>
      </c>
      <c r="V4242" s="10">
        <f t="shared" si="745"/>
        <v>135.30000000000001</v>
      </c>
      <c r="W4242" s="2">
        <f>0.082*S4242</f>
        <v>82</v>
      </c>
      <c r="X4242" s="5">
        <f t="shared" si="746"/>
        <v>0.25454545454545452</v>
      </c>
      <c r="Z4242" s="2" t="s">
        <v>3226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3321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4"/>
        <v>43.221600000000002</v>
      </c>
      <c r="V4243" s="2">
        <f t="shared" si="745"/>
        <v>231.14159999999998</v>
      </c>
      <c r="W4243" s="2">
        <f>92.63+1.2</f>
        <v>93.83</v>
      </c>
      <c r="X4243" s="5">
        <f t="shared" si="746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3321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2984</v>
      </c>
      <c r="S4244" s="9">
        <v>1</v>
      </c>
      <c r="T4244" s="10">
        <v>28.38</v>
      </c>
      <c r="U4244" s="2">
        <f t="shared" si="744"/>
        <v>6.5274000000000001</v>
      </c>
      <c r="V4244" s="2">
        <f t="shared" si="745"/>
        <v>34.907399999999996</v>
      </c>
      <c r="W4244" s="2">
        <f>13.715*S4244</f>
        <v>13.715</v>
      </c>
      <c r="X4244" s="5">
        <f t="shared" si="746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8">T4244-W4244</f>
        <v>14.664999999999999</v>
      </c>
      <c r="AL4244" s="5">
        <f t="shared" ref="AL4244" si="749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3321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4"/>
        <v>21.62</v>
      </c>
      <c r="V4245" s="2">
        <f t="shared" si="745"/>
        <v>115.62</v>
      </c>
      <c r="W4245" s="2">
        <f>T4245*40%</f>
        <v>37.6</v>
      </c>
      <c r="X4245" s="5">
        <f t="shared" si="746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3321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4"/>
        <v>12.65</v>
      </c>
      <c r="V4246" s="2">
        <f t="shared" si="745"/>
        <v>67.650000000000006</v>
      </c>
      <c r="W4246" s="2">
        <f>T4246*50%</f>
        <v>27.5</v>
      </c>
      <c r="X4246" s="5">
        <f t="shared" si="746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3321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4"/>
        <v>20.125</v>
      </c>
      <c r="V4247" s="10">
        <f t="shared" si="745"/>
        <v>107.625</v>
      </c>
      <c r="W4247" s="2">
        <f>T4247*70%</f>
        <v>61.249999999999993</v>
      </c>
      <c r="X4247" s="5">
        <f t="shared" si="746"/>
        <v>0.3000000000000001</v>
      </c>
      <c r="Z4247" s="2" t="s">
        <v>119</v>
      </c>
      <c r="AA4247" s="2" t="s">
        <v>3378</v>
      </c>
      <c r="AI4247" s="2"/>
      <c r="AK4247" s="2">
        <f t="shared" ref="AK4247" si="750">T4247-W4247</f>
        <v>26.250000000000007</v>
      </c>
      <c r="AL4247" s="5">
        <f t="shared" ref="AL4247" si="751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4"/>
        <v>59.248000000000005</v>
      </c>
      <c r="V4248" s="10">
        <f t="shared" si="745"/>
        <v>316.84800000000001</v>
      </c>
      <c r="W4248" s="2">
        <f>130.03+6.8</f>
        <v>136.83000000000001</v>
      </c>
      <c r="X4248" s="5">
        <f t="shared" si="746"/>
        <v>0.46882763975155278</v>
      </c>
      <c r="Z4248" s="2" t="s">
        <v>3226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2">T4248-W4248</f>
        <v>120.77000000000001</v>
      </c>
      <c r="AL4248" s="5">
        <f t="shared" ref="AL4248:AL4259" si="753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3161</v>
      </c>
      <c r="P4249" s="2" t="s">
        <v>1038</v>
      </c>
      <c r="Q4249" s="2" t="s">
        <v>2742</v>
      </c>
      <c r="R4249" s="2" t="s">
        <v>2743</v>
      </c>
      <c r="S4249" s="9">
        <v>1</v>
      </c>
      <c r="T4249" s="10">
        <v>414</v>
      </c>
      <c r="U4249" s="2">
        <f t="shared" si="744"/>
        <v>95.22</v>
      </c>
      <c r="V4249" s="2">
        <f t="shared" si="745"/>
        <v>509.22</v>
      </c>
      <c r="W4249" s="2">
        <v>270.60000000000002</v>
      </c>
      <c r="X4249" s="5">
        <f t="shared" si="746"/>
        <v>0.34637681159420286</v>
      </c>
      <c r="Z4249" s="2" t="s">
        <v>3226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2"/>
        <v>143.39999999999998</v>
      </c>
      <c r="AL4249" s="5">
        <f t="shared" si="753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4"/>
        <v>0.68080000000000007</v>
      </c>
      <c r="V4250" s="10">
        <f t="shared" si="745"/>
        <v>3.6408</v>
      </c>
      <c r="W4250" s="2">
        <f>1.48*S4250</f>
        <v>2.96</v>
      </c>
      <c r="X4250" s="5">
        <f t="shared" si="746"/>
        <v>0</v>
      </c>
      <c r="Z4250" s="2" t="s">
        <v>3226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2"/>
        <v>0</v>
      </c>
      <c r="AL4250" s="5">
        <f t="shared" si="753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4"/>
        <v>2.0700000000000003</v>
      </c>
      <c r="V4251" s="10">
        <f t="shared" si="745"/>
        <v>11.07</v>
      </c>
      <c r="W4251" s="2">
        <f>3.7358*S4251</f>
        <v>3.7357999999999998</v>
      </c>
      <c r="X4251" s="5">
        <f t="shared" si="746"/>
        <v>0.58491111111111116</v>
      </c>
      <c r="Z4251" s="2" t="s">
        <v>3226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2"/>
        <v>5.2642000000000007</v>
      </c>
      <c r="AL4251" s="5">
        <f t="shared" si="753"/>
        <v>0.58491111111111116</v>
      </c>
    </row>
    <row r="4252" spans="1:38" x14ac:dyDescent="0.2">
      <c r="A4252" s="8">
        <v>2026</v>
      </c>
      <c r="B4252" s="8">
        <v>6</v>
      </c>
      <c r="C4252" s="8" t="s">
        <v>3292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4"/>
        <v>48.667999999999999</v>
      </c>
      <c r="V4252" s="10">
        <f t="shared" si="745"/>
        <v>260.26799999999997</v>
      </c>
      <c r="W4252" s="2">
        <f>115.92+6.06</f>
        <v>121.98</v>
      </c>
      <c r="X4252" s="5">
        <f t="shared" si="746"/>
        <v>0.42353497164461246</v>
      </c>
      <c r="Z4252" s="2" t="s">
        <v>3226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2"/>
        <v>89.61999999999999</v>
      </c>
      <c r="AL4252" s="5">
        <f t="shared" si="753"/>
        <v>0.42353497164461246</v>
      </c>
    </row>
    <row r="4253" spans="1:38" x14ac:dyDescent="0.2">
      <c r="A4253" s="8">
        <v>2026</v>
      </c>
      <c r="B4253" s="8">
        <v>6</v>
      </c>
      <c r="C4253" s="8" t="s">
        <v>3292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4"/>
        <v>0.34040000000000004</v>
      </c>
      <c r="V4253" s="10">
        <f t="shared" si="745"/>
        <v>1.8204</v>
      </c>
      <c r="W4253" s="2">
        <f>1.48*S4253</f>
        <v>1.48</v>
      </c>
      <c r="X4253" s="5">
        <f t="shared" si="746"/>
        <v>0</v>
      </c>
      <c r="Z4253" s="2" t="s">
        <v>3226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2"/>
        <v>0</v>
      </c>
      <c r="AL4253" s="5">
        <f t="shared" si="753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4"/>
        <v>2.99</v>
      </c>
      <c r="V4254" s="10">
        <f t="shared" si="745"/>
        <v>15.99</v>
      </c>
      <c r="W4254" s="2">
        <f>0.082*S4254</f>
        <v>8.2000000000000011</v>
      </c>
      <c r="X4254" s="5">
        <f t="shared" si="746"/>
        <v>0.36923076923076914</v>
      </c>
      <c r="Z4254" s="2" t="s">
        <v>3226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2"/>
        <v>4.7999999999999989</v>
      </c>
      <c r="AL4254" s="5">
        <f t="shared" si="753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4"/>
        <v>29.900000000000002</v>
      </c>
      <c r="V4255" s="10">
        <f t="shared" si="745"/>
        <v>159.9</v>
      </c>
      <c r="W4255" s="2">
        <f>0.0914*S4255</f>
        <v>91.399999999999991</v>
      </c>
      <c r="X4255" s="5">
        <f t="shared" si="746"/>
        <v>0.29692307692307701</v>
      </c>
      <c r="Z4255" s="2" t="s">
        <v>3226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2"/>
        <v>38.600000000000009</v>
      </c>
      <c r="AL4255" s="5">
        <f t="shared" si="753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1295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1296</v>
      </c>
      <c r="L4256" s="2" t="s">
        <v>339</v>
      </c>
      <c r="M4256" s="2" t="s">
        <v>80</v>
      </c>
      <c r="O4256" s="2" t="s">
        <v>3195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4"/>
        <v>46.850999999999999</v>
      </c>
      <c r="V4256" s="10">
        <f t="shared" si="745"/>
        <v>250.55099999999999</v>
      </c>
      <c r="W4256" s="2">
        <f>110.125+11.77</f>
        <v>121.895</v>
      </c>
      <c r="X4256" s="5">
        <f t="shared" si="746"/>
        <v>0.4015954835542464</v>
      </c>
      <c r="Z4256" s="2" t="s">
        <v>3226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2"/>
        <v>81.804999999999993</v>
      </c>
      <c r="AL4256" s="5">
        <f t="shared" si="753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4"/>
        <v>0.34040000000000004</v>
      </c>
      <c r="V4257" s="10">
        <f t="shared" si="745"/>
        <v>1.8204</v>
      </c>
      <c r="W4257" s="2">
        <f>1.48*S4257</f>
        <v>1.48</v>
      </c>
      <c r="X4257" s="5">
        <f t="shared" si="746"/>
        <v>0</v>
      </c>
      <c r="Z4257" s="2" t="s">
        <v>3226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2"/>
        <v>0</v>
      </c>
      <c r="AL4257" s="5">
        <f t="shared" si="753"/>
        <v>0</v>
      </c>
    </row>
    <row r="4258" spans="1:38" x14ac:dyDescent="0.2">
      <c r="A4258" s="8">
        <v>2026</v>
      </c>
      <c r="B4258" s="8">
        <v>6</v>
      </c>
      <c r="C4258" s="8" t="s">
        <v>3390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6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2"/>
        <v>120.4966</v>
      </c>
      <c r="AL4258" s="5">
        <f t="shared" si="753"/>
        <v>0.25874296757569254</v>
      </c>
    </row>
    <row r="4259" spans="1:38" x14ac:dyDescent="0.2">
      <c r="A4259" s="8">
        <v>2026</v>
      </c>
      <c r="B4259" s="8">
        <v>6</v>
      </c>
      <c r="C4259" s="8" t="s">
        <v>3376</v>
      </c>
      <c r="D4259" s="2" t="s">
        <v>1657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1904</v>
      </c>
      <c r="R4259" s="2" t="s">
        <v>1905</v>
      </c>
      <c r="S4259" s="9">
        <v>1</v>
      </c>
      <c r="T4259" s="10">
        <v>23850</v>
      </c>
      <c r="U4259" s="2">
        <f t="shared" ref="U4259:U4276" si="754">T4259*23%</f>
        <v>5485.5</v>
      </c>
      <c r="V4259" s="2">
        <f t="shared" ref="V4259:V4275" si="755">T4259+U4259</f>
        <v>29335.5</v>
      </c>
      <c r="W4259" s="2">
        <f>16602.97+398</f>
        <v>17000.97</v>
      </c>
      <c r="X4259" s="5">
        <f t="shared" si="746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2"/>
        <v>6849.0299999999988</v>
      </c>
      <c r="AL4259" s="5">
        <f t="shared" si="753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3106</v>
      </c>
      <c r="P4260" s="2" t="s">
        <v>114</v>
      </c>
      <c r="Q4260" s="2" t="s">
        <v>3092</v>
      </c>
      <c r="R4260" s="2" t="s">
        <v>3093</v>
      </c>
      <c r="S4260" s="9">
        <v>1</v>
      </c>
      <c r="T4260" s="10">
        <v>750.56</v>
      </c>
      <c r="U4260" s="2">
        <f t="shared" si="754"/>
        <v>172.62879999999998</v>
      </c>
      <c r="V4260" s="2">
        <f t="shared" si="755"/>
        <v>923.1887999999999</v>
      </c>
      <c r="W4260" s="2">
        <f>376.4</f>
        <v>376.4</v>
      </c>
      <c r="X4260" s="5">
        <f t="shared" si="746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4"/>
        <v>12.65</v>
      </c>
      <c r="V4261" s="2">
        <f t="shared" si="755"/>
        <v>67.650000000000006</v>
      </c>
      <c r="W4261" s="2">
        <f>T4261*40%</f>
        <v>22</v>
      </c>
      <c r="X4261" s="5">
        <f t="shared" si="746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6">T4261-W4261</f>
        <v>33</v>
      </c>
      <c r="AL4261" s="5">
        <f t="shared" ref="AL4261:AL4273" si="757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4"/>
        <v>12.65</v>
      </c>
      <c r="V4262" s="2">
        <f t="shared" si="755"/>
        <v>67.650000000000006</v>
      </c>
      <c r="W4262" s="2">
        <f>T4262*50%</f>
        <v>27.5</v>
      </c>
      <c r="X4262" s="5">
        <f t="shared" si="746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6"/>
        <v>27.5</v>
      </c>
      <c r="AL4262" s="5">
        <f t="shared" si="757"/>
        <v>0.5</v>
      </c>
    </row>
    <row r="4263" spans="1:38" x14ac:dyDescent="0.2">
      <c r="A4263" s="8">
        <v>2026</v>
      </c>
      <c r="B4263" s="8">
        <v>6</v>
      </c>
      <c r="C4263" s="8" t="s">
        <v>3321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4"/>
        <v>26.220000000000002</v>
      </c>
      <c r="V4263" s="2">
        <f t="shared" si="755"/>
        <v>140.22</v>
      </c>
      <c r="W4263" s="2">
        <f>T4263*40%</f>
        <v>45.6</v>
      </c>
      <c r="X4263" s="5">
        <f t="shared" si="746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6"/>
        <v>68.400000000000006</v>
      </c>
      <c r="AL4263" s="5">
        <f t="shared" si="757"/>
        <v>0.60000000000000009</v>
      </c>
    </row>
    <row r="4264" spans="1:38" x14ac:dyDescent="0.2">
      <c r="A4264" s="8">
        <v>2026</v>
      </c>
      <c r="B4264" s="8">
        <v>6</v>
      </c>
      <c r="C4264" s="8" t="s">
        <v>3321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4"/>
        <v>11.385</v>
      </c>
      <c r="V4264" s="2">
        <f t="shared" si="755"/>
        <v>60.884999999999998</v>
      </c>
      <c r="W4264" s="2">
        <f>T4264*50%</f>
        <v>24.75</v>
      </c>
      <c r="X4264" s="5">
        <f t="shared" si="746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6"/>
        <v>24.75</v>
      </c>
      <c r="AL4264" s="5">
        <f t="shared" si="757"/>
        <v>0.5</v>
      </c>
    </row>
    <row r="4265" spans="1:38" x14ac:dyDescent="0.2">
      <c r="A4265" s="8">
        <v>2026</v>
      </c>
      <c r="B4265" s="8">
        <v>6</v>
      </c>
      <c r="C4265" s="8" t="s">
        <v>3321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4"/>
        <v>137.86199999999999</v>
      </c>
      <c r="V4265" s="2">
        <f t="shared" si="755"/>
        <v>737.26199999999994</v>
      </c>
      <c r="W4265" s="2">
        <v>346.57</v>
      </c>
      <c r="X4265" s="5">
        <f t="shared" si="746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6"/>
        <v>252.82999999999998</v>
      </c>
      <c r="AL4265" s="5">
        <f t="shared" si="757"/>
        <v>0.42180513847180512</v>
      </c>
    </row>
    <row r="4266" spans="1:38" x14ac:dyDescent="0.2">
      <c r="A4266" s="8">
        <v>2026</v>
      </c>
      <c r="B4266" s="8">
        <v>6</v>
      </c>
      <c r="C4266" s="8" t="s">
        <v>3321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1578</v>
      </c>
      <c r="R4266" s="2" t="s">
        <v>1579</v>
      </c>
      <c r="S4266" s="9">
        <v>1</v>
      </c>
      <c r="T4266" s="10">
        <v>6990</v>
      </c>
      <c r="U4266" s="2">
        <f t="shared" si="754"/>
        <v>1607.7</v>
      </c>
      <c r="V4266" s="2">
        <f t="shared" si="755"/>
        <v>8597.7000000000007</v>
      </c>
      <c r="W4266" s="2">
        <f>4893.23+171</f>
        <v>5064.2299999999996</v>
      </c>
      <c r="X4266" s="5">
        <f t="shared" si="746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6"/>
        <v>1925.7700000000004</v>
      </c>
      <c r="AL4266" s="5">
        <f t="shared" si="757"/>
        <v>0.27550357653791135</v>
      </c>
    </row>
    <row r="4267" spans="1:38" x14ac:dyDescent="0.2">
      <c r="A4267" s="8">
        <v>2026</v>
      </c>
      <c r="B4267" s="8">
        <v>6</v>
      </c>
      <c r="C4267" s="8" t="s">
        <v>3321</v>
      </c>
      <c r="D4267" s="2" t="s">
        <v>3103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4"/>
        <v>160.839</v>
      </c>
      <c r="V4267" s="2">
        <f t="shared" si="755"/>
        <v>860.1389999999999</v>
      </c>
      <c r="W4267" s="2">
        <v>345.20339999999999</v>
      </c>
      <c r="X4267" s="5">
        <f t="shared" si="746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6"/>
        <v>354.09659999999997</v>
      </c>
      <c r="AL4267" s="5">
        <f t="shared" si="757"/>
        <v>0.50635864435864431</v>
      </c>
    </row>
    <row r="4268" spans="1:38" x14ac:dyDescent="0.2">
      <c r="A4268" s="8">
        <v>2026</v>
      </c>
      <c r="B4268" s="8">
        <v>6</v>
      </c>
      <c r="C4268" s="8" t="s">
        <v>3321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4"/>
        <v>34.96</v>
      </c>
      <c r="V4268" s="2">
        <f t="shared" si="755"/>
        <v>186.96</v>
      </c>
      <c r="W4268" s="2">
        <f>T4268*40%</f>
        <v>60.800000000000004</v>
      </c>
      <c r="X4268" s="5">
        <f t="shared" si="746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6"/>
        <v>91.199999999999989</v>
      </c>
      <c r="AL4268" s="5">
        <f t="shared" si="757"/>
        <v>0.6</v>
      </c>
    </row>
    <row r="4269" spans="1:38" x14ac:dyDescent="0.2">
      <c r="A4269" s="8">
        <v>2026</v>
      </c>
      <c r="B4269" s="8">
        <v>6</v>
      </c>
      <c r="C4269" s="8" t="s">
        <v>3321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4"/>
        <v>12.65</v>
      </c>
      <c r="V4269" s="2">
        <f t="shared" si="755"/>
        <v>67.650000000000006</v>
      </c>
      <c r="W4269" s="2">
        <f>T4269*50%</f>
        <v>27.5</v>
      </c>
      <c r="X4269" s="5">
        <f t="shared" si="746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6"/>
        <v>27.5</v>
      </c>
      <c r="AL4269" s="5">
        <f t="shared" si="757"/>
        <v>0.5</v>
      </c>
    </row>
    <row r="4270" spans="1:38" x14ac:dyDescent="0.2">
      <c r="A4270" s="8">
        <v>2026</v>
      </c>
      <c r="B4270" s="8">
        <v>6</v>
      </c>
      <c r="C4270" s="8" t="s">
        <v>3390</v>
      </c>
      <c r="D4270" s="2" t="s">
        <v>2188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1779</v>
      </c>
      <c r="R4270" s="2" t="s">
        <v>1780</v>
      </c>
      <c r="S4270" s="9">
        <v>1</v>
      </c>
      <c r="T4270" s="10">
        <v>1990</v>
      </c>
      <c r="U4270" s="2">
        <f t="shared" si="754"/>
        <v>457.70000000000005</v>
      </c>
      <c r="V4270" s="10">
        <f t="shared" si="755"/>
        <v>2447.6999999999998</v>
      </c>
      <c r="W4270" s="2">
        <v>1492.7</v>
      </c>
      <c r="X4270" s="5">
        <f t="shared" si="746"/>
        <v>0.24989949748743717</v>
      </c>
      <c r="Z4270" s="2" t="s">
        <v>104</v>
      </c>
      <c r="AA4270" s="2" t="s">
        <v>387</v>
      </c>
      <c r="AB4270" s="2" t="s">
        <v>1330</v>
      </c>
      <c r="AC4270" s="2" t="s">
        <v>1327</v>
      </c>
      <c r="AI4270" s="2"/>
      <c r="AK4270" s="2">
        <f t="shared" si="756"/>
        <v>497.29999999999995</v>
      </c>
      <c r="AL4270" s="5">
        <f t="shared" si="757"/>
        <v>0.24989949748743717</v>
      </c>
    </row>
    <row r="4271" spans="1:38" x14ac:dyDescent="0.2">
      <c r="A4271" s="8">
        <v>2026</v>
      </c>
      <c r="B4271" s="8">
        <v>6</v>
      </c>
      <c r="C4271" s="8" t="s">
        <v>3390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1328</v>
      </c>
      <c r="R4271" s="2" t="s">
        <v>1329</v>
      </c>
      <c r="S4271" s="9">
        <v>1</v>
      </c>
      <c r="T4271" s="10">
        <v>1990</v>
      </c>
      <c r="U4271" s="2">
        <f t="shared" si="754"/>
        <v>457.70000000000005</v>
      </c>
      <c r="V4271" s="10">
        <f t="shared" si="755"/>
        <v>2447.6999999999998</v>
      </c>
      <c r="W4271" s="2">
        <v>1578</v>
      </c>
      <c r="X4271" s="5">
        <f t="shared" si="746"/>
        <v>0.20703517587939699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56"/>
        <v>412</v>
      </c>
      <c r="AL4271" s="5">
        <f t="shared" si="757"/>
        <v>0.20703517587939699</v>
      </c>
    </row>
    <row r="4272" spans="1:38" x14ac:dyDescent="0.2">
      <c r="A4272" s="8">
        <v>2026</v>
      </c>
      <c r="B4272" s="8">
        <v>6</v>
      </c>
      <c r="C4272" s="8" t="s">
        <v>3376</v>
      </c>
      <c r="D4272" s="2" t="s">
        <v>2642</v>
      </c>
      <c r="E4272" s="2" t="s">
        <v>38</v>
      </c>
      <c r="G4272" s="2">
        <v>506820378</v>
      </c>
      <c r="H4272" s="2" t="s">
        <v>41</v>
      </c>
      <c r="I4272" s="2" t="s">
        <v>2643</v>
      </c>
      <c r="J4272" s="2" t="s">
        <v>2644</v>
      </c>
      <c r="L4272" s="2" t="s">
        <v>418</v>
      </c>
      <c r="M4272" s="2" t="s">
        <v>41</v>
      </c>
      <c r="P4272" s="2" t="s">
        <v>282</v>
      </c>
      <c r="Q4272" s="2" t="s">
        <v>1235</v>
      </c>
      <c r="R4272" s="2" t="s">
        <v>1236</v>
      </c>
      <c r="S4272" s="9">
        <v>1</v>
      </c>
      <c r="T4272" s="10">
        <v>4200</v>
      </c>
      <c r="U4272" s="2">
        <f t="shared" si="754"/>
        <v>966</v>
      </c>
      <c r="V4272" s="10">
        <f t="shared" si="755"/>
        <v>5166</v>
      </c>
      <c r="W4272" s="2">
        <f>3203.85+43</f>
        <v>3246.85</v>
      </c>
      <c r="X4272" s="5">
        <f t="shared" si="746"/>
        <v>0.22694047619047622</v>
      </c>
      <c r="Z4272" s="2" t="s">
        <v>104</v>
      </c>
      <c r="AA4272" s="2" t="s">
        <v>1574</v>
      </c>
      <c r="AB4272" s="2" t="s">
        <v>388</v>
      </c>
      <c r="AC4272" s="2" t="s">
        <v>1327</v>
      </c>
      <c r="AI4272" s="2"/>
      <c r="AK4272" s="2">
        <f t="shared" si="756"/>
        <v>953.15000000000009</v>
      </c>
      <c r="AL4272" s="5">
        <f t="shared" si="757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3102</v>
      </c>
      <c r="P4273" s="2" t="s">
        <v>282</v>
      </c>
      <c r="Q4273" s="2" t="s">
        <v>1328</v>
      </c>
      <c r="R4273" s="2" t="s">
        <v>1329</v>
      </c>
      <c r="S4273" s="9">
        <v>1</v>
      </c>
      <c r="T4273" s="10">
        <v>2150</v>
      </c>
      <c r="U4273" s="2">
        <f t="shared" si="754"/>
        <v>494.5</v>
      </c>
      <c r="V4273" s="10">
        <f t="shared" si="755"/>
        <v>2644.5</v>
      </c>
      <c r="W4273" s="2">
        <v>1578</v>
      </c>
      <c r="X4273" s="5">
        <f t="shared" si="746"/>
        <v>0.26604651162790699</v>
      </c>
      <c r="Z4273" s="2" t="s">
        <v>104</v>
      </c>
      <c r="AA4273" s="2" t="s">
        <v>387</v>
      </c>
      <c r="AB4273" s="2" t="s">
        <v>1330</v>
      </c>
      <c r="AC4273" s="2" t="s">
        <v>1327</v>
      </c>
      <c r="AI4273" s="2"/>
      <c r="AK4273" s="2">
        <f t="shared" si="756"/>
        <v>572</v>
      </c>
      <c r="AL4273" s="5">
        <f t="shared" si="757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2691</v>
      </c>
      <c r="Q4274" s="2" t="s">
        <v>3094</v>
      </c>
      <c r="R4274" s="2" t="s">
        <v>3095</v>
      </c>
      <c r="S4274" s="9">
        <v>-4</v>
      </c>
      <c r="T4274" s="10">
        <v>-800</v>
      </c>
      <c r="U4274" s="2">
        <f t="shared" si="754"/>
        <v>-184</v>
      </c>
      <c r="V4274" s="10">
        <f t="shared" si="755"/>
        <v>-984</v>
      </c>
      <c r="W4274" s="2">
        <f>124*4</f>
        <v>496</v>
      </c>
      <c r="X4274" s="18">
        <f>SIGN(T4274)*((ABS(T4274)-W4274)/ABS(T4274))</f>
        <v>-0.38</v>
      </c>
      <c r="Z4274" s="2" t="s">
        <v>3226</v>
      </c>
      <c r="AA4274" s="2" t="s">
        <v>3381</v>
      </c>
      <c r="AB4274" s="2" t="s">
        <v>3387</v>
      </c>
      <c r="AC4274" s="2" t="s">
        <v>3388</v>
      </c>
      <c r="AI4274" s="2"/>
      <c r="AK4274" s="2">
        <f t="shared" si="756"/>
        <v>-1296</v>
      </c>
      <c r="AL4274" s="18">
        <f t="shared" ref="AL4274:AL4275" si="758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3096</v>
      </c>
      <c r="R4275" s="2" t="s">
        <v>3097</v>
      </c>
      <c r="S4275" s="9">
        <v>-4</v>
      </c>
      <c r="T4275" s="10">
        <v>-714.4</v>
      </c>
      <c r="U4275" s="2">
        <f t="shared" si="754"/>
        <v>-164.31200000000001</v>
      </c>
      <c r="V4275" s="10">
        <f t="shared" si="755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3226</v>
      </c>
      <c r="AA4275" s="2" t="s">
        <v>3381</v>
      </c>
      <c r="AB4275" s="2" t="s">
        <v>3387</v>
      </c>
      <c r="AC4275" s="2" t="s">
        <v>3388</v>
      </c>
      <c r="AI4275" s="2"/>
      <c r="AK4275" s="2">
        <f t="shared" si="756"/>
        <v>-1214.4000000000001</v>
      </c>
      <c r="AL4275" s="18">
        <f t="shared" si="758"/>
        <v>-0.30011198208286671</v>
      </c>
    </row>
    <row r="4276" spans="1:38" x14ac:dyDescent="0.2">
      <c r="A4276" s="8">
        <v>2026</v>
      </c>
      <c r="B4276" s="8">
        <v>6</v>
      </c>
      <c r="C4276" s="8" t="s">
        <v>3292</v>
      </c>
      <c r="D4276" s="2" t="s">
        <v>3396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3228</v>
      </c>
      <c r="P4276" s="2" t="s">
        <v>282</v>
      </c>
      <c r="Q4276" s="6" t="s">
        <v>3227</v>
      </c>
      <c r="R4276" s="2" t="s">
        <v>1155</v>
      </c>
      <c r="S4276" s="8">
        <v>1</v>
      </c>
      <c r="T4276" s="2">
        <v>2900</v>
      </c>
      <c r="U4276" s="2">
        <f t="shared" si="754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1574</v>
      </c>
      <c r="AB4276" s="2" t="s">
        <v>388</v>
      </c>
      <c r="AC4276" s="2" t="s">
        <v>1327</v>
      </c>
      <c r="AK4276" s="2">
        <f t="shared" ref="AK4276:AK4339" si="759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3292</v>
      </c>
      <c r="D4277" s="2" t="s">
        <v>3396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si="759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3293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3268</v>
      </c>
      <c r="M4278" s="2" t="s">
        <v>41</v>
      </c>
      <c r="O4278" s="2" t="s">
        <v>3265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60">T4278*23%</f>
        <v>5.7960000000000003</v>
      </c>
      <c r="V4278" s="12">
        <f t="shared" ref="V4278:V4309" si="761">T4278+U4278</f>
        <v>30.995999999999999</v>
      </c>
      <c r="W4278" s="2">
        <v>14.535</v>
      </c>
      <c r="X4278" s="5">
        <f t="shared" ref="X4278:X4309" si="762">(T4278-W4278)/T4278</f>
        <v>0.42321428571428571</v>
      </c>
      <c r="Z4278" s="2" t="s">
        <v>3226</v>
      </c>
      <c r="AA4278" s="2" t="s">
        <v>46</v>
      </c>
      <c r="AB4278" s="2" t="s">
        <v>47</v>
      </c>
      <c r="AC4278" s="2" t="s">
        <v>57</v>
      </c>
      <c r="AK4278" s="2">
        <f t="shared" si="759"/>
        <v>10.664999999999999</v>
      </c>
      <c r="AL4278" s="5">
        <f t="shared" ref="AL4278:AL4309" si="763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3293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3268</v>
      </c>
      <c r="M4279" s="2" t="s">
        <v>41</v>
      </c>
      <c r="O4279" s="2" t="s">
        <v>3265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60"/>
        <v>4.83</v>
      </c>
      <c r="V4279" s="12">
        <f t="shared" si="761"/>
        <v>25.83</v>
      </c>
      <c r="W4279" s="2">
        <f>9.3*S4279</f>
        <v>9.3000000000000007</v>
      </c>
      <c r="X4279" s="5">
        <f t="shared" si="762"/>
        <v>0.55714285714285716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59"/>
        <v>11.7</v>
      </c>
      <c r="AL4279" s="5">
        <f t="shared" si="763"/>
        <v>0.55714285714285716</v>
      </c>
    </row>
    <row r="4280" spans="1:38" x14ac:dyDescent="0.2">
      <c r="A4280" s="2">
        <v>2026</v>
      </c>
      <c r="B4280" s="2">
        <v>7</v>
      </c>
      <c r="C4280" s="2" t="s">
        <v>3293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3268</v>
      </c>
      <c r="M4280" s="2" t="s">
        <v>41</v>
      </c>
      <c r="O4280" s="2" t="s">
        <v>3265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60"/>
        <v>2.99</v>
      </c>
      <c r="V4280" s="12">
        <f t="shared" si="761"/>
        <v>15.99</v>
      </c>
      <c r="W4280" s="2">
        <f>6.6267*S4280</f>
        <v>6.6266999999999996</v>
      </c>
      <c r="X4280" s="5">
        <f t="shared" si="762"/>
        <v>0.49025384615384621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59"/>
        <v>6.3733000000000004</v>
      </c>
      <c r="AL4280" s="5">
        <f t="shared" si="763"/>
        <v>0.49025384615384621</v>
      </c>
    </row>
    <row r="4281" spans="1:38" x14ac:dyDescent="0.2">
      <c r="A4281" s="2">
        <v>2026</v>
      </c>
      <c r="B4281" s="2">
        <v>7</v>
      </c>
      <c r="C4281" s="2" t="s">
        <v>3293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3268</v>
      </c>
      <c r="M4281" s="2" t="s">
        <v>80</v>
      </c>
      <c r="O4281" s="2" t="s">
        <v>3266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60"/>
        <v>4.1400000000000006</v>
      </c>
      <c r="V4281" s="12">
        <f t="shared" si="761"/>
        <v>22.14</v>
      </c>
      <c r="W4281" s="2">
        <f>14.4*S4281</f>
        <v>14.4</v>
      </c>
      <c r="X4281" s="5">
        <f t="shared" si="762"/>
        <v>0.19999999999999998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59"/>
        <v>3.5999999999999996</v>
      </c>
      <c r="AL4281" s="5">
        <f t="shared" si="763"/>
        <v>0.19999999999999998</v>
      </c>
    </row>
    <row r="4282" spans="1:38" x14ac:dyDescent="0.2">
      <c r="A4282" s="2">
        <v>2026</v>
      </c>
      <c r="B4282" s="2">
        <v>7</v>
      </c>
      <c r="C4282" s="2" t="s">
        <v>3293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3268</v>
      </c>
      <c r="M4282" s="2" t="s">
        <v>80</v>
      </c>
      <c r="O4282" s="2" t="s">
        <v>3266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60"/>
        <v>6.9</v>
      </c>
      <c r="V4282" s="12">
        <f t="shared" si="761"/>
        <v>36.9</v>
      </c>
      <c r="W4282" s="2">
        <f>10.6*S4282</f>
        <v>21.2</v>
      </c>
      <c r="X4282" s="5">
        <f t="shared" si="762"/>
        <v>0.29333333333333333</v>
      </c>
      <c r="Z4282" s="2" t="s">
        <v>3226</v>
      </c>
      <c r="AA4282" s="2" t="s">
        <v>46</v>
      </c>
      <c r="AB4282" s="2" t="s">
        <v>56</v>
      </c>
      <c r="AC4282" s="2" t="s">
        <v>57</v>
      </c>
      <c r="AK4282" s="2">
        <f t="shared" si="759"/>
        <v>8.8000000000000007</v>
      </c>
      <c r="AL4282" s="5">
        <f t="shared" si="763"/>
        <v>0.29333333333333333</v>
      </c>
    </row>
    <row r="4283" spans="1:38" x14ac:dyDescent="0.2">
      <c r="A4283" s="2">
        <v>2026</v>
      </c>
      <c r="B4283" s="2">
        <v>7</v>
      </c>
      <c r="C4283" s="2" t="s">
        <v>3293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3268</v>
      </c>
      <c r="M4283" s="2" t="s">
        <v>80</v>
      </c>
      <c r="O4283" s="2" t="s">
        <v>3266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60"/>
        <v>5.5200000000000005</v>
      </c>
      <c r="V4283" s="12">
        <f t="shared" si="761"/>
        <v>29.52</v>
      </c>
      <c r="W4283" s="2">
        <f>8*S4283</f>
        <v>16</v>
      </c>
      <c r="X4283" s="5">
        <f t="shared" si="762"/>
        <v>0.33333333333333331</v>
      </c>
      <c r="Z4283" s="2" t="s">
        <v>3226</v>
      </c>
      <c r="AA4283" s="2" t="s">
        <v>46</v>
      </c>
      <c r="AB4283" s="2" t="s">
        <v>47</v>
      </c>
      <c r="AC4283" s="2" t="s">
        <v>57</v>
      </c>
      <c r="AK4283" s="2">
        <f t="shared" si="759"/>
        <v>8</v>
      </c>
      <c r="AL4283" s="5">
        <f t="shared" si="763"/>
        <v>0.33333333333333331</v>
      </c>
    </row>
    <row r="4284" spans="1:38" x14ac:dyDescent="0.2">
      <c r="A4284" s="2">
        <v>2026</v>
      </c>
      <c r="B4284" s="2">
        <v>7</v>
      </c>
      <c r="C4284" s="2" t="s">
        <v>3293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3268</v>
      </c>
      <c r="M4284" s="2" t="s">
        <v>80</v>
      </c>
      <c r="O4284" s="2" t="s">
        <v>3267</v>
      </c>
      <c r="P4284" s="2" t="s">
        <v>1038</v>
      </c>
      <c r="Q4284" s="2" t="s">
        <v>3263</v>
      </c>
      <c r="R4284" s="2" t="s">
        <v>3264</v>
      </c>
      <c r="S4284" s="13">
        <v>1</v>
      </c>
      <c r="T4284" s="14">
        <v>187</v>
      </c>
      <c r="U4284" s="2">
        <f t="shared" si="760"/>
        <v>43.010000000000005</v>
      </c>
      <c r="V4284" s="12">
        <f t="shared" si="761"/>
        <v>230.01</v>
      </c>
      <c r="W4284" s="2">
        <v>141.16</v>
      </c>
      <c r="X4284" s="5">
        <f t="shared" si="762"/>
        <v>0.24513368983957221</v>
      </c>
      <c r="Z4284" s="2" t="s">
        <v>3226</v>
      </c>
      <c r="AA4284" s="2" t="s">
        <v>75</v>
      </c>
      <c r="AB4284" s="2" t="s">
        <v>76</v>
      </c>
      <c r="AC4284" s="2" t="s">
        <v>1038</v>
      </c>
      <c r="AK4284" s="2">
        <f t="shared" si="759"/>
        <v>45.84</v>
      </c>
      <c r="AL4284" s="5">
        <f t="shared" si="763"/>
        <v>0.24513368983957221</v>
      </c>
    </row>
    <row r="4285" spans="1:38" x14ac:dyDescent="0.2">
      <c r="A4285" s="2">
        <v>2026</v>
      </c>
      <c r="B4285" s="2">
        <v>7</v>
      </c>
      <c r="C4285" s="2" t="s">
        <v>3293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3268</v>
      </c>
      <c r="M4285" s="2" t="s">
        <v>80</v>
      </c>
      <c r="O4285" s="2" t="s">
        <v>3267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60"/>
        <v>0.34040000000000004</v>
      </c>
      <c r="V4285" s="12">
        <f t="shared" si="761"/>
        <v>1.8204</v>
      </c>
      <c r="W4285" s="2">
        <v>1.48</v>
      </c>
      <c r="X4285" s="5">
        <f t="shared" si="762"/>
        <v>0</v>
      </c>
      <c r="Z4285" s="2" t="s">
        <v>3226</v>
      </c>
      <c r="AA4285" s="2" t="s">
        <v>96</v>
      </c>
      <c r="AB4285" s="2" t="s">
        <v>76</v>
      </c>
      <c r="AC4285" s="2" t="s">
        <v>93</v>
      </c>
      <c r="AK4285" s="2">
        <f t="shared" si="759"/>
        <v>0</v>
      </c>
      <c r="AL4285" s="5">
        <f t="shared" si="763"/>
        <v>0</v>
      </c>
    </row>
    <row r="4286" spans="1:38" x14ac:dyDescent="0.2">
      <c r="A4286" s="2">
        <v>2026</v>
      </c>
      <c r="B4286" s="2">
        <v>7</v>
      </c>
      <c r="C4286" s="2" t="s">
        <v>3293</v>
      </c>
      <c r="D4286" s="2" t="s">
        <v>1467</v>
      </c>
      <c r="E4286" s="2" t="s">
        <v>38</v>
      </c>
      <c r="F4286" s="2" t="s">
        <v>39</v>
      </c>
      <c r="H4286" s="2" t="s">
        <v>109</v>
      </c>
      <c r="I4286" s="2" t="s">
        <v>1468</v>
      </c>
      <c r="L4286" s="2" t="s">
        <v>360</v>
      </c>
      <c r="M4286" s="2" t="s">
        <v>80</v>
      </c>
      <c r="O4286" s="2" t="s">
        <v>3277</v>
      </c>
      <c r="P4286" s="2" t="s">
        <v>72</v>
      </c>
      <c r="Q4286" s="2" t="s">
        <v>3027</v>
      </c>
      <c r="R4286" s="2" t="s">
        <v>331</v>
      </c>
      <c r="S4286" s="13">
        <v>1</v>
      </c>
      <c r="T4286" s="14">
        <v>220</v>
      </c>
      <c r="U4286" s="2">
        <f t="shared" si="760"/>
        <v>50.6</v>
      </c>
      <c r="V4286" s="12">
        <f t="shared" si="761"/>
        <v>270.60000000000002</v>
      </c>
      <c r="W4286" s="2">
        <v>113.4</v>
      </c>
      <c r="X4286" s="5">
        <f t="shared" si="762"/>
        <v>0.4845454545454545</v>
      </c>
      <c r="Z4286" s="2" t="s">
        <v>3226</v>
      </c>
      <c r="AA4286" s="2" t="s">
        <v>75</v>
      </c>
      <c r="AB4286" s="2" t="s">
        <v>76</v>
      </c>
      <c r="AC4286" s="2" t="s">
        <v>77</v>
      </c>
      <c r="AK4286" s="2">
        <f t="shared" si="759"/>
        <v>106.6</v>
      </c>
      <c r="AL4286" s="5">
        <f t="shared" si="763"/>
        <v>0.4845454545454545</v>
      </c>
    </row>
    <row r="4287" spans="1:38" x14ac:dyDescent="0.2">
      <c r="A4287" s="2">
        <v>2026</v>
      </c>
      <c r="B4287" s="2">
        <v>7</v>
      </c>
      <c r="C4287" s="2" t="s">
        <v>3293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3277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60"/>
        <v>0.34040000000000004</v>
      </c>
      <c r="V4287" s="12">
        <f t="shared" si="761"/>
        <v>1.8204</v>
      </c>
      <c r="W4287" s="2">
        <v>1.48</v>
      </c>
      <c r="X4287" s="5">
        <f t="shared" si="762"/>
        <v>0</v>
      </c>
      <c r="Z4287" s="2" t="s">
        <v>3226</v>
      </c>
      <c r="AA4287" s="2" t="s">
        <v>96</v>
      </c>
      <c r="AB4287" s="2" t="s">
        <v>76</v>
      </c>
      <c r="AC4287" s="2" t="s">
        <v>93</v>
      </c>
      <c r="AK4287" s="2">
        <f t="shared" si="759"/>
        <v>0</v>
      </c>
      <c r="AL4287" s="5">
        <f t="shared" si="763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3283</v>
      </c>
      <c r="L4288" s="2" t="s">
        <v>339</v>
      </c>
      <c r="M4288" s="2" t="s">
        <v>40</v>
      </c>
      <c r="O4288" s="2" t="s">
        <v>3284</v>
      </c>
      <c r="P4288" s="2" t="s">
        <v>282</v>
      </c>
      <c r="Q4288" s="2" t="s">
        <v>2996</v>
      </c>
      <c r="R4288" s="2" t="s">
        <v>2997</v>
      </c>
      <c r="S4288" s="13">
        <v>1</v>
      </c>
      <c r="T4288" s="14">
        <v>1190</v>
      </c>
      <c r="U4288" s="2">
        <f t="shared" si="760"/>
        <v>273.7</v>
      </c>
      <c r="V4288" s="12">
        <f t="shared" si="761"/>
        <v>1463.7</v>
      </c>
      <c r="W4288" s="2">
        <v>773.5</v>
      </c>
      <c r="X4288" s="5">
        <f t="shared" si="762"/>
        <v>0.35</v>
      </c>
      <c r="Z4288" s="2" t="s">
        <v>117</v>
      </c>
      <c r="AA4288" s="2" t="s">
        <v>181</v>
      </c>
      <c r="AB4288" s="2" t="s">
        <v>3379</v>
      </c>
      <c r="AC4288" s="2" t="s">
        <v>1327</v>
      </c>
      <c r="AK4288" s="2">
        <f t="shared" si="759"/>
        <v>416.5</v>
      </c>
      <c r="AL4288" s="5">
        <f t="shared" si="763"/>
        <v>0.35</v>
      </c>
    </row>
    <row r="4289" spans="1:38" x14ac:dyDescent="0.2">
      <c r="A4289" s="2">
        <v>2026</v>
      </c>
      <c r="B4289" s="2">
        <v>7</v>
      </c>
      <c r="C4289" s="2" t="s">
        <v>3293</v>
      </c>
      <c r="D4289" s="2" t="s">
        <v>3269</v>
      </c>
      <c r="E4289" s="2" t="s">
        <v>38</v>
      </c>
      <c r="F4289" s="2" t="s">
        <v>39</v>
      </c>
      <c r="H4289" s="2" t="s">
        <v>290</v>
      </c>
      <c r="I4289" s="2" t="s">
        <v>3279</v>
      </c>
      <c r="L4289" s="2" t="s">
        <v>339</v>
      </c>
      <c r="M4289" s="2" t="s">
        <v>80</v>
      </c>
      <c r="O4289" s="2" t="s">
        <v>3278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60"/>
        <v>52.9529</v>
      </c>
      <c r="V4289" s="12">
        <f t="shared" si="761"/>
        <v>283.18290000000002</v>
      </c>
      <c r="W4289" s="2">
        <f>115.92+6.06</f>
        <v>121.98</v>
      </c>
      <c r="X4289" s="5">
        <f t="shared" si="762"/>
        <v>0.47018199192112231</v>
      </c>
      <c r="Z4289" s="2" t="s">
        <v>3226</v>
      </c>
      <c r="AA4289" s="2" t="s">
        <v>75</v>
      </c>
      <c r="AB4289" s="2" t="s">
        <v>76</v>
      </c>
      <c r="AC4289" s="2" t="s">
        <v>77</v>
      </c>
      <c r="AK4289" s="2">
        <f t="shared" si="759"/>
        <v>108.24999999999999</v>
      </c>
      <c r="AL4289" s="5">
        <f t="shared" si="763"/>
        <v>0.47018199192112231</v>
      </c>
    </row>
    <row r="4290" spans="1:38" x14ac:dyDescent="0.2">
      <c r="A4290" s="2">
        <v>2026</v>
      </c>
      <c r="B4290" s="2">
        <v>7</v>
      </c>
      <c r="C4290" s="2" t="s">
        <v>3293</v>
      </c>
      <c r="D4290" s="2" t="s">
        <v>3269</v>
      </c>
      <c r="E4290" s="2" t="s">
        <v>38</v>
      </c>
      <c r="F4290" s="2" t="s">
        <v>39</v>
      </c>
      <c r="H4290" s="2" t="s">
        <v>290</v>
      </c>
      <c r="I4290" s="2" t="s">
        <v>3279</v>
      </c>
      <c r="L4290" s="2" t="s">
        <v>339</v>
      </c>
      <c r="M4290" s="2" t="s">
        <v>80</v>
      </c>
      <c r="O4290" s="2" t="s">
        <v>3278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60"/>
        <v>0.34040000000000004</v>
      </c>
      <c r="V4290" s="12">
        <f t="shared" si="761"/>
        <v>1.8204</v>
      </c>
      <c r="W4290" s="2">
        <v>1.48</v>
      </c>
      <c r="X4290" s="5">
        <f t="shared" si="762"/>
        <v>0</v>
      </c>
      <c r="Z4290" s="2" t="s">
        <v>3226</v>
      </c>
      <c r="AA4290" s="2" t="s">
        <v>96</v>
      </c>
      <c r="AB4290" s="2" t="s">
        <v>76</v>
      </c>
      <c r="AC4290" s="2" t="s">
        <v>93</v>
      </c>
      <c r="AK4290" s="2">
        <f t="shared" si="759"/>
        <v>0</v>
      </c>
      <c r="AL4290" s="5">
        <f t="shared" si="763"/>
        <v>0</v>
      </c>
    </row>
    <row r="4291" spans="1:38" x14ac:dyDescent="0.2">
      <c r="A4291" s="2">
        <v>2026</v>
      </c>
      <c r="B4291" s="2">
        <v>7</v>
      </c>
      <c r="D4291" s="2" t="s">
        <v>3270</v>
      </c>
      <c r="E4291" s="2" t="s">
        <v>752</v>
      </c>
      <c r="F4291" s="2" t="s">
        <v>918</v>
      </c>
      <c r="H4291" s="2" t="s">
        <v>40</v>
      </c>
      <c r="I4291" s="2" t="s">
        <v>3285</v>
      </c>
      <c r="L4291" s="2" t="s">
        <v>99</v>
      </c>
      <c r="M4291" s="2" t="s">
        <v>40</v>
      </c>
      <c r="O4291" s="2" t="s">
        <v>3286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60"/>
        <v>160.839</v>
      </c>
      <c r="V4291" s="12">
        <f t="shared" si="761"/>
        <v>860.1389999999999</v>
      </c>
      <c r="W4291" s="2">
        <v>345.20339999999999</v>
      </c>
      <c r="X4291" s="5">
        <f t="shared" si="762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9"/>
        <v>354.09659999999997</v>
      </c>
      <c r="AL4291" s="5">
        <f t="shared" si="763"/>
        <v>0.50635864435864431</v>
      </c>
    </row>
    <row r="4292" spans="1:38" x14ac:dyDescent="0.2">
      <c r="A4292" s="2">
        <v>2026</v>
      </c>
      <c r="B4292" s="2">
        <v>7</v>
      </c>
      <c r="D4292" s="2" t="s">
        <v>3270</v>
      </c>
      <c r="E4292" s="2" t="s">
        <v>752</v>
      </c>
      <c r="F4292" s="2" t="s">
        <v>918</v>
      </c>
      <c r="H4292" s="2" t="s">
        <v>40</v>
      </c>
      <c r="I4292" s="2" t="s">
        <v>3285</v>
      </c>
      <c r="L4292" s="2" t="s">
        <v>99</v>
      </c>
      <c r="M4292" s="2" t="s">
        <v>40</v>
      </c>
      <c r="O4292" s="2" t="s">
        <v>3286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60"/>
        <v>12.65</v>
      </c>
      <c r="V4292" s="12">
        <f t="shared" si="761"/>
        <v>67.650000000000006</v>
      </c>
      <c r="W4292" s="2">
        <f>T4292*40%</f>
        <v>22</v>
      </c>
      <c r="X4292" s="5">
        <f t="shared" si="762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9"/>
        <v>33</v>
      </c>
      <c r="AL4292" s="5">
        <f t="shared" si="763"/>
        <v>0.6</v>
      </c>
    </row>
    <row r="4293" spans="1:38" x14ac:dyDescent="0.2">
      <c r="A4293" s="2">
        <v>2026</v>
      </c>
      <c r="B4293" s="2">
        <v>7</v>
      </c>
      <c r="D4293" s="2" t="s">
        <v>3270</v>
      </c>
      <c r="E4293" s="2" t="s">
        <v>752</v>
      </c>
      <c r="F4293" s="2" t="s">
        <v>918</v>
      </c>
      <c r="H4293" s="2" t="s">
        <v>40</v>
      </c>
      <c r="I4293" s="2" t="s">
        <v>3285</v>
      </c>
      <c r="L4293" s="2" t="s">
        <v>99</v>
      </c>
      <c r="M4293" s="2" t="s">
        <v>40</v>
      </c>
      <c r="O4293" s="2" t="s">
        <v>3286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60"/>
        <v>6.3250000000000002</v>
      </c>
      <c r="V4293" s="12">
        <f t="shared" si="761"/>
        <v>33.825000000000003</v>
      </c>
      <c r="W4293" s="2">
        <f>T4293*50%</f>
        <v>13.75</v>
      </c>
      <c r="X4293" s="5">
        <f t="shared" si="762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9"/>
        <v>13.75</v>
      </c>
      <c r="AL4293" s="5">
        <f t="shared" si="763"/>
        <v>0.5</v>
      </c>
    </row>
    <row r="4294" spans="1:38" x14ac:dyDescent="0.2">
      <c r="A4294" s="2">
        <v>2026</v>
      </c>
      <c r="B4294" s="2">
        <v>7</v>
      </c>
      <c r="C4294" s="2" t="s">
        <v>3293</v>
      </c>
      <c r="D4294" s="2" t="s">
        <v>3271</v>
      </c>
      <c r="E4294" s="2" t="s">
        <v>108</v>
      </c>
      <c r="F4294" s="2" t="s">
        <v>477</v>
      </c>
      <c r="H4294" s="2" t="s">
        <v>290</v>
      </c>
      <c r="I4294" s="2" t="s">
        <v>3287</v>
      </c>
      <c r="L4294" s="2" t="s">
        <v>293</v>
      </c>
      <c r="M4294" s="2" t="s">
        <v>80</v>
      </c>
      <c r="O4294" s="2" t="s">
        <v>3288</v>
      </c>
      <c r="P4294" s="2" t="s">
        <v>72</v>
      </c>
      <c r="Q4294" s="2" t="s">
        <v>3272</v>
      </c>
      <c r="R4294" s="2" t="s">
        <v>307</v>
      </c>
      <c r="S4294" s="13">
        <v>1</v>
      </c>
      <c r="T4294" s="14">
        <v>220</v>
      </c>
      <c r="U4294" s="2">
        <f t="shared" si="760"/>
        <v>50.6</v>
      </c>
      <c r="V4294" s="12">
        <f t="shared" si="761"/>
        <v>270.60000000000002</v>
      </c>
      <c r="W4294" s="2">
        <v>119.95</v>
      </c>
      <c r="X4294" s="5">
        <f t="shared" si="762"/>
        <v>0.45477272727272727</v>
      </c>
      <c r="Z4294" s="2" t="s">
        <v>3226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9"/>
        <v>100.05</v>
      </c>
      <c r="AL4294" s="5">
        <f t="shared" si="763"/>
        <v>0.45477272727272727</v>
      </c>
    </row>
    <row r="4295" spans="1:38" x14ac:dyDescent="0.2">
      <c r="A4295" s="2">
        <v>2026</v>
      </c>
      <c r="B4295" s="2">
        <v>7</v>
      </c>
      <c r="C4295" s="2" t="s">
        <v>3293</v>
      </c>
      <c r="D4295" s="2" t="s">
        <v>3271</v>
      </c>
      <c r="E4295" s="2" t="s">
        <v>108</v>
      </c>
      <c r="F4295" s="2" t="s">
        <v>477</v>
      </c>
      <c r="H4295" s="2" t="s">
        <v>290</v>
      </c>
      <c r="I4295" s="2" t="s">
        <v>3287</v>
      </c>
      <c r="L4295" s="2" t="s">
        <v>293</v>
      </c>
      <c r="M4295" s="2" t="s">
        <v>80</v>
      </c>
      <c r="O4295" s="2" t="s">
        <v>3288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60"/>
        <v>0.34040000000000004</v>
      </c>
      <c r="V4295" s="12">
        <f t="shared" si="761"/>
        <v>1.8204</v>
      </c>
      <c r="W4295" s="2">
        <v>1.48</v>
      </c>
      <c r="X4295" s="5">
        <f t="shared" si="762"/>
        <v>0</v>
      </c>
      <c r="Z4295" s="2" t="s">
        <v>3226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9"/>
        <v>0</v>
      </c>
      <c r="AL4295" s="5">
        <f t="shared" si="763"/>
        <v>0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3099</v>
      </c>
      <c r="E4296" s="2" t="s">
        <v>38</v>
      </c>
      <c r="F4296" s="2" t="s">
        <v>39</v>
      </c>
      <c r="H4296" s="2" t="s">
        <v>109</v>
      </c>
      <c r="I4296" s="2" t="s">
        <v>3282</v>
      </c>
      <c r="L4296" s="2" t="s">
        <v>133</v>
      </c>
      <c r="M4296" s="2" t="s">
        <v>109</v>
      </c>
      <c r="O4296" s="2" t="s">
        <v>3281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60"/>
        <v>2990</v>
      </c>
      <c r="V4296" s="12">
        <f t="shared" si="761"/>
        <v>15990</v>
      </c>
      <c r="W4296" s="2">
        <v>8765.42</v>
      </c>
      <c r="X4296" s="5">
        <f t="shared" si="762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9"/>
        <v>4234.58</v>
      </c>
      <c r="AL4296" s="5">
        <f t="shared" si="763"/>
        <v>0.32573692307692309</v>
      </c>
    </row>
    <row r="4297" spans="1:38" x14ac:dyDescent="0.2">
      <c r="A4297" s="2">
        <v>2026</v>
      </c>
      <c r="B4297" s="2">
        <v>7</v>
      </c>
      <c r="C4297" s="2" t="s">
        <v>3294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3282</v>
      </c>
      <c r="L4297" s="2" t="s">
        <v>133</v>
      </c>
      <c r="M4297" s="2" t="s">
        <v>109</v>
      </c>
      <c r="O4297" s="2" t="s">
        <v>3281</v>
      </c>
      <c r="P4297" s="2" t="s">
        <v>101</v>
      </c>
      <c r="Q4297" s="2" t="s">
        <v>3273</v>
      </c>
      <c r="R4297" s="2" t="s">
        <v>3274</v>
      </c>
      <c r="S4297" s="13">
        <v>1</v>
      </c>
      <c r="T4297" s="14">
        <v>6000</v>
      </c>
      <c r="U4297" s="2">
        <f t="shared" si="760"/>
        <v>1380</v>
      </c>
      <c r="V4297" s="12">
        <f t="shared" si="761"/>
        <v>7380</v>
      </c>
      <c r="W4297" s="2">
        <v>4221.5600000000004</v>
      </c>
      <c r="X4297" s="5">
        <f t="shared" si="762"/>
        <v>0.2964066666666666</v>
      </c>
      <c r="Z4297" s="2" t="s">
        <v>104</v>
      </c>
      <c r="AA4297" s="2" t="s">
        <v>105</v>
      </c>
      <c r="AB4297" s="2" t="s">
        <v>2027</v>
      </c>
      <c r="AC4297" s="2" t="s">
        <v>101</v>
      </c>
      <c r="AG4297" s="2">
        <v>4221.5600000000004</v>
      </c>
      <c r="AK4297" s="2">
        <f t="shared" si="759"/>
        <v>1778.4399999999996</v>
      </c>
      <c r="AL4297" s="5">
        <f t="shared" si="763"/>
        <v>0.2964066666666666</v>
      </c>
    </row>
    <row r="4298" spans="1:38" x14ac:dyDescent="0.2">
      <c r="A4298" s="2">
        <v>2026</v>
      </c>
      <c r="B4298" s="2">
        <v>7</v>
      </c>
      <c r="C4298" s="2" t="s">
        <v>3294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3282</v>
      </c>
      <c r="L4298" s="2" t="s">
        <v>133</v>
      </c>
      <c r="M4298" s="2" t="s">
        <v>109</v>
      </c>
      <c r="O4298" s="2" t="s">
        <v>3281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1000</v>
      </c>
      <c r="U4298" s="2">
        <f t="shared" si="760"/>
        <v>230</v>
      </c>
      <c r="V4298" s="12">
        <f t="shared" si="761"/>
        <v>1230</v>
      </c>
      <c r="W4298" s="2">
        <v>802.73</v>
      </c>
      <c r="X4298" s="5">
        <f t="shared" si="762"/>
        <v>0.19726999999999997</v>
      </c>
      <c r="Z4298" s="2" t="s">
        <v>104</v>
      </c>
      <c r="AA4298" s="2" t="s">
        <v>1111</v>
      </c>
      <c r="AB4298" s="2" t="s">
        <v>3280</v>
      </c>
      <c r="AC4298" s="2" t="s">
        <v>101</v>
      </c>
      <c r="AG4298" s="2">
        <v>802.73</v>
      </c>
      <c r="AK4298" s="2">
        <f t="shared" si="759"/>
        <v>197.26999999999998</v>
      </c>
      <c r="AL4298" s="5">
        <f t="shared" si="763"/>
        <v>0.19726999999999997</v>
      </c>
    </row>
    <row r="4299" spans="1:38" x14ac:dyDescent="0.2">
      <c r="A4299" s="2">
        <v>2026</v>
      </c>
      <c r="B4299" s="2">
        <v>7</v>
      </c>
      <c r="C4299" s="2" t="s">
        <v>3293</v>
      </c>
      <c r="D4299" s="2" t="s">
        <v>1993</v>
      </c>
      <c r="E4299" s="2" t="s">
        <v>108</v>
      </c>
      <c r="F4299" s="2" t="s">
        <v>39</v>
      </c>
      <c r="H4299" s="2" t="s">
        <v>290</v>
      </c>
      <c r="I4299" s="2" t="s">
        <v>3279</v>
      </c>
      <c r="L4299" s="2" t="s">
        <v>339</v>
      </c>
      <c r="M4299" s="2" t="s">
        <v>40</v>
      </c>
      <c r="O4299" s="2" t="s">
        <v>3289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60"/>
        <v>13.8</v>
      </c>
      <c r="V4299" s="12">
        <f t="shared" si="761"/>
        <v>73.8</v>
      </c>
      <c r="W4299" s="2">
        <f>T4299*40%</f>
        <v>24</v>
      </c>
      <c r="X4299" s="5">
        <f t="shared" si="762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9"/>
        <v>36</v>
      </c>
      <c r="AL4299" s="5">
        <f t="shared" si="763"/>
        <v>0.6</v>
      </c>
    </row>
    <row r="4300" spans="1:38" x14ac:dyDescent="0.2">
      <c r="A4300" s="2">
        <v>2026</v>
      </c>
      <c r="B4300" s="2">
        <v>7</v>
      </c>
      <c r="C4300" s="2" t="s">
        <v>3437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3279</v>
      </c>
      <c r="L4300" s="2" t="s">
        <v>339</v>
      </c>
      <c r="M4300" s="2" t="s">
        <v>40</v>
      </c>
      <c r="O4300" s="2" t="s">
        <v>3289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60"/>
        <v>12.65</v>
      </c>
      <c r="V4300" s="12">
        <f t="shared" si="761"/>
        <v>67.650000000000006</v>
      </c>
      <c r="W4300" s="2">
        <f>T4300*50%</f>
        <v>27.5</v>
      </c>
      <c r="X4300" s="5">
        <f t="shared" si="762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9"/>
        <v>27.5</v>
      </c>
      <c r="AL4300" s="5">
        <f t="shared" si="763"/>
        <v>0.5</v>
      </c>
    </row>
    <row r="4301" spans="1:38" x14ac:dyDescent="0.2">
      <c r="A4301" s="2">
        <v>2026</v>
      </c>
      <c r="B4301" s="2">
        <v>7</v>
      </c>
      <c r="C4301" s="2" t="s">
        <v>3293</v>
      </c>
      <c r="D4301" s="2" t="s">
        <v>1484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60"/>
        <v>160.839</v>
      </c>
      <c r="V4301" s="2">
        <f t="shared" si="761"/>
        <v>860.1389999999999</v>
      </c>
      <c r="W4301" s="2">
        <v>345.20339999999999</v>
      </c>
      <c r="X4301" s="5">
        <f t="shared" si="762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9"/>
        <v>354.09659999999997</v>
      </c>
      <c r="AL4301" s="5">
        <f t="shared" si="763"/>
        <v>0.50635864435864431</v>
      </c>
    </row>
    <row r="4302" spans="1:38" x14ac:dyDescent="0.2">
      <c r="A4302" s="2">
        <v>2026</v>
      </c>
      <c r="B4302" s="2">
        <v>7</v>
      </c>
      <c r="C4302" s="2" t="s">
        <v>3293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60"/>
        <v>72.22</v>
      </c>
      <c r="V4302" s="2">
        <f t="shared" si="761"/>
        <v>386.22</v>
      </c>
      <c r="W4302" s="2">
        <f>T4302*40%</f>
        <v>125.60000000000001</v>
      </c>
      <c r="X4302" s="5">
        <f t="shared" si="762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9"/>
        <v>188.39999999999998</v>
      </c>
      <c r="AL4302" s="5">
        <f t="shared" si="763"/>
        <v>0.6</v>
      </c>
    </row>
    <row r="4303" spans="1:38" x14ac:dyDescent="0.2">
      <c r="A4303" s="2">
        <v>2026</v>
      </c>
      <c r="B4303" s="2">
        <v>7</v>
      </c>
      <c r="C4303" s="2" t="s">
        <v>3293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60"/>
        <v>12.65</v>
      </c>
      <c r="V4303" s="2">
        <f t="shared" si="761"/>
        <v>67.650000000000006</v>
      </c>
      <c r="W4303" s="2">
        <f>T4303*50%</f>
        <v>27.5</v>
      </c>
      <c r="X4303" s="5">
        <f t="shared" si="762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9"/>
        <v>27.5</v>
      </c>
      <c r="AL4303" s="5">
        <f t="shared" si="763"/>
        <v>0.5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3331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60"/>
        <v>13.8</v>
      </c>
      <c r="V4304" s="2">
        <f t="shared" si="761"/>
        <v>73.8</v>
      </c>
      <c r="W4304" s="2">
        <f>T4304*40%</f>
        <v>24</v>
      </c>
      <c r="X4304" s="5">
        <f t="shared" si="762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9"/>
        <v>36</v>
      </c>
      <c r="AL4304" s="5">
        <f t="shared" si="763"/>
        <v>0.6</v>
      </c>
    </row>
    <row r="4305" spans="1:38" x14ac:dyDescent="0.2">
      <c r="A4305" s="2">
        <v>2026</v>
      </c>
      <c r="B4305" s="2">
        <v>7</v>
      </c>
      <c r="C4305" s="2" t="s">
        <v>3294</v>
      </c>
      <c r="D4305" s="2" t="s">
        <v>3331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60"/>
        <v>12.65</v>
      </c>
      <c r="V4305" s="2">
        <f t="shared" si="761"/>
        <v>67.650000000000006</v>
      </c>
      <c r="W4305" s="2">
        <f>T4305*50%</f>
        <v>27.5</v>
      </c>
      <c r="X4305" s="5">
        <f t="shared" si="762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9"/>
        <v>27.5</v>
      </c>
      <c r="AL4305" s="5">
        <f t="shared" si="763"/>
        <v>0.5</v>
      </c>
    </row>
    <row r="4306" spans="1:38" x14ac:dyDescent="0.2">
      <c r="A4306" s="2">
        <v>2026</v>
      </c>
      <c r="B4306" s="2">
        <v>7</v>
      </c>
      <c r="C4306" s="2" t="s">
        <v>3293</v>
      </c>
      <c r="D4306" s="2" t="s">
        <v>3332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60"/>
        <v>50.6</v>
      </c>
      <c r="V4306" s="2">
        <f t="shared" si="761"/>
        <v>270.60000000000002</v>
      </c>
      <c r="W4306" s="2">
        <f>113.905+11.25</f>
        <v>125.155</v>
      </c>
      <c r="X4306" s="5">
        <f t="shared" si="762"/>
        <v>0.43111363636363637</v>
      </c>
      <c r="Z4306" s="2" t="s">
        <v>3226</v>
      </c>
      <c r="AA4306" s="2" t="s">
        <v>75</v>
      </c>
      <c r="AB4306" s="2" t="s">
        <v>76</v>
      </c>
      <c r="AC4306" s="2" t="s">
        <v>77</v>
      </c>
      <c r="AK4306" s="2">
        <f t="shared" si="759"/>
        <v>94.844999999999999</v>
      </c>
      <c r="AL4306" s="5">
        <f t="shared" si="763"/>
        <v>0.43111363636363637</v>
      </c>
    </row>
    <row r="4307" spans="1:38" x14ac:dyDescent="0.2">
      <c r="A4307" s="2">
        <v>2026</v>
      </c>
      <c r="B4307" s="2">
        <v>7</v>
      </c>
      <c r="C4307" s="2" t="s">
        <v>3293</v>
      </c>
      <c r="D4307" s="2" t="s">
        <v>3332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60"/>
        <v>0.34040000000000004</v>
      </c>
      <c r="V4307" s="2">
        <f t="shared" si="761"/>
        <v>1.8204</v>
      </c>
      <c r="W4307" s="2">
        <v>1.48</v>
      </c>
      <c r="X4307" s="5">
        <f t="shared" si="762"/>
        <v>0</v>
      </c>
      <c r="Z4307" s="2" t="s">
        <v>3226</v>
      </c>
      <c r="AA4307" s="2" t="s">
        <v>96</v>
      </c>
      <c r="AB4307" s="2" t="s">
        <v>76</v>
      </c>
      <c r="AC4307" s="2" t="s">
        <v>93</v>
      </c>
      <c r="AK4307" s="2">
        <f t="shared" si="759"/>
        <v>0</v>
      </c>
      <c r="AL4307" s="5">
        <f t="shared" si="763"/>
        <v>0</v>
      </c>
    </row>
    <row r="4308" spans="1:38" x14ac:dyDescent="0.2">
      <c r="A4308" s="2">
        <v>2026</v>
      </c>
      <c r="B4308" s="2">
        <v>7</v>
      </c>
      <c r="C4308" s="2" t="s">
        <v>3294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60"/>
        <v>145.82</v>
      </c>
      <c r="V4308" s="2">
        <f t="shared" si="761"/>
        <v>779.81999999999994</v>
      </c>
      <c r="W4308" s="2">
        <f>T4308*40%</f>
        <v>253.60000000000002</v>
      </c>
      <c r="X4308" s="5">
        <f t="shared" si="762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9"/>
        <v>380.4</v>
      </c>
      <c r="AL4308" s="5">
        <f t="shared" si="763"/>
        <v>0.6</v>
      </c>
    </row>
    <row r="4309" spans="1:38" x14ac:dyDescent="0.2">
      <c r="A4309" s="2">
        <v>2026</v>
      </c>
      <c r="B4309" s="2">
        <v>7</v>
      </c>
      <c r="C4309" s="2" t="s">
        <v>3294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60"/>
        <v>44.274999999999999</v>
      </c>
      <c r="V4309" s="2">
        <f t="shared" si="761"/>
        <v>236.77500000000001</v>
      </c>
      <c r="W4309" s="2">
        <f>T4309*50%</f>
        <v>96.25</v>
      </c>
      <c r="X4309" s="5">
        <f t="shared" si="762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9"/>
        <v>96.25</v>
      </c>
      <c r="AL4309" s="5">
        <f t="shared" si="763"/>
        <v>0.5</v>
      </c>
    </row>
    <row r="4310" spans="1:38" x14ac:dyDescent="0.2">
      <c r="A4310" s="2">
        <v>2026</v>
      </c>
      <c r="B4310" s="2">
        <v>7</v>
      </c>
      <c r="C4310" s="2" t="s">
        <v>3293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4">T4310*23%</f>
        <v>13.8</v>
      </c>
      <c r="V4310" s="2">
        <f t="shared" ref="V4310:V4341" si="765">T4310+U4310</f>
        <v>73.8</v>
      </c>
      <c r="W4310" s="2">
        <f>T4310*40%</f>
        <v>24</v>
      </c>
      <c r="X4310" s="5">
        <f t="shared" ref="X4310:X4328" si="766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9"/>
        <v>36</v>
      </c>
      <c r="AL4310" s="5">
        <f t="shared" ref="AL4310:AL4328" si="767">(T4310-W4310)/T4310</f>
        <v>0.6</v>
      </c>
    </row>
    <row r="4311" spans="1:38" x14ac:dyDescent="0.2">
      <c r="A4311" s="2">
        <v>2026</v>
      </c>
      <c r="B4311" s="2">
        <v>7</v>
      </c>
      <c r="C4311" s="2" t="s">
        <v>3293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4"/>
        <v>18.975000000000001</v>
      </c>
      <c r="V4311" s="2">
        <f t="shared" si="765"/>
        <v>101.47499999999999</v>
      </c>
      <c r="W4311" s="2">
        <f>T4311*50%</f>
        <v>41.25</v>
      </c>
      <c r="X4311" s="5">
        <f t="shared" si="766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9"/>
        <v>41.25</v>
      </c>
      <c r="AL4311" s="5">
        <f t="shared" si="767"/>
        <v>0.5</v>
      </c>
    </row>
    <row r="4312" spans="1:38" x14ac:dyDescent="0.2">
      <c r="A4312" s="2">
        <v>2026</v>
      </c>
      <c r="B4312" s="2">
        <v>7</v>
      </c>
      <c r="C4312" s="2" t="s">
        <v>3293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4"/>
        <v>18.278100000000002</v>
      </c>
      <c r="V4312" s="2">
        <f t="shared" si="765"/>
        <v>97.748099999999994</v>
      </c>
      <c r="W4312" s="2">
        <v>25.2</v>
      </c>
      <c r="X4312" s="5">
        <f t="shared" si="766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9"/>
        <v>54.269999999999996</v>
      </c>
      <c r="AL4312" s="5">
        <f t="shared" si="767"/>
        <v>0.68289920724801811</v>
      </c>
    </row>
    <row r="4313" spans="1:38" x14ac:dyDescent="0.2">
      <c r="A4313" s="2">
        <v>2026</v>
      </c>
      <c r="B4313" s="2">
        <v>7</v>
      </c>
      <c r="C4313" s="2" t="s">
        <v>3293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3343</v>
      </c>
      <c r="R4313" s="15" t="s">
        <v>3344</v>
      </c>
      <c r="S4313" s="13">
        <v>1</v>
      </c>
      <c r="T4313" s="14">
        <v>280</v>
      </c>
      <c r="U4313" s="2">
        <f t="shared" si="764"/>
        <v>64.400000000000006</v>
      </c>
      <c r="V4313" s="2">
        <f t="shared" si="765"/>
        <v>344.4</v>
      </c>
      <c r="W4313" s="2">
        <f>144.32+16.82</f>
        <v>161.13999999999999</v>
      </c>
      <c r="X4313" s="5">
        <f t="shared" si="766"/>
        <v>0.42450000000000004</v>
      </c>
      <c r="Z4313" s="2" t="s">
        <v>3226</v>
      </c>
      <c r="AA4313" s="2" t="s">
        <v>75</v>
      </c>
      <c r="AB4313" s="2" t="s">
        <v>76</v>
      </c>
      <c r="AC4313" s="2" t="s">
        <v>1038</v>
      </c>
      <c r="AK4313" s="2">
        <f t="shared" si="759"/>
        <v>118.86000000000001</v>
      </c>
      <c r="AL4313" s="5">
        <f t="shared" si="767"/>
        <v>0.42450000000000004</v>
      </c>
    </row>
    <row r="4314" spans="1:38" x14ac:dyDescent="0.2">
      <c r="A4314" s="2">
        <v>2026</v>
      </c>
      <c r="B4314" s="2">
        <v>7</v>
      </c>
      <c r="C4314" s="2" t="s">
        <v>3293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4"/>
        <v>0.34040000000000004</v>
      </c>
      <c r="V4314" s="2">
        <f t="shared" si="765"/>
        <v>1.8204</v>
      </c>
      <c r="W4314" s="2">
        <v>1.48</v>
      </c>
      <c r="X4314" s="5">
        <f t="shared" si="766"/>
        <v>0</v>
      </c>
      <c r="Z4314" s="2" t="s">
        <v>3226</v>
      </c>
      <c r="AA4314" s="2" t="s">
        <v>96</v>
      </c>
      <c r="AB4314" s="2" t="s">
        <v>76</v>
      </c>
      <c r="AC4314" s="2" t="s">
        <v>93</v>
      </c>
      <c r="AK4314" s="2">
        <f t="shared" si="759"/>
        <v>0</v>
      </c>
      <c r="AL4314" s="5">
        <f t="shared" si="767"/>
        <v>0</v>
      </c>
    </row>
    <row r="4315" spans="1:38" x14ac:dyDescent="0.2">
      <c r="A4315" s="2">
        <v>2026</v>
      </c>
      <c r="B4315" s="2">
        <v>7</v>
      </c>
      <c r="C4315" s="2" t="s">
        <v>3292</v>
      </c>
      <c r="D4315" s="15" t="s">
        <v>1355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1356</v>
      </c>
      <c r="L4315" s="2" t="s">
        <v>418</v>
      </c>
      <c r="M4315" s="2" t="s">
        <v>40</v>
      </c>
      <c r="P4315" s="2" t="s">
        <v>282</v>
      </c>
      <c r="Q4315" s="16" t="s">
        <v>2996</v>
      </c>
      <c r="R4315" s="15" t="s">
        <v>2997</v>
      </c>
      <c r="S4315" s="13">
        <v>1</v>
      </c>
      <c r="T4315" s="14">
        <v>1190</v>
      </c>
      <c r="U4315" s="2">
        <f t="shared" si="764"/>
        <v>273.7</v>
      </c>
      <c r="V4315" s="2">
        <f t="shared" si="765"/>
        <v>1463.7</v>
      </c>
      <c r="W4315" s="2">
        <v>773.5</v>
      </c>
      <c r="X4315" s="5">
        <f t="shared" si="766"/>
        <v>0.35</v>
      </c>
      <c r="Z4315" s="2" t="s">
        <v>117</v>
      </c>
      <c r="AA4315" s="2" t="s">
        <v>181</v>
      </c>
      <c r="AB4315" s="2" t="s">
        <v>3379</v>
      </c>
      <c r="AC4315" s="2" t="s">
        <v>1327</v>
      </c>
      <c r="AK4315" s="2">
        <f t="shared" si="759"/>
        <v>416.5</v>
      </c>
      <c r="AL4315" s="5">
        <f t="shared" si="767"/>
        <v>0.35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4"/>
        <v>41.4</v>
      </c>
      <c r="V4316" s="2">
        <f t="shared" si="765"/>
        <v>221.4</v>
      </c>
      <c r="W4316" s="2">
        <v>125.51600000000001</v>
      </c>
      <c r="X4316" s="5">
        <f t="shared" si="766"/>
        <v>0.30268888888888884</v>
      </c>
      <c r="Z4316" s="2" t="s">
        <v>3226</v>
      </c>
      <c r="AA4316" s="2" t="s">
        <v>75</v>
      </c>
      <c r="AB4316" s="2" t="s">
        <v>76</v>
      </c>
      <c r="AC4316" s="2" t="s">
        <v>77</v>
      </c>
      <c r="AK4316" s="2">
        <f t="shared" si="759"/>
        <v>54.483999999999995</v>
      </c>
      <c r="AL4316" s="5">
        <f t="shared" si="767"/>
        <v>0.30268888888888884</v>
      </c>
    </row>
    <row r="4317" spans="1:38" x14ac:dyDescent="0.2">
      <c r="A4317" s="2">
        <v>2026</v>
      </c>
      <c r="B4317" s="2">
        <v>7</v>
      </c>
      <c r="C4317" s="2" t="s">
        <v>3293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4"/>
        <v>0.34040000000000004</v>
      </c>
      <c r="V4317" s="2">
        <f t="shared" si="765"/>
        <v>1.8204</v>
      </c>
      <c r="W4317" s="2">
        <v>1.48</v>
      </c>
      <c r="X4317" s="5">
        <f t="shared" si="766"/>
        <v>0</v>
      </c>
      <c r="Z4317" s="2" t="s">
        <v>3226</v>
      </c>
      <c r="AA4317" s="2" t="s">
        <v>96</v>
      </c>
      <c r="AB4317" s="2" t="s">
        <v>76</v>
      </c>
      <c r="AC4317" s="2" t="s">
        <v>93</v>
      </c>
      <c r="AK4317" s="2">
        <f t="shared" si="759"/>
        <v>0</v>
      </c>
      <c r="AL4317" s="5">
        <f t="shared" si="767"/>
        <v>0</v>
      </c>
    </row>
    <row r="4318" spans="1:38" x14ac:dyDescent="0.2">
      <c r="A4318" s="2">
        <v>2026</v>
      </c>
      <c r="B4318" s="2">
        <v>7</v>
      </c>
      <c r="C4318" s="2" t="s">
        <v>3293</v>
      </c>
      <c r="D4318" s="15" t="s">
        <v>2557</v>
      </c>
      <c r="E4318" s="2" t="s">
        <v>108</v>
      </c>
      <c r="F4318" s="2" t="s">
        <v>717</v>
      </c>
      <c r="G4318" s="2">
        <v>500228264</v>
      </c>
      <c r="H4318" s="2" t="s">
        <v>109</v>
      </c>
      <c r="I4318" s="2" t="s">
        <v>2937</v>
      </c>
      <c r="J4318" s="2" t="s">
        <v>2938</v>
      </c>
      <c r="K4318" s="2">
        <v>962004672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4"/>
        <v>52.900000000000006</v>
      </c>
      <c r="V4318" s="2">
        <f t="shared" si="765"/>
        <v>282.89999999999998</v>
      </c>
      <c r="W4318" s="2">
        <v>135.68</v>
      </c>
      <c r="X4318" s="5">
        <f t="shared" si="766"/>
        <v>0.4100869565217391</v>
      </c>
      <c r="Z4318" s="2" t="s">
        <v>3226</v>
      </c>
      <c r="AA4318" s="2" t="s">
        <v>75</v>
      </c>
      <c r="AB4318" s="2" t="s">
        <v>76</v>
      </c>
      <c r="AC4318" s="2" t="s">
        <v>77</v>
      </c>
      <c r="AK4318" s="2">
        <f t="shared" si="759"/>
        <v>94.32</v>
      </c>
      <c r="AL4318" s="5">
        <f t="shared" si="767"/>
        <v>0.4100869565217391</v>
      </c>
    </row>
    <row r="4319" spans="1:38" x14ac:dyDescent="0.2">
      <c r="A4319" s="2">
        <v>2026</v>
      </c>
      <c r="B4319" s="2">
        <v>7</v>
      </c>
      <c r="C4319" s="2" t="s">
        <v>3293</v>
      </c>
      <c r="D4319" s="15" t="s">
        <v>2557</v>
      </c>
      <c r="E4319" s="2" t="s">
        <v>108</v>
      </c>
      <c r="F4319" s="2" t="s">
        <v>717</v>
      </c>
      <c r="G4319" s="2">
        <v>500228264</v>
      </c>
      <c r="H4319" s="2" t="s">
        <v>109</v>
      </c>
      <c r="I4319" s="2" t="s">
        <v>2937</v>
      </c>
      <c r="J4319" s="2" t="s">
        <v>2938</v>
      </c>
      <c r="K4319" s="2">
        <v>962004672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4"/>
        <v>0.34040000000000004</v>
      </c>
      <c r="V4319" s="2">
        <f t="shared" si="765"/>
        <v>1.8204</v>
      </c>
      <c r="W4319" s="2">
        <v>1.48</v>
      </c>
      <c r="X4319" s="5">
        <f t="shared" si="766"/>
        <v>0</v>
      </c>
      <c r="Z4319" s="2" t="s">
        <v>3226</v>
      </c>
      <c r="AA4319" s="2" t="s">
        <v>96</v>
      </c>
      <c r="AB4319" s="2" t="s">
        <v>76</v>
      </c>
      <c r="AC4319" s="2" t="s">
        <v>93</v>
      </c>
      <c r="AK4319" s="2">
        <f t="shared" si="759"/>
        <v>0</v>
      </c>
      <c r="AL4319" s="5">
        <f t="shared" si="767"/>
        <v>0</v>
      </c>
    </row>
    <row r="4320" spans="1:38" x14ac:dyDescent="0.2">
      <c r="A4320" s="2">
        <v>2026</v>
      </c>
      <c r="B4320" s="2">
        <v>7</v>
      </c>
      <c r="C4320" s="2" t="s">
        <v>3292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3345</v>
      </c>
      <c r="R4320" s="15" t="s">
        <v>3346</v>
      </c>
      <c r="S4320" s="13">
        <v>1</v>
      </c>
      <c r="T4320" s="14">
        <v>37.6</v>
      </c>
      <c r="U4320" s="2">
        <f t="shared" si="764"/>
        <v>8.6480000000000015</v>
      </c>
      <c r="V4320" s="2">
        <f t="shared" si="765"/>
        <v>46.248000000000005</v>
      </c>
      <c r="W4320" s="2">
        <v>21.71</v>
      </c>
      <c r="X4320" s="5">
        <f t="shared" si="766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9"/>
        <v>15.89</v>
      </c>
      <c r="AL4320" s="5">
        <f t="shared" si="767"/>
        <v>0.42260638297872338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4"/>
        <v>13.8</v>
      </c>
      <c r="V4321" s="2">
        <f t="shared" si="765"/>
        <v>73.8</v>
      </c>
      <c r="W4321" s="2">
        <f>T4321*40%</f>
        <v>24</v>
      </c>
      <c r="X4321" s="5">
        <f t="shared" si="766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9"/>
        <v>36</v>
      </c>
      <c r="AL4321" s="5">
        <f t="shared" si="767"/>
        <v>0.6</v>
      </c>
    </row>
    <row r="4322" spans="1:38" x14ac:dyDescent="0.2">
      <c r="A4322" s="2">
        <v>2026</v>
      </c>
      <c r="B4322" s="2">
        <v>7</v>
      </c>
      <c r="C4322" s="2" t="s">
        <v>3293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4"/>
        <v>12.65</v>
      </c>
      <c r="V4322" s="2">
        <f t="shared" si="765"/>
        <v>67.650000000000006</v>
      </c>
      <c r="W4322" s="2">
        <f>T4322*50%</f>
        <v>27.5</v>
      </c>
      <c r="X4322" s="5">
        <f t="shared" si="766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9"/>
        <v>27.5</v>
      </c>
      <c r="AL4322" s="5">
        <f t="shared" si="767"/>
        <v>0.5</v>
      </c>
    </row>
    <row r="4323" spans="1:38" x14ac:dyDescent="0.2">
      <c r="A4323" s="2">
        <v>2026</v>
      </c>
      <c r="B4323" s="2">
        <v>7</v>
      </c>
      <c r="C4323" s="2" t="s">
        <v>3292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4"/>
        <v>1.84</v>
      </c>
      <c r="V4323" s="2">
        <f t="shared" si="765"/>
        <v>9.84</v>
      </c>
      <c r="W4323" s="2">
        <v>6</v>
      </c>
      <c r="X4323" s="5">
        <f t="shared" si="766"/>
        <v>0.25</v>
      </c>
      <c r="Z4323" s="2" t="s">
        <v>169</v>
      </c>
      <c r="AA4323" s="2" t="s">
        <v>169</v>
      </c>
      <c r="AK4323" s="2">
        <f t="shared" si="759"/>
        <v>2</v>
      </c>
      <c r="AL4323" s="5">
        <f t="shared" si="767"/>
        <v>0.25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1994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3272</v>
      </c>
      <c r="R4324" s="15" t="s">
        <v>307</v>
      </c>
      <c r="S4324" s="13">
        <v>1</v>
      </c>
      <c r="T4324" s="14">
        <v>240</v>
      </c>
      <c r="U4324" s="2">
        <f t="shared" si="764"/>
        <v>55.2</v>
      </c>
      <c r="V4324" s="2">
        <f t="shared" si="765"/>
        <v>295.2</v>
      </c>
      <c r="W4324" s="2">
        <v>119.95</v>
      </c>
      <c r="X4324" s="5">
        <f t="shared" si="766"/>
        <v>0.50020833333333337</v>
      </c>
      <c r="Z4324" s="2" t="s">
        <v>3226</v>
      </c>
      <c r="AA4324" s="2" t="s">
        <v>75</v>
      </c>
      <c r="AB4324" s="2" t="s">
        <v>76</v>
      </c>
      <c r="AC4324" s="2" t="s">
        <v>77</v>
      </c>
      <c r="AK4324" s="2">
        <f t="shared" si="759"/>
        <v>120.05</v>
      </c>
      <c r="AL4324" s="5">
        <f t="shared" si="767"/>
        <v>0.50020833333333337</v>
      </c>
    </row>
    <row r="4325" spans="1:38" x14ac:dyDescent="0.2">
      <c r="A4325" s="2">
        <v>2026</v>
      </c>
      <c r="B4325" s="2">
        <v>7</v>
      </c>
      <c r="C4325" s="2" t="s">
        <v>3293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4"/>
        <v>0.34040000000000004</v>
      </c>
      <c r="V4325" s="2">
        <f t="shared" si="765"/>
        <v>1.8204</v>
      </c>
      <c r="W4325" s="2">
        <v>1.48</v>
      </c>
      <c r="X4325" s="5">
        <f t="shared" si="766"/>
        <v>0</v>
      </c>
      <c r="Z4325" s="2" t="s">
        <v>3226</v>
      </c>
      <c r="AA4325" s="2" t="s">
        <v>96</v>
      </c>
      <c r="AB4325" s="2" t="s">
        <v>76</v>
      </c>
      <c r="AC4325" s="2" t="s">
        <v>93</v>
      </c>
      <c r="AK4325" s="2">
        <f t="shared" si="759"/>
        <v>0</v>
      </c>
      <c r="AL4325" s="5">
        <f t="shared" si="767"/>
        <v>0</v>
      </c>
    </row>
    <row r="4326" spans="1:38" x14ac:dyDescent="0.2">
      <c r="A4326" s="2">
        <v>2026</v>
      </c>
      <c r="B4326" s="2">
        <v>7</v>
      </c>
      <c r="C4326" s="2" t="s">
        <v>3293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4"/>
        <v>46</v>
      </c>
      <c r="V4326" s="2">
        <f t="shared" si="765"/>
        <v>246</v>
      </c>
      <c r="W4326" s="2">
        <v>124.6</v>
      </c>
      <c r="X4326" s="5">
        <f t="shared" si="766"/>
        <v>0.377</v>
      </c>
      <c r="Z4326" s="2" t="s">
        <v>3226</v>
      </c>
      <c r="AA4326" s="2" t="s">
        <v>75</v>
      </c>
      <c r="AB4326" s="2" t="s">
        <v>76</v>
      </c>
      <c r="AC4326" s="2" t="s">
        <v>77</v>
      </c>
      <c r="AK4326" s="2">
        <f t="shared" si="759"/>
        <v>75.400000000000006</v>
      </c>
      <c r="AL4326" s="5">
        <f t="shared" si="767"/>
        <v>0.377</v>
      </c>
    </row>
    <row r="4327" spans="1:38" x14ac:dyDescent="0.2">
      <c r="A4327" s="2">
        <v>2026</v>
      </c>
      <c r="B4327" s="2">
        <v>7</v>
      </c>
      <c r="C4327" s="2" t="s">
        <v>3293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4"/>
        <v>0.34040000000000004</v>
      </c>
      <c r="V4327" s="2">
        <f t="shared" si="765"/>
        <v>1.8204</v>
      </c>
      <c r="W4327" s="2">
        <v>1.48</v>
      </c>
      <c r="X4327" s="5">
        <f t="shared" si="766"/>
        <v>0</v>
      </c>
      <c r="Z4327" s="2" t="s">
        <v>3226</v>
      </c>
      <c r="AA4327" s="2" t="s">
        <v>96</v>
      </c>
      <c r="AB4327" s="2" t="s">
        <v>76</v>
      </c>
      <c r="AC4327" s="2" t="s">
        <v>93</v>
      </c>
      <c r="AK4327" s="2">
        <f t="shared" si="759"/>
        <v>0</v>
      </c>
      <c r="AL4327" s="5">
        <f t="shared" si="767"/>
        <v>0</v>
      </c>
    </row>
    <row r="4328" spans="1:38" x14ac:dyDescent="0.2">
      <c r="A4328" s="2">
        <v>2026</v>
      </c>
      <c r="B4328" s="2">
        <v>7</v>
      </c>
      <c r="C4328" s="2" t="s">
        <v>3293</v>
      </c>
      <c r="D4328" s="15" t="s">
        <v>3333</v>
      </c>
      <c r="E4328" s="2" t="s">
        <v>3375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1286</v>
      </c>
      <c r="R4328" s="15" t="s">
        <v>1287</v>
      </c>
      <c r="S4328" s="13">
        <v>1</v>
      </c>
      <c r="T4328" s="14">
        <v>2000</v>
      </c>
      <c r="U4328" s="2">
        <f t="shared" si="764"/>
        <v>460</v>
      </c>
      <c r="V4328" s="2">
        <f t="shared" si="765"/>
        <v>2460</v>
      </c>
      <c r="W4328" s="2">
        <v>1150</v>
      </c>
      <c r="X4328" s="5">
        <f t="shared" si="766"/>
        <v>0.42499999999999999</v>
      </c>
      <c r="Z4328" s="2" t="s">
        <v>104</v>
      </c>
      <c r="AA4328" s="2" t="s">
        <v>1574</v>
      </c>
      <c r="AB4328" s="2" t="s">
        <v>388</v>
      </c>
      <c r="AC4328" s="2" t="s">
        <v>1327</v>
      </c>
      <c r="AK4328" s="2">
        <f t="shared" si="759"/>
        <v>850</v>
      </c>
      <c r="AL4328" s="5">
        <f t="shared" si="767"/>
        <v>0.42499999999999999</v>
      </c>
    </row>
    <row r="4329" spans="1:38" x14ac:dyDescent="0.2">
      <c r="A4329" s="2">
        <v>2026</v>
      </c>
      <c r="B4329" s="2">
        <v>7</v>
      </c>
      <c r="C4329" s="2" t="s">
        <v>3293</v>
      </c>
      <c r="D4329" s="15" t="s">
        <v>3333</v>
      </c>
      <c r="E4329" s="2" t="s">
        <v>3375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4"/>
        <v>0</v>
      </c>
      <c r="V4329" s="2">
        <f t="shared" si="765"/>
        <v>0</v>
      </c>
      <c r="W4329" s="2">
        <v>0</v>
      </c>
      <c r="X4329" s="5">
        <v>0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59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3293</v>
      </c>
      <c r="D4330" s="15" t="s">
        <v>3333</v>
      </c>
      <c r="E4330" s="2" t="s">
        <v>3375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1288</v>
      </c>
      <c r="R4330" s="15" t="s">
        <v>1289</v>
      </c>
      <c r="S4330" s="13">
        <v>1</v>
      </c>
      <c r="T4330" s="14">
        <v>0</v>
      </c>
      <c r="U4330" s="2">
        <f t="shared" si="764"/>
        <v>0</v>
      </c>
      <c r="V4330" s="2">
        <f t="shared" si="765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59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3293</v>
      </c>
      <c r="D4331" s="15" t="s">
        <v>2944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3347</v>
      </c>
      <c r="R4331" s="15" t="s">
        <v>74</v>
      </c>
      <c r="S4331" s="13">
        <v>1</v>
      </c>
      <c r="T4331" s="14">
        <v>270</v>
      </c>
      <c r="U4331" s="2">
        <f t="shared" si="764"/>
        <v>62.1</v>
      </c>
      <c r="V4331" s="2">
        <f t="shared" si="765"/>
        <v>332.1</v>
      </c>
      <c r="W4331" s="2">
        <f>118.44+11.7</f>
        <v>130.13999999999999</v>
      </c>
      <c r="X4331" s="5">
        <f t="shared" ref="X4331:X4355" si="768">(T4331-W4331)/T4331</f>
        <v>0.51800000000000002</v>
      </c>
      <c r="Z4331" s="2" t="s">
        <v>3226</v>
      </c>
      <c r="AA4331" s="2" t="s">
        <v>75</v>
      </c>
      <c r="AB4331" s="2" t="s">
        <v>76</v>
      </c>
      <c r="AC4331" s="2" t="s">
        <v>77</v>
      </c>
      <c r="AK4331" s="2">
        <f t="shared" si="759"/>
        <v>139.86000000000001</v>
      </c>
      <c r="AL4331" s="5">
        <f t="shared" ref="AL4331:AL4355" si="769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3293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4"/>
        <v>0.34040000000000004</v>
      </c>
      <c r="V4332" s="2">
        <f t="shared" si="765"/>
        <v>1.8204</v>
      </c>
      <c r="W4332" s="2">
        <v>1.48</v>
      </c>
      <c r="X4332" s="5">
        <f t="shared" si="768"/>
        <v>0</v>
      </c>
      <c r="Z4332" s="2" t="s">
        <v>3226</v>
      </c>
      <c r="AA4332" s="2" t="s">
        <v>96</v>
      </c>
      <c r="AB4332" s="2" t="s">
        <v>76</v>
      </c>
      <c r="AC4332" s="2" t="s">
        <v>93</v>
      </c>
      <c r="AK4332" s="2">
        <f t="shared" si="759"/>
        <v>0</v>
      </c>
      <c r="AL4332" s="5">
        <f t="shared" si="769"/>
        <v>0</v>
      </c>
    </row>
    <row r="4333" spans="1:38" x14ac:dyDescent="0.2">
      <c r="A4333" s="2">
        <v>2026</v>
      </c>
      <c r="B4333" s="2">
        <v>7</v>
      </c>
      <c r="C4333" s="2" t="s">
        <v>3293</v>
      </c>
      <c r="D4333" s="15" t="s">
        <v>1228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4"/>
        <v>16.79</v>
      </c>
      <c r="V4333" s="2">
        <f t="shared" si="765"/>
        <v>89.789999999999992</v>
      </c>
      <c r="W4333" s="2">
        <f>T4333*40%</f>
        <v>29.200000000000003</v>
      </c>
      <c r="X4333" s="5">
        <f t="shared" si="768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9"/>
        <v>43.8</v>
      </c>
      <c r="AL4333" s="5">
        <f t="shared" si="769"/>
        <v>0.6</v>
      </c>
    </row>
    <row r="4334" spans="1:38" x14ac:dyDescent="0.2">
      <c r="A4334" s="2">
        <v>2026</v>
      </c>
      <c r="B4334" s="2">
        <v>7</v>
      </c>
      <c r="C4334" s="2" t="s">
        <v>3293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4"/>
        <v>12.65</v>
      </c>
      <c r="V4334" s="2">
        <f t="shared" si="765"/>
        <v>67.650000000000006</v>
      </c>
      <c r="W4334" s="2">
        <f>T4334*50%</f>
        <v>27.5</v>
      </c>
      <c r="X4334" s="5">
        <f t="shared" si="768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9"/>
        <v>27.5</v>
      </c>
      <c r="AL4334" s="5">
        <f t="shared" si="769"/>
        <v>0.5</v>
      </c>
    </row>
    <row r="4335" spans="1:38" x14ac:dyDescent="0.2">
      <c r="A4335" s="2">
        <v>2026</v>
      </c>
      <c r="B4335" s="2">
        <v>7</v>
      </c>
      <c r="C4335" s="2" t="s">
        <v>3293</v>
      </c>
      <c r="D4335" s="15" t="s">
        <v>1553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1554</v>
      </c>
      <c r="J4335" s="2" t="s">
        <v>1555</v>
      </c>
      <c r="L4335" s="2" t="s">
        <v>177</v>
      </c>
      <c r="M4335" s="2" t="s">
        <v>41</v>
      </c>
      <c r="P4335" s="2" t="s">
        <v>72</v>
      </c>
      <c r="Q4335" s="16" t="s">
        <v>3347</v>
      </c>
      <c r="R4335" s="15" t="s">
        <v>74</v>
      </c>
      <c r="S4335" s="13">
        <v>1</v>
      </c>
      <c r="T4335" s="14">
        <v>220</v>
      </c>
      <c r="U4335" s="2">
        <f t="shared" si="764"/>
        <v>50.6</v>
      </c>
      <c r="V4335" s="2">
        <f t="shared" si="765"/>
        <v>270.60000000000002</v>
      </c>
      <c r="W4335" s="2">
        <f>118.44+11.7</f>
        <v>130.13999999999999</v>
      </c>
      <c r="X4335" s="5">
        <f t="shared" si="768"/>
        <v>0.40845454545454551</v>
      </c>
      <c r="Z4335" s="2" t="s">
        <v>3226</v>
      </c>
      <c r="AA4335" s="2" t="s">
        <v>75</v>
      </c>
      <c r="AB4335" s="2" t="s">
        <v>76</v>
      </c>
      <c r="AC4335" s="2" t="s">
        <v>77</v>
      </c>
      <c r="AK4335" s="2">
        <f t="shared" si="759"/>
        <v>89.860000000000014</v>
      </c>
      <c r="AL4335" s="5">
        <f t="shared" si="769"/>
        <v>0.40845454545454551</v>
      </c>
    </row>
    <row r="4336" spans="1:38" x14ac:dyDescent="0.2">
      <c r="A4336" s="2">
        <v>2026</v>
      </c>
      <c r="B4336" s="2">
        <v>7</v>
      </c>
      <c r="C4336" s="2" t="s">
        <v>3293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4"/>
        <v>0.34040000000000004</v>
      </c>
      <c r="V4336" s="2">
        <f t="shared" si="765"/>
        <v>1.8204</v>
      </c>
      <c r="W4336" s="2">
        <v>1.48</v>
      </c>
      <c r="X4336" s="5">
        <f t="shared" si="768"/>
        <v>0</v>
      </c>
      <c r="Z4336" s="2" t="s">
        <v>3226</v>
      </c>
      <c r="AA4336" s="2" t="s">
        <v>96</v>
      </c>
      <c r="AB4336" s="2" t="s">
        <v>76</v>
      </c>
      <c r="AC4336" s="2" t="s">
        <v>93</v>
      </c>
      <c r="AK4336" s="2">
        <f t="shared" si="759"/>
        <v>0</v>
      </c>
      <c r="AL4336" s="5">
        <f t="shared" si="769"/>
        <v>0</v>
      </c>
    </row>
    <row r="4337" spans="1:38" x14ac:dyDescent="0.2">
      <c r="A4337" s="2">
        <v>2026</v>
      </c>
      <c r="B4337" s="2">
        <v>7</v>
      </c>
      <c r="C4337" s="2" t="s">
        <v>3293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3348</v>
      </c>
      <c r="R4337" s="15" t="s">
        <v>3349</v>
      </c>
      <c r="S4337" s="13">
        <v>1</v>
      </c>
      <c r="T4337" s="14">
        <v>59.17</v>
      </c>
      <c r="U4337" s="2">
        <f t="shared" si="764"/>
        <v>13.609100000000002</v>
      </c>
      <c r="V4337" s="2">
        <f t="shared" si="765"/>
        <v>72.7791</v>
      </c>
      <c r="W4337" s="2">
        <v>28.25</v>
      </c>
      <c r="X4337" s="5">
        <f t="shared" si="768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9"/>
        <v>30.92</v>
      </c>
      <c r="AL4337" s="5">
        <f t="shared" si="769"/>
        <v>0.52256210917694779</v>
      </c>
    </row>
    <row r="4338" spans="1:38" x14ac:dyDescent="0.2">
      <c r="A4338" s="2">
        <v>2026</v>
      </c>
      <c r="B4338" s="2">
        <v>7</v>
      </c>
      <c r="C4338" s="2" t="s">
        <v>3293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4"/>
        <v>13.8</v>
      </c>
      <c r="V4338" s="2">
        <f t="shared" si="765"/>
        <v>73.8</v>
      </c>
      <c r="W4338" s="2">
        <f>T4338*40%</f>
        <v>24</v>
      </c>
      <c r="X4338" s="5">
        <f t="shared" si="768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9"/>
        <v>36</v>
      </c>
      <c r="AL4338" s="5">
        <f t="shared" si="769"/>
        <v>0.6</v>
      </c>
    </row>
    <row r="4339" spans="1:38" x14ac:dyDescent="0.2">
      <c r="A4339" s="2">
        <v>2026</v>
      </c>
      <c r="B4339" s="2">
        <v>7</v>
      </c>
      <c r="C4339" s="2" t="s">
        <v>3437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4"/>
        <v>12.65</v>
      </c>
      <c r="V4339" s="2">
        <f t="shared" si="765"/>
        <v>67.650000000000006</v>
      </c>
      <c r="W4339" s="2">
        <f>T4339*50%</f>
        <v>27.5</v>
      </c>
      <c r="X4339" s="5">
        <f t="shared" si="768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9"/>
        <v>27.5</v>
      </c>
      <c r="AL4339" s="5">
        <f t="shared" si="769"/>
        <v>0.5</v>
      </c>
    </row>
    <row r="4340" spans="1:38" x14ac:dyDescent="0.2">
      <c r="A4340" s="2">
        <v>2026</v>
      </c>
      <c r="B4340" s="2">
        <v>7</v>
      </c>
      <c r="C4340" s="2" t="s">
        <v>3437</v>
      </c>
      <c r="D4340" s="15" t="s">
        <v>1376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4"/>
        <v>50.6</v>
      </c>
      <c r="V4340" s="2">
        <f t="shared" si="765"/>
        <v>270.60000000000002</v>
      </c>
      <c r="W4340" s="2">
        <v>125.51600000000001</v>
      </c>
      <c r="X4340" s="5">
        <f t="shared" si="768"/>
        <v>0.42947272727272723</v>
      </c>
      <c r="Z4340" s="2" t="s">
        <v>3226</v>
      </c>
      <c r="AA4340" s="2" t="s">
        <v>75</v>
      </c>
      <c r="AB4340" s="2" t="s">
        <v>76</v>
      </c>
      <c r="AC4340" s="2" t="s">
        <v>77</v>
      </c>
      <c r="AK4340" s="2">
        <f t="shared" ref="AK4340:AK4403" si="770">T4340-W4340</f>
        <v>94.483999999999995</v>
      </c>
      <c r="AL4340" s="5">
        <f t="shared" si="769"/>
        <v>0.42947272727272723</v>
      </c>
    </row>
    <row r="4341" spans="1:38" x14ac:dyDescent="0.2">
      <c r="A4341" s="2">
        <v>2026</v>
      </c>
      <c r="B4341" s="2">
        <v>7</v>
      </c>
      <c r="C4341" s="2" t="s">
        <v>3437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4"/>
        <v>0.34040000000000004</v>
      </c>
      <c r="V4341" s="2">
        <f t="shared" si="765"/>
        <v>1.8204</v>
      </c>
      <c r="W4341" s="2">
        <v>1.48</v>
      </c>
      <c r="X4341" s="5">
        <f t="shared" si="768"/>
        <v>0</v>
      </c>
      <c r="Z4341" s="2" t="s">
        <v>3226</v>
      </c>
      <c r="AA4341" s="2" t="s">
        <v>96</v>
      </c>
      <c r="AB4341" s="2" t="s">
        <v>76</v>
      </c>
      <c r="AC4341" s="2" t="s">
        <v>93</v>
      </c>
      <c r="AK4341" s="2">
        <f t="shared" si="770"/>
        <v>0</v>
      </c>
      <c r="AL4341" s="5">
        <f t="shared" si="769"/>
        <v>0</v>
      </c>
    </row>
    <row r="4342" spans="1:38" x14ac:dyDescent="0.2">
      <c r="A4342" s="2">
        <v>2026</v>
      </c>
      <c r="B4342" s="2">
        <v>7</v>
      </c>
      <c r="C4342" s="2" t="s">
        <v>3437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1">T4342*23%</f>
        <v>50.6</v>
      </c>
      <c r="V4342" s="2">
        <f t="shared" ref="V4342:V4373" si="772">T4342+U4342</f>
        <v>270.60000000000002</v>
      </c>
      <c r="W4342" s="2">
        <v>125.51600000000001</v>
      </c>
      <c r="X4342" s="5">
        <f t="shared" si="768"/>
        <v>0.42947272727272723</v>
      </c>
      <c r="Z4342" s="2" t="s">
        <v>3226</v>
      </c>
      <c r="AA4342" s="2" t="s">
        <v>75</v>
      </c>
      <c r="AB4342" s="2" t="s">
        <v>76</v>
      </c>
      <c r="AC4342" s="2" t="s">
        <v>77</v>
      </c>
      <c r="AK4342" s="2">
        <f t="shared" si="770"/>
        <v>94.483999999999995</v>
      </c>
      <c r="AL4342" s="5">
        <f t="shared" si="769"/>
        <v>0.42947272727272723</v>
      </c>
    </row>
    <row r="4343" spans="1:38" x14ac:dyDescent="0.2">
      <c r="A4343" s="2">
        <v>2026</v>
      </c>
      <c r="B4343" s="2">
        <v>7</v>
      </c>
      <c r="C4343" s="2" t="s">
        <v>3437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1"/>
        <v>0.34040000000000004</v>
      </c>
      <c r="V4343" s="2">
        <f t="shared" si="772"/>
        <v>1.8204</v>
      </c>
      <c r="W4343" s="2">
        <v>1.48</v>
      </c>
      <c r="X4343" s="5">
        <f t="shared" si="768"/>
        <v>0</v>
      </c>
      <c r="Z4343" s="2" t="s">
        <v>3226</v>
      </c>
      <c r="AA4343" s="2" t="s">
        <v>96</v>
      </c>
      <c r="AB4343" s="2" t="s">
        <v>76</v>
      </c>
      <c r="AC4343" s="2" t="s">
        <v>93</v>
      </c>
      <c r="AK4343" s="2">
        <f t="shared" si="770"/>
        <v>0</v>
      </c>
      <c r="AL4343" s="5">
        <f t="shared" si="769"/>
        <v>0</v>
      </c>
    </row>
    <row r="4344" spans="1:38" x14ac:dyDescent="0.2">
      <c r="A4344" s="2">
        <v>2026</v>
      </c>
      <c r="B4344" s="2">
        <v>7</v>
      </c>
      <c r="C4344" s="2" t="s">
        <v>3292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1386</v>
      </c>
      <c r="R4344" s="15" t="s">
        <v>1387</v>
      </c>
      <c r="S4344" s="13">
        <v>1</v>
      </c>
      <c r="T4344" s="14">
        <v>508.68</v>
      </c>
      <c r="U4344" s="2">
        <f t="shared" si="771"/>
        <v>116.99640000000001</v>
      </c>
      <c r="V4344" s="2">
        <f t="shared" si="772"/>
        <v>625.67640000000006</v>
      </c>
      <c r="W4344" s="2">
        <v>178.3383</v>
      </c>
      <c r="X4344" s="5">
        <f t="shared" si="768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70"/>
        <v>330.3417</v>
      </c>
      <c r="AL4344" s="5">
        <f t="shared" si="769"/>
        <v>0.64940964850200522</v>
      </c>
    </row>
    <row r="4345" spans="1:38" x14ac:dyDescent="0.2">
      <c r="A4345" s="2">
        <v>2026</v>
      </c>
      <c r="B4345" s="2">
        <v>7</v>
      </c>
      <c r="C4345" s="2" t="s">
        <v>3292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1"/>
        <v>20.851800000000001</v>
      </c>
      <c r="V4345" s="2">
        <f t="shared" si="772"/>
        <v>111.51179999999999</v>
      </c>
      <c r="W4345" s="2">
        <v>30.61</v>
      </c>
      <c r="X4345" s="5">
        <f t="shared" si="768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70"/>
        <v>60.05</v>
      </c>
      <c r="AL4345" s="5">
        <f t="shared" si="769"/>
        <v>0.66236487977057135</v>
      </c>
    </row>
    <row r="4346" spans="1:38" x14ac:dyDescent="0.2">
      <c r="A4346" s="2">
        <v>2026</v>
      </c>
      <c r="B4346" s="2">
        <v>7</v>
      </c>
      <c r="C4346" s="2" t="s">
        <v>3292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1"/>
        <v>84.64</v>
      </c>
      <c r="V4346" s="2">
        <f t="shared" si="772"/>
        <v>452.64</v>
      </c>
      <c r="W4346" s="2">
        <f>T4346*40%</f>
        <v>147.20000000000002</v>
      </c>
      <c r="X4346" s="5">
        <f t="shared" si="768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70"/>
        <v>220.79999999999998</v>
      </c>
      <c r="AL4346" s="5">
        <f t="shared" si="769"/>
        <v>0.6</v>
      </c>
    </row>
    <row r="4347" spans="1:38" x14ac:dyDescent="0.2">
      <c r="A4347" s="2">
        <v>2026</v>
      </c>
      <c r="B4347" s="2">
        <v>7</v>
      </c>
      <c r="C4347" s="2" t="s">
        <v>3292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1"/>
        <v>50.6</v>
      </c>
      <c r="V4347" s="2">
        <f t="shared" si="772"/>
        <v>270.60000000000002</v>
      </c>
      <c r="W4347" s="2">
        <f>T4347*50%</f>
        <v>110</v>
      </c>
      <c r="X4347" s="5">
        <f t="shared" si="768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70"/>
        <v>110</v>
      </c>
      <c r="AL4347" s="5">
        <f t="shared" si="769"/>
        <v>0.5</v>
      </c>
    </row>
    <row r="4348" spans="1:38" x14ac:dyDescent="0.2">
      <c r="A4348" s="2">
        <v>2026</v>
      </c>
      <c r="B4348" s="2">
        <v>7</v>
      </c>
      <c r="C4348" s="2" t="s">
        <v>3437</v>
      </c>
      <c r="D4348" s="15" t="s">
        <v>2017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1"/>
        <v>17.25</v>
      </c>
      <c r="V4348" s="2">
        <f t="shared" si="772"/>
        <v>92.25</v>
      </c>
      <c r="W4348" s="2">
        <f>T4348*40%</f>
        <v>30</v>
      </c>
      <c r="X4348" s="5">
        <f t="shared" si="768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70"/>
        <v>45</v>
      </c>
      <c r="AL4348" s="5">
        <f t="shared" si="769"/>
        <v>0.6</v>
      </c>
    </row>
    <row r="4349" spans="1:38" x14ac:dyDescent="0.2">
      <c r="A4349" s="2">
        <v>2026</v>
      </c>
      <c r="B4349" s="2">
        <v>7</v>
      </c>
      <c r="C4349" s="2" t="s">
        <v>3437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1"/>
        <v>22.137499999999999</v>
      </c>
      <c r="V4349" s="2">
        <f t="shared" si="772"/>
        <v>118.3875</v>
      </c>
      <c r="W4349" s="2">
        <f>T4349*50%</f>
        <v>48.125</v>
      </c>
      <c r="X4349" s="5">
        <f t="shared" si="768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70"/>
        <v>48.125</v>
      </c>
      <c r="AL4349" s="5">
        <f t="shared" si="769"/>
        <v>0.5</v>
      </c>
    </row>
    <row r="4350" spans="1:38" x14ac:dyDescent="0.2">
      <c r="A4350" s="2">
        <v>2026</v>
      </c>
      <c r="B4350" s="2">
        <v>7</v>
      </c>
      <c r="C4350" s="2" t="s">
        <v>3437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1"/>
        <v>68.424999999999997</v>
      </c>
      <c r="V4350" s="2">
        <f t="shared" si="772"/>
        <v>365.92500000000001</v>
      </c>
      <c r="W4350" s="2">
        <f t="shared" ref="W4350:W4351" si="773">T4350*70%</f>
        <v>208.25</v>
      </c>
      <c r="X4350" s="5">
        <f t="shared" si="768"/>
        <v>0.3</v>
      </c>
      <c r="Z4350" s="2" t="s">
        <v>119</v>
      </c>
      <c r="AA4350" s="2" t="s">
        <v>3378</v>
      </c>
      <c r="AK4350" s="2">
        <f t="shared" si="770"/>
        <v>89.25</v>
      </c>
      <c r="AL4350" s="5">
        <f t="shared" si="769"/>
        <v>0.3</v>
      </c>
    </row>
    <row r="4351" spans="1:38" x14ac:dyDescent="0.2">
      <c r="A4351" s="2">
        <v>2026</v>
      </c>
      <c r="B4351" s="2">
        <v>7</v>
      </c>
      <c r="C4351" s="2" t="s">
        <v>3294</v>
      </c>
      <c r="D4351" s="15" t="s">
        <v>3334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1"/>
        <v>115</v>
      </c>
      <c r="V4351" s="2">
        <f t="shared" si="772"/>
        <v>615</v>
      </c>
      <c r="W4351" s="2">
        <f t="shared" si="773"/>
        <v>350</v>
      </c>
      <c r="X4351" s="5">
        <f t="shared" si="768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70"/>
        <v>150</v>
      </c>
      <c r="AL4351" s="5">
        <f t="shared" si="769"/>
        <v>0.3</v>
      </c>
    </row>
    <row r="4352" spans="1:38" x14ac:dyDescent="0.2">
      <c r="A4352" s="2">
        <v>2026</v>
      </c>
      <c r="B4352" s="2">
        <v>7</v>
      </c>
      <c r="C4352" s="2" t="s">
        <v>3292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1"/>
        <v>13.34</v>
      </c>
      <c r="V4352" s="2">
        <f t="shared" si="772"/>
        <v>71.34</v>
      </c>
      <c r="W4352" s="2">
        <f>14.5099*S4352</f>
        <v>29.0198</v>
      </c>
      <c r="X4352" s="5">
        <f t="shared" si="768"/>
        <v>0.49965862068965516</v>
      </c>
      <c r="Z4352" s="2" t="s">
        <v>3226</v>
      </c>
      <c r="AA4352" s="2" t="s">
        <v>46</v>
      </c>
      <c r="AB4352" s="2" t="s">
        <v>60</v>
      </c>
      <c r="AC4352" s="2" t="s">
        <v>3330</v>
      </c>
      <c r="AK4352" s="2">
        <f t="shared" si="770"/>
        <v>28.9802</v>
      </c>
      <c r="AL4352" s="5">
        <f t="shared" si="769"/>
        <v>0.49965862068965516</v>
      </c>
    </row>
    <row r="4353" spans="1:38" x14ac:dyDescent="0.2">
      <c r="A4353" s="2">
        <v>2026</v>
      </c>
      <c r="B4353" s="2">
        <v>7</v>
      </c>
      <c r="C4353" s="2" t="s">
        <v>3292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1"/>
        <v>22.080000000000002</v>
      </c>
      <c r="V4353" s="2">
        <f t="shared" si="772"/>
        <v>118.08</v>
      </c>
      <c r="W4353" s="2">
        <f>14.5099*S4353</f>
        <v>58.0396</v>
      </c>
      <c r="X4353" s="5">
        <f t="shared" si="768"/>
        <v>0.39542083333333333</v>
      </c>
      <c r="Z4353" s="2" t="s">
        <v>3226</v>
      </c>
      <c r="AA4353" s="2" t="s">
        <v>46</v>
      </c>
      <c r="AB4353" s="2" t="s">
        <v>60</v>
      </c>
      <c r="AC4353" s="2" t="s">
        <v>3330</v>
      </c>
      <c r="AK4353" s="2">
        <f t="shared" si="770"/>
        <v>37.9604</v>
      </c>
      <c r="AL4353" s="5">
        <f t="shared" si="769"/>
        <v>0.39542083333333333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1"/>
        <v>40.71</v>
      </c>
      <c r="V4354" s="2">
        <f t="shared" si="772"/>
        <v>217.71</v>
      </c>
      <c r="W4354" s="2">
        <f>T4354*40%</f>
        <v>70.8</v>
      </c>
      <c r="X4354" s="5">
        <f t="shared" si="768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70"/>
        <v>106.2</v>
      </c>
      <c r="AL4354" s="5">
        <f t="shared" si="769"/>
        <v>0.6</v>
      </c>
    </row>
    <row r="4355" spans="1:38" x14ac:dyDescent="0.2">
      <c r="A4355" s="2">
        <v>2026</v>
      </c>
      <c r="B4355" s="2">
        <v>7</v>
      </c>
      <c r="C4355" s="2" t="s">
        <v>3293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1"/>
        <v>12.65</v>
      </c>
      <c r="V4355" s="2">
        <f t="shared" si="772"/>
        <v>67.650000000000006</v>
      </c>
      <c r="W4355" s="2">
        <f>T4355*50%</f>
        <v>27.5</v>
      </c>
      <c r="X4355" s="5">
        <f t="shared" si="768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70"/>
        <v>27.5</v>
      </c>
      <c r="AL4355" s="5">
        <f t="shared" si="769"/>
        <v>0.5</v>
      </c>
    </row>
    <row r="4356" spans="1:38" x14ac:dyDescent="0.2">
      <c r="A4356" s="2">
        <v>2026</v>
      </c>
      <c r="B4356" s="2">
        <v>7</v>
      </c>
      <c r="C4356" s="2" t="s">
        <v>3293</v>
      </c>
      <c r="D4356" s="15" t="s">
        <v>1573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2647</v>
      </c>
      <c r="R4356" s="15" t="s">
        <v>2648</v>
      </c>
      <c r="S4356" s="13">
        <v>1</v>
      </c>
      <c r="T4356" s="14">
        <v>0</v>
      </c>
      <c r="U4356" s="2">
        <f t="shared" si="771"/>
        <v>0</v>
      </c>
      <c r="V4356" s="2">
        <f t="shared" si="772"/>
        <v>0</v>
      </c>
      <c r="W4356" s="2">
        <v>0</v>
      </c>
      <c r="X4356" s="5">
        <v>0</v>
      </c>
      <c r="Z4356" s="2" t="s">
        <v>104</v>
      </c>
      <c r="AA4356" s="2" t="s">
        <v>1574</v>
      </c>
      <c r="AB4356" s="2" t="s">
        <v>388</v>
      </c>
      <c r="AC4356" s="2" t="s">
        <v>1327</v>
      </c>
      <c r="AK4356" s="2">
        <f t="shared" si="770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3293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71"/>
        <v>0</v>
      </c>
      <c r="V4357" s="2">
        <f t="shared" si="772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70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3293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3350</v>
      </c>
      <c r="R4358" s="15" t="s">
        <v>3351</v>
      </c>
      <c r="S4358" s="13">
        <v>1</v>
      </c>
      <c r="T4358" s="14">
        <v>12000</v>
      </c>
      <c r="U4358" s="2">
        <f t="shared" si="771"/>
        <v>2760</v>
      </c>
      <c r="V4358" s="2">
        <f t="shared" si="772"/>
        <v>14760</v>
      </c>
      <c r="W4358" s="2">
        <f>10440+150</f>
        <v>10590</v>
      </c>
      <c r="X4358" s="5">
        <f t="shared" ref="X4358:X4389" si="774">(T4358-W4358)/T4358</f>
        <v>0.11749999999999999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70"/>
        <v>1410</v>
      </c>
      <c r="AL4358" s="5">
        <f t="shared" ref="AL4358:AL4389" si="775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3293</v>
      </c>
      <c r="D4359" s="15" t="s">
        <v>3335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1"/>
        <v>43.7</v>
      </c>
      <c r="V4359" s="2">
        <f t="shared" si="772"/>
        <v>233.7</v>
      </c>
      <c r="W4359" s="2">
        <v>125.51600000000001</v>
      </c>
      <c r="X4359" s="5">
        <f t="shared" si="774"/>
        <v>0.33938947368421052</v>
      </c>
      <c r="Z4359" s="2" t="s">
        <v>3226</v>
      </c>
      <c r="AA4359" s="2" t="s">
        <v>75</v>
      </c>
      <c r="AB4359" s="2" t="s">
        <v>76</v>
      </c>
      <c r="AC4359" s="2" t="s">
        <v>77</v>
      </c>
      <c r="AK4359" s="2">
        <f t="shared" si="770"/>
        <v>64.483999999999995</v>
      </c>
      <c r="AL4359" s="5">
        <f t="shared" si="775"/>
        <v>0.33938947368421052</v>
      </c>
    </row>
    <row r="4360" spans="1:38" x14ac:dyDescent="0.2">
      <c r="A4360" s="2">
        <v>2026</v>
      </c>
      <c r="B4360" s="2">
        <v>7</v>
      </c>
      <c r="C4360" s="2" t="s">
        <v>3293</v>
      </c>
      <c r="D4360" s="15" t="s">
        <v>3335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1"/>
        <v>0.34040000000000004</v>
      </c>
      <c r="V4360" s="2">
        <f t="shared" si="772"/>
        <v>1.8204</v>
      </c>
      <c r="W4360" s="2">
        <v>1.48</v>
      </c>
      <c r="X4360" s="5">
        <f t="shared" si="774"/>
        <v>0</v>
      </c>
      <c r="Z4360" s="2" t="s">
        <v>3226</v>
      </c>
      <c r="AA4360" s="2" t="s">
        <v>96</v>
      </c>
      <c r="AB4360" s="2" t="s">
        <v>76</v>
      </c>
      <c r="AC4360" s="2" t="s">
        <v>93</v>
      </c>
      <c r="AK4360" s="2">
        <f t="shared" si="770"/>
        <v>0</v>
      </c>
      <c r="AL4360" s="5">
        <f t="shared" si="775"/>
        <v>0</v>
      </c>
    </row>
    <row r="4361" spans="1:38" x14ac:dyDescent="0.2">
      <c r="A4361" s="2">
        <v>2026</v>
      </c>
      <c r="B4361" s="2">
        <v>7</v>
      </c>
      <c r="C4361" s="2" t="s">
        <v>3293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1"/>
        <v>18.075700000000001</v>
      </c>
      <c r="V4361" s="2">
        <f t="shared" si="772"/>
        <v>96.665700000000001</v>
      </c>
      <c r="W4361" s="2">
        <f>36.2258</f>
        <v>36.2258</v>
      </c>
      <c r="X4361" s="5">
        <f t="shared" si="774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70"/>
        <v>42.364200000000004</v>
      </c>
      <c r="AL4361" s="5">
        <f t="shared" si="775"/>
        <v>0.53905331467107775</v>
      </c>
    </row>
    <row r="4362" spans="1:38" x14ac:dyDescent="0.2">
      <c r="A4362" s="2">
        <v>2026</v>
      </c>
      <c r="B4362" s="2">
        <v>7</v>
      </c>
      <c r="C4362" s="2" t="s">
        <v>3293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1"/>
        <v>1.61</v>
      </c>
      <c r="V4362" s="2">
        <f t="shared" si="772"/>
        <v>8.61</v>
      </c>
      <c r="W4362" s="2">
        <v>6</v>
      </c>
      <c r="X4362" s="5">
        <f t="shared" si="774"/>
        <v>0.14285714285714285</v>
      </c>
      <c r="Z4362" s="2" t="s">
        <v>169</v>
      </c>
      <c r="AA4362" s="2" t="s">
        <v>169</v>
      </c>
      <c r="AK4362" s="2">
        <f t="shared" si="770"/>
        <v>1</v>
      </c>
      <c r="AL4362" s="5">
        <f t="shared" si="775"/>
        <v>0.14285714285714285</v>
      </c>
    </row>
    <row r="4363" spans="1:38" x14ac:dyDescent="0.2">
      <c r="A4363" s="2">
        <v>2026</v>
      </c>
      <c r="B4363" s="2">
        <v>7</v>
      </c>
      <c r="C4363" s="2" t="s">
        <v>3293</v>
      </c>
      <c r="D4363" s="15" t="s">
        <v>3413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1"/>
        <v>368</v>
      </c>
      <c r="V4363" s="2">
        <f t="shared" si="772"/>
        <v>1968</v>
      </c>
      <c r="W4363" s="2">
        <v>1244.2445</v>
      </c>
      <c r="X4363" s="5">
        <f t="shared" si="774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70"/>
        <v>355.75549999999998</v>
      </c>
      <c r="AL4363" s="5">
        <f t="shared" si="775"/>
        <v>0.22234718749999999</v>
      </c>
    </row>
    <row r="4364" spans="1:38" x14ac:dyDescent="0.2">
      <c r="A4364" s="2">
        <v>2026</v>
      </c>
      <c r="B4364" s="2">
        <v>7</v>
      </c>
      <c r="C4364" s="2" t="s">
        <v>3293</v>
      </c>
      <c r="D4364" s="15" t="s">
        <v>3413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1"/>
        <v>1012</v>
      </c>
      <c r="V4364" s="2">
        <f t="shared" si="772"/>
        <v>5412</v>
      </c>
      <c r="W4364" s="2">
        <f>3229.76+112.87</f>
        <v>3342.63</v>
      </c>
      <c r="X4364" s="5">
        <f t="shared" si="774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70"/>
        <v>1057.3699999999999</v>
      </c>
      <c r="AL4364" s="5">
        <f t="shared" si="775"/>
        <v>0.2403113636363636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1374</v>
      </c>
      <c r="R4365" s="15" t="s">
        <v>1375</v>
      </c>
      <c r="S4365" s="13">
        <v>1</v>
      </c>
      <c r="T4365" s="14">
        <v>58.74</v>
      </c>
      <c r="U4365" s="2">
        <f t="shared" si="771"/>
        <v>13.510200000000001</v>
      </c>
      <c r="V4365" s="2">
        <f t="shared" si="772"/>
        <v>72.250200000000007</v>
      </c>
      <c r="W4365" s="2">
        <v>27.86</v>
      </c>
      <c r="X4365" s="5">
        <f t="shared" si="774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70"/>
        <v>30.880000000000003</v>
      </c>
      <c r="AL4365" s="5">
        <f t="shared" si="775"/>
        <v>0.52570650323459311</v>
      </c>
    </row>
    <row r="4366" spans="1:38" x14ac:dyDescent="0.2">
      <c r="A4366" s="2">
        <v>2026</v>
      </c>
      <c r="B4366" s="2">
        <v>7</v>
      </c>
      <c r="C4366" s="2" t="s">
        <v>3294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1"/>
        <v>12.65</v>
      </c>
      <c r="V4366" s="2">
        <f t="shared" si="772"/>
        <v>67.650000000000006</v>
      </c>
      <c r="W4366" s="2">
        <f>T4366*40%</f>
        <v>22</v>
      </c>
      <c r="X4366" s="5">
        <f t="shared" si="774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70"/>
        <v>33</v>
      </c>
      <c r="AL4366" s="5">
        <f t="shared" si="775"/>
        <v>0.6</v>
      </c>
    </row>
    <row r="4367" spans="1:38" x14ac:dyDescent="0.2">
      <c r="A4367" s="2">
        <v>2026</v>
      </c>
      <c r="B4367" s="2">
        <v>7</v>
      </c>
      <c r="C4367" s="2" t="s">
        <v>3294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1"/>
        <v>18.975000000000001</v>
      </c>
      <c r="V4367" s="2">
        <f t="shared" si="772"/>
        <v>101.47499999999999</v>
      </c>
      <c r="W4367" s="2">
        <f>T4367*50%</f>
        <v>41.25</v>
      </c>
      <c r="X4367" s="5">
        <f t="shared" si="774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70"/>
        <v>41.25</v>
      </c>
      <c r="AL4367" s="5">
        <f t="shared" si="775"/>
        <v>0.5</v>
      </c>
    </row>
    <row r="4368" spans="1:38" x14ac:dyDescent="0.2">
      <c r="A4368" s="2">
        <v>2026</v>
      </c>
      <c r="B4368" s="2">
        <v>7</v>
      </c>
      <c r="C4368" s="2" t="s">
        <v>3294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1"/>
        <v>2.1482000000000001</v>
      </c>
      <c r="V4368" s="2">
        <f t="shared" si="772"/>
        <v>11.488199999999999</v>
      </c>
      <c r="W4368" s="2">
        <f>T4368*70%</f>
        <v>6.5379999999999994</v>
      </c>
      <c r="X4368" s="5">
        <f t="shared" si="774"/>
        <v>0.30000000000000004</v>
      </c>
      <c r="Z4368" s="2" t="s">
        <v>119</v>
      </c>
      <c r="AA4368" s="2" t="s">
        <v>3378</v>
      </c>
      <c r="AK4368" s="2">
        <f t="shared" si="770"/>
        <v>2.8020000000000005</v>
      </c>
      <c r="AL4368" s="5">
        <f t="shared" si="775"/>
        <v>0.30000000000000004</v>
      </c>
    </row>
    <row r="4369" spans="1:38" x14ac:dyDescent="0.2">
      <c r="A4369" s="2">
        <v>2026</v>
      </c>
      <c r="B4369" s="2">
        <v>7</v>
      </c>
      <c r="C4369" s="2" t="s">
        <v>3294</v>
      </c>
      <c r="D4369" s="15" t="s">
        <v>3336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1"/>
        <v>160.839</v>
      </c>
      <c r="V4369" s="2">
        <f t="shared" si="772"/>
        <v>860.1389999999999</v>
      </c>
      <c r="W4369" s="2">
        <v>343.38580000000002</v>
      </c>
      <c r="X4369" s="5">
        <f t="shared" si="774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70"/>
        <v>355.91419999999994</v>
      </c>
      <c r="AL4369" s="5">
        <f t="shared" si="775"/>
        <v>0.50895781495781489</v>
      </c>
    </row>
    <row r="4370" spans="1:38" x14ac:dyDescent="0.2">
      <c r="A4370" s="2">
        <v>2026</v>
      </c>
      <c r="B4370" s="2">
        <v>7</v>
      </c>
      <c r="C4370" s="2" t="s">
        <v>3294</v>
      </c>
      <c r="D4370" s="15" t="s">
        <v>3336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1"/>
        <v>40.25</v>
      </c>
      <c r="V4370" s="2">
        <f t="shared" si="772"/>
        <v>215.25</v>
      </c>
      <c r="W4370" s="2">
        <f>T4370*40%</f>
        <v>70</v>
      </c>
      <c r="X4370" s="5">
        <f t="shared" si="774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70"/>
        <v>105</v>
      </c>
      <c r="AL4370" s="5">
        <f t="shared" si="775"/>
        <v>0.6</v>
      </c>
    </row>
    <row r="4371" spans="1:38" x14ac:dyDescent="0.2">
      <c r="A4371" s="2">
        <v>2026</v>
      </c>
      <c r="B4371" s="2">
        <v>7</v>
      </c>
      <c r="C4371" s="2" t="s">
        <v>3294</v>
      </c>
      <c r="D4371" s="15" t="s">
        <v>3336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1"/>
        <v>12.65</v>
      </c>
      <c r="V4371" s="2">
        <f t="shared" si="772"/>
        <v>67.650000000000006</v>
      </c>
      <c r="W4371" s="2">
        <f>T4371*50%</f>
        <v>27.5</v>
      </c>
      <c r="X4371" s="5">
        <f t="shared" si="774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70"/>
        <v>27.5</v>
      </c>
      <c r="AL4371" s="5">
        <f t="shared" si="775"/>
        <v>0.5</v>
      </c>
    </row>
    <row r="4372" spans="1:38" x14ac:dyDescent="0.2">
      <c r="A4372" s="2">
        <v>2026</v>
      </c>
      <c r="B4372" s="2">
        <v>7</v>
      </c>
      <c r="C4372" s="8" t="s">
        <v>3293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1"/>
        <v>2.99</v>
      </c>
      <c r="V4372" s="2">
        <f t="shared" si="772"/>
        <v>15.99</v>
      </c>
      <c r="W4372" s="2">
        <f>6.6267*S4372</f>
        <v>6.6266999999999996</v>
      </c>
      <c r="X4372" s="5">
        <f t="shared" si="774"/>
        <v>0.49025384615384621</v>
      </c>
      <c r="Z4372" s="2" t="s">
        <v>3226</v>
      </c>
      <c r="AA4372" s="2" t="s">
        <v>46</v>
      </c>
      <c r="AB4372" s="2" t="s">
        <v>47</v>
      </c>
      <c r="AC4372" s="2" t="s">
        <v>57</v>
      </c>
      <c r="AK4372" s="2">
        <f t="shared" si="770"/>
        <v>6.3733000000000004</v>
      </c>
      <c r="AL4372" s="5">
        <f t="shared" si="775"/>
        <v>0.49025384615384621</v>
      </c>
    </row>
    <row r="4373" spans="1:38" x14ac:dyDescent="0.2">
      <c r="A4373" s="2">
        <v>2026</v>
      </c>
      <c r="B4373" s="2">
        <v>7</v>
      </c>
      <c r="C4373" s="8" t="s">
        <v>3293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1"/>
        <v>8.2800000000000011</v>
      </c>
      <c r="V4373" s="2">
        <f t="shared" si="772"/>
        <v>44.28</v>
      </c>
      <c r="W4373" s="2">
        <f>10.6*S4373</f>
        <v>21.2</v>
      </c>
      <c r="X4373" s="5">
        <f t="shared" si="774"/>
        <v>0.41111111111111115</v>
      </c>
      <c r="Z4373" s="2" t="s">
        <v>3226</v>
      </c>
      <c r="AA4373" s="2" t="s">
        <v>46</v>
      </c>
      <c r="AB4373" s="2" t="s">
        <v>56</v>
      </c>
      <c r="AC4373" s="2" t="s">
        <v>57</v>
      </c>
      <c r="AK4373" s="2">
        <f t="shared" si="770"/>
        <v>14.8</v>
      </c>
      <c r="AL4373" s="5">
        <f t="shared" si="775"/>
        <v>0.41111111111111115</v>
      </c>
    </row>
    <row r="4374" spans="1:38" x14ac:dyDescent="0.2">
      <c r="A4374" s="2">
        <v>2026</v>
      </c>
      <c r="B4374" s="2">
        <v>7</v>
      </c>
      <c r="C4374" s="8" t="s">
        <v>3293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6">T4374*23%</f>
        <v>2.99</v>
      </c>
      <c r="V4374" s="2">
        <f t="shared" ref="V4374:V4405" si="777">T4374+U4374</f>
        <v>15.99</v>
      </c>
      <c r="W4374" s="2">
        <f>0.0914*S4374</f>
        <v>9.1399999999999988</v>
      </c>
      <c r="X4374" s="5">
        <f t="shared" si="774"/>
        <v>0.29692307692307701</v>
      </c>
      <c r="Z4374" s="2" t="s">
        <v>3226</v>
      </c>
      <c r="AA4374" s="2" t="s">
        <v>46</v>
      </c>
      <c r="AB4374" s="2" t="s">
        <v>60</v>
      </c>
      <c r="AC4374" s="2" t="s">
        <v>57</v>
      </c>
      <c r="AK4374" s="2">
        <f t="shared" si="770"/>
        <v>3.8600000000000012</v>
      </c>
      <c r="AL4374" s="5">
        <f t="shared" si="775"/>
        <v>0.29692307692307701</v>
      </c>
    </row>
    <row r="4375" spans="1:38" x14ac:dyDescent="0.2">
      <c r="A4375" s="2">
        <v>2026</v>
      </c>
      <c r="B4375" s="2">
        <v>7</v>
      </c>
      <c r="C4375" s="8" t="s">
        <v>3293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6"/>
        <v>1.84</v>
      </c>
      <c r="V4375" s="2">
        <f t="shared" si="777"/>
        <v>9.84</v>
      </c>
      <c r="W4375" s="2">
        <v>6</v>
      </c>
      <c r="X4375" s="5">
        <f t="shared" si="774"/>
        <v>0.25</v>
      </c>
      <c r="Z4375" s="2" t="s">
        <v>169</v>
      </c>
      <c r="AA4375" s="2" t="s">
        <v>169</v>
      </c>
      <c r="AK4375" s="2">
        <f t="shared" si="770"/>
        <v>2</v>
      </c>
      <c r="AL4375" s="5">
        <f t="shared" si="775"/>
        <v>0.25</v>
      </c>
    </row>
    <row r="4376" spans="1:38" x14ac:dyDescent="0.2">
      <c r="A4376" s="2">
        <v>2026</v>
      </c>
      <c r="B4376" s="2">
        <v>7</v>
      </c>
      <c r="C4376" s="2" t="s">
        <v>3292</v>
      </c>
      <c r="D4376" s="15" t="s">
        <v>3337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6"/>
        <v>9.66</v>
      </c>
      <c r="V4376" s="2">
        <f t="shared" si="777"/>
        <v>51.66</v>
      </c>
      <c r="W4376" s="2">
        <f>14.4*S4376</f>
        <v>28.8</v>
      </c>
      <c r="X4376" s="5">
        <f t="shared" si="774"/>
        <v>0.31428571428571428</v>
      </c>
      <c r="Z4376" s="2" t="s">
        <v>3226</v>
      </c>
      <c r="AA4376" s="2" t="s">
        <v>46</v>
      </c>
      <c r="AB4376" s="2" t="s">
        <v>47</v>
      </c>
      <c r="AC4376" s="2" t="s">
        <v>57</v>
      </c>
      <c r="AK4376" s="2">
        <f t="shared" si="770"/>
        <v>13.2</v>
      </c>
      <c r="AL4376" s="5">
        <f t="shared" si="775"/>
        <v>0.31428571428571428</v>
      </c>
    </row>
    <row r="4377" spans="1:38" x14ac:dyDescent="0.2">
      <c r="A4377" s="2">
        <v>2026</v>
      </c>
      <c r="B4377" s="2">
        <v>7</v>
      </c>
      <c r="C4377" s="2" t="s">
        <v>3292</v>
      </c>
      <c r="D4377" s="15" t="s">
        <v>3337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6"/>
        <v>19.55</v>
      </c>
      <c r="V4377" s="2">
        <f t="shared" si="777"/>
        <v>104.55</v>
      </c>
      <c r="W4377" s="2">
        <f>10.6*S4377</f>
        <v>53</v>
      </c>
      <c r="X4377" s="5">
        <f t="shared" si="774"/>
        <v>0.37647058823529411</v>
      </c>
      <c r="Z4377" s="2" t="s">
        <v>3226</v>
      </c>
      <c r="AA4377" s="2" t="s">
        <v>46</v>
      </c>
      <c r="AB4377" s="2" t="s">
        <v>56</v>
      </c>
      <c r="AC4377" s="2" t="s">
        <v>57</v>
      </c>
      <c r="AK4377" s="2">
        <f t="shared" si="770"/>
        <v>32</v>
      </c>
      <c r="AL4377" s="5">
        <f t="shared" si="775"/>
        <v>0.37647058823529411</v>
      </c>
    </row>
    <row r="4378" spans="1:38" x14ac:dyDescent="0.2">
      <c r="A4378" s="2">
        <v>2026</v>
      </c>
      <c r="B4378" s="2">
        <v>7</v>
      </c>
      <c r="C4378" s="2" t="s">
        <v>3292</v>
      </c>
      <c r="D4378" s="15" t="s">
        <v>3337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6"/>
        <v>10.58</v>
      </c>
      <c r="V4378" s="2">
        <f t="shared" si="777"/>
        <v>56.58</v>
      </c>
      <c r="W4378" s="2">
        <f>0.082*S4378</f>
        <v>32.800000000000004</v>
      </c>
      <c r="X4378" s="5">
        <f t="shared" si="774"/>
        <v>0.28695652173913033</v>
      </c>
      <c r="Z4378" s="2" t="s">
        <v>3226</v>
      </c>
      <c r="AA4378" s="2" t="s">
        <v>46</v>
      </c>
      <c r="AB4378" s="2" t="s">
        <v>60</v>
      </c>
      <c r="AC4378" s="2" t="s">
        <v>57</v>
      </c>
      <c r="AK4378" s="2">
        <f t="shared" si="770"/>
        <v>13.199999999999996</v>
      </c>
      <c r="AL4378" s="5">
        <f t="shared" si="775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6"/>
        <v>156.14930000000001</v>
      </c>
      <c r="V4379" s="2">
        <f t="shared" si="777"/>
        <v>835.05930000000001</v>
      </c>
      <c r="X4379" s="5">
        <f t="shared" si="774"/>
        <v>1</v>
      </c>
      <c r="Z4379" s="2" t="s">
        <v>119</v>
      </c>
      <c r="AA4379" s="2" t="s">
        <v>492</v>
      </c>
      <c r="AK4379" s="2">
        <f t="shared" si="770"/>
        <v>678.91</v>
      </c>
      <c r="AL4379" s="5">
        <f t="shared" si="775"/>
        <v>1</v>
      </c>
    </row>
    <row r="4380" spans="1:38" x14ac:dyDescent="0.2">
      <c r="A4380" s="2">
        <v>2026</v>
      </c>
      <c r="B4380" s="2">
        <v>7</v>
      </c>
      <c r="C4380" s="2" t="s">
        <v>3294</v>
      </c>
      <c r="D4380" s="15" t="s">
        <v>3338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6"/>
        <v>160.839</v>
      </c>
      <c r="V4380" s="2">
        <f t="shared" si="777"/>
        <v>860.1389999999999</v>
      </c>
      <c r="W4380" s="2">
        <v>343.38580000000002</v>
      </c>
      <c r="X4380" s="5">
        <f t="shared" si="774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70"/>
        <v>355.91419999999994</v>
      </c>
      <c r="AL4380" s="5">
        <f t="shared" si="775"/>
        <v>0.50895781495781489</v>
      </c>
    </row>
    <row r="4381" spans="1:38" x14ac:dyDescent="0.2">
      <c r="A4381" s="2">
        <v>2026</v>
      </c>
      <c r="B4381" s="2">
        <v>7</v>
      </c>
      <c r="C4381" s="2" t="s">
        <v>3294</v>
      </c>
      <c r="D4381" s="15" t="s">
        <v>3338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6"/>
        <v>13.8</v>
      </c>
      <c r="V4381" s="2">
        <f t="shared" si="777"/>
        <v>73.8</v>
      </c>
      <c r="W4381" s="2">
        <f>T4381*40%</f>
        <v>24</v>
      </c>
      <c r="X4381" s="5">
        <f t="shared" si="774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70"/>
        <v>36</v>
      </c>
      <c r="AL4381" s="5">
        <f t="shared" si="775"/>
        <v>0.6</v>
      </c>
    </row>
    <row r="4382" spans="1:38" x14ac:dyDescent="0.2">
      <c r="A4382" s="2">
        <v>2026</v>
      </c>
      <c r="B4382" s="2">
        <v>7</v>
      </c>
      <c r="C4382" s="2" t="s">
        <v>3294</v>
      </c>
      <c r="D4382" s="15" t="s">
        <v>3338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6"/>
        <v>12.65</v>
      </c>
      <c r="V4382" s="2">
        <f t="shared" si="777"/>
        <v>67.650000000000006</v>
      </c>
      <c r="W4382" s="2">
        <f>T4382*50%</f>
        <v>27.5</v>
      </c>
      <c r="X4382" s="5">
        <f t="shared" si="774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70"/>
        <v>27.5</v>
      </c>
      <c r="AL4382" s="5">
        <f t="shared" si="775"/>
        <v>0.5</v>
      </c>
    </row>
    <row r="4383" spans="1:38" x14ac:dyDescent="0.2">
      <c r="A4383" s="2">
        <v>2026</v>
      </c>
      <c r="B4383" s="2">
        <v>7</v>
      </c>
      <c r="C4383" s="8" t="s">
        <v>3293</v>
      </c>
      <c r="D4383" s="15" t="s">
        <v>2153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6"/>
        <v>92.69</v>
      </c>
      <c r="V4383" s="2">
        <f t="shared" si="777"/>
        <v>495.69</v>
      </c>
      <c r="W4383" s="2">
        <f>T4383*40%</f>
        <v>161.20000000000002</v>
      </c>
      <c r="X4383" s="5">
        <f t="shared" si="774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70"/>
        <v>241.79999999999998</v>
      </c>
      <c r="AL4383" s="5">
        <f t="shared" si="775"/>
        <v>0.6</v>
      </c>
    </row>
    <row r="4384" spans="1:38" x14ac:dyDescent="0.2">
      <c r="A4384" s="2">
        <v>2026</v>
      </c>
      <c r="B4384" s="2">
        <v>7</v>
      </c>
      <c r="C4384" s="8" t="s">
        <v>3293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6"/>
        <v>12.65</v>
      </c>
      <c r="V4384" s="2">
        <f t="shared" si="777"/>
        <v>67.650000000000006</v>
      </c>
      <c r="W4384" s="2">
        <f>T4384*50%</f>
        <v>27.5</v>
      </c>
      <c r="X4384" s="5">
        <f t="shared" si="774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70"/>
        <v>27.5</v>
      </c>
      <c r="AL4384" s="5">
        <f t="shared" si="775"/>
        <v>0.5</v>
      </c>
    </row>
    <row r="4385" spans="1:38" x14ac:dyDescent="0.2">
      <c r="A4385" s="2">
        <v>2026</v>
      </c>
      <c r="B4385" s="2">
        <v>7</v>
      </c>
      <c r="C4385" s="8" t="s">
        <v>3293</v>
      </c>
      <c r="D4385" s="15" t="s">
        <v>3108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3352</v>
      </c>
      <c r="R4385" s="15" t="s">
        <v>3353</v>
      </c>
      <c r="S4385" s="13">
        <v>2</v>
      </c>
      <c r="T4385" s="14">
        <v>32.549999999999997</v>
      </c>
      <c r="U4385" s="2">
        <f t="shared" si="776"/>
        <v>7.4864999999999995</v>
      </c>
      <c r="V4385" s="2">
        <f t="shared" si="777"/>
        <v>40.036499999999997</v>
      </c>
      <c r="W4385" s="2">
        <f>(7.38+0.13)*S4385</f>
        <v>15.02</v>
      </c>
      <c r="X4385" s="5">
        <f t="shared" si="774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70"/>
        <v>17.529999999999998</v>
      </c>
      <c r="AL4385" s="5">
        <f t="shared" si="775"/>
        <v>0.53855606758832564</v>
      </c>
    </row>
    <row r="4386" spans="1:38" x14ac:dyDescent="0.2">
      <c r="A4386" s="2">
        <v>2026</v>
      </c>
      <c r="B4386" s="2">
        <v>7</v>
      </c>
      <c r="C4386" s="2" t="s">
        <v>3294</v>
      </c>
      <c r="D4386" s="15" t="s">
        <v>2904</v>
      </c>
      <c r="E4386" s="2" t="s">
        <v>38</v>
      </c>
      <c r="F4386" s="2" t="s">
        <v>3443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6"/>
        <v>6.67</v>
      </c>
      <c r="V4386" s="2">
        <f t="shared" si="777"/>
        <v>35.67</v>
      </c>
      <c r="W4386" s="2">
        <f>14.5099*S4386</f>
        <v>14.5099</v>
      </c>
      <c r="X4386" s="5">
        <f t="shared" si="774"/>
        <v>0.49965862068965516</v>
      </c>
      <c r="Z4386" s="2" t="s">
        <v>3226</v>
      </c>
      <c r="AA4386" s="2" t="s">
        <v>46</v>
      </c>
      <c r="AB4386" s="2" t="s">
        <v>60</v>
      </c>
      <c r="AC4386" s="2" t="s">
        <v>3330</v>
      </c>
      <c r="AK4386" s="2">
        <f t="shared" si="770"/>
        <v>14.4901</v>
      </c>
      <c r="AL4386" s="5">
        <f t="shared" si="775"/>
        <v>0.49965862068965516</v>
      </c>
    </row>
    <row r="4387" spans="1:38" x14ac:dyDescent="0.2">
      <c r="A4387" s="2">
        <v>2026</v>
      </c>
      <c r="B4387" s="2">
        <v>7</v>
      </c>
      <c r="C4387" s="8" t="s">
        <v>3293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3354</v>
      </c>
      <c r="R4387" s="15" t="s">
        <v>79</v>
      </c>
      <c r="S4387" s="13">
        <v>1</v>
      </c>
      <c r="T4387" s="14">
        <v>220</v>
      </c>
      <c r="U4387" s="2">
        <f t="shared" si="776"/>
        <v>50.6</v>
      </c>
      <c r="V4387" s="2">
        <f t="shared" si="777"/>
        <v>270.60000000000002</v>
      </c>
      <c r="W4387" s="2">
        <v>125.15</v>
      </c>
      <c r="X4387" s="5">
        <f t="shared" si="774"/>
        <v>0.4311363636363636</v>
      </c>
      <c r="Z4387" s="2" t="s">
        <v>3226</v>
      </c>
      <c r="AA4387" s="2" t="s">
        <v>75</v>
      </c>
      <c r="AB4387" s="2" t="s">
        <v>76</v>
      </c>
      <c r="AC4387" s="2" t="s">
        <v>77</v>
      </c>
      <c r="AK4387" s="2">
        <f t="shared" si="770"/>
        <v>94.85</v>
      </c>
      <c r="AL4387" s="5">
        <f t="shared" si="775"/>
        <v>0.4311363636363636</v>
      </c>
    </row>
    <row r="4388" spans="1:38" x14ac:dyDescent="0.2">
      <c r="A4388" s="2">
        <v>2026</v>
      </c>
      <c r="B4388" s="2">
        <v>7</v>
      </c>
      <c r="C4388" s="8" t="s">
        <v>3293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6"/>
        <v>0.34040000000000004</v>
      </c>
      <c r="V4388" s="2">
        <f t="shared" si="777"/>
        <v>1.8204</v>
      </c>
      <c r="W4388" s="2">
        <v>1.48</v>
      </c>
      <c r="X4388" s="5">
        <f t="shared" si="774"/>
        <v>0</v>
      </c>
      <c r="Z4388" s="2" t="s">
        <v>3226</v>
      </c>
      <c r="AA4388" s="2" t="s">
        <v>96</v>
      </c>
      <c r="AB4388" s="2" t="s">
        <v>76</v>
      </c>
      <c r="AC4388" s="2" t="s">
        <v>93</v>
      </c>
      <c r="AK4388" s="2">
        <f t="shared" si="770"/>
        <v>0</v>
      </c>
      <c r="AL4388" s="5">
        <f t="shared" si="775"/>
        <v>0</v>
      </c>
    </row>
    <row r="4389" spans="1:38" x14ac:dyDescent="0.2">
      <c r="A4389" s="2">
        <v>2026</v>
      </c>
      <c r="B4389" s="2">
        <v>7</v>
      </c>
      <c r="C4389" s="8" t="s">
        <v>3293</v>
      </c>
      <c r="D4389" s="15" t="s">
        <v>3339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6"/>
        <v>68.08</v>
      </c>
      <c r="V4389" s="2">
        <f t="shared" si="777"/>
        <v>364.08</v>
      </c>
      <c r="W4389" s="2">
        <f>T4389*40%</f>
        <v>118.4</v>
      </c>
      <c r="X4389" s="5">
        <f t="shared" si="774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70"/>
        <v>177.6</v>
      </c>
      <c r="AL4389" s="5">
        <f t="shared" si="775"/>
        <v>0.6</v>
      </c>
    </row>
    <row r="4390" spans="1:38" x14ac:dyDescent="0.2">
      <c r="A4390" s="2">
        <v>2026</v>
      </c>
      <c r="B4390" s="2">
        <v>7</v>
      </c>
      <c r="C4390" s="8" t="s">
        <v>3293</v>
      </c>
      <c r="D4390" s="15" t="s">
        <v>3339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6"/>
        <v>12.65</v>
      </c>
      <c r="V4390" s="2">
        <f t="shared" si="777"/>
        <v>67.650000000000006</v>
      </c>
      <c r="W4390" s="2">
        <f>T4390*50%</f>
        <v>27.5</v>
      </c>
      <c r="X4390" s="5">
        <f t="shared" ref="X4390:X4421" si="778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70"/>
        <v>27.5</v>
      </c>
      <c r="AL4390" s="5">
        <f t="shared" ref="AL4390:AL4421" si="779">(T4390-W4390)/T4390</f>
        <v>0.5</v>
      </c>
    </row>
    <row r="4391" spans="1:38" x14ac:dyDescent="0.2">
      <c r="A4391" s="2">
        <v>2026</v>
      </c>
      <c r="B4391" s="2">
        <v>7</v>
      </c>
      <c r="C4391" s="2" t="s">
        <v>3294</v>
      </c>
      <c r="D4391" s="15" t="s">
        <v>2521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6"/>
        <v>51.75</v>
      </c>
      <c r="V4391" s="2">
        <f t="shared" si="777"/>
        <v>276.75</v>
      </c>
      <c r="W4391" s="2">
        <v>125.51600000000001</v>
      </c>
      <c r="X4391" s="5">
        <f t="shared" si="778"/>
        <v>0.44215111111111111</v>
      </c>
      <c r="Z4391" s="2" t="s">
        <v>3226</v>
      </c>
      <c r="AA4391" s="2" t="s">
        <v>75</v>
      </c>
      <c r="AB4391" s="2" t="s">
        <v>76</v>
      </c>
      <c r="AC4391" s="2" t="s">
        <v>77</v>
      </c>
      <c r="AK4391" s="2">
        <f t="shared" si="770"/>
        <v>99.483999999999995</v>
      </c>
      <c r="AL4391" s="5">
        <f t="shared" si="779"/>
        <v>0.44215111111111111</v>
      </c>
    </row>
    <row r="4392" spans="1:38" x14ac:dyDescent="0.2">
      <c r="A4392" s="2">
        <v>2026</v>
      </c>
      <c r="B4392" s="2">
        <v>7</v>
      </c>
      <c r="C4392" s="2" t="s">
        <v>3294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6"/>
        <v>0.34040000000000004</v>
      </c>
      <c r="V4392" s="2">
        <f t="shared" si="777"/>
        <v>1.8204</v>
      </c>
      <c r="W4392" s="2">
        <v>1.48</v>
      </c>
      <c r="X4392" s="5">
        <f t="shared" si="778"/>
        <v>0</v>
      </c>
      <c r="Z4392" s="2" t="s">
        <v>3226</v>
      </c>
      <c r="AA4392" s="2" t="s">
        <v>96</v>
      </c>
      <c r="AB4392" s="2" t="s">
        <v>76</v>
      </c>
      <c r="AC4392" s="2" t="s">
        <v>93</v>
      </c>
      <c r="AK4392" s="2">
        <f t="shared" si="770"/>
        <v>0</v>
      </c>
      <c r="AL4392" s="5">
        <f t="shared" si="779"/>
        <v>0</v>
      </c>
    </row>
    <row r="4393" spans="1:38" x14ac:dyDescent="0.2">
      <c r="A4393" s="2">
        <v>2026</v>
      </c>
      <c r="B4393" s="2">
        <v>7</v>
      </c>
      <c r="C4393" s="8" t="s">
        <v>3293</v>
      </c>
      <c r="D4393" s="15" t="s">
        <v>3340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3355</v>
      </c>
      <c r="R4393" s="15" t="s">
        <v>197</v>
      </c>
      <c r="S4393" s="13">
        <v>1</v>
      </c>
      <c r="T4393" s="14">
        <v>375</v>
      </c>
      <c r="U4393" s="2">
        <f t="shared" si="776"/>
        <v>86.25</v>
      </c>
      <c r="V4393" s="2">
        <f t="shared" si="777"/>
        <v>461.25</v>
      </c>
      <c r="W4393" s="2">
        <v>227.14</v>
      </c>
      <c r="X4393" s="5">
        <f t="shared" si="778"/>
        <v>0.39429333333333338</v>
      </c>
      <c r="Z4393" s="2" t="s">
        <v>3226</v>
      </c>
      <c r="AA4393" s="2" t="s">
        <v>75</v>
      </c>
      <c r="AB4393" s="2" t="s">
        <v>76</v>
      </c>
      <c r="AC4393" s="2" t="s">
        <v>77</v>
      </c>
      <c r="AK4393" s="2">
        <f t="shared" si="770"/>
        <v>147.86000000000001</v>
      </c>
      <c r="AL4393" s="5">
        <f t="shared" si="779"/>
        <v>0.39429333333333338</v>
      </c>
    </row>
    <row r="4394" spans="1:38" x14ac:dyDescent="0.2">
      <c r="A4394" s="2">
        <v>2026</v>
      </c>
      <c r="B4394" s="2">
        <v>7</v>
      </c>
      <c r="C4394" s="8" t="s">
        <v>3293</v>
      </c>
      <c r="D4394" s="15" t="s">
        <v>3340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6"/>
        <v>0.34040000000000004</v>
      </c>
      <c r="V4394" s="2">
        <f t="shared" si="777"/>
        <v>1.8204</v>
      </c>
      <c r="W4394" s="2">
        <v>1.48</v>
      </c>
      <c r="X4394" s="5">
        <f t="shared" si="778"/>
        <v>0</v>
      </c>
      <c r="Z4394" s="2" t="s">
        <v>3226</v>
      </c>
      <c r="AA4394" s="2" t="s">
        <v>96</v>
      </c>
      <c r="AB4394" s="2" t="s">
        <v>76</v>
      </c>
      <c r="AC4394" s="2" t="s">
        <v>93</v>
      </c>
      <c r="AK4394" s="2">
        <f t="shared" si="770"/>
        <v>0</v>
      </c>
      <c r="AL4394" s="5">
        <f t="shared" si="779"/>
        <v>0</v>
      </c>
    </row>
    <row r="4395" spans="1:38" x14ac:dyDescent="0.2">
      <c r="A4395" s="2">
        <v>2026</v>
      </c>
      <c r="B4395" s="2">
        <v>7</v>
      </c>
      <c r="C4395" s="2" t="s">
        <v>3294</v>
      </c>
      <c r="D4395" s="15" t="s">
        <v>2559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6"/>
        <v>51.75</v>
      </c>
      <c r="V4395" s="2">
        <f t="shared" si="777"/>
        <v>276.75</v>
      </c>
      <c r="W4395" s="2">
        <v>132.35499999999999</v>
      </c>
      <c r="X4395" s="5">
        <f t="shared" si="778"/>
        <v>0.4117555555555556</v>
      </c>
      <c r="Z4395" s="2" t="s">
        <v>3226</v>
      </c>
      <c r="AA4395" s="2" t="s">
        <v>75</v>
      </c>
      <c r="AB4395" s="2" t="s">
        <v>76</v>
      </c>
      <c r="AC4395" s="2" t="s">
        <v>77</v>
      </c>
      <c r="AK4395" s="2">
        <f t="shared" si="770"/>
        <v>92.64500000000001</v>
      </c>
      <c r="AL4395" s="5">
        <f t="shared" si="779"/>
        <v>0.4117555555555556</v>
      </c>
    </row>
    <row r="4396" spans="1:38" x14ac:dyDescent="0.2">
      <c r="A4396" s="2">
        <v>2026</v>
      </c>
      <c r="B4396" s="2">
        <v>7</v>
      </c>
      <c r="C4396" s="2" t="s">
        <v>3294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6"/>
        <v>0.34040000000000004</v>
      </c>
      <c r="V4396" s="2">
        <f t="shared" si="777"/>
        <v>1.8204</v>
      </c>
      <c r="W4396" s="2">
        <v>1.48</v>
      </c>
      <c r="X4396" s="5">
        <f t="shared" si="778"/>
        <v>0</v>
      </c>
      <c r="Z4396" s="2" t="s">
        <v>3226</v>
      </c>
      <c r="AA4396" s="2" t="s">
        <v>96</v>
      </c>
      <c r="AB4396" s="2" t="s">
        <v>76</v>
      </c>
      <c r="AC4396" s="2" t="s">
        <v>93</v>
      </c>
      <c r="AK4396" s="2">
        <f t="shared" si="770"/>
        <v>0</v>
      </c>
      <c r="AL4396" s="5">
        <f t="shared" si="779"/>
        <v>0</v>
      </c>
    </row>
    <row r="4397" spans="1:38" x14ac:dyDescent="0.2">
      <c r="A4397" s="2">
        <v>2026</v>
      </c>
      <c r="B4397" s="2">
        <v>7</v>
      </c>
      <c r="C4397" s="2" t="s">
        <v>3294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6"/>
        <v>8.2800000000000011</v>
      </c>
      <c r="V4397" s="2">
        <f t="shared" si="777"/>
        <v>44.28</v>
      </c>
      <c r="W4397" s="2">
        <f>0.8561*S4397</f>
        <v>17.122</v>
      </c>
      <c r="X4397" s="5">
        <f t="shared" si="778"/>
        <v>0.5243888888888889</v>
      </c>
      <c r="Z4397" s="2" t="s">
        <v>3226</v>
      </c>
      <c r="AA4397" s="2" t="s">
        <v>46</v>
      </c>
      <c r="AB4397" s="2" t="s">
        <v>60</v>
      </c>
      <c r="AC4397" s="2" t="s">
        <v>57</v>
      </c>
      <c r="AK4397" s="2">
        <f t="shared" si="770"/>
        <v>18.878</v>
      </c>
      <c r="AL4397" s="5">
        <f t="shared" si="779"/>
        <v>0.5243888888888889</v>
      </c>
    </row>
    <row r="4398" spans="1:38" x14ac:dyDescent="0.2">
      <c r="A4398" s="2">
        <v>2026</v>
      </c>
      <c r="B4398" s="2">
        <v>7</v>
      </c>
      <c r="C4398" s="2" t="s">
        <v>3294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6"/>
        <v>13.8</v>
      </c>
      <c r="V4398" s="2">
        <f t="shared" si="777"/>
        <v>73.8</v>
      </c>
      <c r="W4398" s="2">
        <f>1.4114*S4398</f>
        <v>28.228000000000002</v>
      </c>
      <c r="X4398" s="5">
        <f t="shared" si="778"/>
        <v>0.5295333333333333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70"/>
        <v>31.771999999999998</v>
      </c>
      <c r="AL4398" s="5">
        <f t="shared" si="779"/>
        <v>0.5295333333333333</v>
      </c>
    </row>
    <row r="4399" spans="1:38" x14ac:dyDescent="0.2">
      <c r="A4399" s="2">
        <v>2026</v>
      </c>
      <c r="B4399" s="2">
        <v>7</v>
      </c>
      <c r="C4399" s="2" t="s">
        <v>3293</v>
      </c>
      <c r="D4399" s="15" t="s">
        <v>2276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3356</v>
      </c>
      <c r="R4399" s="15" t="s">
        <v>1100</v>
      </c>
      <c r="S4399" s="13">
        <v>1</v>
      </c>
      <c r="T4399" s="14">
        <v>187.92</v>
      </c>
      <c r="U4399" s="2">
        <f t="shared" si="776"/>
        <v>43.221600000000002</v>
      </c>
      <c r="V4399" s="2">
        <f t="shared" si="777"/>
        <v>231.14159999999998</v>
      </c>
      <c r="W4399" s="2">
        <v>49.96</v>
      </c>
      <c r="X4399" s="5">
        <f t="shared" si="778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70"/>
        <v>137.95999999999998</v>
      </c>
      <c r="AL4399" s="5">
        <f t="shared" si="779"/>
        <v>0.73414218816517662</v>
      </c>
    </row>
    <row r="4400" spans="1:38" x14ac:dyDescent="0.2">
      <c r="A4400" s="2">
        <v>2026</v>
      </c>
      <c r="B4400" s="2">
        <v>7</v>
      </c>
      <c r="C4400" s="2" t="s">
        <v>3293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6"/>
        <v>124.00909999999999</v>
      </c>
      <c r="V4400" s="2">
        <f t="shared" si="777"/>
        <v>663.17909999999995</v>
      </c>
      <c r="W4400" s="2">
        <v>257.3</v>
      </c>
      <c r="X4400" s="5">
        <f t="shared" si="778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70"/>
        <v>281.86999999999995</v>
      </c>
      <c r="AL4400" s="5">
        <f t="shared" si="779"/>
        <v>0.52278502142181493</v>
      </c>
    </row>
    <row r="4401" spans="1:38" x14ac:dyDescent="0.2">
      <c r="A4401" s="2">
        <v>2026</v>
      </c>
      <c r="B4401" s="2">
        <v>7</v>
      </c>
      <c r="C4401" s="2" t="s">
        <v>3293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6"/>
        <v>34.270000000000003</v>
      </c>
      <c r="V4401" s="2">
        <f t="shared" si="777"/>
        <v>183.27</v>
      </c>
      <c r="W4401" s="2">
        <f>T4401*40%</f>
        <v>59.6</v>
      </c>
      <c r="X4401" s="5">
        <f t="shared" si="778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70"/>
        <v>89.4</v>
      </c>
      <c r="AL4401" s="5">
        <f t="shared" si="779"/>
        <v>0.60000000000000009</v>
      </c>
    </row>
    <row r="4402" spans="1:38" x14ac:dyDescent="0.2">
      <c r="A4402" s="2">
        <v>2026</v>
      </c>
      <c r="B4402" s="2">
        <v>7</v>
      </c>
      <c r="C4402" s="2" t="s">
        <v>3293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6"/>
        <v>25.3</v>
      </c>
      <c r="V4402" s="2">
        <f t="shared" si="777"/>
        <v>135.30000000000001</v>
      </c>
      <c r="W4402" s="2">
        <f>T4402*50%</f>
        <v>55</v>
      </c>
      <c r="X4402" s="5">
        <f t="shared" si="778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70"/>
        <v>55</v>
      </c>
      <c r="AL4402" s="5">
        <f t="shared" si="779"/>
        <v>0.5</v>
      </c>
    </row>
    <row r="4403" spans="1:38" ht="22.5" x14ac:dyDescent="0.2">
      <c r="A4403" s="2">
        <v>2026</v>
      </c>
      <c r="B4403" s="2">
        <v>7</v>
      </c>
      <c r="C4403" s="2" t="s">
        <v>3294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3357</v>
      </c>
      <c r="R4403" s="15" t="s">
        <v>3358</v>
      </c>
      <c r="S4403" s="13">
        <v>8</v>
      </c>
      <c r="T4403" s="14">
        <v>100.8</v>
      </c>
      <c r="U4403" s="2">
        <f t="shared" si="776"/>
        <v>23.184000000000001</v>
      </c>
      <c r="V4403" s="2">
        <f t="shared" si="777"/>
        <v>123.98399999999999</v>
      </c>
      <c r="W4403" s="2">
        <f>3*S4403</f>
        <v>24</v>
      </c>
      <c r="X4403" s="5">
        <f t="shared" si="778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70"/>
        <v>76.8</v>
      </c>
      <c r="AL4403" s="5">
        <f t="shared" si="779"/>
        <v>0.76190476190476186</v>
      </c>
    </row>
    <row r="4404" spans="1:38" x14ac:dyDescent="0.2">
      <c r="A4404" s="2">
        <v>2026</v>
      </c>
      <c r="B4404" s="2">
        <v>7</v>
      </c>
      <c r="C4404" s="2" t="s">
        <v>3294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6"/>
        <v>11.258500000000002</v>
      </c>
      <c r="V4404" s="2">
        <f t="shared" si="777"/>
        <v>60.208500000000001</v>
      </c>
      <c r="W4404" s="2">
        <f>23.042*S4404</f>
        <v>23.042000000000002</v>
      </c>
      <c r="X4404" s="5">
        <f t="shared" si="778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80">T4404-W4404</f>
        <v>25.908000000000001</v>
      </c>
      <c r="AL4404" s="5">
        <f t="shared" si="779"/>
        <v>0.52927477017364655</v>
      </c>
    </row>
    <row r="4405" spans="1:38" x14ac:dyDescent="0.2">
      <c r="A4405" s="2">
        <v>2026</v>
      </c>
      <c r="B4405" s="2">
        <v>7</v>
      </c>
      <c r="C4405" s="2" t="s">
        <v>3294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6"/>
        <v>8.9700000000000006</v>
      </c>
      <c r="V4405" s="2">
        <f t="shared" si="777"/>
        <v>47.97</v>
      </c>
      <c r="W4405" s="2">
        <f>6.6267*S4405</f>
        <v>19.880099999999999</v>
      </c>
      <c r="X4405" s="5">
        <f t="shared" si="778"/>
        <v>0.49025384615384621</v>
      </c>
      <c r="Z4405" s="2" t="s">
        <v>3226</v>
      </c>
      <c r="AA4405" s="2" t="s">
        <v>46</v>
      </c>
      <c r="AB4405" s="2" t="s">
        <v>47</v>
      </c>
      <c r="AC4405" s="2" t="s">
        <v>57</v>
      </c>
      <c r="AK4405" s="2">
        <f t="shared" si="780"/>
        <v>19.119900000000001</v>
      </c>
      <c r="AL4405" s="5">
        <f t="shared" si="779"/>
        <v>0.49025384615384621</v>
      </c>
    </row>
    <row r="4406" spans="1:38" x14ac:dyDescent="0.2">
      <c r="A4406" s="2">
        <v>2026</v>
      </c>
      <c r="B4406" s="2">
        <v>7</v>
      </c>
      <c r="C4406" s="2" t="s">
        <v>3294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1">T4406*23%</f>
        <v>34.5</v>
      </c>
      <c r="V4406" s="2">
        <f t="shared" ref="V4406:V4413" si="782">T4406+U4406</f>
        <v>184.5</v>
      </c>
      <c r="W4406" s="2">
        <f>10.6*S4406</f>
        <v>106</v>
      </c>
      <c r="X4406" s="5">
        <f t="shared" si="778"/>
        <v>0.29333333333333333</v>
      </c>
      <c r="Z4406" s="2" t="s">
        <v>3226</v>
      </c>
      <c r="AA4406" s="2" t="s">
        <v>46</v>
      </c>
      <c r="AB4406" s="2" t="s">
        <v>56</v>
      </c>
      <c r="AC4406" s="2" t="s">
        <v>57</v>
      </c>
      <c r="AK4406" s="2">
        <f t="shared" si="780"/>
        <v>44</v>
      </c>
      <c r="AL4406" s="5">
        <f t="shared" si="779"/>
        <v>0.29333333333333333</v>
      </c>
    </row>
    <row r="4407" spans="1:38" x14ac:dyDescent="0.2">
      <c r="A4407" s="2">
        <v>2026</v>
      </c>
      <c r="B4407" s="2">
        <v>7</v>
      </c>
      <c r="C4407" s="2" t="s">
        <v>3294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1"/>
        <v>3.22</v>
      </c>
      <c r="V4407" s="2">
        <f t="shared" si="782"/>
        <v>17.22</v>
      </c>
      <c r="W4407" s="2">
        <f>0.0914*S4407</f>
        <v>9.1399999999999988</v>
      </c>
      <c r="X4407" s="5">
        <f t="shared" si="778"/>
        <v>0.34714285714285725</v>
      </c>
      <c r="Z4407" s="2" t="s">
        <v>3226</v>
      </c>
      <c r="AA4407" s="2" t="s">
        <v>46</v>
      </c>
      <c r="AB4407" s="2" t="s">
        <v>60</v>
      </c>
      <c r="AC4407" s="2" t="s">
        <v>57</v>
      </c>
      <c r="AK4407" s="2">
        <f t="shared" si="780"/>
        <v>4.8600000000000012</v>
      </c>
      <c r="AL4407" s="5">
        <f t="shared" si="779"/>
        <v>0.34714285714285725</v>
      </c>
    </row>
    <row r="4408" spans="1:38" x14ac:dyDescent="0.2">
      <c r="A4408" s="2">
        <v>2026</v>
      </c>
      <c r="B4408" s="2">
        <v>7</v>
      </c>
      <c r="C4408" s="2" t="s">
        <v>3294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1"/>
        <v>17.48</v>
      </c>
      <c r="V4408" s="2">
        <f t="shared" si="782"/>
        <v>93.48</v>
      </c>
      <c r="W4408" s="2">
        <f>T4408*40%</f>
        <v>30.400000000000002</v>
      </c>
      <c r="X4408" s="5">
        <f t="shared" si="778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80"/>
        <v>45.599999999999994</v>
      </c>
      <c r="AL4408" s="5">
        <f t="shared" si="779"/>
        <v>0.6</v>
      </c>
    </row>
    <row r="4409" spans="1:38" x14ac:dyDescent="0.2">
      <c r="A4409" s="2">
        <v>2026</v>
      </c>
      <c r="B4409" s="2">
        <v>7</v>
      </c>
      <c r="C4409" s="2" t="s">
        <v>3294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1"/>
        <v>12.65</v>
      </c>
      <c r="V4409" s="2">
        <f t="shared" si="782"/>
        <v>67.650000000000006</v>
      </c>
      <c r="W4409" s="2">
        <f>T4409*50%</f>
        <v>27.5</v>
      </c>
      <c r="X4409" s="5">
        <f t="shared" si="778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80"/>
        <v>27.5</v>
      </c>
      <c r="AL4409" s="5">
        <f t="shared" si="779"/>
        <v>0.5</v>
      </c>
    </row>
    <row r="4410" spans="1:38" x14ac:dyDescent="0.2">
      <c r="A4410" s="2">
        <v>2026</v>
      </c>
      <c r="B4410" s="2">
        <v>7</v>
      </c>
      <c r="C4410" s="2" t="s">
        <v>3294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1"/>
        <v>10.143000000000001</v>
      </c>
      <c r="V4410" s="2">
        <f t="shared" si="782"/>
        <v>54.243000000000002</v>
      </c>
      <c r="W4410" s="2">
        <f>10.38*S4410</f>
        <v>20.76</v>
      </c>
      <c r="X4410" s="5">
        <f t="shared" si="778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80"/>
        <v>23.34</v>
      </c>
      <c r="AL4410" s="5">
        <f t="shared" si="779"/>
        <v>0.52925170068027205</v>
      </c>
    </row>
    <row r="4411" spans="1:38" x14ac:dyDescent="0.2">
      <c r="A4411" s="2">
        <v>2026</v>
      </c>
      <c r="B4411" s="2">
        <v>7</v>
      </c>
      <c r="C4411" s="2" t="s">
        <v>3294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1"/>
        <v>1.84</v>
      </c>
      <c r="V4411" s="2">
        <f t="shared" si="782"/>
        <v>9.84</v>
      </c>
      <c r="W4411" s="2">
        <v>6</v>
      </c>
      <c r="X4411" s="5">
        <f t="shared" si="778"/>
        <v>0.25</v>
      </c>
      <c r="Z4411" s="2" t="s">
        <v>169</v>
      </c>
      <c r="AA4411" s="2" t="s">
        <v>169</v>
      </c>
      <c r="AK4411" s="2">
        <f t="shared" si="780"/>
        <v>2</v>
      </c>
      <c r="AL4411" s="5">
        <f t="shared" si="779"/>
        <v>0.25</v>
      </c>
    </row>
    <row r="4412" spans="1:38" x14ac:dyDescent="0.2">
      <c r="A4412" s="2">
        <v>2026</v>
      </c>
      <c r="B4412" s="2">
        <v>7</v>
      </c>
      <c r="C4412" s="2" t="s">
        <v>3294</v>
      </c>
      <c r="D4412" s="15" t="s">
        <v>2781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1"/>
        <v>13.144500000000001</v>
      </c>
      <c r="V4412" s="2">
        <f t="shared" si="782"/>
        <v>70.294499999999999</v>
      </c>
      <c r="W4412" s="2">
        <f>5.33*S4412</f>
        <v>21.32</v>
      </c>
      <c r="X4412" s="5">
        <f t="shared" si="778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80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3294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1"/>
        <v>1.84</v>
      </c>
      <c r="V4413" s="2">
        <f t="shared" si="782"/>
        <v>9.84</v>
      </c>
      <c r="W4413" s="2">
        <v>6</v>
      </c>
      <c r="X4413" s="5">
        <f t="shared" si="778"/>
        <v>0.25</v>
      </c>
      <c r="Z4413" s="2" t="s">
        <v>169</v>
      </c>
      <c r="AA4413" s="2" t="s">
        <v>169</v>
      </c>
      <c r="AK4413" s="2">
        <f t="shared" si="780"/>
        <v>2</v>
      </c>
      <c r="AL4413" s="5">
        <f t="shared" si="779"/>
        <v>0.25</v>
      </c>
    </row>
    <row r="4414" spans="1:38" x14ac:dyDescent="0.2">
      <c r="A4414" s="2">
        <v>2026</v>
      </c>
      <c r="B4414" s="2">
        <v>7</v>
      </c>
      <c r="C4414" s="2" t="s">
        <v>3293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8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80"/>
        <v>233.02659999999997</v>
      </c>
      <c r="AL4414" s="5">
        <f t="shared" si="779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3293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3">T4415*23%</f>
        <v>3220</v>
      </c>
      <c r="V4415" s="2">
        <f t="shared" ref="V4415:V4446" si="784">T4415+U4415</f>
        <v>17220</v>
      </c>
      <c r="W4415" s="2">
        <f>10699.41+285.74</f>
        <v>10985.15</v>
      </c>
      <c r="X4415" s="5">
        <f t="shared" si="778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80"/>
        <v>3014.8500000000004</v>
      </c>
      <c r="AL4415" s="5">
        <f t="shared" si="779"/>
        <v>0.21534642857142861</v>
      </c>
    </row>
    <row r="4416" spans="1:38" x14ac:dyDescent="0.2">
      <c r="A4416" s="2">
        <v>2026</v>
      </c>
      <c r="B4416" s="2">
        <v>7</v>
      </c>
      <c r="C4416" s="2" t="s">
        <v>3293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3"/>
        <v>48.300000000000004</v>
      </c>
      <c r="V4416" s="2">
        <f t="shared" si="784"/>
        <v>258.3</v>
      </c>
      <c r="W4416" s="2">
        <f>113.905+11.25</f>
        <v>125.155</v>
      </c>
      <c r="X4416" s="5">
        <f t="shared" si="778"/>
        <v>0.40402380952380951</v>
      </c>
      <c r="Z4416" s="2" t="s">
        <v>3226</v>
      </c>
      <c r="AA4416" s="2" t="s">
        <v>75</v>
      </c>
      <c r="AB4416" s="2" t="s">
        <v>76</v>
      </c>
      <c r="AC4416" s="2" t="s">
        <v>77</v>
      </c>
      <c r="AK4416" s="2">
        <f t="shared" si="780"/>
        <v>84.844999999999999</v>
      </c>
      <c r="AL4416" s="5">
        <f t="shared" si="779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3293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3"/>
        <v>0.34040000000000004</v>
      </c>
      <c r="V4417" s="2">
        <f t="shared" si="784"/>
        <v>1.8204</v>
      </c>
      <c r="W4417" s="2">
        <v>1.48</v>
      </c>
      <c r="X4417" s="5">
        <f t="shared" si="778"/>
        <v>0</v>
      </c>
      <c r="Z4417" s="2" t="s">
        <v>3226</v>
      </c>
      <c r="AA4417" s="2" t="s">
        <v>96</v>
      </c>
      <c r="AB4417" s="2" t="s">
        <v>76</v>
      </c>
      <c r="AC4417" s="2" t="s">
        <v>93</v>
      </c>
      <c r="AK4417" s="2">
        <f t="shared" si="780"/>
        <v>0</v>
      </c>
      <c r="AL4417" s="5">
        <f t="shared" si="779"/>
        <v>0</v>
      </c>
    </row>
    <row r="4418" spans="1:38" x14ac:dyDescent="0.2">
      <c r="A4418" s="2">
        <v>2026</v>
      </c>
      <c r="B4418" s="2">
        <v>7</v>
      </c>
      <c r="C4418" s="2" t="s">
        <v>3293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3359</v>
      </c>
      <c r="R4418" s="15" t="s">
        <v>3360</v>
      </c>
      <c r="S4418" s="13">
        <v>1</v>
      </c>
      <c r="T4418" s="14">
        <v>103.55</v>
      </c>
      <c r="U4418" s="2">
        <f t="shared" si="783"/>
        <v>23.816500000000001</v>
      </c>
      <c r="V4418" s="2">
        <f t="shared" si="784"/>
        <v>127.3665</v>
      </c>
      <c r="W4418" s="2">
        <f>57.53+1</f>
        <v>58.53</v>
      </c>
      <c r="X4418" s="5">
        <f t="shared" si="778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80"/>
        <v>45.019999999999996</v>
      </c>
      <c r="AL4418" s="5">
        <f t="shared" si="779"/>
        <v>0.43476581361661032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3341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3088</v>
      </c>
      <c r="R4419" s="15" t="s">
        <v>3089</v>
      </c>
      <c r="S4419" s="13">
        <v>1</v>
      </c>
      <c r="T4419" s="14">
        <v>2490</v>
      </c>
      <c r="U4419" s="2">
        <f t="shared" si="783"/>
        <v>572.70000000000005</v>
      </c>
      <c r="V4419" s="2">
        <f t="shared" si="784"/>
        <v>3062.7</v>
      </c>
      <c r="W4419" s="2">
        <f>1907.5+49</f>
        <v>1956.5</v>
      </c>
      <c r="X4419" s="5">
        <f t="shared" si="778"/>
        <v>0.21425702811244979</v>
      </c>
      <c r="Z4419" s="2" t="s">
        <v>104</v>
      </c>
      <c r="AA4419" s="2" t="s">
        <v>387</v>
      </c>
      <c r="AB4419" s="2" t="s">
        <v>1330</v>
      </c>
      <c r="AC4419" s="2" t="s">
        <v>1327</v>
      </c>
      <c r="AK4419" s="2">
        <f t="shared" si="780"/>
        <v>533.5</v>
      </c>
      <c r="AL4419" s="5">
        <f t="shared" si="779"/>
        <v>0.21425702811244979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3244</v>
      </c>
      <c r="J4420" s="2" t="s">
        <v>3245</v>
      </c>
      <c r="K4420" s="2">
        <v>96179412</v>
      </c>
      <c r="L4420" s="2" t="s">
        <v>461</v>
      </c>
      <c r="M4420" s="2" t="s">
        <v>40</v>
      </c>
      <c r="O4420" s="2" t="s">
        <v>3374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3"/>
        <v>160.839</v>
      </c>
      <c r="V4420" s="2">
        <f t="shared" si="784"/>
        <v>860.1389999999999</v>
      </c>
      <c r="W4420" s="2">
        <v>343.38580000000002</v>
      </c>
      <c r="X4420" s="5">
        <f t="shared" si="778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80"/>
        <v>355.91419999999994</v>
      </c>
      <c r="AL4420" s="5">
        <f t="shared" si="779"/>
        <v>0.50895781495781489</v>
      </c>
    </row>
    <row r="4421" spans="1:38" x14ac:dyDescent="0.2">
      <c r="A4421" s="2">
        <v>2026</v>
      </c>
      <c r="B4421" s="2">
        <v>7</v>
      </c>
      <c r="C4421" s="2" t="s">
        <v>3293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3374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3"/>
        <v>56.580000000000005</v>
      </c>
      <c r="V4421" s="2">
        <f t="shared" si="784"/>
        <v>302.58</v>
      </c>
      <c r="W4421" s="2">
        <f>T4421*40%</f>
        <v>98.4</v>
      </c>
      <c r="X4421" s="5">
        <f t="shared" si="778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80"/>
        <v>147.6</v>
      </c>
      <c r="AL4421" s="5">
        <f t="shared" si="779"/>
        <v>0.6</v>
      </c>
    </row>
    <row r="4422" spans="1:38" x14ac:dyDescent="0.2">
      <c r="A4422" s="2">
        <v>2026</v>
      </c>
      <c r="B4422" s="2">
        <v>7</v>
      </c>
      <c r="C4422" s="2" t="s">
        <v>3293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3374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3"/>
        <v>18.975000000000001</v>
      </c>
      <c r="V4422" s="2">
        <f t="shared" si="784"/>
        <v>101.47499999999999</v>
      </c>
      <c r="W4422" s="2">
        <f>T4422*50%</f>
        <v>41.25</v>
      </c>
      <c r="X4422" s="5">
        <f t="shared" ref="X4422:X4453" si="785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80"/>
        <v>41.25</v>
      </c>
      <c r="AL4422" s="5">
        <f t="shared" ref="AL4422:AL4453" si="786">(T4422-W4422)/T4422</f>
        <v>0.5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3342</v>
      </c>
      <c r="E4423" s="2" t="s">
        <v>38</v>
      </c>
      <c r="F4423" s="2" t="s">
        <v>39</v>
      </c>
      <c r="H4423" s="2" t="s">
        <v>40</v>
      </c>
      <c r="I4423" s="2" t="s">
        <v>3373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3"/>
        <v>52.900000000000006</v>
      </c>
      <c r="V4423" s="2">
        <f t="shared" si="784"/>
        <v>282.89999999999998</v>
      </c>
      <c r="W4423" s="2">
        <v>125.51600000000001</v>
      </c>
      <c r="X4423" s="5">
        <f t="shared" si="785"/>
        <v>0.45427826086956519</v>
      </c>
      <c r="Z4423" s="2" t="s">
        <v>3226</v>
      </c>
      <c r="AA4423" s="2" t="s">
        <v>75</v>
      </c>
      <c r="AB4423" s="2" t="s">
        <v>76</v>
      </c>
      <c r="AC4423" s="2" t="s">
        <v>77</v>
      </c>
      <c r="AK4423" s="2">
        <f t="shared" si="780"/>
        <v>104.48399999999999</v>
      </c>
      <c r="AL4423" s="5">
        <f t="shared" si="786"/>
        <v>0.45427826086956519</v>
      </c>
    </row>
    <row r="4424" spans="1:38" x14ac:dyDescent="0.2">
      <c r="A4424" s="2">
        <v>2026</v>
      </c>
      <c r="B4424" s="2">
        <v>7</v>
      </c>
      <c r="C4424" s="2" t="s">
        <v>3294</v>
      </c>
      <c r="D4424" s="15" t="s">
        <v>3342</v>
      </c>
      <c r="E4424" s="2" t="s">
        <v>38</v>
      </c>
      <c r="F4424" s="2" t="s">
        <v>39</v>
      </c>
      <c r="H4424" s="2" t="s">
        <v>40</v>
      </c>
      <c r="I4424" s="2" t="s">
        <v>3373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3"/>
        <v>0.34040000000000004</v>
      </c>
      <c r="V4424" s="2">
        <f t="shared" si="784"/>
        <v>1.8204</v>
      </c>
      <c r="W4424" s="2">
        <v>1.48</v>
      </c>
      <c r="X4424" s="5">
        <f t="shared" si="785"/>
        <v>0</v>
      </c>
      <c r="Z4424" s="2" t="s">
        <v>3226</v>
      </c>
      <c r="AA4424" s="2" t="s">
        <v>96</v>
      </c>
      <c r="AB4424" s="2" t="s">
        <v>76</v>
      </c>
      <c r="AC4424" s="2" t="s">
        <v>93</v>
      </c>
      <c r="AK4424" s="2">
        <f t="shared" si="780"/>
        <v>0</v>
      </c>
      <c r="AL4424" s="5">
        <f t="shared" si="786"/>
        <v>0</v>
      </c>
    </row>
    <row r="4425" spans="1:38" x14ac:dyDescent="0.2">
      <c r="A4425" s="2">
        <v>2026</v>
      </c>
      <c r="B4425" s="2">
        <v>7</v>
      </c>
      <c r="C4425" s="2" t="s">
        <v>3294</v>
      </c>
      <c r="D4425" s="15" t="s">
        <v>1312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1313</v>
      </c>
      <c r="L4425" s="2" t="s">
        <v>177</v>
      </c>
      <c r="M4425" s="2" t="s">
        <v>41</v>
      </c>
      <c r="O4425" s="2" t="s">
        <v>3372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3"/>
        <v>4.83</v>
      </c>
      <c r="V4425" s="2">
        <f t="shared" si="784"/>
        <v>25.83</v>
      </c>
      <c r="W4425" s="2">
        <f>9.3*S4425</f>
        <v>9.3000000000000007</v>
      </c>
      <c r="X4425" s="5">
        <f t="shared" si="785"/>
        <v>0.55714285714285716</v>
      </c>
      <c r="Z4425" s="2" t="s">
        <v>3226</v>
      </c>
      <c r="AA4425" s="2" t="s">
        <v>46</v>
      </c>
      <c r="AB4425" s="2" t="s">
        <v>47</v>
      </c>
      <c r="AC4425" s="2" t="s">
        <v>57</v>
      </c>
      <c r="AK4425" s="2">
        <f t="shared" si="780"/>
        <v>11.7</v>
      </c>
      <c r="AL4425" s="5">
        <f t="shared" si="786"/>
        <v>0.55714285714285716</v>
      </c>
    </row>
    <row r="4426" spans="1:38" x14ac:dyDescent="0.2">
      <c r="A4426" s="2">
        <v>2026</v>
      </c>
      <c r="B4426" s="2">
        <v>7</v>
      </c>
      <c r="C4426" s="2" t="s">
        <v>3294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3372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3"/>
        <v>8.2800000000000011</v>
      </c>
      <c r="V4426" s="2">
        <f t="shared" si="784"/>
        <v>44.28</v>
      </c>
      <c r="W4426" s="2">
        <f>10.6*S4426</f>
        <v>21.2</v>
      </c>
      <c r="X4426" s="5">
        <f t="shared" si="785"/>
        <v>0.41111111111111115</v>
      </c>
      <c r="Z4426" s="2" t="s">
        <v>3226</v>
      </c>
      <c r="AA4426" s="2" t="s">
        <v>46</v>
      </c>
      <c r="AB4426" s="2" t="s">
        <v>56</v>
      </c>
      <c r="AC4426" s="2" t="s">
        <v>57</v>
      </c>
      <c r="AK4426" s="2">
        <f t="shared" si="780"/>
        <v>14.8</v>
      </c>
      <c r="AL4426" s="5">
        <f t="shared" si="786"/>
        <v>0.41111111111111115</v>
      </c>
    </row>
    <row r="4427" spans="1:38" x14ac:dyDescent="0.2">
      <c r="A4427" s="2">
        <v>2026</v>
      </c>
      <c r="B4427" s="2">
        <v>7</v>
      </c>
      <c r="C4427" s="2" t="s">
        <v>3294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3372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3"/>
        <v>3.22</v>
      </c>
      <c r="V4427" s="2">
        <f t="shared" si="784"/>
        <v>17.22</v>
      </c>
      <c r="W4427" s="2">
        <f>0.0914*S4427</f>
        <v>9.1399999999999988</v>
      </c>
      <c r="X4427" s="5">
        <f t="shared" si="785"/>
        <v>0.34714285714285725</v>
      </c>
      <c r="Z4427" s="2" t="s">
        <v>3226</v>
      </c>
      <c r="AA4427" s="2" t="s">
        <v>46</v>
      </c>
      <c r="AB4427" s="2" t="s">
        <v>60</v>
      </c>
      <c r="AC4427" s="2" t="s">
        <v>57</v>
      </c>
      <c r="AK4427" s="2">
        <f t="shared" si="780"/>
        <v>4.8600000000000012</v>
      </c>
      <c r="AL4427" s="5">
        <f t="shared" si="786"/>
        <v>0.34714285714285725</v>
      </c>
    </row>
    <row r="4428" spans="1:38" x14ac:dyDescent="0.2">
      <c r="A4428" s="2">
        <v>2026</v>
      </c>
      <c r="B4428" s="2">
        <v>7</v>
      </c>
      <c r="C4428" s="2" t="s">
        <v>3293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3371</v>
      </c>
      <c r="P4428" s="2" t="s">
        <v>114</v>
      </c>
      <c r="Q4428" s="16" t="s">
        <v>3361</v>
      </c>
      <c r="R4428" s="15" t="s">
        <v>3362</v>
      </c>
      <c r="S4428" s="13">
        <v>12</v>
      </c>
      <c r="T4428" s="14">
        <v>157.75</v>
      </c>
      <c r="U4428" s="2">
        <f t="shared" si="783"/>
        <v>36.282499999999999</v>
      </c>
      <c r="V4428" s="2">
        <f t="shared" si="784"/>
        <v>194.0325</v>
      </c>
      <c r="W4428" s="2">
        <f>6.26*S4428</f>
        <v>75.12</v>
      </c>
      <c r="X4428" s="5">
        <f t="shared" si="785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80"/>
        <v>82.63</v>
      </c>
      <c r="AL4428" s="5">
        <f t="shared" si="786"/>
        <v>0.52380348652931852</v>
      </c>
    </row>
    <row r="4429" spans="1:38" x14ac:dyDescent="0.2">
      <c r="A4429" s="2">
        <v>2026</v>
      </c>
      <c r="B4429" s="2">
        <v>7</v>
      </c>
      <c r="C4429" s="2" t="s">
        <v>3293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3371</v>
      </c>
      <c r="P4429" s="2" t="s">
        <v>114</v>
      </c>
      <c r="Q4429" s="16" t="s">
        <v>3363</v>
      </c>
      <c r="R4429" s="15" t="s">
        <v>3364</v>
      </c>
      <c r="S4429" s="13">
        <v>2</v>
      </c>
      <c r="T4429" s="14">
        <v>571.12</v>
      </c>
      <c r="U4429" s="2">
        <f t="shared" si="783"/>
        <v>131.35760000000002</v>
      </c>
      <c r="V4429" s="2">
        <f t="shared" si="784"/>
        <v>702.47760000000005</v>
      </c>
      <c r="W4429" s="2">
        <f>135.98+1.76*S4429</f>
        <v>139.5</v>
      </c>
      <c r="X4429" s="5">
        <f t="shared" si="785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80"/>
        <v>431.62</v>
      </c>
      <c r="AL4429" s="5">
        <f t="shared" si="786"/>
        <v>0.75574310127468836</v>
      </c>
    </row>
    <row r="4430" spans="1:38" x14ac:dyDescent="0.2">
      <c r="A4430" s="2">
        <v>2026</v>
      </c>
      <c r="B4430" s="2">
        <v>7</v>
      </c>
      <c r="C4430" s="2" t="s">
        <v>3293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3371</v>
      </c>
      <c r="P4430" s="2" t="s">
        <v>114</v>
      </c>
      <c r="Q4430" s="16" t="s">
        <v>3365</v>
      </c>
      <c r="R4430" s="15" t="s">
        <v>3366</v>
      </c>
      <c r="S4430" s="13">
        <v>16</v>
      </c>
      <c r="T4430" s="14">
        <v>117.6</v>
      </c>
      <c r="U4430" s="2">
        <f t="shared" si="783"/>
        <v>27.047999999999998</v>
      </c>
      <c r="V4430" s="2">
        <f t="shared" si="784"/>
        <v>144.648</v>
      </c>
      <c r="W4430" s="2">
        <f>3.5+5*S4430</f>
        <v>83.5</v>
      </c>
      <c r="X4430" s="5">
        <f t="shared" si="785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80"/>
        <v>34.099999999999994</v>
      </c>
      <c r="AL4430" s="5">
        <f t="shared" si="786"/>
        <v>0.28996598639455778</v>
      </c>
    </row>
    <row r="4431" spans="1:38" x14ac:dyDescent="0.2">
      <c r="A4431" s="2">
        <v>2026</v>
      </c>
      <c r="B4431" s="2">
        <v>7</v>
      </c>
      <c r="C4431" s="2" t="s">
        <v>3423</v>
      </c>
      <c r="D4431" s="2" t="s">
        <v>37</v>
      </c>
      <c r="E4431" s="2" t="s">
        <v>38</v>
      </c>
      <c r="F4431" s="2" t="s">
        <v>39</v>
      </c>
      <c r="H4431" s="2" t="s">
        <v>40</v>
      </c>
      <c r="L4431" s="2" t="s">
        <v>3268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3"/>
        <v>11.040000000000001</v>
      </c>
      <c r="V4431" s="2">
        <f t="shared" si="784"/>
        <v>59.04</v>
      </c>
      <c r="W4431" s="2">
        <f>10.6*S4431</f>
        <v>31.799999999999997</v>
      </c>
      <c r="X4431" s="5">
        <f t="shared" si="785"/>
        <v>0.33750000000000008</v>
      </c>
      <c r="Z4431" s="2" t="s">
        <v>3226</v>
      </c>
      <c r="AA4431" s="2" t="s">
        <v>46</v>
      </c>
      <c r="AB4431" s="2" t="s">
        <v>56</v>
      </c>
      <c r="AC4431" s="2" t="s">
        <v>57</v>
      </c>
      <c r="AK4431" s="2">
        <f t="shared" si="780"/>
        <v>16.200000000000003</v>
      </c>
      <c r="AL4431" s="5">
        <f t="shared" si="786"/>
        <v>0.33750000000000008</v>
      </c>
    </row>
    <row r="4432" spans="1:38" x14ac:dyDescent="0.2">
      <c r="A4432" s="2">
        <v>2026</v>
      </c>
      <c r="B4432" s="2">
        <v>7</v>
      </c>
      <c r="C4432" s="2" t="s">
        <v>3423</v>
      </c>
      <c r="D4432" s="2" t="s">
        <v>37</v>
      </c>
      <c r="E4432" s="2" t="s">
        <v>38</v>
      </c>
      <c r="F4432" s="2" t="s">
        <v>39</v>
      </c>
      <c r="H4432" s="2" t="s">
        <v>40</v>
      </c>
      <c r="L4432" s="2" t="s">
        <v>3268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3"/>
        <v>16.100000000000001</v>
      </c>
      <c r="V4432" s="2">
        <f t="shared" si="784"/>
        <v>86.1</v>
      </c>
      <c r="W4432" s="2">
        <f>0.082*S4432</f>
        <v>57.400000000000006</v>
      </c>
      <c r="X4432" s="5">
        <f t="shared" si="785"/>
        <v>0.17999999999999991</v>
      </c>
      <c r="Z4432" s="2" t="s">
        <v>3226</v>
      </c>
      <c r="AA4432" s="2" t="s">
        <v>46</v>
      </c>
      <c r="AB4432" s="2" t="s">
        <v>60</v>
      </c>
      <c r="AC4432" s="2" t="s">
        <v>57</v>
      </c>
      <c r="AK4432" s="2">
        <f t="shared" si="780"/>
        <v>12.599999999999994</v>
      </c>
      <c r="AL4432" s="5">
        <f t="shared" si="786"/>
        <v>0.17999999999999991</v>
      </c>
    </row>
    <row r="4433" spans="1:38" x14ac:dyDescent="0.2">
      <c r="A4433" s="2">
        <v>2026</v>
      </c>
      <c r="B4433" s="2">
        <v>7</v>
      </c>
      <c r="C4433" s="2" t="s">
        <v>3423</v>
      </c>
      <c r="D4433" s="23" t="s">
        <v>1543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3"/>
        <v>3.2866999999999997</v>
      </c>
      <c r="V4433" s="2">
        <f t="shared" si="784"/>
        <v>17.576699999999999</v>
      </c>
      <c r="W4433" s="2">
        <f>5.33*S4433</f>
        <v>5.33</v>
      </c>
      <c r="X4433" s="5">
        <f t="shared" si="785"/>
        <v>0.62701189643107069</v>
      </c>
      <c r="Y4433" s="2" t="s">
        <v>3299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80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3423</v>
      </c>
      <c r="D4434" s="23" t="s">
        <v>2774</v>
      </c>
      <c r="E4434" s="2" t="s">
        <v>108</v>
      </c>
      <c r="F4434" s="2" t="s">
        <v>39</v>
      </c>
      <c r="L4434" s="2" t="s">
        <v>2438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3"/>
        <v>96.367699999999999</v>
      </c>
      <c r="V4434" s="2">
        <f t="shared" si="784"/>
        <v>515.35770000000002</v>
      </c>
      <c r="W4434" s="2">
        <v>237.8466</v>
      </c>
      <c r="X4434" s="5">
        <f t="shared" si="785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80"/>
        <v>181.14340000000001</v>
      </c>
      <c r="AL4434" s="5">
        <f t="shared" si="786"/>
        <v>0.43233346857920241</v>
      </c>
    </row>
    <row r="4435" spans="1:38" x14ac:dyDescent="0.2">
      <c r="A4435" s="2">
        <v>2026</v>
      </c>
      <c r="B4435" s="2">
        <v>7</v>
      </c>
      <c r="C4435" s="2" t="s">
        <v>3423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3"/>
        <v>22.77</v>
      </c>
      <c r="V4435" s="2">
        <f t="shared" si="784"/>
        <v>121.77</v>
      </c>
      <c r="W4435" s="2">
        <f>T4435*40%</f>
        <v>39.6</v>
      </c>
      <c r="X4435" s="5">
        <f t="shared" si="785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80"/>
        <v>59.4</v>
      </c>
      <c r="AL4435" s="5">
        <f t="shared" si="786"/>
        <v>0.6</v>
      </c>
    </row>
    <row r="4436" spans="1:38" x14ac:dyDescent="0.2">
      <c r="A4436" s="2">
        <v>2026</v>
      </c>
      <c r="B4436" s="2">
        <v>7</v>
      </c>
      <c r="C4436" s="2" t="s">
        <v>3423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3"/>
        <v>11.385</v>
      </c>
      <c r="V4436" s="2">
        <f t="shared" si="784"/>
        <v>60.884999999999998</v>
      </c>
      <c r="W4436" s="2">
        <f>T4436*50%</f>
        <v>24.75</v>
      </c>
      <c r="X4436" s="5">
        <f t="shared" si="785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80"/>
        <v>24.75</v>
      </c>
      <c r="AL4436" s="5">
        <f t="shared" si="786"/>
        <v>0.5</v>
      </c>
    </row>
    <row r="4437" spans="1:38" x14ac:dyDescent="0.2">
      <c r="A4437" s="2">
        <v>2026</v>
      </c>
      <c r="B4437" s="2">
        <v>7</v>
      </c>
      <c r="C4437" s="2" t="s">
        <v>3423</v>
      </c>
      <c r="D4437" s="23" t="s">
        <v>1573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2996</v>
      </c>
      <c r="R4437" s="23" t="s">
        <v>2997</v>
      </c>
      <c r="S4437" s="21">
        <v>1</v>
      </c>
      <c r="T4437" s="22">
        <v>1130.5</v>
      </c>
      <c r="U4437" s="2">
        <f t="shared" si="783"/>
        <v>260.01499999999999</v>
      </c>
      <c r="V4437" s="2">
        <f t="shared" si="784"/>
        <v>1390.5149999999999</v>
      </c>
      <c r="W4437" s="2">
        <v>773.5</v>
      </c>
      <c r="X4437" s="5">
        <f t="shared" si="785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1327</v>
      </c>
      <c r="AK4437" s="2">
        <f t="shared" si="780"/>
        <v>357</v>
      </c>
      <c r="AL4437" s="5">
        <f t="shared" si="786"/>
        <v>0.31578947368421051</v>
      </c>
    </row>
    <row r="4438" spans="1:38" x14ac:dyDescent="0.2">
      <c r="A4438" s="2">
        <v>2026</v>
      </c>
      <c r="B4438" s="2">
        <v>7</v>
      </c>
      <c r="C4438" s="2" t="s">
        <v>3423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3"/>
        <v>13.8</v>
      </c>
      <c r="V4438" s="2">
        <f t="shared" si="784"/>
        <v>73.8</v>
      </c>
      <c r="W4438" s="2">
        <f>T4438*40%</f>
        <v>24</v>
      </c>
      <c r="X4438" s="5">
        <f t="shared" si="785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80"/>
        <v>36</v>
      </c>
      <c r="AL4438" s="5">
        <f t="shared" si="786"/>
        <v>0.6</v>
      </c>
    </row>
    <row r="4439" spans="1:38" x14ac:dyDescent="0.2">
      <c r="A4439" s="2">
        <v>2026</v>
      </c>
      <c r="B4439" s="2">
        <v>7</v>
      </c>
      <c r="C4439" s="2" t="s">
        <v>3423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3"/>
        <v>25.3</v>
      </c>
      <c r="V4439" s="2">
        <f t="shared" si="784"/>
        <v>135.30000000000001</v>
      </c>
      <c r="W4439" s="2">
        <f>T4439*50%</f>
        <v>55</v>
      </c>
      <c r="X4439" s="5">
        <f t="shared" si="785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80"/>
        <v>55</v>
      </c>
      <c r="AL4439" s="5">
        <f t="shared" si="786"/>
        <v>0.5</v>
      </c>
    </row>
    <row r="4440" spans="1:38" x14ac:dyDescent="0.2">
      <c r="A4440" s="2">
        <v>2026</v>
      </c>
      <c r="B4440" s="2">
        <v>7</v>
      </c>
      <c r="C4440" s="2" t="s">
        <v>3423</v>
      </c>
      <c r="D4440" s="23" t="s">
        <v>1622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1623</v>
      </c>
      <c r="J4440" s="2" t="s">
        <v>1624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3"/>
        <v>52.900000000000006</v>
      </c>
      <c r="V4440" s="2">
        <f t="shared" si="784"/>
        <v>282.89999999999998</v>
      </c>
      <c r="W4440" s="2">
        <v>134.57</v>
      </c>
      <c r="X4440" s="5">
        <f t="shared" si="785"/>
        <v>0.41491304347826091</v>
      </c>
      <c r="Z4440" s="2" t="s">
        <v>3226</v>
      </c>
      <c r="AA4440" s="2" t="s">
        <v>75</v>
      </c>
      <c r="AB4440" s="2" t="s">
        <v>76</v>
      </c>
      <c r="AC4440" s="2" t="s">
        <v>77</v>
      </c>
      <c r="AK4440" s="2">
        <f t="shared" si="780"/>
        <v>95.43</v>
      </c>
      <c r="AL4440" s="5">
        <f t="shared" si="786"/>
        <v>0.41491304347826091</v>
      </c>
    </row>
    <row r="4441" spans="1:38" x14ac:dyDescent="0.2">
      <c r="A4441" s="2">
        <v>2026</v>
      </c>
      <c r="B4441" s="2">
        <v>7</v>
      </c>
      <c r="C4441" s="2" t="s">
        <v>3423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3"/>
        <v>0.34040000000000004</v>
      </c>
      <c r="V4441" s="2">
        <f t="shared" si="784"/>
        <v>1.8204</v>
      </c>
      <c r="W4441" s="2">
        <v>1.48</v>
      </c>
      <c r="X4441" s="5">
        <f t="shared" si="785"/>
        <v>0</v>
      </c>
      <c r="Z4441" s="2" t="s">
        <v>3226</v>
      </c>
      <c r="AA4441" s="2" t="s">
        <v>96</v>
      </c>
      <c r="AB4441" s="2" t="s">
        <v>76</v>
      </c>
      <c r="AC4441" s="2" t="s">
        <v>93</v>
      </c>
      <c r="AK4441" s="2">
        <f t="shared" si="780"/>
        <v>0</v>
      </c>
      <c r="AL4441" s="5">
        <f t="shared" si="786"/>
        <v>0</v>
      </c>
    </row>
    <row r="4442" spans="1:38" x14ac:dyDescent="0.2">
      <c r="A4442" s="2">
        <v>2026</v>
      </c>
      <c r="B4442" s="2">
        <v>7</v>
      </c>
      <c r="C4442" s="2" t="s">
        <v>3423</v>
      </c>
      <c r="D4442" s="2" t="s">
        <v>3424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3"/>
        <v>52.900000000000006</v>
      </c>
      <c r="V4442" s="2">
        <f t="shared" si="784"/>
        <v>282.89999999999998</v>
      </c>
      <c r="W4442" s="2">
        <v>133.4614</v>
      </c>
      <c r="X4442" s="5">
        <f t="shared" si="785"/>
        <v>0.4197330434782609</v>
      </c>
      <c r="Z4442" s="2" t="s">
        <v>3226</v>
      </c>
      <c r="AA4442" s="2" t="s">
        <v>75</v>
      </c>
      <c r="AB4442" s="2" t="s">
        <v>76</v>
      </c>
      <c r="AC4442" s="2" t="s">
        <v>77</v>
      </c>
      <c r="AK4442" s="2">
        <f t="shared" si="780"/>
        <v>96.538600000000002</v>
      </c>
      <c r="AL4442" s="5">
        <f t="shared" si="786"/>
        <v>0.4197330434782609</v>
      </c>
    </row>
    <row r="4443" spans="1:38" x14ac:dyDescent="0.2">
      <c r="A4443" s="2">
        <v>2026</v>
      </c>
      <c r="B4443" s="2">
        <v>7</v>
      </c>
      <c r="C4443" s="2" t="s">
        <v>3423</v>
      </c>
      <c r="D4443" s="2" t="s">
        <v>3424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3"/>
        <v>0.34040000000000004</v>
      </c>
      <c r="V4443" s="2">
        <f t="shared" si="784"/>
        <v>1.8204</v>
      </c>
      <c r="W4443" s="2">
        <v>1.48</v>
      </c>
      <c r="X4443" s="5">
        <f t="shared" si="785"/>
        <v>0</v>
      </c>
      <c r="Z4443" s="2" t="s">
        <v>3226</v>
      </c>
      <c r="AA4443" s="2" t="s">
        <v>96</v>
      </c>
      <c r="AB4443" s="2" t="s">
        <v>76</v>
      </c>
      <c r="AC4443" s="2" t="s">
        <v>93</v>
      </c>
      <c r="AK4443" s="2">
        <f t="shared" si="780"/>
        <v>0</v>
      </c>
      <c r="AL4443" s="5">
        <f t="shared" si="786"/>
        <v>0</v>
      </c>
    </row>
    <row r="4444" spans="1:38" x14ac:dyDescent="0.2">
      <c r="A4444" s="2">
        <v>2026</v>
      </c>
      <c r="B4444" s="2">
        <v>7</v>
      </c>
      <c r="C4444" s="2" t="s">
        <v>3423</v>
      </c>
      <c r="D4444" s="2" t="s">
        <v>2578</v>
      </c>
      <c r="E4444" s="2" t="s">
        <v>183</v>
      </c>
      <c r="F4444" s="2" t="s">
        <v>2579</v>
      </c>
      <c r="G4444" s="2">
        <v>515259144</v>
      </c>
      <c r="H4444" s="2" t="s">
        <v>80</v>
      </c>
      <c r="I4444" s="2" t="s">
        <v>156</v>
      </c>
      <c r="J4444" s="2" t="s">
        <v>2580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2889</v>
      </c>
      <c r="R4444" s="2" t="s">
        <v>2890</v>
      </c>
      <c r="S4444" s="13">
        <v>1</v>
      </c>
      <c r="T4444" s="14">
        <v>223.1</v>
      </c>
      <c r="U4444" s="2">
        <f t="shared" si="783"/>
        <v>51.313000000000002</v>
      </c>
      <c r="V4444" s="2">
        <f t="shared" si="784"/>
        <v>274.41300000000001</v>
      </c>
      <c r="W4444" s="2">
        <v>141.16</v>
      </c>
      <c r="X4444" s="5">
        <f t="shared" si="785"/>
        <v>0.36727924697445091</v>
      </c>
      <c r="Z4444" s="2" t="s">
        <v>3226</v>
      </c>
      <c r="AA4444" s="2" t="s">
        <v>75</v>
      </c>
      <c r="AB4444" s="2" t="s">
        <v>76</v>
      </c>
      <c r="AC4444" s="2" t="s">
        <v>1038</v>
      </c>
      <c r="AK4444" s="2">
        <f t="shared" si="780"/>
        <v>81.94</v>
      </c>
      <c r="AL4444" s="5">
        <f t="shared" si="786"/>
        <v>0.36727924697445091</v>
      </c>
    </row>
    <row r="4445" spans="1:38" x14ac:dyDescent="0.2">
      <c r="A4445" s="2">
        <v>2026</v>
      </c>
      <c r="B4445" s="2">
        <v>7</v>
      </c>
      <c r="C4445" s="2" t="s">
        <v>3423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3"/>
        <v>0.34040000000000004</v>
      </c>
      <c r="V4445" s="2">
        <f t="shared" si="784"/>
        <v>1.8204</v>
      </c>
      <c r="W4445" s="2">
        <v>1.48</v>
      </c>
      <c r="X4445" s="5">
        <f t="shared" si="785"/>
        <v>0</v>
      </c>
      <c r="Z4445" s="2" t="s">
        <v>3226</v>
      </c>
      <c r="AA4445" s="2" t="s">
        <v>96</v>
      </c>
      <c r="AB4445" s="2" t="s">
        <v>76</v>
      </c>
      <c r="AC4445" s="2" t="s">
        <v>93</v>
      </c>
      <c r="AK4445" s="2">
        <f t="shared" si="780"/>
        <v>0</v>
      </c>
      <c r="AL4445" s="5">
        <f t="shared" si="786"/>
        <v>0</v>
      </c>
    </row>
    <row r="4446" spans="1:38" x14ac:dyDescent="0.2">
      <c r="A4446" s="2">
        <v>2026</v>
      </c>
      <c r="B4446" s="2">
        <v>7</v>
      </c>
      <c r="C4446" s="2" t="s">
        <v>3423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3"/>
        <v>4.83</v>
      </c>
      <c r="V4446" s="2">
        <f t="shared" si="784"/>
        <v>25.83</v>
      </c>
      <c r="W4446" s="2">
        <f>14.4*S4446</f>
        <v>14.4</v>
      </c>
      <c r="X4446" s="5">
        <f t="shared" si="785"/>
        <v>0.31428571428571428</v>
      </c>
      <c r="Z4446" s="2" t="s">
        <v>3226</v>
      </c>
      <c r="AA4446" s="2" t="s">
        <v>46</v>
      </c>
      <c r="AB4446" s="2" t="s">
        <v>47</v>
      </c>
      <c r="AC4446" s="2" t="s">
        <v>57</v>
      </c>
      <c r="AK4446" s="2">
        <f t="shared" si="780"/>
        <v>6.6</v>
      </c>
      <c r="AL4446" s="5">
        <f t="shared" si="786"/>
        <v>0.31428571428571428</v>
      </c>
    </row>
    <row r="4447" spans="1:38" x14ac:dyDescent="0.2">
      <c r="A4447" s="2">
        <v>2026</v>
      </c>
      <c r="B4447" s="2">
        <v>7</v>
      </c>
      <c r="C4447" s="2" t="s">
        <v>3423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7">T4447*23%</f>
        <v>8.2800000000000011</v>
      </c>
      <c r="V4447" s="2">
        <f t="shared" ref="V4447:V4478" si="788">T4447+U4447</f>
        <v>44.28</v>
      </c>
      <c r="W4447" s="2">
        <f>10.6*S4447</f>
        <v>21.2</v>
      </c>
      <c r="X4447" s="5">
        <f t="shared" si="785"/>
        <v>0.41111111111111115</v>
      </c>
      <c r="Z4447" s="2" t="s">
        <v>3226</v>
      </c>
      <c r="AA4447" s="2" t="s">
        <v>46</v>
      </c>
      <c r="AB4447" s="2" t="s">
        <v>56</v>
      </c>
      <c r="AC4447" s="2" t="s">
        <v>57</v>
      </c>
      <c r="AK4447" s="2">
        <f t="shared" si="780"/>
        <v>14.8</v>
      </c>
      <c r="AL4447" s="5">
        <f t="shared" si="786"/>
        <v>0.41111111111111115</v>
      </c>
    </row>
    <row r="4448" spans="1:38" x14ac:dyDescent="0.2">
      <c r="A4448" s="2">
        <v>2026</v>
      </c>
      <c r="B4448" s="2">
        <v>7</v>
      </c>
      <c r="C4448" s="2" t="s">
        <v>3423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7"/>
        <v>1.84</v>
      </c>
      <c r="V4448" s="2">
        <f t="shared" si="788"/>
        <v>9.84</v>
      </c>
      <c r="W4448" s="2">
        <v>6</v>
      </c>
      <c r="X4448" s="5">
        <f t="shared" si="785"/>
        <v>0.25</v>
      </c>
      <c r="Z4448" s="2" t="s">
        <v>169</v>
      </c>
      <c r="AA4448" s="2" t="s">
        <v>169</v>
      </c>
      <c r="AK4448" s="2">
        <f t="shared" si="780"/>
        <v>2</v>
      </c>
      <c r="AL4448" s="5">
        <f t="shared" si="786"/>
        <v>0.25</v>
      </c>
    </row>
    <row r="4449" spans="1:38" x14ac:dyDescent="0.2">
      <c r="A4449" s="2">
        <v>2026</v>
      </c>
      <c r="B4449" s="2">
        <v>7</v>
      </c>
      <c r="C4449" s="2" t="s">
        <v>3423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7"/>
        <v>92</v>
      </c>
      <c r="V4449" s="2">
        <f t="shared" si="788"/>
        <v>492</v>
      </c>
      <c r="W4449" s="2">
        <f>14.5099*S4449</f>
        <v>290.19799999999998</v>
      </c>
      <c r="X4449" s="5">
        <f t="shared" si="785"/>
        <v>0.27450500000000005</v>
      </c>
      <c r="Z4449" s="2" t="s">
        <v>3226</v>
      </c>
      <c r="AA4449" s="2" t="s">
        <v>46</v>
      </c>
      <c r="AB4449" s="2" t="s">
        <v>60</v>
      </c>
      <c r="AC4449" s="2" t="s">
        <v>3330</v>
      </c>
      <c r="AK4449" s="2">
        <f t="shared" si="780"/>
        <v>109.80200000000002</v>
      </c>
      <c r="AL4449" s="5">
        <f t="shared" si="786"/>
        <v>0.27450500000000005</v>
      </c>
    </row>
    <row r="4450" spans="1:38" x14ac:dyDescent="0.2">
      <c r="A4450" s="2">
        <v>2026</v>
      </c>
      <c r="B4450" s="2">
        <v>7</v>
      </c>
      <c r="C4450" s="2" t="s">
        <v>3423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7"/>
        <v>11.96</v>
      </c>
      <c r="V4450" s="2">
        <f t="shared" si="788"/>
        <v>63.96</v>
      </c>
      <c r="W4450" s="2">
        <f>6.6267*S4450</f>
        <v>26.506799999999998</v>
      </c>
      <c r="X4450" s="5">
        <f t="shared" si="785"/>
        <v>0.49025384615384621</v>
      </c>
      <c r="Z4450" s="2" t="s">
        <v>3226</v>
      </c>
      <c r="AA4450" s="2" t="s">
        <v>46</v>
      </c>
      <c r="AB4450" s="2" t="s">
        <v>47</v>
      </c>
      <c r="AC4450" s="2" t="s">
        <v>57</v>
      </c>
      <c r="AK4450" s="2">
        <f t="shared" si="780"/>
        <v>25.493200000000002</v>
      </c>
      <c r="AL4450" s="5">
        <f t="shared" si="786"/>
        <v>0.49025384615384621</v>
      </c>
    </row>
    <row r="4451" spans="1:38" x14ac:dyDescent="0.2">
      <c r="A4451" s="2">
        <v>2026</v>
      </c>
      <c r="B4451" s="2">
        <v>7</v>
      </c>
      <c r="C4451" s="2" t="s">
        <v>3423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7"/>
        <v>4.83</v>
      </c>
      <c r="V4451" s="2">
        <f t="shared" si="788"/>
        <v>25.83</v>
      </c>
      <c r="W4451" s="2">
        <f>14.4*S4451</f>
        <v>14.4</v>
      </c>
      <c r="X4451" s="5">
        <f t="shared" si="785"/>
        <v>0.31428571428571428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80"/>
        <v>6.6</v>
      </c>
      <c r="AL4451" s="5">
        <f t="shared" si="786"/>
        <v>0.31428571428571428</v>
      </c>
    </row>
    <row r="4452" spans="1:38" x14ac:dyDescent="0.2">
      <c r="A4452" s="2">
        <v>2026</v>
      </c>
      <c r="B4452" s="2">
        <v>7</v>
      </c>
      <c r="C4452" s="2" t="s">
        <v>3423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3425</v>
      </c>
      <c r="R4452" s="2" t="s">
        <v>3426</v>
      </c>
      <c r="S4452" s="13">
        <v>1</v>
      </c>
      <c r="T4452" s="14">
        <v>287</v>
      </c>
      <c r="U4452" s="2">
        <f t="shared" si="787"/>
        <v>66.010000000000005</v>
      </c>
      <c r="V4452" s="2">
        <f t="shared" si="788"/>
        <v>353.01</v>
      </c>
      <c r="W4452" s="2">
        <v>157.85</v>
      </c>
      <c r="X4452" s="5">
        <f t="shared" si="785"/>
        <v>0.45</v>
      </c>
      <c r="Z4452" s="2" t="s">
        <v>3226</v>
      </c>
      <c r="AA4452" s="2" t="s">
        <v>75</v>
      </c>
      <c r="AB4452" s="2" t="s">
        <v>76</v>
      </c>
      <c r="AC4452" s="2" t="s">
        <v>77</v>
      </c>
      <c r="AK4452" s="2">
        <f t="shared" si="780"/>
        <v>129.15</v>
      </c>
      <c r="AL4452" s="5">
        <f t="shared" si="786"/>
        <v>0.45</v>
      </c>
    </row>
    <row r="4453" spans="1:38" x14ac:dyDescent="0.2">
      <c r="A4453" s="2">
        <v>2026</v>
      </c>
      <c r="B4453" s="2">
        <v>7</v>
      </c>
      <c r="C4453" s="2" t="s">
        <v>3423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7"/>
        <v>0.34040000000000004</v>
      </c>
      <c r="V4453" s="2">
        <f t="shared" si="788"/>
        <v>1.8204</v>
      </c>
      <c r="W4453" s="2">
        <v>1.48</v>
      </c>
      <c r="X4453" s="5">
        <f t="shared" si="785"/>
        <v>0</v>
      </c>
      <c r="Z4453" s="2" t="s">
        <v>3226</v>
      </c>
      <c r="AA4453" s="2" t="s">
        <v>96</v>
      </c>
      <c r="AB4453" s="2" t="s">
        <v>76</v>
      </c>
      <c r="AC4453" s="2" t="s">
        <v>93</v>
      </c>
      <c r="AK4453" s="2">
        <f t="shared" si="780"/>
        <v>0</v>
      </c>
      <c r="AL4453" s="5">
        <f t="shared" si="786"/>
        <v>0</v>
      </c>
    </row>
    <row r="4454" spans="1:38" x14ac:dyDescent="0.2">
      <c r="A4454" s="2">
        <v>2026</v>
      </c>
      <c r="B4454" s="2">
        <v>7</v>
      </c>
      <c r="C4454" s="2" t="s">
        <v>3423</v>
      </c>
      <c r="D4454" s="2" t="s">
        <v>2143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3427</v>
      </c>
      <c r="R4454" s="2" t="s">
        <v>3428</v>
      </c>
      <c r="S4454" s="13">
        <v>1</v>
      </c>
      <c r="T4454" s="14">
        <v>390</v>
      </c>
      <c r="U4454" s="2">
        <f t="shared" si="787"/>
        <v>89.7</v>
      </c>
      <c r="V4454" s="2">
        <f t="shared" si="788"/>
        <v>479.7</v>
      </c>
      <c r="W4454" s="2">
        <v>217</v>
      </c>
      <c r="X4454" s="5">
        <f t="shared" ref="X4454:X4470" si="789">(T4454-W4454)/T4454</f>
        <v>0.44358974358974357</v>
      </c>
      <c r="Z4454" s="2" t="s">
        <v>3226</v>
      </c>
      <c r="AA4454" s="2" t="s">
        <v>75</v>
      </c>
      <c r="AB4454" s="2" t="s">
        <v>76</v>
      </c>
      <c r="AC4454" s="2" t="s">
        <v>1038</v>
      </c>
      <c r="AK4454" s="2">
        <f t="shared" si="780"/>
        <v>173</v>
      </c>
      <c r="AL4454" s="5">
        <f t="shared" ref="AL4454:AL4470" si="790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3423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7"/>
        <v>3.45</v>
      </c>
      <c r="V4455" s="2">
        <f t="shared" si="788"/>
        <v>18.45</v>
      </c>
      <c r="W4455" s="2">
        <v>28</v>
      </c>
      <c r="X4455" s="5">
        <f t="shared" si="789"/>
        <v>-0.8666666666666667</v>
      </c>
      <c r="Z4455" s="2" t="s">
        <v>169</v>
      </c>
      <c r="AA4455" s="2" t="s">
        <v>169</v>
      </c>
      <c r="AK4455" s="2">
        <f t="shared" si="780"/>
        <v>-13</v>
      </c>
      <c r="AL4455" s="5">
        <f t="shared" si="790"/>
        <v>-0.8666666666666667</v>
      </c>
    </row>
    <row r="4456" spans="1:38" x14ac:dyDescent="0.2">
      <c r="A4456" s="2">
        <v>2026</v>
      </c>
      <c r="B4456" s="2">
        <v>7</v>
      </c>
      <c r="C4456" s="2" t="s">
        <v>3423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7"/>
        <v>0.34040000000000004</v>
      </c>
      <c r="V4456" s="2">
        <f t="shared" si="788"/>
        <v>1.8204</v>
      </c>
      <c r="W4456" s="2">
        <v>1.48</v>
      </c>
      <c r="X4456" s="5">
        <f t="shared" si="789"/>
        <v>0</v>
      </c>
      <c r="Z4456" s="2" t="s">
        <v>3226</v>
      </c>
      <c r="AA4456" s="2" t="s">
        <v>96</v>
      </c>
      <c r="AB4456" s="2" t="s">
        <v>76</v>
      </c>
      <c r="AC4456" s="2" t="s">
        <v>93</v>
      </c>
      <c r="AK4456" s="2">
        <f t="shared" si="780"/>
        <v>0</v>
      </c>
      <c r="AL4456" s="5">
        <f t="shared" si="790"/>
        <v>0</v>
      </c>
    </row>
    <row r="4457" spans="1:38" x14ac:dyDescent="0.2">
      <c r="A4457" s="2">
        <v>2026</v>
      </c>
      <c r="B4457" s="2">
        <v>7</v>
      </c>
      <c r="C4457" s="2" t="s">
        <v>3423</v>
      </c>
      <c r="D4457" s="2" t="s">
        <v>2559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3429</v>
      </c>
      <c r="R4457" s="2" t="s">
        <v>3430</v>
      </c>
      <c r="S4457" s="13">
        <v>4</v>
      </c>
      <c r="T4457" s="14">
        <v>569.1</v>
      </c>
      <c r="U4457" s="2">
        <f t="shared" si="787"/>
        <v>130.893</v>
      </c>
      <c r="V4457" s="2">
        <f t="shared" si="788"/>
        <v>699.99300000000005</v>
      </c>
      <c r="W4457" s="2">
        <f>86.81*S4457</f>
        <v>347.24</v>
      </c>
      <c r="X4457" s="5">
        <f t="shared" si="789"/>
        <v>0.38984361272184154</v>
      </c>
      <c r="Z4457" s="2" t="s">
        <v>3226</v>
      </c>
      <c r="AA4457" s="2" t="s">
        <v>1041</v>
      </c>
      <c r="AB4457" s="2" t="s">
        <v>1270</v>
      </c>
      <c r="AC4457" s="2" t="s">
        <v>1038</v>
      </c>
      <c r="AK4457" s="2">
        <f t="shared" si="780"/>
        <v>221.86</v>
      </c>
      <c r="AL4457" s="5">
        <f t="shared" si="790"/>
        <v>0.38984361272184154</v>
      </c>
    </row>
    <row r="4458" spans="1:38" x14ac:dyDescent="0.2">
      <c r="A4458" s="2">
        <v>2026</v>
      </c>
      <c r="B4458" s="2">
        <v>7</v>
      </c>
      <c r="C4458" s="2" t="s">
        <v>3423</v>
      </c>
      <c r="D4458" s="2" t="s">
        <v>1295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1296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7"/>
        <v>111.55000000000001</v>
      </c>
      <c r="V4458" s="2">
        <f t="shared" si="788"/>
        <v>596.54999999999995</v>
      </c>
      <c r="W4458" s="2">
        <f>150.9766*S4458</f>
        <v>301.95319999999998</v>
      </c>
      <c r="X4458" s="5">
        <f t="shared" si="789"/>
        <v>0.37741608247422687</v>
      </c>
      <c r="Z4458" s="2" t="s">
        <v>3226</v>
      </c>
      <c r="AA4458" s="2" t="s">
        <v>75</v>
      </c>
      <c r="AB4458" s="2" t="s">
        <v>76</v>
      </c>
      <c r="AC4458" s="2" t="s">
        <v>77</v>
      </c>
      <c r="AK4458" s="2">
        <f t="shared" si="780"/>
        <v>183.04680000000002</v>
      </c>
      <c r="AL4458" s="5">
        <f t="shared" si="790"/>
        <v>0.37741608247422687</v>
      </c>
    </row>
    <row r="4459" spans="1:38" x14ac:dyDescent="0.2">
      <c r="A4459" s="2">
        <v>2026</v>
      </c>
      <c r="B4459" s="2">
        <v>7</v>
      </c>
      <c r="C4459" s="2" t="s">
        <v>3423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1038</v>
      </c>
      <c r="Q4459" s="2" t="s">
        <v>3431</v>
      </c>
      <c r="R4459" s="2" t="s">
        <v>3432</v>
      </c>
      <c r="S4459" s="13">
        <v>1</v>
      </c>
      <c r="T4459" s="14">
        <v>232.8</v>
      </c>
      <c r="U4459" s="2">
        <f t="shared" si="787"/>
        <v>53.544000000000004</v>
      </c>
      <c r="V4459" s="2">
        <f t="shared" si="788"/>
        <v>286.34399999999999</v>
      </c>
      <c r="W4459" s="2">
        <v>128.99</v>
      </c>
      <c r="X4459" s="5">
        <f t="shared" si="789"/>
        <v>0.44591924398625427</v>
      </c>
      <c r="Z4459" s="2" t="s">
        <v>3226</v>
      </c>
      <c r="AA4459" s="2" t="s">
        <v>75</v>
      </c>
      <c r="AB4459" s="2" t="s">
        <v>76</v>
      </c>
      <c r="AC4459" s="2" t="s">
        <v>1038</v>
      </c>
      <c r="AK4459" s="2">
        <f t="shared" si="780"/>
        <v>103.81</v>
      </c>
      <c r="AL4459" s="5">
        <f t="shared" si="790"/>
        <v>0.44591924398625427</v>
      </c>
    </row>
    <row r="4460" spans="1:38" x14ac:dyDescent="0.2">
      <c r="A4460" s="2">
        <v>2026</v>
      </c>
      <c r="B4460" s="2">
        <v>7</v>
      </c>
      <c r="C4460" s="2" t="s">
        <v>3423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7"/>
        <v>1.0212000000000001</v>
      </c>
      <c r="V4460" s="2">
        <f t="shared" si="788"/>
        <v>5.4612000000000007</v>
      </c>
      <c r="W4460" s="2">
        <f>1.48*S4460</f>
        <v>4.4399999999999995</v>
      </c>
      <c r="X4460" s="5">
        <f t="shared" si="789"/>
        <v>2.000401846171453E-16</v>
      </c>
      <c r="Z4460" s="2" t="s">
        <v>3226</v>
      </c>
      <c r="AA4460" s="2" t="s">
        <v>96</v>
      </c>
      <c r="AB4460" s="2" t="s">
        <v>76</v>
      </c>
      <c r="AC4460" s="2" t="s">
        <v>93</v>
      </c>
      <c r="AK4460" s="2">
        <f t="shared" si="780"/>
        <v>0</v>
      </c>
      <c r="AL4460" s="5">
        <f t="shared" si="790"/>
        <v>2.000401846171453E-16</v>
      </c>
    </row>
    <row r="4461" spans="1:38" x14ac:dyDescent="0.2">
      <c r="A4461" s="2">
        <v>2026</v>
      </c>
      <c r="B4461" s="2">
        <v>7</v>
      </c>
      <c r="C4461" s="2" t="s">
        <v>3423</v>
      </c>
      <c r="D4461" s="2" t="s">
        <v>2364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7"/>
        <v>11.96</v>
      </c>
      <c r="V4461" s="2">
        <f t="shared" si="788"/>
        <v>63.96</v>
      </c>
      <c r="W4461" s="2">
        <f>6.6267*S4461</f>
        <v>26.506799999999998</v>
      </c>
      <c r="X4461" s="5">
        <f t="shared" si="789"/>
        <v>0.49025384615384621</v>
      </c>
      <c r="Z4461" s="2" t="s">
        <v>3226</v>
      </c>
      <c r="AA4461" s="2" t="s">
        <v>46</v>
      </c>
      <c r="AB4461" s="2" t="s">
        <v>47</v>
      </c>
      <c r="AC4461" s="2" t="s">
        <v>57</v>
      </c>
      <c r="AK4461" s="2">
        <f t="shared" si="780"/>
        <v>25.493200000000002</v>
      </c>
      <c r="AL4461" s="5">
        <f t="shared" si="790"/>
        <v>0.49025384615384621</v>
      </c>
    </row>
    <row r="4462" spans="1:38" x14ac:dyDescent="0.2">
      <c r="A4462" s="2">
        <v>2026</v>
      </c>
      <c r="B4462" s="2">
        <v>7</v>
      </c>
      <c r="C4462" s="2" t="s">
        <v>3423</v>
      </c>
      <c r="D4462" s="2" t="s">
        <v>37</v>
      </c>
      <c r="E4462" s="2" t="s">
        <v>38</v>
      </c>
      <c r="F4462" s="2" t="s">
        <v>39</v>
      </c>
      <c r="H4462" s="2" t="s">
        <v>40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7"/>
        <v>4.1400000000000006</v>
      </c>
      <c r="V4462" s="12">
        <f t="shared" si="788"/>
        <v>22.14</v>
      </c>
      <c r="W4462" s="2">
        <f>10.6*S4462</f>
        <v>10.6</v>
      </c>
      <c r="X4462" s="5">
        <f t="shared" si="789"/>
        <v>0.41111111111111115</v>
      </c>
      <c r="Z4462" s="2" t="s">
        <v>3226</v>
      </c>
      <c r="AA4462" s="2" t="s">
        <v>46</v>
      </c>
      <c r="AB4462" s="2" t="s">
        <v>56</v>
      </c>
      <c r="AC4462" s="2" t="s">
        <v>57</v>
      </c>
      <c r="AK4462" s="2">
        <f t="shared" si="780"/>
        <v>7.4</v>
      </c>
      <c r="AL4462" s="5">
        <f t="shared" si="790"/>
        <v>0.41111111111111115</v>
      </c>
    </row>
    <row r="4463" spans="1:38" x14ac:dyDescent="0.2">
      <c r="A4463" s="2">
        <v>2026</v>
      </c>
      <c r="B4463" s="2">
        <v>7</v>
      </c>
      <c r="C4463" s="2" t="s">
        <v>3423</v>
      </c>
      <c r="D4463" s="2" t="s">
        <v>37</v>
      </c>
      <c r="E4463" s="2" t="s">
        <v>38</v>
      </c>
      <c r="F4463" s="2" t="s">
        <v>39</v>
      </c>
      <c r="H4463" s="2" t="s">
        <v>40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7"/>
        <v>3.22</v>
      </c>
      <c r="V4463" s="12">
        <f t="shared" si="788"/>
        <v>17.22</v>
      </c>
      <c r="W4463" s="2">
        <f>0.0914*S4463</f>
        <v>9.1399999999999988</v>
      </c>
      <c r="X4463" s="5">
        <f t="shared" si="789"/>
        <v>0.34714285714285725</v>
      </c>
      <c r="Z4463" s="2" t="s">
        <v>3226</v>
      </c>
      <c r="AA4463" s="2" t="s">
        <v>46</v>
      </c>
      <c r="AB4463" s="2" t="s">
        <v>60</v>
      </c>
      <c r="AC4463" s="2" t="s">
        <v>57</v>
      </c>
      <c r="AK4463" s="2">
        <f t="shared" si="780"/>
        <v>4.8600000000000012</v>
      </c>
      <c r="AL4463" s="5">
        <f t="shared" si="790"/>
        <v>0.34714285714285725</v>
      </c>
    </row>
    <row r="4464" spans="1:38" x14ac:dyDescent="0.2">
      <c r="A4464" s="2">
        <v>2026</v>
      </c>
      <c r="B4464" s="2">
        <v>7</v>
      </c>
      <c r="C4464" s="2" t="s">
        <v>3423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7"/>
        <v>33.35</v>
      </c>
      <c r="V4464" s="12">
        <f t="shared" si="788"/>
        <v>178.35</v>
      </c>
      <c r="W4464" s="2">
        <f>14.5099*S4464</f>
        <v>72.549499999999995</v>
      </c>
      <c r="X4464" s="5">
        <f t="shared" si="789"/>
        <v>0.49965862068965522</v>
      </c>
      <c r="Z4464" s="2" t="s">
        <v>3226</v>
      </c>
      <c r="AA4464" s="2" t="s">
        <v>46</v>
      </c>
      <c r="AB4464" s="2" t="s">
        <v>60</v>
      </c>
      <c r="AC4464" s="2" t="s">
        <v>3330</v>
      </c>
      <c r="AK4464" s="2">
        <f t="shared" si="780"/>
        <v>72.450500000000005</v>
      </c>
      <c r="AL4464" s="5">
        <f t="shared" si="790"/>
        <v>0.49965862068965522</v>
      </c>
    </row>
    <row r="4465" spans="1:38" x14ac:dyDescent="0.2">
      <c r="A4465" s="2">
        <v>2026</v>
      </c>
      <c r="B4465" s="2">
        <v>7</v>
      </c>
      <c r="C4465" s="2" t="s">
        <v>3423</v>
      </c>
      <c r="D4465" s="24" t="s">
        <v>2049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2779</v>
      </c>
      <c r="J4465" s="2" t="s">
        <v>2820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1514</v>
      </c>
      <c r="R4465" s="24" t="s">
        <v>1515</v>
      </c>
      <c r="S4465" s="25">
        <v>1</v>
      </c>
      <c r="T4465" s="26">
        <v>24.39</v>
      </c>
      <c r="U4465" s="2">
        <f t="shared" si="787"/>
        <v>5.6097000000000001</v>
      </c>
      <c r="V4465" s="12">
        <f t="shared" si="788"/>
        <v>29.999700000000001</v>
      </c>
      <c r="W4465" s="2">
        <f>11.2466</f>
        <v>11.246600000000001</v>
      </c>
      <c r="X4465" s="5">
        <f t="shared" si="789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80"/>
        <v>13.1434</v>
      </c>
      <c r="AL4465" s="5">
        <f t="shared" si="790"/>
        <v>0.53888478884788849</v>
      </c>
    </row>
    <row r="4466" spans="1:38" x14ac:dyDescent="0.2">
      <c r="A4466" s="2">
        <v>2026</v>
      </c>
      <c r="B4466" s="2">
        <v>7</v>
      </c>
      <c r="C4466" s="2" t="s">
        <v>3423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7"/>
        <v>1.84</v>
      </c>
      <c r="V4466" s="12">
        <f t="shared" si="788"/>
        <v>9.84</v>
      </c>
      <c r="W4466" s="2">
        <v>6</v>
      </c>
      <c r="X4466" s="5">
        <f t="shared" si="789"/>
        <v>0.25</v>
      </c>
      <c r="Z4466" s="2" t="s">
        <v>169</v>
      </c>
      <c r="AA4466" s="2" t="s">
        <v>169</v>
      </c>
      <c r="AK4466" s="2">
        <f t="shared" si="780"/>
        <v>2</v>
      </c>
      <c r="AL4466" s="5">
        <f t="shared" si="790"/>
        <v>0.25</v>
      </c>
    </row>
    <row r="4467" spans="1:38" x14ac:dyDescent="0.2">
      <c r="A4467" s="2">
        <v>2026</v>
      </c>
      <c r="B4467" s="2">
        <v>7</v>
      </c>
      <c r="C4467" s="2" t="s">
        <v>3423</v>
      </c>
      <c r="D4467" s="2" t="s">
        <v>37</v>
      </c>
      <c r="E4467" s="2" t="s">
        <v>38</v>
      </c>
      <c r="F4467" s="2" t="s">
        <v>39</v>
      </c>
      <c r="H4467" s="2" t="s">
        <v>40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7"/>
        <v>56.695</v>
      </c>
      <c r="V4467" s="12">
        <f t="shared" si="788"/>
        <v>303.19499999999999</v>
      </c>
      <c r="W4467" s="2">
        <v>133.4614</v>
      </c>
      <c r="X4467" s="5">
        <f t="shared" si="789"/>
        <v>0.4585744421906694</v>
      </c>
      <c r="Z4467" s="2" t="s">
        <v>3226</v>
      </c>
      <c r="AA4467" s="2" t="s">
        <v>75</v>
      </c>
      <c r="AB4467" s="2" t="s">
        <v>76</v>
      </c>
      <c r="AC4467" s="2" t="s">
        <v>77</v>
      </c>
      <c r="AK4467" s="2">
        <f t="shared" si="780"/>
        <v>113.0386</v>
      </c>
      <c r="AL4467" s="5">
        <f t="shared" si="790"/>
        <v>0.4585744421906694</v>
      </c>
    </row>
    <row r="4468" spans="1:38" x14ac:dyDescent="0.2">
      <c r="A4468" s="2">
        <v>2026</v>
      </c>
      <c r="B4468" s="2">
        <v>7</v>
      </c>
      <c r="C4468" s="2" t="s">
        <v>3423</v>
      </c>
      <c r="D4468" s="2" t="s">
        <v>37</v>
      </c>
      <c r="E4468" s="2" t="s">
        <v>38</v>
      </c>
      <c r="F4468" s="2" t="s">
        <v>39</v>
      </c>
      <c r="H4468" s="2" t="s">
        <v>40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7"/>
        <v>0.34040000000000004</v>
      </c>
      <c r="V4468" s="12">
        <f t="shared" si="788"/>
        <v>1.8204</v>
      </c>
      <c r="W4468" s="2">
        <v>1.48</v>
      </c>
      <c r="X4468" s="5">
        <f t="shared" si="789"/>
        <v>0</v>
      </c>
      <c r="Z4468" s="2" t="s">
        <v>3226</v>
      </c>
      <c r="AA4468" s="2" t="s">
        <v>96</v>
      </c>
      <c r="AB4468" s="2" t="s">
        <v>76</v>
      </c>
      <c r="AC4468" s="2" t="s">
        <v>93</v>
      </c>
      <c r="AK4468" s="2">
        <f t="shared" ref="AK4468:AK4482" si="791">T4468-W4468</f>
        <v>0</v>
      </c>
      <c r="AL4468" s="5">
        <f t="shared" si="790"/>
        <v>0</v>
      </c>
    </row>
    <row r="4469" spans="1:38" x14ac:dyDescent="0.2">
      <c r="A4469" s="2">
        <v>2026</v>
      </c>
      <c r="B4469" s="2">
        <v>7</v>
      </c>
      <c r="C4469" s="2" t="s">
        <v>3423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7"/>
        <v>8.2800000000000011</v>
      </c>
      <c r="V4469" s="12">
        <f t="shared" si="788"/>
        <v>44.28</v>
      </c>
      <c r="W4469" s="2">
        <f>0.8561*S4469</f>
        <v>17.122</v>
      </c>
      <c r="X4469" s="5">
        <f t="shared" si="789"/>
        <v>0.5243888888888889</v>
      </c>
      <c r="Z4469" s="2" t="s">
        <v>3226</v>
      </c>
      <c r="AA4469" s="2" t="s">
        <v>46</v>
      </c>
      <c r="AB4469" s="2" t="s">
        <v>60</v>
      </c>
      <c r="AC4469" s="2" t="s">
        <v>57</v>
      </c>
      <c r="AK4469" s="2">
        <f t="shared" si="791"/>
        <v>18.878</v>
      </c>
      <c r="AL4469" s="5">
        <f t="shared" si="790"/>
        <v>0.5243888888888889</v>
      </c>
    </row>
    <row r="4470" spans="1:38" x14ac:dyDescent="0.2">
      <c r="A4470" s="2">
        <v>2026</v>
      </c>
      <c r="B4470" s="2">
        <v>7</v>
      </c>
      <c r="C4470" s="2" t="s">
        <v>3423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1547</v>
      </c>
      <c r="R4470" s="2" t="s">
        <v>1548</v>
      </c>
      <c r="S4470" s="13">
        <v>1</v>
      </c>
      <c r="T4470" s="14">
        <v>595</v>
      </c>
      <c r="U4470" s="2">
        <f t="shared" si="787"/>
        <v>136.85</v>
      </c>
      <c r="V4470" s="12">
        <f t="shared" si="788"/>
        <v>731.85</v>
      </c>
      <c r="W4470" s="2">
        <v>297</v>
      </c>
      <c r="X4470" s="5">
        <f t="shared" si="789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1"/>
        <v>298</v>
      </c>
      <c r="AL4470" s="5">
        <f t="shared" si="790"/>
        <v>0.50084033613445378</v>
      </c>
    </row>
    <row r="4471" spans="1:38" x14ac:dyDescent="0.2">
      <c r="A4471" s="2">
        <v>2026</v>
      </c>
      <c r="B4471" s="2">
        <v>7</v>
      </c>
      <c r="C4471" s="2" t="s">
        <v>3423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7"/>
        <v>0</v>
      </c>
      <c r="V4471" s="12">
        <f t="shared" si="788"/>
        <v>0</v>
      </c>
      <c r="W4471" s="2">
        <f>14.5099</f>
        <v>14.5099</v>
      </c>
      <c r="Z4471" s="2" t="s">
        <v>3226</v>
      </c>
      <c r="AA4471" s="2" t="s">
        <v>46</v>
      </c>
      <c r="AB4471" s="2" t="s">
        <v>60</v>
      </c>
      <c r="AC4471" s="2" t="s">
        <v>3330</v>
      </c>
      <c r="AK4471" s="2">
        <f t="shared" si="791"/>
        <v>-14.5099</v>
      </c>
    </row>
    <row r="4472" spans="1:38" x14ac:dyDescent="0.2">
      <c r="A4472" s="2">
        <v>2026</v>
      </c>
      <c r="B4472" s="2">
        <v>7</v>
      </c>
      <c r="C4472" s="2" t="s">
        <v>3423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1449</v>
      </c>
      <c r="R4472" s="2" t="s">
        <v>307</v>
      </c>
      <c r="S4472" s="13">
        <v>1</v>
      </c>
      <c r="T4472" s="14">
        <v>230</v>
      </c>
      <c r="U4472" s="2">
        <f t="shared" si="787"/>
        <v>52.900000000000006</v>
      </c>
      <c r="V4472" s="12">
        <f t="shared" si="788"/>
        <v>282.89999999999998</v>
      </c>
      <c r="W4472" s="2">
        <v>122.446</v>
      </c>
      <c r="X4472" s="5">
        <f t="shared" ref="X4472:X4482" si="792">(T4472-W4472)/T4472</f>
        <v>0.46762608695652175</v>
      </c>
      <c r="Z4472" s="2" t="s">
        <v>3226</v>
      </c>
      <c r="AA4472" s="2" t="s">
        <v>75</v>
      </c>
      <c r="AB4472" s="2" t="s">
        <v>76</v>
      </c>
      <c r="AC4472" s="2" t="s">
        <v>77</v>
      </c>
      <c r="AK4472" s="2">
        <f t="shared" si="791"/>
        <v>107.554</v>
      </c>
      <c r="AL4472" s="5">
        <f t="shared" ref="AL4472:AL4482" si="793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3423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7"/>
        <v>0.34040000000000004</v>
      </c>
      <c r="V4473" s="12">
        <f t="shared" si="788"/>
        <v>1.8204</v>
      </c>
      <c r="W4473" s="2">
        <v>1.48</v>
      </c>
      <c r="X4473" s="5">
        <f t="shared" si="792"/>
        <v>0</v>
      </c>
      <c r="Z4473" s="2" t="s">
        <v>3226</v>
      </c>
      <c r="AA4473" s="2" t="s">
        <v>96</v>
      </c>
      <c r="AB4473" s="2" t="s">
        <v>76</v>
      </c>
      <c r="AC4473" s="2" t="s">
        <v>93</v>
      </c>
      <c r="AK4473" s="2">
        <f t="shared" si="791"/>
        <v>0</v>
      </c>
      <c r="AL4473" s="5">
        <f t="shared" si="793"/>
        <v>0</v>
      </c>
    </row>
    <row r="4474" spans="1:38" x14ac:dyDescent="0.2">
      <c r="A4474" s="2">
        <v>2026</v>
      </c>
      <c r="B4474" s="2">
        <v>7</v>
      </c>
      <c r="C4474" s="2" t="s">
        <v>3423</v>
      </c>
      <c r="D4474" s="2" t="s">
        <v>3464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7"/>
        <v>3447.7000000000003</v>
      </c>
      <c r="V4474" s="12">
        <f t="shared" si="788"/>
        <v>18437.7</v>
      </c>
      <c r="W4474" s="2">
        <f>10699.41+285.74</f>
        <v>10985.15</v>
      </c>
      <c r="X4474" s="5">
        <f t="shared" si="792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1"/>
        <v>4004.8500000000004</v>
      </c>
      <c r="AL4474" s="5">
        <f t="shared" si="793"/>
        <v>0.26716811207471652</v>
      </c>
    </row>
    <row r="4475" spans="1:38" x14ac:dyDescent="0.2">
      <c r="A4475" s="2">
        <v>2026</v>
      </c>
      <c r="B4475" s="2">
        <v>7</v>
      </c>
      <c r="C4475" s="2" t="s">
        <v>3423</v>
      </c>
      <c r="D4475" s="2" t="s">
        <v>3461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3462</v>
      </c>
      <c r="R4475" s="2" t="s">
        <v>3463</v>
      </c>
      <c r="S4475" s="13">
        <v>1</v>
      </c>
      <c r="T4475" s="14">
        <v>1500</v>
      </c>
      <c r="U4475" s="2">
        <f t="shared" si="787"/>
        <v>345</v>
      </c>
      <c r="V4475" s="12">
        <f t="shared" si="788"/>
        <v>1845</v>
      </c>
      <c r="W4475" s="2">
        <f>T4475*75%</f>
        <v>1125</v>
      </c>
      <c r="X4475" s="5">
        <f t="shared" si="792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1"/>
        <v>375</v>
      </c>
      <c r="AL4475" s="5">
        <f t="shared" si="793"/>
        <v>0.25</v>
      </c>
    </row>
    <row r="4476" spans="1:38" x14ac:dyDescent="0.2">
      <c r="A4476" s="2">
        <v>2026</v>
      </c>
      <c r="B4476" s="2">
        <v>7</v>
      </c>
      <c r="C4476" s="2" t="s">
        <v>3294</v>
      </c>
      <c r="D4476" s="2" t="s">
        <v>37</v>
      </c>
      <c r="E4476" s="2" t="s">
        <v>38</v>
      </c>
      <c r="F4476" s="2" t="s">
        <v>39</v>
      </c>
      <c r="H4476" s="2" t="s">
        <v>40</v>
      </c>
      <c r="L4476" s="2" t="s">
        <v>3268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7"/>
        <v>4.1400000000000006</v>
      </c>
      <c r="V4476" s="2">
        <f t="shared" si="788"/>
        <v>22.14</v>
      </c>
      <c r="W4476" s="2">
        <f>6.6267*S4476</f>
        <v>13.253399999999999</v>
      </c>
      <c r="X4476" s="5">
        <f t="shared" si="792"/>
        <v>0.26370000000000005</v>
      </c>
      <c r="Z4476" s="2" t="s">
        <v>3226</v>
      </c>
      <c r="AA4476" s="2" t="s">
        <v>46</v>
      </c>
      <c r="AB4476" s="2" t="s">
        <v>47</v>
      </c>
      <c r="AC4476" s="2" t="s">
        <v>57</v>
      </c>
      <c r="AK4476" s="2">
        <f t="shared" si="791"/>
        <v>4.7466000000000008</v>
      </c>
      <c r="AL4476" s="5">
        <f t="shared" si="793"/>
        <v>0.26370000000000005</v>
      </c>
    </row>
    <row r="4477" spans="1:38" x14ac:dyDescent="0.2">
      <c r="A4477" s="2">
        <v>2026</v>
      </c>
      <c r="B4477" s="2">
        <v>7</v>
      </c>
      <c r="C4477" s="2" t="s">
        <v>3294</v>
      </c>
      <c r="D4477" s="2" t="s">
        <v>37</v>
      </c>
      <c r="E4477" s="2" t="s">
        <v>38</v>
      </c>
      <c r="F4477" s="2" t="s">
        <v>39</v>
      </c>
      <c r="H4477" s="2" t="s">
        <v>40</v>
      </c>
      <c r="L4477" s="2" t="s">
        <v>3268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7"/>
        <v>8.7975000000000012</v>
      </c>
      <c r="V4477" s="2">
        <f t="shared" si="788"/>
        <v>47.047499999999999</v>
      </c>
      <c r="W4477" s="2">
        <f>10.6*S4477</f>
        <v>31.799999999999997</v>
      </c>
      <c r="X4477" s="5">
        <f t="shared" si="792"/>
        <v>0.16862745098039222</v>
      </c>
      <c r="Z4477" s="2" t="s">
        <v>3226</v>
      </c>
      <c r="AA4477" s="2" t="s">
        <v>46</v>
      </c>
      <c r="AB4477" s="2" t="s">
        <v>56</v>
      </c>
      <c r="AC4477" s="2" t="s">
        <v>57</v>
      </c>
      <c r="AK4477" s="2">
        <f t="shared" si="791"/>
        <v>6.4500000000000028</v>
      </c>
      <c r="AL4477" s="5">
        <f t="shared" si="793"/>
        <v>0.16862745098039222</v>
      </c>
    </row>
    <row r="4478" spans="1:38" x14ac:dyDescent="0.2">
      <c r="A4478" s="2">
        <v>2026</v>
      </c>
      <c r="B4478" s="2">
        <v>7</v>
      </c>
      <c r="C4478" s="2" t="s">
        <v>3294</v>
      </c>
      <c r="D4478" s="2" t="s">
        <v>37</v>
      </c>
      <c r="E4478" s="2" t="s">
        <v>38</v>
      </c>
      <c r="F4478" s="2" t="s">
        <v>39</v>
      </c>
      <c r="H4478" s="2" t="s">
        <v>40</v>
      </c>
      <c r="L4478" s="2" t="s">
        <v>3268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7"/>
        <v>1.3800000000000001</v>
      </c>
      <c r="V4478" s="2">
        <f t="shared" si="788"/>
        <v>7.38</v>
      </c>
      <c r="W4478" s="2">
        <v>2.5051000000000001</v>
      </c>
      <c r="X4478" s="5">
        <f t="shared" si="792"/>
        <v>0.58248333333333335</v>
      </c>
      <c r="Z4478" s="2" t="s">
        <v>3226</v>
      </c>
      <c r="AA4478" s="2" t="s">
        <v>87</v>
      </c>
      <c r="AB4478" s="2" t="s">
        <v>90</v>
      </c>
      <c r="AC4478" s="2" t="s">
        <v>84</v>
      </c>
      <c r="AK4478" s="2">
        <f t="shared" si="791"/>
        <v>3.4948999999999999</v>
      </c>
      <c r="AL4478" s="5">
        <f t="shared" si="793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3292</v>
      </c>
      <c r="D4479" s="2" t="s">
        <v>3099</v>
      </c>
      <c r="E4479" s="2" t="s">
        <v>38</v>
      </c>
      <c r="F4479" s="2" t="s">
        <v>39</v>
      </c>
      <c r="H4479" s="2" t="s">
        <v>109</v>
      </c>
      <c r="I4479" s="2" t="s">
        <v>3282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4">T4479*23%</f>
        <v>3450</v>
      </c>
      <c r="V4479" s="2">
        <f t="shared" ref="V4479:V4482" si="795">T4479+U4479</f>
        <v>18450</v>
      </c>
      <c r="W4479" s="2">
        <v>10985.15</v>
      </c>
      <c r="X4479" s="5">
        <f t="shared" si="792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1"/>
        <v>4014.8500000000004</v>
      </c>
      <c r="AL4479" s="5">
        <f t="shared" si="793"/>
        <v>0.26765666666666671</v>
      </c>
    </row>
    <row r="4480" spans="1:38" x14ac:dyDescent="0.2">
      <c r="A4480" s="2">
        <v>2026</v>
      </c>
      <c r="B4480" s="2">
        <v>7</v>
      </c>
      <c r="C4480" s="2" t="s">
        <v>3423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4"/>
        <v>1.3800000000000001</v>
      </c>
      <c r="V4480" s="2">
        <f t="shared" si="795"/>
        <v>7.38</v>
      </c>
      <c r="W4480" s="2">
        <v>2.94</v>
      </c>
      <c r="X4480" s="5">
        <f t="shared" si="792"/>
        <v>0.51</v>
      </c>
      <c r="Z4480" s="2" t="s">
        <v>3226</v>
      </c>
      <c r="AA4480" s="2" t="s">
        <v>87</v>
      </c>
      <c r="AB4480" s="2" t="s">
        <v>90</v>
      </c>
      <c r="AC4480" s="2" t="s">
        <v>84</v>
      </c>
      <c r="AK4480" s="2">
        <f t="shared" si="791"/>
        <v>3.06</v>
      </c>
      <c r="AL4480" s="5">
        <f t="shared" si="793"/>
        <v>0.51</v>
      </c>
    </row>
    <row r="4481" spans="1:38" x14ac:dyDescent="0.2">
      <c r="A4481" s="2">
        <v>2026</v>
      </c>
      <c r="B4481" s="2">
        <v>7</v>
      </c>
      <c r="C4481" s="2" t="s">
        <v>3423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4"/>
        <v>1.6560000000000001</v>
      </c>
      <c r="V4481" s="2">
        <f t="shared" si="795"/>
        <v>8.8559999999999999</v>
      </c>
      <c r="W4481" s="2">
        <v>2.5051000000000001</v>
      </c>
      <c r="X4481" s="5">
        <f t="shared" si="792"/>
        <v>0.65206944444444448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91"/>
        <v>4.6949000000000005</v>
      </c>
      <c r="AL4481" s="5">
        <f t="shared" si="793"/>
        <v>0.65206944444444448</v>
      </c>
    </row>
    <row r="4482" spans="1:38" x14ac:dyDescent="0.2">
      <c r="A4482" s="2">
        <v>2026</v>
      </c>
      <c r="B4482" s="2">
        <v>7</v>
      </c>
      <c r="C4482" s="2" t="s">
        <v>3423</v>
      </c>
      <c r="D4482" s="29" t="s">
        <v>3108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2869</v>
      </c>
      <c r="R4482" s="29" t="s">
        <v>2870</v>
      </c>
      <c r="S4482" s="28">
        <v>1</v>
      </c>
      <c r="T4482" s="2">
        <v>63.6</v>
      </c>
      <c r="U4482" s="2">
        <f t="shared" si="794"/>
        <v>14.628</v>
      </c>
      <c r="V4482" s="2">
        <f t="shared" si="795"/>
        <v>78.228000000000009</v>
      </c>
      <c r="W4482" s="2">
        <v>35.78</v>
      </c>
      <c r="X4482" s="5">
        <f t="shared" si="792"/>
        <v>0.43742138364779876</v>
      </c>
      <c r="Z4482" s="2" t="s">
        <v>3226</v>
      </c>
      <c r="AA4482" s="2" t="s">
        <v>46</v>
      </c>
      <c r="AB4482" s="2" t="s">
        <v>90</v>
      </c>
      <c r="AC4482" s="2" t="s">
        <v>57</v>
      </c>
      <c r="AK4482" s="2">
        <f t="shared" si="791"/>
        <v>27.82</v>
      </c>
      <c r="AL4482" s="5">
        <f t="shared" si="793"/>
        <v>0.43742138364779876</v>
      </c>
    </row>
    <row r="4483" spans="1:38" x14ac:dyDescent="0.2">
      <c r="A4483" s="2">
        <v>2026</v>
      </c>
      <c r="B4483" s="2">
        <v>7</v>
      </c>
      <c r="C4483" s="2" t="s">
        <v>3423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6">T4483*23%</f>
        <v>2.7600000000000002</v>
      </c>
      <c r="V4483" s="2">
        <f t="shared" ref="V4483:V4485" si="797">T4483+U4483</f>
        <v>14.76</v>
      </c>
      <c r="W4483" s="2">
        <v>6.86</v>
      </c>
      <c r="X4483" s="5">
        <f t="shared" ref="X4483:X4546" si="798">(T4483-W4483)/T4483</f>
        <v>0.42833333333333329</v>
      </c>
      <c r="Z4483" s="2" t="s">
        <v>3226</v>
      </c>
      <c r="AA4483" s="2" t="s">
        <v>87</v>
      </c>
      <c r="AB4483" s="2" t="s">
        <v>90</v>
      </c>
      <c r="AC4483" s="2" t="s">
        <v>84</v>
      </c>
      <c r="AK4483" s="2">
        <f t="shared" ref="AK4483" si="799">T4483-W4483</f>
        <v>5.14</v>
      </c>
      <c r="AL4483" s="5">
        <f t="shared" ref="AL4483" si="800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3474</v>
      </c>
      <c r="D4484" s="2" t="s">
        <v>3475</v>
      </c>
      <c r="E4484" s="2" t="s">
        <v>38</v>
      </c>
      <c r="F4484" s="2" t="s">
        <v>39</v>
      </c>
      <c r="H4484" s="2" t="s">
        <v>40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7"/>
        <v>12.3</v>
      </c>
      <c r="W4484" s="2">
        <v>8</v>
      </c>
      <c r="X4484" s="5">
        <f t="shared" si="798"/>
        <v>0.2</v>
      </c>
      <c r="Z4484" s="2" t="s">
        <v>169</v>
      </c>
      <c r="AA4484" s="2" t="s">
        <v>169</v>
      </c>
      <c r="AK4484" s="2">
        <f t="shared" ref="AK4484:AK4485" si="801">T4484-W4484</f>
        <v>2</v>
      </c>
      <c r="AL4484" s="5">
        <f t="shared" ref="AL4484:AL4485" si="802">(T4484-W4484)/T4484</f>
        <v>0.2</v>
      </c>
    </row>
    <row r="4485" spans="1:38" x14ac:dyDescent="0.2">
      <c r="A4485" s="2">
        <v>2026</v>
      </c>
      <c r="B4485" s="2">
        <v>7</v>
      </c>
      <c r="C4485" s="2" t="s">
        <v>3474</v>
      </c>
      <c r="D4485" s="2" t="s">
        <v>3475</v>
      </c>
      <c r="E4485" s="2" t="s">
        <v>38</v>
      </c>
      <c r="F4485" s="2" t="s">
        <v>39</v>
      </c>
      <c r="H4485" s="2" t="s">
        <v>40</v>
      </c>
      <c r="L4485" s="2" t="s">
        <v>339</v>
      </c>
      <c r="M4485" s="2" t="s">
        <v>40</v>
      </c>
      <c r="P4485" s="2" t="s">
        <v>187</v>
      </c>
      <c r="Q4485" s="33" t="s">
        <v>1308</v>
      </c>
      <c r="R4485" s="33" t="s">
        <v>1309</v>
      </c>
      <c r="S4485" s="32">
        <v>1</v>
      </c>
      <c r="T4485" s="31">
        <v>133</v>
      </c>
      <c r="U4485" s="2">
        <f>T4485*23%</f>
        <v>30.59</v>
      </c>
      <c r="V4485" s="2">
        <f t="shared" si="797"/>
        <v>163.59</v>
      </c>
      <c r="X4485" s="5">
        <f t="shared" si="798"/>
        <v>1</v>
      </c>
      <c r="Z4485" s="2" t="s">
        <v>117</v>
      </c>
      <c r="AA4485" s="2" t="s">
        <v>1310</v>
      </c>
      <c r="AK4485" s="2">
        <f t="shared" si="801"/>
        <v>133</v>
      </c>
      <c r="AL4485" s="5">
        <f t="shared" si="802"/>
        <v>1</v>
      </c>
    </row>
    <row r="4486" spans="1:38" x14ac:dyDescent="0.2">
      <c r="A4486" s="2">
        <v>2026</v>
      </c>
      <c r="B4486" s="2">
        <v>7</v>
      </c>
      <c r="C4486" s="2" t="s">
        <v>3474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3">T4486*23%</f>
        <v>5.98</v>
      </c>
      <c r="V4486" s="2">
        <f t="shared" ref="V4486:V4492" si="804">T4486+U4486</f>
        <v>31.98</v>
      </c>
      <c r="W4486" s="2">
        <f>6.6267*S4486</f>
        <v>13.253399999999999</v>
      </c>
      <c r="X4486" s="5">
        <f t="shared" si="798"/>
        <v>0.49025384615384621</v>
      </c>
      <c r="Z4486" s="2" t="s">
        <v>3226</v>
      </c>
      <c r="AA4486" s="2" t="s">
        <v>46</v>
      </c>
      <c r="AB4486" s="2" t="s">
        <v>47</v>
      </c>
      <c r="AC4486" s="2" t="s">
        <v>57</v>
      </c>
      <c r="AK4486" s="2">
        <f t="shared" ref="AK4486:AK4515" si="805">T4486-W4486</f>
        <v>12.746600000000001</v>
      </c>
      <c r="AL4486" s="5">
        <f t="shared" ref="AL4486:AL4515" si="806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3474</v>
      </c>
      <c r="D4487" s="33" t="s">
        <v>3476</v>
      </c>
      <c r="E4487" s="2" t="s">
        <v>3375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3088</v>
      </c>
      <c r="R4487" s="33" t="s">
        <v>3089</v>
      </c>
      <c r="S4487" s="32">
        <v>1</v>
      </c>
      <c r="T4487" s="31">
        <v>2490</v>
      </c>
      <c r="U4487" s="2">
        <f t="shared" si="803"/>
        <v>572.70000000000005</v>
      </c>
      <c r="V4487" s="2">
        <f t="shared" si="804"/>
        <v>3062.7</v>
      </c>
      <c r="W4487" s="2">
        <f>1907.5+49</f>
        <v>1956.5</v>
      </c>
      <c r="X4487" s="5">
        <f t="shared" si="798"/>
        <v>0.21425702811244979</v>
      </c>
      <c r="Z4487" s="2" t="s">
        <v>104</v>
      </c>
      <c r="AA4487" s="2" t="s">
        <v>387</v>
      </c>
      <c r="AB4487" s="2" t="s">
        <v>1330</v>
      </c>
      <c r="AC4487" s="2" t="s">
        <v>1327</v>
      </c>
      <c r="AK4487" s="2">
        <f t="shared" si="805"/>
        <v>533.5</v>
      </c>
      <c r="AL4487" s="5">
        <f t="shared" si="806"/>
        <v>0.21425702811244979</v>
      </c>
    </row>
    <row r="4488" spans="1:38" x14ac:dyDescent="0.2">
      <c r="A4488" s="2">
        <v>2026</v>
      </c>
      <c r="B4488" s="2">
        <v>7</v>
      </c>
      <c r="C4488" s="2" t="s">
        <v>3474</v>
      </c>
      <c r="D4488" s="33" t="s">
        <v>3476</v>
      </c>
      <c r="E4488" s="2" t="s">
        <v>3375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1325</v>
      </c>
      <c r="R4488" s="33" t="s">
        <v>1326</v>
      </c>
      <c r="S4488" s="32">
        <v>1</v>
      </c>
      <c r="T4488" s="31">
        <v>0</v>
      </c>
      <c r="U4488" s="2">
        <f t="shared" si="803"/>
        <v>0</v>
      </c>
      <c r="V4488" s="2">
        <f t="shared" si="804"/>
        <v>0</v>
      </c>
      <c r="W4488" s="2">
        <v>25.9</v>
      </c>
      <c r="Z4488" s="2" t="s">
        <v>3226</v>
      </c>
      <c r="AA4488" s="2" t="s">
        <v>578</v>
      </c>
      <c r="AB4488" s="2" t="s">
        <v>119</v>
      </c>
      <c r="AC4488" s="2" t="s">
        <v>1327</v>
      </c>
      <c r="AK4488" s="2">
        <f t="shared" si="805"/>
        <v>-25.9</v>
      </c>
    </row>
    <row r="4489" spans="1:38" x14ac:dyDescent="0.2">
      <c r="A4489" s="2">
        <v>2026</v>
      </c>
      <c r="B4489" s="2">
        <v>7</v>
      </c>
      <c r="C4489" s="2" t="s">
        <v>3474</v>
      </c>
      <c r="D4489" s="33" t="s">
        <v>2767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2768</v>
      </c>
      <c r="L4489" s="2" t="s">
        <v>133</v>
      </c>
      <c r="M4489" s="2" t="s">
        <v>80</v>
      </c>
      <c r="P4489" s="2" t="s">
        <v>1038</v>
      </c>
      <c r="Q4489" s="33" t="s">
        <v>1928</v>
      </c>
      <c r="R4489" s="33" t="s">
        <v>1929</v>
      </c>
      <c r="S4489" s="32">
        <v>4</v>
      </c>
      <c r="T4489" s="31">
        <v>682.93</v>
      </c>
      <c r="U4489" s="2">
        <f t="shared" si="803"/>
        <v>157.07390000000001</v>
      </c>
      <c r="V4489" s="2">
        <f t="shared" si="804"/>
        <v>840.00389999999993</v>
      </c>
      <c r="W4489" s="2">
        <f>119.81*S4489</f>
        <v>479.24</v>
      </c>
      <c r="X4489" s="5">
        <f t="shared" si="798"/>
        <v>0.2982589723690568</v>
      </c>
      <c r="Z4489" s="2" t="s">
        <v>3226</v>
      </c>
      <c r="AA4489" s="2" t="s">
        <v>1041</v>
      </c>
      <c r="AB4489" s="2" t="s">
        <v>1318</v>
      </c>
      <c r="AC4489" s="2" t="s">
        <v>1038</v>
      </c>
      <c r="AK4489" s="2">
        <f t="shared" si="805"/>
        <v>203.68999999999994</v>
      </c>
      <c r="AL4489" s="5">
        <f t="shared" si="806"/>
        <v>0.2982589723690568</v>
      </c>
    </row>
    <row r="4490" spans="1:38" x14ac:dyDescent="0.2">
      <c r="A4490" s="2">
        <v>2026</v>
      </c>
      <c r="B4490" s="2">
        <v>7</v>
      </c>
      <c r="C4490" s="2" t="s">
        <v>3474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3"/>
        <v>6.9</v>
      </c>
      <c r="V4490" s="2">
        <f t="shared" si="804"/>
        <v>36.9</v>
      </c>
      <c r="W4490" s="2">
        <v>43</v>
      </c>
      <c r="X4490" s="18">
        <f t="shared" si="798"/>
        <v>-0.43333333333333335</v>
      </c>
      <c r="Z4490" s="2" t="s">
        <v>169</v>
      </c>
      <c r="AA4490" s="2" t="s">
        <v>169</v>
      </c>
      <c r="AK4490" s="2">
        <f t="shared" si="805"/>
        <v>-13</v>
      </c>
      <c r="AL4490" s="18">
        <f t="shared" si="806"/>
        <v>-0.43333333333333335</v>
      </c>
    </row>
    <row r="4491" spans="1:38" x14ac:dyDescent="0.2">
      <c r="A4491" s="2">
        <v>2026</v>
      </c>
      <c r="B4491" s="2">
        <v>7</v>
      </c>
      <c r="C4491" s="2" t="s">
        <v>3474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3"/>
        <v>33.81</v>
      </c>
      <c r="V4491" s="2">
        <f t="shared" si="804"/>
        <v>180.81</v>
      </c>
      <c r="W4491" s="2">
        <f>T4491*40%</f>
        <v>58.800000000000004</v>
      </c>
      <c r="X4491" s="5">
        <f t="shared" si="798"/>
        <v>0.6</v>
      </c>
      <c r="Y4491" s="2" t="s">
        <v>3491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5"/>
        <v>88.199999999999989</v>
      </c>
      <c r="AL4491" s="5">
        <f t="shared" si="806"/>
        <v>0.6</v>
      </c>
    </row>
    <row r="4492" spans="1:38" x14ac:dyDescent="0.2">
      <c r="A4492" s="2">
        <v>2026</v>
      </c>
      <c r="B4492" s="2">
        <v>7</v>
      </c>
      <c r="C4492" s="2" t="s">
        <v>3474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3"/>
        <v>50.6</v>
      </c>
      <c r="V4492" s="2">
        <f t="shared" si="804"/>
        <v>270.60000000000002</v>
      </c>
      <c r="W4492" s="2">
        <f>T4492*50%</f>
        <v>110</v>
      </c>
      <c r="X4492" s="5">
        <f t="shared" si="798"/>
        <v>0.5</v>
      </c>
      <c r="Y4492" s="2" t="s">
        <v>3491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5"/>
        <v>110</v>
      </c>
      <c r="AL4492" s="5">
        <f t="shared" si="806"/>
        <v>0.5</v>
      </c>
    </row>
    <row r="4493" spans="1:38" x14ac:dyDescent="0.2">
      <c r="A4493" s="2">
        <v>2026</v>
      </c>
      <c r="B4493" s="2">
        <v>7</v>
      </c>
      <c r="C4493" s="2" t="s">
        <v>3474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3"/>
        <v>68.424999999999997</v>
      </c>
      <c r="V4493" s="2">
        <f t="shared" ref="V4493:V4496" si="807">T4493+U4493</f>
        <v>365.92500000000001</v>
      </c>
      <c r="W4493" s="2">
        <f>T4493*70%</f>
        <v>208.25</v>
      </c>
      <c r="X4493" s="5">
        <f t="shared" si="798"/>
        <v>0.3</v>
      </c>
      <c r="Y4493" s="2" t="s">
        <v>3491</v>
      </c>
      <c r="Z4493" s="2" t="s">
        <v>117</v>
      </c>
      <c r="AA4493" s="2" t="s">
        <v>1310</v>
      </c>
      <c r="AK4493" s="2">
        <f t="shared" si="805"/>
        <v>89.25</v>
      </c>
      <c r="AL4493" s="5">
        <f t="shared" si="806"/>
        <v>0.3</v>
      </c>
    </row>
    <row r="4494" spans="1:38" x14ac:dyDescent="0.2">
      <c r="A4494" s="2">
        <v>2026</v>
      </c>
      <c r="B4494" s="2">
        <v>7</v>
      </c>
      <c r="C4494" s="2" t="s">
        <v>3474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3"/>
        <v>46</v>
      </c>
      <c r="V4494" s="2">
        <f t="shared" si="807"/>
        <v>246</v>
      </c>
      <c r="W4494" s="2">
        <f t="shared" ref="W4494:W4497" si="808">14.5099*S4494</f>
        <v>145.09899999999999</v>
      </c>
      <c r="X4494" s="5">
        <f t="shared" si="798"/>
        <v>0.27450500000000005</v>
      </c>
      <c r="Z4494" s="2" t="s">
        <v>3226</v>
      </c>
      <c r="AA4494" s="2" t="s">
        <v>46</v>
      </c>
      <c r="AB4494" s="2" t="s">
        <v>60</v>
      </c>
      <c r="AC4494" s="2" t="s">
        <v>3330</v>
      </c>
      <c r="AK4494" s="2">
        <f t="shared" si="805"/>
        <v>54.90100000000001</v>
      </c>
      <c r="AL4494" s="5">
        <f t="shared" si="806"/>
        <v>0.27450500000000005</v>
      </c>
    </row>
    <row r="4495" spans="1:38" x14ac:dyDescent="0.2">
      <c r="A4495" s="2">
        <v>2026</v>
      </c>
      <c r="B4495" s="2">
        <v>7</v>
      </c>
      <c r="C4495" s="2" t="s">
        <v>3474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3"/>
        <v>46</v>
      </c>
      <c r="V4495" s="2">
        <f t="shared" si="807"/>
        <v>246</v>
      </c>
      <c r="W4495" s="2">
        <f t="shared" si="808"/>
        <v>145.09899999999999</v>
      </c>
      <c r="X4495" s="5">
        <f t="shared" si="798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3330</v>
      </c>
      <c r="AK4495" s="2">
        <f t="shared" si="805"/>
        <v>54.90100000000001</v>
      </c>
      <c r="AL4495" s="5">
        <f t="shared" si="806"/>
        <v>0.27450500000000005</v>
      </c>
    </row>
    <row r="4496" spans="1:38" x14ac:dyDescent="0.2">
      <c r="A4496" s="2">
        <v>2026</v>
      </c>
      <c r="B4496" s="2">
        <v>7</v>
      </c>
      <c r="C4496" s="2" t="s">
        <v>3474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3"/>
        <v>46</v>
      </c>
      <c r="V4496" s="2">
        <f t="shared" si="807"/>
        <v>246</v>
      </c>
      <c r="W4496" s="2">
        <f t="shared" si="808"/>
        <v>145.09899999999999</v>
      </c>
      <c r="X4496" s="5">
        <f t="shared" si="798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3330</v>
      </c>
      <c r="AK4496" s="2">
        <f t="shared" si="805"/>
        <v>54.90100000000001</v>
      </c>
      <c r="AL4496" s="5">
        <f t="shared" si="806"/>
        <v>0.27450500000000005</v>
      </c>
    </row>
    <row r="4497" spans="1:38" x14ac:dyDescent="0.2">
      <c r="A4497" s="2">
        <v>2026</v>
      </c>
      <c r="B4497" s="2">
        <v>7</v>
      </c>
      <c r="C4497" s="2" t="s">
        <v>3474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3"/>
        <v>46</v>
      </c>
      <c r="V4497" s="2">
        <f t="shared" ref="V4497:V4504" si="809">T4497+U4497</f>
        <v>246</v>
      </c>
      <c r="W4497" s="2">
        <f t="shared" si="808"/>
        <v>145.09899999999999</v>
      </c>
      <c r="X4497" s="5">
        <f t="shared" si="798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3330</v>
      </c>
      <c r="AK4497" s="2">
        <f t="shared" si="805"/>
        <v>54.90100000000001</v>
      </c>
      <c r="AL4497" s="5">
        <f t="shared" si="806"/>
        <v>0.27450500000000005</v>
      </c>
    </row>
    <row r="4498" spans="1:38" x14ac:dyDescent="0.2">
      <c r="A4498" s="2">
        <v>2026</v>
      </c>
      <c r="B4498" s="2">
        <v>7</v>
      </c>
      <c r="C4498" s="2" t="s">
        <v>3474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1856</v>
      </c>
      <c r="R4498" s="33" t="s">
        <v>1857</v>
      </c>
      <c r="S4498" s="32">
        <v>4</v>
      </c>
      <c r="T4498" s="31">
        <v>642.28</v>
      </c>
      <c r="U4498" s="2">
        <f t="shared" si="803"/>
        <v>147.7244</v>
      </c>
      <c r="V4498" s="2">
        <f t="shared" si="809"/>
        <v>790.00440000000003</v>
      </c>
      <c r="W4498" s="2">
        <f>112.4*S4498</f>
        <v>449.6</v>
      </c>
      <c r="X4498" s="5">
        <f t="shared" si="798"/>
        <v>0.29999377218658524</v>
      </c>
      <c r="Z4498" s="2" t="s">
        <v>3226</v>
      </c>
      <c r="AA4498" s="2" t="s">
        <v>1041</v>
      </c>
      <c r="AB4498" s="2" t="s">
        <v>1318</v>
      </c>
      <c r="AC4498" s="2" t="s">
        <v>1038</v>
      </c>
      <c r="AK4498" s="2">
        <f t="shared" si="805"/>
        <v>192.67999999999995</v>
      </c>
      <c r="AL4498" s="5">
        <f t="shared" si="806"/>
        <v>0.29999377218658524</v>
      </c>
    </row>
    <row r="4499" spans="1:38" x14ac:dyDescent="0.2">
      <c r="A4499" s="2">
        <v>2026</v>
      </c>
      <c r="B4499" s="2">
        <v>7</v>
      </c>
      <c r="C4499" s="2" t="s">
        <v>3474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3"/>
        <v>21.39</v>
      </c>
      <c r="V4499" s="2">
        <f t="shared" si="809"/>
        <v>114.39</v>
      </c>
      <c r="W4499" s="2">
        <f>T4499*40%</f>
        <v>37.200000000000003</v>
      </c>
      <c r="X4499" s="5">
        <f t="shared" si="798"/>
        <v>0.6</v>
      </c>
      <c r="Y4499" s="2" t="s">
        <v>3491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5"/>
        <v>55.8</v>
      </c>
      <c r="AL4499" s="5">
        <f t="shared" si="806"/>
        <v>0.6</v>
      </c>
    </row>
    <row r="4500" spans="1:38" x14ac:dyDescent="0.2">
      <c r="A4500" s="2">
        <v>2026</v>
      </c>
      <c r="B4500" s="2">
        <v>7</v>
      </c>
      <c r="C4500" s="2" t="s">
        <v>3474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3"/>
        <v>11.385</v>
      </c>
      <c r="V4500" s="2">
        <f t="shared" si="809"/>
        <v>60.884999999999998</v>
      </c>
      <c r="W4500" s="2">
        <f>T4500*50%</f>
        <v>24.75</v>
      </c>
      <c r="X4500" s="5">
        <f t="shared" si="798"/>
        <v>0.5</v>
      </c>
      <c r="Y4500" s="2" t="s">
        <v>3491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5"/>
        <v>24.75</v>
      </c>
      <c r="AL4500" s="5">
        <f t="shared" si="806"/>
        <v>0.5</v>
      </c>
    </row>
    <row r="4501" spans="1:38" x14ac:dyDescent="0.2">
      <c r="A4501" s="2">
        <v>2026</v>
      </c>
      <c r="B4501" s="2">
        <v>7</v>
      </c>
      <c r="C4501" s="2" t="s">
        <v>3474</v>
      </c>
      <c r="D4501" s="33" t="s">
        <v>3336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3477</v>
      </c>
      <c r="R4501" s="33" t="s">
        <v>3478</v>
      </c>
      <c r="S4501" s="32">
        <v>1</v>
      </c>
      <c r="T4501" s="31">
        <v>163.55000000000001</v>
      </c>
      <c r="U4501" s="2">
        <f t="shared" si="803"/>
        <v>37.616500000000002</v>
      </c>
      <c r="V4501" s="2">
        <f t="shared" si="809"/>
        <v>201.16650000000001</v>
      </c>
      <c r="W4501" s="2">
        <v>70.135000000000005</v>
      </c>
      <c r="X4501" s="5">
        <f t="shared" si="798"/>
        <v>0.57117089575053503</v>
      </c>
      <c r="Y4501" s="2" t="s">
        <v>2540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5"/>
        <v>93.415000000000006</v>
      </c>
      <c r="AL4501" s="5">
        <f t="shared" si="806"/>
        <v>0.57117089575053503</v>
      </c>
    </row>
    <row r="4502" spans="1:38" x14ac:dyDescent="0.2">
      <c r="A4502" s="2">
        <v>2026</v>
      </c>
      <c r="B4502" s="2">
        <v>7</v>
      </c>
      <c r="C4502" s="2" t="s">
        <v>3474</v>
      </c>
      <c r="D4502" s="33" t="s">
        <v>3336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1655</v>
      </c>
      <c r="R4502" s="33" t="s">
        <v>1656</v>
      </c>
      <c r="S4502" s="32">
        <v>1</v>
      </c>
      <c r="T4502" s="31">
        <v>2635.57</v>
      </c>
      <c r="U4502" s="2">
        <f t="shared" si="803"/>
        <v>606.18110000000001</v>
      </c>
      <c r="V4502" s="2">
        <f t="shared" si="809"/>
        <v>3241.7511000000004</v>
      </c>
      <c r="W4502" s="2">
        <f>543.6775</f>
        <v>543.67750000000001</v>
      </c>
      <c r="X4502" s="5">
        <f t="shared" si="798"/>
        <v>0.79371540122250583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5"/>
        <v>2091.8924999999999</v>
      </c>
      <c r="AL4502" s="5">
        <f t="shared" si="806"/>
        <v>0.79371540122250583</v>
      </c>
    </row>
    <row r="4503" spans="1:38" x14ac:dyDescent="0.2">
      <c r="A4503" s="2">
        <v>2026</v>
      </c>
      <c r="B4503" s="2">
        <v>7</v>
      </c>
      <c r="C4503" s="2" t="s">
        <v>3474</v>
      </c>
      <c r="D4503" s="33" t="s">
        <v>3336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3"/>
        <v>80.5</v>
      </c>
      <c r="V4503" s="2">
        <f t="shared" si="809"/>
        <v>430.5</v>
      </c>
      <c r="W4503" s="2">
        <f>T4503*40%</f>
        <v>140</v>
      </c>
      <c r="X4503" s="5">
        <f t="shared" si="798"/>
        <v>0.6</v>
      </c>
      <c r="Y4503" s="2" t="s">
        <v>2540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5"/>
        <v>210</v>
      </c>
      <c r="AL4503" s="5">
        <f t="shared" si="806"/>
        <v>0.6</v>
      </c>
    </row>
    <row r="4504" spans="1:38" x14ac:dyDescent="0.2">
      <c r="A4504" s="2">
        <v>2026</v>
      </c>
      <c r="B4504" s="2">
        <v>7</v>
      </c>
      <c r="C4504" s="2" t="s">
        <v>3474</v>
      </c>
      <c r="D4504" s="33" t="s">
        <v>3336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3"/>
        <v>50.6</v>
      </c>
      <c r="V4504" s="2">
        <f t="shared" si="809"/>
        <v>270.60000000000002</v>
      </c>
      <c r="W4504" s="2">
        <f>T4504*50%</f>
        <v>110</v>
      </c>
      <c r="X4504" s="5">
        <f t="shared" si="798"/>
        <v>0.5</v>
      </c>
      <c r="Y4504" s="2" t="s">
        <v>2540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5"/>
        <v>110</v>
      </c>
      <c r="AL4504" s="5">
        <f t="shared" si="806"/>
        <v>0.5</v>
      </c>
    </row>
    <row r="4505" spans="1:38" x14ac:dyDescent="0.2">
      <c r="A4505" s="2">
        <v>2026</v>
      </c>
      <c r="B4505" s="2">
        <v>7</v>
      </c>
      <c r="C4505" s="2" t="s">
        <v>3474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3384</v>
      </c>
      <c r="Q4505" s="33" t="s">
        <v>2165</v>
      </c>
      <c r="R4505" s="33" t="s">
        <v>2166</v>
      </c>
      <c r="S4505" s="32">
        <v>4</v>
      </c>
      <c r="T4505" s="31">
        <v>360</v>
      </c>
      <c r="U4505" s="2">
        <f t="shared" si="803"/>
        <v>82.8</v>
      </c>
      <c r="V4505" s="2">
        <f t="shared" ref="V4505:V4511" si="810">T4505+U4505</f>
        <v>442.8</v>
      </c>
      <c r="W4505" s="2">
        <f>129.99*4</f>
        <v>519.96</v>
      </c>
      <c r="X4505" s="18">
        <f t="shared" si="798"/>
        <v>-0.44433333333333341</v>
      </c>
      <c r="Z4505" s="2" t="s">
        <v>3226</v>
      </c>
      <c r="AA4505" s="2" t="s">
        <v>2167</v>
      </c>
      <c r="AB4505" s="2" t="s">
        <v>2168</v>
      </c>
      <c r="AC4505" s="2" t="s">
        <v>3384</v>
      </c>
      <c r="AK4505" s="2">
        <f t="shared" si="805"/>
        <v>-159.96000000000004</v>
      </c>
      <c r="AL4505" s="18">
        <f t="shared" si="806"/>
        <v>-0.44433333333333341</v>
      </c>
    </row>
    <row r="4506" spans="1:38" x14ac:dyDescent="0.2">
      <c r="A4506" s="2">
        <v>2026</v>
      </c>
      <c r="B4506" s="2">
        <v>7</v>
      </c>
      <c r="C4506" s="2" t="s">
        <v>3474</v>
      </c>
      <c r="D4506" s="33" t="s">
        <v>3479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1308</v>
      </c>
      <c r="R4506" s="2" t="s">
        <v>435</v>
      </c>
      <c r="S4506" s="32">
        <v>1</v>
      </c>
      <c r="T4506" s="2">
        <v>500</v>
      </c>
      <c r="U4506" s="2">
        <f t="shared" si="803"/>
        <v>115</v>
      </c>
      <c r="V4506" s="2">
        <f t="shared" si="810"/>
        <v>615</v>
      </c>
      <c r="W4506" s="2">
        <v>417</v>
      </c>
      <c r="X4506" s="5">
        <f t="shared" si="798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5"/>
        <v>83</v>
      </c>
      <c r="AL4506" s="5">
        <f t="shared" si="806"/>
        <v>0.16600000000000001</v>
      </c>
    </row>
    <row r="4507" spans="1:38" x14ac:dyDescent="0.2">
      <c r="A4507" s="2">
        <v>2026</v>
      </c>
      <c r="B4507" s="2">
        <v>7</v>
      </c>
      <c r="C4507" s="2" t="s">
        <v>3474</v>
      </c>
      <c r="D4507" s="33" t="s">
        <v>2286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1385</v>
      </c>
      <c r="R4507" s="33" t="s">
        <v>1080</v>
      </c>
      <c r="S4507" s="32">
        <v>1</v>
      </c>
      <c r="T4507" s="31">
        <v>98.05</v>
      </c>
      <c r="U4507" s="2">
        <f t="shared" si="803"/>
        <v>22.551500000000001</v>
      </c>
      <c r="V4507" s="2">
        <f t="shared" si="810"/>
        <v>120.6015</v>
      </c>
      <c r="W4507" s="2">
        <v>47.295000000000002</v>
      </c>
      <c r="X4507" s="5">
        <f t="shared" si="798"/>
        <v>0.5176440591534931</v>
      </c>
      <c r="Y4507" s="2" t="s">
        <v>3491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5"/>
        <v>50.754999999999995</v>
      </c>
      <c r="AL4507" s="5">
        <f t="shared" si="806"/>
        <v>0.5176440591534931</v>
      </c>
    </row>
    <row r="4508" spans="1:38" x14ac:dyDescent="0.2">
      <c r="A4508" s="2">
        <v>2026</v>
      </c>
      <c r="B4508" s="2">
        <v>7</v>
      </c>
      <c r="C4508" s="2" t="s">
        <v>3474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1387</v>
      </c>
      <c r="S4508" s="32">
        <v>1</v>
      </c>
      <c r="T4508" s="31">
        <v>356.08</v>
      </c>
      <c r="U4508" s="2">
        <f t="shared" si="803"/>
        <v>81.898399999999995</v>
      </c>
      <c r="V4508" s="2">
        <f t="shared" si="810"/>
        <v>437.97839999999997</v>
      </c>
      <c r="W4508" s="2">
        <v>178.33840000000001</v>
      </c>
      <c r="X4508" s="5">
        <f t="shared" si="798"/>
        <v>0.4991619860705459</v>
      </c>
      <c r="Y4508" s="2" t="s">
        <v>3491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5"/>
        <v>177.74159999999998</v>
      </c>
      <c r="AL4508" s="5">
        <f t="shared" si="806"/>
        <v>0.4991619860705459</v>
      </c>
    </row>
    <row r="4509" spans="1:38" x14ac:dyDescent="0.2">
      <c r="A4509" s="2">
        <v>2026</v>
      </c>
      <c r="B4509" s="2">
        <v>7</v>
      </c>
      <c r="C4509" s="2" t="s">
        <v>3474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3"/>
        <v>2.6358000000000001</v>
      </c>
      <c r="V4509" s="2">
        <f t="shared" si="810"/>
        <v>14.095800000000001</v>
      </c>
      <c r="W4509" s="2">
        <v>5.4833999999999996</v>
      </c>
      <c r="X4509" s="5">
        <f t="shared" si="798"/>
        <v>0.52151832460732994</v>
      </c>
      <c r="Y4509" s="2" t="s">
        <v>3491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5"/>
        <v>5.9766000000000012</v>
      </c>
      <c r="AL4509" s="5">
        <f t="shared" si="806"/>
        <v>0.52151832460732994</v>
      </c>
    </row>
    <row r="4510" spans="1:38" x14ac:dyDescent="0.2">
      <c r="A4510" s="2">
        <v>2026</v>
      </c>
      <c r="B4510" s="2">
        <v>7</v>
      </c>
      <c r="C4510" s="2" t="s">
        <v>3474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3"/>
        <v>41.4</v>
      </c>
      <c r="V4510" s="2">
        <f t="shared" si="810"/>
        <v>221.4</v>
      </c>
      <c r="W4510" s="2">
        <f>T4510*40%</f>
        <v>72</v>
      </c>
      <c r="X4510" s="5">
        <f t="shared" si="798"/>
        <v>0.6</v>
      </c>
      <c r="Y4510" s="2" t="s">
        <v>3491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5"/>
        <v>108</v>
      </c>
      <c r="AL4510" s="5">
        <f t="shared" si="806"/>
        <v>0.6</v>
      </c>
    </row>
    <row r="4511" spans="1:38" x14ac:dyDescent="0.2">
      <c r="A4511" s="2">
        <v>2026</v>
      </c>
      <c r="B4511" s="2">
        <v>7</v>
      </c>
      <c r="C4511" s="2" t="s">
        <v>3474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3"/>
        <v>25.3</v>
      </c>
      <c r="V4511" s="2">
        <f t="shared" si="810"/>
        <v>135.30000000000001</v>
      </c>
      <c r="W4511" s="2">
        <f>T4511*50%</f>
        <v>55</v>
      </c>
      <c r="X4511" s="5">
        <f t="shared" si="798"/>
        <v>0.5</v>
      </c>
      <c r="Y4511" s="2" t="s">
        <v>3491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5"/>
        <v>55</v>
      </c>
      <c r="AL4511" s="5">
        <f t="shared" si="806"/>
        <v>0.5</v>
      </c>
    </row>
    <row r="4512" spans="1:38" x14ac:dyDescent="0.2">
      <c r="A4512" s="2">
        <v>2026</v>
      </c>
      <c r="B4512" s="2">
        <v>7</v>
      </c>
      <c r="C4512" s="2" t="s">
        <v>3474</v>
      </c>
      <c r="D4512" s="15" t="s">
        <v>1553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1554</v>
      </c>
      <c r="J4512" s="2" t="s">
        <v>1555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8"/>
        <v>0.27450500000000005</v>
      </c>
      <c r="Z4512" s="2" t="s">
        <v>3226</v>
      </c>
      <c r="AA4512" s="2" t="s">
        <v>46</v>
      </c>
      <c r="AB4512" s="2" t="s">
        <v>60</v>
      </c>
      <c r="AC4512" s="2" t="s">
        <v>3330</v>
      </c>
      <c r="AK4512" s="2">
        <f t="shared" si="805"/>
        <v>109.80200000000002</v>
      </c>
      <c r="AL4512" s="5">
        <f t="shared" si="806"/>
        <v>0.27450500000000005</v>
      </c>
    </row>
    <row r="4513" spans="1:38" x14ac:dyDescent="0.2">
      <c r="A4513" s="2">
        <v>2026</v>
      </c>
      <c r="B4513" s="2">
        <v>7</v>
      </c>
      <c r="C4513" s="2" t="s">
        <v>3474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8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3330</v>
      </c>
      <c r="AK4513" s="2">
        <f t="shared" si="805"/>
        <v>109.80200000000002</v>
      </c>
      <c r="AL4513" s="5">
        <f t="shared" si="806"/>
        <v>0.27450500000000005</v>
      </c>
    </row>
    <row r="4514" spans="1:38" x14ac:dyDescent="0.2">
      <c r="A4514" s="2">
        <v>2026</v>
      </c>
      <c r="B4514" s="2">
        <v>7</v>
      </c>
      <c r="C4514" s="2" t="s">
        <v>3474</v>
      </c>
      <c r="D4514" s="2" t="s">
        <v>3481</v>
      </c>
      <c r="E4514" s="2" t="s">
        <v>108</v>
      </c>
      <c r="F4514" s="2" t="s">
        <v>3443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8"/>
        <v>0.51764891270091395</v>
      </c>
      <c r="Y4514" s="2" t="s">
        <v>3299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5"/>
        <v>32.85</v>
      </c>
      <c r="AL4514" s="5">
        <f t="shared" si="806"/>
        <v>0.51764891270091395</v>
      </c>
    </row>
    <row r="4515" spans="1:38" x14ac:dyDescent="0.2">
      <c r="A4515" s="2">
        <v>2026</v>
      </c>
      <c r="B4515" s="2">
        <v>7</v>
      </c>
      <c r="C4515" s="2" t="s">
        <v>3474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8"/>
        <v>0.20122173913043476</v>
      </c>
      <c r="Z4515" s="2" t="s">
        <v>3226</v>
      </c>
      <c r="AA4515" s="2" t="s">
        <v>46</v>
      </c>
      <c r="AB4515" s="2" t="s">
        <v>60</v>
      </c>
      <c r="AC4515" s="2" t="s">
        <v>57</v>
      </c>
      <c r="AK4515" s="2">
        <f t="shared" si="805"/>
        <v>50.909099999999995</v>
      </c>
      <c r="AL4515" s="5">
        <f t="shared" si="806"/>
        <v>0.20122173913043476</v>
      </c>
    </row>
    <row r="4516" spans="1:38" x14ac:dyDescent="0.2">
      <c r="A4516" s="2">
        <v>2026</v>
      </c>
      <c r="B4516" s="2">
        <v>7</v>
      </c>
      <c r="C4516" s="2" t="s">
        <v>3474</v>
      </c>
      <c r="D4516" s="2" t="s">
        <v>1720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1">T4516*23%</f>
        <v>184.37030000000001</v>
      </c>
      <c r="V4516" s="12">
        <f t="shared" ref="V4516:V4519" si="812">T4516+U4516</f>
        <v>985.98030000000006</v>
      </c>
      <c r="W4516" s="2">
        <v>386</v>
      </c>
      <c r="X4516" s="5">
        <f t="shared" si="798"/>
        <v>0.5184690809745387</v>
      </c>
      <c r="Y4516" s="2" t="s">
        <v>3299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3">T4516-W4516</f>
        <v>415.61</v>
      </c>
      <c r="AL4516" s="5">
        <f t="shared" ref="AL4516:AL4518" si="814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3474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1"/>
        <v>8.9700000000000006</v>
      </c>
      <c r="V4517" s="12">
        <f t="shared" si="812"/>
        <v>47.97</v>
      </c>
      <c r="W4517" s="2">
        <f>0.0914*S4517</f>
        <v>27.419999999999998</v>
      </c>
      <c r="X4517" s="5">
        <f t="shared" si="798"/>
        <v>0.29692307692307696</v>
      </c>
      <c r="Z4517" s="2" t="s">
        <v>3226</v>
      </c>
      <c r="AA4517" s="2" t="s">
        <v>46</v>
      </c>
      <c r="AB4517" s="2" t="s">
        <v>60</v>
      </c>
      <c r="AC4517" s="2" t="s">
        <v>57</v>
      </c>
      <c r="AK4517" s="2">
        <f t="shared" si="813"/>
        <v>11.580000000000002</v>
      </c>
      <c r="AL4517" s="5">
        <f t="shared" si="814"/>
        <v>0.29692307692307696</v>
      </c>
    </row>
    <row r="4518" spans="1:38" x14ac:dyDescent="0.2">
      <c r="A4518" s="2">
        <v>2026</v>
      </c>
      <c r="B4518" s="2">
        <v>7</v>
      </c>
      <c r="C4518" s="2" t="s">
        <v>3474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3482</v>
      </c>
      <c r="R4518" s="2" t="s">
        <v>3483</v>
      </c>
      <c r="S4518" s="13">
        <v>4</v>
      </c>
      <c r="T4518" s="14">
        <v>28.8</v>
      </c>
      <c r="U4518" s="2">
        <f t="shared" si="811"/>
        <v>6.6240000000000006</v>
      </c>
      <c r="V4518" s="12">
        <f t="shared" si="812"/>
        <v>35.423999999999999</v>
      </c>
      <c r="W4518" s="2">
        <f>3.747*S4518</f>
        <v>14.988</v>
      </c>
      <c r="X4518" s="5">
        <f t="shared" si="798"/>
        <v>0.47958333333333336</v>
      </c>
      <c r="Z4518" s="2" t="s">
        <v>3226</v>
      </c>
      <c r="AA4518" s="2" t="s">
        <v>46</v>
      </c>
      <c r="AB4518" s="2" t="s">
        <v>60</v>
      </c>
      <c r="AC4518" s="2" t="s">
        <v>84</v>
      </c>
      <c r="AK4518" s="2">
        <f t="shared" si="813"/>
        <v>13.812000000000001</v>
      </c>
      <c r="AL4518" s="5">
        <f t="shared" si="814"/>
        <v>0.47958333333333336</v>
      </c>
    </row>
    <row r="4519" spans="1:38" x14ac:dyDescent="0.2">
      <c r="A4519" s="2">
        <v>2026</v>
      </c>
      <c r="B4519" s="2">
        <v>7</v>
      </c>
      <c r="C4519" s="2" t="s">
        <v>3474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1194</v>
      </c>
      <c r="Q4519" s="2" t="s">
        <v>2590</v>
      </c>
      <c r="R4519" s="2" t="s">
        <v>2591</v>
      </c>
      <c r="S4519" s="13">
        <v>1</v>
      </c>
      <c r="T4519" s="14">
        <v>1350</v>
      </c>
      <c r="U4519" s="2">
        <f>T4519*23%</f>
        <v>310.5</v>
      </c>
      <c r="V4519" s="2">
        <f t="shared" si="812"/>
        <v>1660.5</v>
      </c>
      <c r="W4519" s="2">
        <v>773</v>
      </c>
      <c r="X4519" s="5">
        <f t="shared" si="798"/>
        <v>0.4274074074074074</v>
      </c>
      <c r="Y4519" s="2" t="s">
        <v>3491</v>
      </c>
      <c r="Z4519" s="2" t="s">
        <v>104</v>
      </c>
      <c r="AA4519" s="2" t="s">
        <v>578</v>
      </c>
      <c r="AB4519" s="2" t="s">
        <v>119</v>
      </c>
      <c r="AC4519" s="2" t="s">
        <v>1194</v>
      </c>
      <c r="AK4519" s="2">
        <f t="shared" ref="AK4519:AK4528" si="815">T4519-W4519</f>
        <v>577</v>
      </c>
      <c r="AL4519" s="5">
        <f t="shared" ref="AL4519:AL4528" si="816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3474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7">T4520*23%</f>
        <v>74.98</v>
      </c>
      <c r="V4520" s="2">
        <f t="shared" ref="V4520:V4524" si="818">T4520+U4520</f>
        <v>400.98</v>
      </c>
      <c r="W4520" s="2">
        <f>T4520*40%</f>
        <v>130.4</v>
      </c>
      <c r="X4520" s="5">
        <f t="shared" si="798"/>
        <v>0.6</v>
      </c>
      <c r="Y4520" s="2" t="s">
        <v>3491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5"/>
        <v>195.6</v>
      </c>
      <c r="AL4520" s="5">
        <f t="shared" si="816"/>
        <v>0.6</v>
      </c>
    </row>
    <row r="4521" spans="1:38" x14ac:dyDescent="0.2">
      <c r="A4521" s="2">
        <v>2026</v>
      </c>
      <c r="B4521" s="2">
        <v>7</v>
      </c>
      <c r="C4521" s="2" t="s">
        <v>3474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7"/>
        <v>25.3</v>
      </c>
      <c r="V4521" s="2">
        <f t="shared" si="818"/>
        <v>135.30000000000001</v>
      </c>
      <c r="W4521" s="2">
        <f>T4521*50%</f>
        <v>55</v>
      </c>
      <c r="X4521" s="5">
        <f t="shared" si="798"/>
        <v>0.5</v>
      </c>
      <c r="Y4521" s="2" t="s">
        <v>3491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5"/>
        <v>55</v>
      </c>
      <c r="AL4521" s="5">
        <f t="shared" si="816"/>
        <v>0.5</v>
      </c>
    </row>
    <row r="4522" spans="1:38" x14ac:dyDescent="0.2">
      <c r="A4522" s="2">
        <v>2026</v>
      </c>
      <c r="B4522" s="2">
        <v>7</v>
      </c>
      <c r="C4522" s="2" t="s">
        <v>3474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7"/>
        <v>13.8</v>
      </c>
      <c r="V4522" s="2">
        <f t="shared" si="818"/>
        <v>73.8</v>
      </c>
      <c r="W4522" s="2">
        <f>T4522*40%</f>
        <v>24</v>
      </c>
      <c r="X4522" s="5">
        <f t="shared" si="798"/>
        <v>0.6</v>
      </c>
      <c r="Y4522" s="2" t="s">
        <v>3491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5"/>
        <v>36</v>
      </c>
      <c r="AL4522" s="5">
        <f t="shared" si="816"/>
        <v>0.6</v>
      </c>
    </row>
    <row r="4523" spans="1:38" x14ac:dyDescent="0.2">
      <c r="A4523" s="2">
        <v>2026</v>
      </c>
      <c r="B4523" s="2">
        <v>7</v>
      </c>
      <c r="C4523" s="2" t="s">
        <v>3474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7"/>
        <v>6.3250000000000002</v>
      </c>
      <c r="V4523" s="2">
        <f t="shared" si="818"/>
        <v>33.825000000000003</v>
      </c>
      <c r="W4523" s="2">
        <f>T4523*50%</f>
        <v>13.75</v>
      </c>
      <c r="X4523" s="5">
        <f t="shared" si="798"/>
        <v>0.5</v>
      </c>
      <c r="Y4523" s="2" t="s">
        <v>3491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5"/>
        <v>13.75</v>
      </c>
      <c r="AL4523" s="5">
        <f t="shared" si="816"/>
        <v>0.5</v>
      </c>
    </row>
    <row r="4524" spans="1:38" x14ac:dyDescent="0.2">
      <c r="A4524" s="2">
        <v>2026</v>
      </c>
      <c r="B4524" s="2">
        <v>7</v>
      </c>
      <c r="C4524" s="2" t="s">
        <v>3474</v>
      </c>
      <c r="D4524" s="2" t="s">
        <v>1271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1272</v>
      </c>
      <c r="J4524" s="2" t="s">
        <v>1273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7"/>
        <v>19.271700000000003</v>
      </c>
      <c r="V4524" s="2">
        <f t="shared" si="818"/>
        <v>103.0617</v>
      </c>
      <c r="W4524" s="2">
        <v>40.357500000000002</v>
      </c>
      <c r="X4524" s="5">
        <f t="shared" si="798"/>
        <v>0.51834944504117442</v>
      </c>
      <c r="Y4524" s="2" t="s">
        <v>2540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5"/>
        <v>43.432500000000005</v>
      </c>
      <c r="AL4524" s="5">
        <f t="shared" si="816"/>
        <v>0.51834944504117442</v>
      </c>
    </row>
    <row r="4525" spans="1:38" x14ac:dyDescent="0.2">
      <c r="A4525" s="2">
        <v>2026</v>
      </c>
      <c r="B4525" s="2">
        <v>7</v>
      </c>
      <c r="C4525" s="2" t="s">
        <v>3474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1300</v>
      </c>
      <c r="R4525" s="2" t="s">
        <v>1301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8"/>
        <v>0.49668246445497621</v>
      </c>
      <c r="Y4525" s="2" t="s">
        <v>3299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5"/>
        <v>15.719999999999997</v>
      </c>
      <c r="AL4525" s="5">
        <f t="shared" si="816"/>
        <v>0.49668246445497621</v>
      </c>
    </row>
    <row r="4526" spans="1:38" x14ac:dyDescent="0.2">
      <c r="A4526" s="2">
        <v>2026</v>
      </c>
      <c r="B4526" s="2">
        <v>7</v>
      </c>
      <c r="C4526" s="2" t="s">
        <v>3474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8"/>
        <v>0.51834944504117442</v>
      </c>
      <c r="Y4526" s="2" t="s">
        <v>2540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5"/>
        <v>43.432500000000005</v>
      </c>
      <c r="AL4526" s="5">
        <f t="shared" si="816"/>
        <v>0.51834944504117442</v>
      </c>
    </row>
    <row r="4527" spans="1:38" x14ac:dyDescent="0.2">
      <c r="A4527" s="2">
        <v>2026</v>
      </c>
      <c r="B4527" s="2">
        <v>7</v>
      </c>
      <c r="C4527" s="2" t="s">
        <v>3474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9">T4527*23%</f>
        <v>13.8</v>
      </c>
      <c r="V4527" s="12">
        <f t="shared" ref="V4527:V4528" si="820">T4527+U4527</f>
        <v>73.8</v>
      </c>
      <c r="W4527" s="2">
        <f>T4527*40%</f>
        <v>24</v>
      </c>
      <c r="X4527" s="5">
        <f t="shared" si="798"/>
        <v>0.6</v>
      </c>
      <c r="Y4527" s="2" t="s">
        <v>2540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5"/>
        <v>36</v>
      </c>
      <c r="AL4527" s="5">
        <f t="shared" si="816"/>
        <v>0.6</v>
      </c>
    </row>
    <row r="4528" spans="1:38" x14ac:dyDescent="0.2">
      <c r="A4528" s="2">
        <v>2026</v>
      </c>
      <c r="B4528" s="2">
        <v>7</v>
      </c>
      <c r="C4528" s="2" t="s">
        <v>3474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9"/>
        <v>25.3</v>
      </c>
      <c r="V4528" s="12">
        <f t="shared" si="820"/>
        <v>135.30000000000001</v>
      </c>
      <c r="W4528" s="2">
        <f>T4528*50%</f>
        <v>55</v>
      </c>
      <c r="X4528" s="5">
        <f t="shared" si="798"/>
        <v>0.5</v>
      </c>
      <c r="Y4528" s="2" t="s">
        <v>2540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5"/>
        <v>55</v>
      </c>
      <c r="AL4528" s="5">
        <f t="shared" si="816"/>
        <v>0.5</v>
      </c>
    </row>
    <row r="4529" spans="1:38" x14ac:dyDescent="0.2">
      <c r="A4529" s="2">
        <v>2026</v>
      </c>
      <c r="B4529" s="2">
        <v>7</v>
      </c>
      <c r="C4529" s="2" t="s">
        <v>3474</v>
      </c>
      <c r="D4529" s="2" t="s">
        <v>311</v>
      </c>
      <c r="E4529" s="2" t="s">
        <v>2446</v>
      </c>
      <c r="F4529" s="2" t="s">
        <v>39</v>
      </c>
      <c r="G4529" s="2">
        <v>505814030</v>
      </c>
      <c r="H4529" s="2" t="s">
        <v>290</v>
      </c>
      <c r="I4529" s="2" t="s">
        <v>2447</v>
      </c>
      <c r="J4529" s="2" t="s">
        <v>2448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8"/>
        <v>0.48696666666666666</v>
      </c>
      <c r="Z4529" s="2" t="s">
        <v>3226</v>
      </c>
      <c r="AA4529" s="2" t="s">
        <v>46</v>
      </c>
      <c r="AB4529" s="2" t="s">
        <v>56</v>
      </c>
      <c r="AC4529" s="2" t="s">
        <v>57</v>
      </c>
      <c r="AK4529" s="2">
        <f t="shared" ref="AK4529:AK4540" si="821">T4529-W4529</f>
        <v>8.7653999999999996</v>
      </c>
      <c r="AL4529" s="5">
        <f t="shared" ref="AL4529:AL4570" si="822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3474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3">T4530*23%</f>
        <v>5.2440000000000007</v>
      </c>
      <c r="V4530" s="12">
        <f t="shared" ref="V4530:V4541" si="824">T4530+U4530</f>
        <v>28.044</v>
      </c>
      <c r="W4530" s="2">
        <f>12.2604*S4530</f>
        <v>12.260400000000001</v>
      </c>
      <c r="X4530" s="5">
        <f t="shared" si="798"/>
        <v>0.46226315789473682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si="821"/>
        <v>10.5396</v>
      </c>
      <c r="AL4530" s="5">
        <f t="shared" si="822"/>
        <v>0.46226315789473682</v>
      </c>
    </row>
    <row r="4531" spans="1:38" x14ac:dyDescent="0.2">
      <c r="A4531" s="2">
        <v>2026</v>
      </c>
      <c r="B4531" s="2">
        <v>7</v>
      </c>
      <c r="C4531" s="2" t="s">
        <v>3474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3"/>
        <v>5.5200000000000005</v>
      </c>
      <c r="V4531" s="12">
        <f t="shared" si="824"/>
        <v>29.52</v>
      </c>
      <c r="W4531" s="2">
        <f>12.71*S4531</f>
        <v>12.71</v>
      </c>
      <c r="X4531" s="5">
        <f t="shared" si="798"/>
        <v>0.47041666666666665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21"/>
        <v>11.29</v>
      </c>
      <c r="AL4531" s="5">
        <f t="shared" si="822"/>
        <v>0.47041666666666665</v>
      </c>
    </row>
    <row r="4532" spans="1:38" x14ac:dyDescent="0.2">
      <c r="A4532" s="2">
        <v>2026</v>
      </c>
      <c r="B4532" s="2">
        <v>7</v>
      </c>
      <c r="C4532" s="2" t="s">
        <v>3474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3"/>
        <v>16.560000000000002</v>
      </c>
      <c r="V4532" s="12">
        <f t="shared" si="824"/>
        <v>88.56</v>
      </c>
      <c r="W4532" s="2">
        <f>10.6*S4532</f>
        <v>42.4</v>
      </c>
      <c r="X4532" s="5">
        <f t="shared" si="798"/>
        <v>0.41111111111111115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21"/>
        <v>29.6</v>
      </c>
      <c r="AL4532" s="5">
        <f t="shared" si="822"/>
        <v>0.41111111111111115</v>
      </c>
    </row>
    <row r="4533" spans="1:38" x14ac:dyDescent="0.2">
      <c r="A4533" s="2">
        <v>2026</v>
      </c>
      <c r="B4533" s="2">
        <v>7</v>
      </c>
      <c r="C4533" s="2" t="s">
        <v>3474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3"/>
        <v>3.68</v>
      </c>
      <c r="V4533" s="12">
        <f t="shared" si="824"/>
        <v>19.68</v>
      </c>
      <c r="W4533" s="2">
        <f>0.0914*S4533</f>
        <v>9.1399999999999988</v>
      </c>
      <c r="X4533" s="5">
        <f t="shared" si="798"/>
        <v>0.42875000000000008</v>
      </c>
      <c r="Z4533" s="2" t="s">
        <v>3226</v>
      </c>
      <c r="AA4533" s="2" t="s">
        <v>46</v>
      </c>
      <c r="AB4533" s="2" t="s">
        <v>60</v>
      </c>
      <c r="AC4533" s="2" t="s">
        <v>57</v>
      </c>
      <c r="AK4533" s="2">
        <f t="shared" si="821"/>
        <v>6.8600000000000012</v>
      </c>
      <c r="AL4533" s="5">
        <f t="shared" si="822"/>
        <v>0.42875000000000008</v>
      </c>
    </row>
    <row r="4534" spans="1:38" x14ac:dyDescent="0.2">
      <c r="A4534" s="2">
        <v>2026</v>
      </c>
      <c r="B4534" s="2">
        <v>7</v>
      </c>
      <c r="C4534" s="2" t="s">
        <v>3474</v>
      </c>
      <c r="D4534" s="2" t="s">
        <v>3492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2197</v>
      </c>
      <c r="R4534" s="2" t="s">
        <v>2198</v>
      </c>
      <c r="S4534" s="13">
        <v>1</v>
      </c>
      <c r="T4534" s="14">
        <v>272</v>
      </c>
      <c r="U4534" s="2">
        <f t="shared" si="823"/>
        <v>62.56</v>
      </c>
      <c r="V4534" s="12">
        <f t="shared" si="824"/>
        <v>334.56</v>
      </c>
      <c r="W4534" s="2">
        <v>153.34</v>
      </c>
      <c r="X4534" s="5">
        <f t="shared" si="798"/>
        <v>0.43624999999999997</v>
      </c>
      <c r="Z4534" s="2" t="s">
        <v>3226</v>
      </c>
      <c r="AA4534" s="2" t="s">
        <v>75</v>
      </c>
      <c r="AB4534" s="2" t="s">
        <v>76</v>
      </c>
      <c r="AC4534" s="2" t="s">
        <v>1038</v>
      </c>
      <c r="AK4534" s="2">
        <f t="shared" si="821"/>
        <v>118.66</v>
      </c>
      <c r="AL4534" s="5">
        <f t="shared" si="822"/>
        <v>0.43624999999999997</v>
      </c>
    </row>
    <row r="4535" spans="1:38" x14ac:dyDescent="0.2">
      <c r="A4535" s="2">
        <v>2026</v>
      </c>
      <c r="B4535" s="2">
        <v>7</v>
      </c>
      <c r="C4535" s="2" t="s">
        <v>3474</v>
      </c>
      <c r="D4535" s="2" t="s">
        <v>3492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3"/>
        <v>0.34040000000000004</v>
      </c>
      <c r="V4535" s="12">
        <f t="shared" si="824"/>
        <v>1.8204</v>
      </c>
      <c r="W4535" s="2">
        <v>1.48</v>
      </c>
      <c r="X4535" s="5">
        <f t="shared" si="798"/>
        <v>0</v>
      </c>
      <c r="Z4535" s="2" t="s">
        <v>3226</v>
      </c>
      <c r="AA4535" s="2" t="s">
        <v>96</v>
      </c>
      <c r="AB4535" s="2" t="s">
        <v>76</v>
      </c>
      <c r="AC4535" s="2" t="s">
        <v>93</v>
      </c>
      <c r="AK4535" s="2">
        <f t="shared" si="821"/>
        <v>0</v>
      </c>
      <c r="AL4535" s="5">
        <f t="shared" si="822"/>
        <v>0</v>
      </c>
    </row>
    <row r="4536" spans="1:38" x14ac:dyDescent="0.2">
      <c r="A4536" s="2">
        <v>2026</v>
      </c>
      <c r="B4536" s="2">
        <v>7</v>
      </c>
      <c r="C4536" s="2" t="s">
        <v>3474</v>
      </c>
      <c r="D4536" s="2" t="s">
        <v>1295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1296</v>
      </c>
      <c r="L4536" s="2" t="s">
        <v>339</v>
      </c>
      <c r="M4536" s="2" t="s">
        <v>80</v>
      </c>
      <c r="P4536" s="2" t="s">
        <v>1038</v>
      </c>
      <c r="Q4536" s="2" t="s">
        <v>3493</v>
      </c>
      <c r="R4536" s="2" t="s">
        <v>3494</v>
      </c>
      <c r="S4536" s="13">
        <v>1</v>
      </c>
      <c r="T4536" s="14">
        <v>378.3</v>
      </c>
      <c r="U4536" s="2">
        <f t="shared" si="823"/>
        <v>87.009</v>
      </c>
      <c r="V4536" s="12">
        <f t="shared" si="824"/>
        <v>465.30900000000003</v>
      </c>
      <c r="W4536" s="2">
        <v>220.9</v>
      </c>
      <c r="X4536" s="5">
        <f t="shared" si="798"/>
        <v>0.4160719006079831</v>
      </c>
      <c r="Z4536" s="2" t="s">
        <v>3226</v>
      </c>
      <c r="AA4536" s="2" t="s">
        <v>75</v>
      </c>
      <c r="AB4536" s="2" t="s">
        <v>76</v>
      </c>
      <c r="AC4536" s="2" t="s">
        <v>1038</v>
      </c>
      <c r="AK4536" s="2">
        <f t="shared" si="821"/>
        <v>157.4</v>
      </c>
      <c r="AL4536" s="5">
        <f t="shared" si="822"/>
        <v>0.4160719006079831</v>
      </c>
    </row>
    <row r="4537" spans="1:38" x14ac:dyDescent="0.2">
      <c r="A4537" s="2">
        <v>2026</v>
      </c>
      <c r="B4537" s="2">
        <v>7</v>
      </c>
      <c r="C4537" s="2" t="s">
        <v>3474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3"/>
        <v>4.0250000000000004</v>
      </c>
      <c r="V4537" s="12">
        <f t="shared" si="824"/>
        <v>21.524999999999999</v>
      </c>
      <c r="W4537" s="2">
        <v>23</v>
      </c>
      <c r="X4537" s="18">
        <f t="shared" si="798"/>
        <v>-0.31428571428571428</v>
      </c>
      <c r="Z4537" s="2" t="s">
        <v>169</v>
      </c>
      <c r="AA4537" s="2" t="s">
        <v>169</v>
      </c>
      <c r="AK4537" s="2">
        <f t="shared" si="821"/>
        <v>-5.5</v>
      </c>
      <c r="AL4537" s="18">
        <f t="shared" si="822"/>
        <v>-0.31428571428571428</v>
      </c>
    </row>
    <row r="4538" spans="1:38" x14ac:dyDescent="0.2">
      <c r="A4538" s="2">
        <v>2026</v>
      </c>
      <c r="B4538" s="2">
        <v>7</v>
      </c>
      <c r="C4538" s="2" t="s">
        <v>3474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3"/>
        <v>0.34040000000000004</v>
      </c>
      <c r="V4538" s="12">
        <f t="shared" si="824"/>
        <v>1.8204</v>
      </c>
      <c r="W4538" s="2">
        <v>1.48</v>
      </c>
      <c r="X4538" s="5">
        <f t="shared" si="798"/>
        <v>0</v>
      </c>
      <c r="Z4538" s="2" t="s">
        <v>3226</v>
      </c>
      <c r="AA4538" s="2" t="s">
        <v>96</v>
      </c>
      <c r="AB4538" s="2" t="s">
        <v>76</v>
      </c>
      <c r="AC4538" s="2" t="s">
        <v>93</v>
      </c>
      <c r="AK4538" s="2">
        <f t="shared" si="821"/>
        <v>0</v>
      </c>
      <c r="AL4538" s="18">
        <f t="shared" si="822"/>
        <v>0</v>
      </c>
    </row>
    <row r="4539" spans="1:38" x14ac:dyDescent="0.2">
      <c r="A4539" s="2">
        <v>2026</v>
      </c>
      <c r="B4539" s="2">
        <v>7</v>
      </c>
      <c r="C4539" s="2" t="s">
        <v>3474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3"/>
        <v>52.900000000000006</v>
      </c>
      <c r="V4539" s="12">
        <f t="shared" si="824"/>
        <v>282.89999999999998</v>
      </c>
      <c r="W4539" s="2">
        <v>133.4614</v>
      </c>
      <c r="X4539" s="5">
        <f t="shared" si="798"/>
        <v>0.4197330434782609</v>
      </c>
      <c r="Z4539" s="2" t="s">
        <v>3226</v>
      </c>
      <c r="AA4539" s="2" t="s">
        <v>75</v>
      </c>
      <c r="AB4539" s="2" t="s">
        <v>76</v>
      </c>
      <c r="AC4539" s="2" t="s">
        <v>77</v>
      </c>
      <c r="AK4539" s="2">
        <f t="shared" si="821"/>
        <v>96.538600000000002</v>
      </c>
      <c r="AL4539" s="18">
        <f t="shared" si="822"/>
        <v>0.4197330434782609</v>
      </c>
    </row>
    <row r="4540" spans="1:38" x14ac:dyDescent="0.2">
      <c r="A4540" s="2">
        <v>2026</v>
      </c>
      <c r="B4540" s="2">
        <v>7</v>
      </c>
      <c r="C4540" s="2" t="s">
        <v>3474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3"/>
        <v>0.34040000000000004</v>
      </c>
      <c r="V4540" s="12">
        <f t="shared" si="824"/>
        <v>1.8204</v>
      </c>
      <c r="W4540" s="2">
        <v>1.48</v>
      </c>
      <c r="X4540" s="5">
        <f t="shared" si="798"/>
        <v>0</v>
      </c>
      <c r="Z4540" s="2" t="s">
        <v>3226</v>
      </c>
      <c r="AA4540" s="2" t="s">
        <v>96</v>
      </c>
      <c r="AB4540" s="2" t="s">
        <v>76</v>
      </c>
      <c r="AC4540" s="2" t="s">
        <v>93</v>
      </c>
      <c r="AK4540" s="2">
        <f t="shared" si="821"/>
        <v>0</v>
      </c>
      <c r="AL4540" s="18">
        <f t="shared" si="822"/>
        <v>0</v>
      </c>
    </row>
    <row r="4541" spans="1:38" x14ac:dyDescent="0.2">
      <c r="A4541" s="2">
        <v>2026</v>
      </c>
      <c r="B4541" s="2">
        <v>7</v>
      </c>
      <c r="C4541" s="2" t="s">
        <v>3474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1449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4"/>
        <v>282.89999999999998</v>
      </c>
      <c r="W4541" s="2">
        <f>110.628+11.82</f>
        <v>122.44800000000001</v>
      </c>
      <c r="X4541" s="5">
        <f t="shared" si="798"/>
        <v>0.46761739130434782</v>
      </c>
      <c r="Z4541" s="2" t="s">
        <v>3226</v>
      </c>
      <c r="AA4541" s="2" t="s">
        <v>75</v>
      </c>
      <c r="AB4541" s="2" t="s">
        <v>76</v>
      </c>
      <c r="AC4541" s="2" t="s">
        <v>77</v>
      </c>
      <c r="AK4541" s="2">
        <f t="shared" ref="AK4541:AK4543" si="825">T4541-W4541</f>
        <v>107.55199999999999</v>
      </c>
      <c r="AL4541" s="18">
        <f t="shared" si="822"/>
        <v>0.46761739130434782</v>
      </c>
    </row>
    <row r="4542" spans="1:38" x14ac:dyDescent="0.2">
      <c r="A4542" s="2">
        <v>2026</v>
      </c>
      <c r="B4542" s="2">
        <v>7</v>
      </c>
      <c r="C4542" s="2" t="s">
        <v>3474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6">T4542+U4542</f>
        <v>1.8204</v>
      </c>
      <c r="W4542" s="2">
        <v>1.48</v>
      </c>
      <c r="X4542" s="5">
        <f t="shared" si="798"/>
        <v>0</v>
      </c>
      <c r="Z4542" s="2" t="s">
        <v>3226</v>
      </c>
      <c r="AA4542" s="2" t="s">
        <v>96</v>
      </c>
      <c r="AB4542" s="2" t="s">
        <v>76</v>
      </c>
      <c r="AC4542" s="2" t="s">
        <v>93</v>
      </c>
      <c r="AK4542" s="2">
        <f t="shared" si="825"/>
        <v>0</v>
      </c>
      <c r="AL4542" s="18">
        <f t="shared" si="822"/>
        <v>0</v>
      </c>
    </row>
    <row r="4543" spans="1:38" x14ac:dyDescent="0.2">
      <c r="A4543" s="2">
        <v>2026</v>
      </c>
      <c r="B4543" s="2">
        <v>7</v>
      </c>
      <c r="C4543" s="2" t="s">
        <v>3474</v>
      </c>
      <c r="D4543" s="2" t="s">
        <v>1765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1383</v>
      </c>
      <c r="R4543" s="2" t="s">
        <v>1384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6"/>
        <v>187.46429999999998</v>
      </c>
      <c r="W4543" s="2">
        <f>71.381</f>
        <v>71.381</v>
      </c>
      <c r="X4543" s="5">
        <f t="shared" si="798"/>
        <v>0.53165146643921002</v>
      </c>
      <c r="Y4543" s="2" t="s">
        <v>2540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5"/>
        <v>81.028999999999996</v>
      </c>
      <c r="AL4543" s="18">
        <f t="shared" si="822"/>
        <v>0.53165146643921002</v>
      </c>
    </row>
    <row r="4544" spans="1:38" x14ac:dyDescent="0.2">
      <c r="A4544" s="2">
        <v>2026</v>
      </c>
      <c r="B4544" s="2">
        <v>7</v>
      </c>
      <c r="C4544" s="2" t="s">
        <v>3474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2480</v>
      </c>
      <c r="R4544" s="2" t="s">
        <v>1387</v>
      </c>
      <c r="S4544" s="13">
        <v>1</v>
      </c>
      <c r="T4544" s="14">
        <v>466.58</v>
      </c>
      <c r="U4544" s="2">
        <f t="shared" ref="U4544:U4570" si="827">T4544*23%</f>
        <v>107.3134</v>
      </c>
      <c r="V4544" s="2">
        <f t="shared" ref="V4544:V4571" si="828">T4544+U4544</f>
        <v>573.89339999999993</v>
      </c>
      <c r="W4544" s="2">
        <v>222.18</v>
      </c>
      <c r="X4544" s="5">
        <f t="shared" si="798"/>
        <v>0.52381156500492942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9">T4544-W4544</f>
        <v>244.39999999999998</v>
      </c>
      <c r="AL4544" s="18">
        <f t="shared" si="822"/>
        <v>0.52381156500492942</v>
      </c>
    </row>
    <row r="4545" spans="1:38" x14ac:dyDescent="0.2">
      <c r="A4545" s="2">
        <v>2026</v>
      </c>
      <c r="B4545" s="2">
        <v>7</v>
      </c>
      <c r="C4545" s="2" t="s">
        <v>3474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1405</v>
      </c>
      <c r="R4545" s="2" t="s">
        <v>1406</v>
      </c>
      <c r="S4545" s="13">
        <v>1</v>
      </c>
      <c r="T4545" s="14">
        <v>77.48</v>
      </c>
      <c r="U4545" s="2">
        <f t="shared" si="827"/>
        <v>17.820400000000003</v>
      </c>
      <c r="V4545" s="2">
        <f t="shared" si="828"/>
        <v>95.30040000000001</v>
      </c>
      <c r="W4545" s="2">
        <f>30.7997</f>
        <v>30.799700000000001</v>
      </c>
      <c r="X4545" s="5">
        <f t="shared" si="798"/>
        <v>0.60248193082085699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30">T4545-W4545</f>
        <v>46.680300000000003</v>
      </c>
      <c r="AL4545" s="18">
        <f t="shared" si="822"/>
        <v>0.60248193082085699</v>
      </c>
    </row>
    <row r="4546" spans="1:38" x14ac:dyDescent="0.2">
      <c r="A4546" s="2">
        <v>2026</v>
      </c>
      <c r="B4546" s="2">
        <v>7</v>
      </c>
      <c r="C4546" s="2" t="s">
        <v>3474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7"/>
        <v>33.120000000000005</v>
      </c>
      <c r="V4546" s="2">
        <f t="shared" si="828"/>
        <v>177.12</v>
      </c>
      <c r="W4546" s="2">
        <f>T4546*40%</f>
        <v>57.6</v>
      </c>
      <c r="X4546" s="5">
        <f t="shared" si="798"/>
        <v>0.60000000000000009</v>
      </c>
      <c r="Y4546" s="2" t="s">
        <v>2540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30"/>
        <v>86.4</v>
      </c>
      <c r="AL4546" s="18">
        <f t="shared" si="822"/>
        <v>0.60000000000000009</v>
      </c>
    </row>
    <row r="4547" spans="1:38" x14ac:dyDescent="0.2">
      <c r="A4547" s="2">
        <v>2026</v>
      </c>
      <c r="B4547" s="2">
        <v>7</v>
      </c>
      <c r="C4547" s="2" t="s">
        <v>3474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7"/>
        <v>37.950000000000003</v>
      </c>
      <c r="V4547" s="2">
        <f t="shared" si="828"/>
        <v>202.95</v>
      </c>
      <c r="W4547" s="2">
        <f>T4547*50%</f>
        <v>82.5</v>
      </c>
      <c r="X4547" s="5">
        <f t="shared" ref="X4547:X4590" si="831">(T4547-W4547)/T4547</f>
        <v>0.5</v>
      </c>
      <c r="Y4547" s="2" t="s">
        <v>2540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30"/>
        <v>82.5</v>
      </c>
      <c r="AL4547" s="18">
        <f t="shared" si="822"/>
        <v>0.5</v>
      </c>
    </row>
    <row r="4548" spans="1:38" x14ac:dyDescent="0.2">
      <c r="A4548" s="2">
        <v>2026</v>
      </c>
      <c r="B4548" s="2">
        <v>7</v>
      </c>
      <c r="C4548" s="2" t="s">
        <v>3474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7"/>
        <v>5.0715000000000003</v>
      </c>
      <c r="V4548" s="2">
        <f t="shared" si="828"/>
        <v>27.121500000000001</v>
      </c>
      <c r="W4548" s="2">
        <f>10.38*S4548</f>
        <v>10.38</v>
      </c>
      <c r="X4548" s="5">
        <f t="shared" si="831"/>
        <v>0.52925170068027205</v>
      </c>
      <c r="Y4548" s="2" t="s">
        <v>3299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30"/>
        <v>11.67</v>
      </c>
      <c r="AL4548" s="18">
        <f t="shared" si="822"/>
        <v>0.52925170068027205</v>
      </c>
    </row>
    <row r="4549" spans="1:38" x14ac:dyDescent="0.2">
      <c r="A4549" s="2">
        <v>2026</v>
      </c>
      <c r="B4549" s="2">
        <v>7</v>
      </c>
      <c r="C4549" s="2" t="s">
        <v>3474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7"/>
        <v>18.6921</v>
      </c>
      <c r="V4549" s="2">
        <f t="shared" si="828"/>
        <v>99.962099999999992</v>
      </c>
      <c r="W4549" s="2">
        <f>T4549*70%</f>
        <v>56.888999999999996</v>
      </c>
      <c r="X4549" s="5">
        <f t="shared" si="831"/>
        <v>0.30000000000000004</v>
      </c>
      <c r="Y4549" s="2" t="s">
        <v>3299</v>
      </c>
      <c r="Z4549" s="2" t="s">
        <v>119</v>
      </c>
      <c r="AA4549" s="2" t="s">
        <v>3378</v>
      </c>
      <c r="AK4549" s="2">
        <f t="shared" si="830"/>
        <v>24.381</v>
      </c>
      <c r="AL4549" s="5">
        <f t="shared" si="822"/>
        <v>0.30000000000000004</v>
      </c>
    </row>
    <row r="4550" spans="1:38" x14ac:dyDescent="0.2">
      <c r="A4550" s="2">
        <v>2026</v>
      </c>
      <c r="B4550" s="2">
        <v>7</v>
      </c>
      <c r="C4550" s="2" t="s">
        <v>3474</v>
      </c>
      <c r="D4550" s="2" t="s">
        <v>2008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7"/>
        <v>177.15520000000001</v>
      </c>
      <c r="V4550" s="2">
        <f t="shared" si="828"/>
        <v>947.39520000000005</v>
      </c>
      <c r="W4550" s="2">
        <v>257.3</v>
      </c>
      <c r="X4550" s="5">
        <f t="shared" si="831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30"/>
        <v>512.94000000000005</v>
      </c>
      <c r="AL4550" s="18">
        <f t="shared" si="822"/>
        <v>0.66594827586206906</v>
      </c>
    </row>
    <row r="4551" spans="1:38" x14ac:dyDescent="0.2">
      <c r="A4551" s="2">
        <v>2026</v>
      </c>
      <c r="B4551" s="2">
        <v>7</v>
      </c>
      <c r="C4551" s="2" t="s">
        <v>3474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2984</v>
      </c>
      <c r="S4551" s="13">
        <v>1</v>
      </c>
      <c r="T4551" s="14">
        <v>40.54</v>
      </c>
      <c r="U4551" s="2">
        <f t="shared" si="827"/>
        <v>9.3241999999999994</v>
      </c>
      <c r="V4551" s="2">
        <f t="shared" si="828"/>
        <v>49.864199999999997</v>
      </c>
      <c r="W4551" s="2">
        <f>13.715*S4551</f>
        <v>13.715</v>
      </c>
      <c r="X4551" s="5">
        <f t="shared" si="831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30"/>
        <v>26.824999999999999</v>
      </c>
      <c r="AL4551" s="18">
        <f t="shared" si="822"/>
        <v>0.66169215589541197</v>
      </c>
    </row>
    <row r="4552" spans="1:38" x14ac:dyDescent="0.2">
      <c r="A4552" s="2">
        <v>2026</v>
      </c>
      <c r="B4552" s="2">
        <v>7</v>
      </c>
      <c r="C4552" s="2" t="s">
        <v>3474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7"/>
        <v>91.08</v>
      </c>
      <c r="V4552" s="2">
        <f t="shared" si="828"/>
        <v>487.08</v>
      </c>
      <c r="W4552" s="2">
        <f>T4552*40%</f>
        <v>158.4</v>
      </c>
      <c r="X4552" s="5">
        <f t="shared" si="831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30"/>
        <v>237.6</v>
      </c>
      <c r="AL4552" s="18">
        <f t="shared" si="822"/>
        <v>0.6</v>
      </c>
    </row>
    <row r="4553" spans="1:38" x14ac:dyDescent="0.2">
      <c r="A4553" s="2">
        <v>2026</v>
      </c>
      <c r="B4553" s="2">
        <v>7</v>
      </c>
      <c r="C4553" s="2" t="s">
        <v>3474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7"/>
        <v>50.6</v>
      </c>
      <c r="V4553" s="2">
        <f t="shared" si="828"/>
        <v>270.60000000000002</v>
      </c>
      <c r="W4553" s="2">
        <f>T4553*50%</f>
        <v>110</v>
      </c>
      <c r="X4553" s="5">
        <f t="shared" si="831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30"/>
        <v>110</v>
      </c>
      <c r="AL4553" s="18">
        <f t="shared" si="822"/>
        <v>0.5</v>
      </c>
    </row>
    <row r="4554" spans="1:38" x14ac:dyDescent="0.2">
      <c r="A4554" s="2">
        <v>2026</v>
      </c>
      <c r="B4554" s="2">
        <v>7</v>
      </c>
      <c r="C4554" s="2" t="s">
        <v>3474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7"/>
        <v>67.109399999999994</v>
      </c>
      <c r="V4554" s="2">
        <f t="shared" si="828"/>
        <v>358.88939999999997</v>
      </c>
      <c r="W4554" s="2">
        <f>T4554*70%</f>
        <v>204.24599999999998</v>
      </c>
      <c r="X4554" s="5">
        <f t="shared" si="831"/>
        <v>0.3</v>
      </c>
      <c r="Z4554" s="2" t="s">
        <v>119</v>
      </c>
      <c r="AA4554" s="2" t="s">
        <v>3378</v>
      </c>
      <c r="AK4554" s="2">
        <f t="shared" si="830"/>
        <v>87.533999999999992</v>
      </c>
      <c r="AL4554" s="5">
        <f t="shared" si="822"/>
        <v>0.3</v>
      </c>
    </row>
    <row r="4555" spans="1:38" x14ac:dyDescent="0.2">
      <c r="A4555" s="2">
        <v>2026</v>
      </c>
      <c r="B4555" s="2">
        <v>7</v>
      </c>
      <c r="C4555" s="2" t="s">
        <v>3474</v>
      </c>
      <c r="D4555" s="2" t="s">
        <v>1573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1284</v>
      </c>
      <c r="R4555" s="2" t="s">
        <v>1285</v>
      </c>
      <c r="S4555" s="13">
        <v>1</v>
      </c>
      <c r="T4555" s="14">
        <v>250</v>
      </c>
      <c r="U4555" s="2">
        <f t="shared" si="827"/>
        <v>57.5</v>
      </c>
      <c r="V4555" s="2">
        <f t="shared" si="828"/>
        <v>307.5</v>
      </c>
      <c r="W4555" s="2">
        <v>212.5</v>
      </c>
      <c r="X4555" s="5">
        <f t="shared" si="831"/>
        <v>0.15</v>
      </c>
      <c r="Z4555" s="2" t="s">
        <v>117</v>
      </c>
      <c r="AA4555" s="2" t="s">
        <v>181</v>
      </c>
      <c r="AB4555" s="2" t="s">
        <v>3379</v>
      </c>
      <c r="AC4555" s="2" t="s">
        <v>1327</v>
      </c>
      <c r="AK4555" s="2">
        <f t="shared" si="830"/>
        <v>37.5</v>
      </c>
      <c r="AL4555" s="18">
        <f t="shared" si="822"/>
        <v>0.15</v>
      </c>
    </row>
    <row r="4556" spans="1:38" x14ac:dyDescent="0.2">
      <c r="A4556" s="2">
        <v>2026</v>
      </c>
      <c r="B4556" s="2">
        <v>7</v>
      </c>
      <c r="C4556" s="2" t="s">
        <v>3474</v>
      </c>
      <c r="D4556" s="2" t="s">
        <v>3495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7"/>
        <v>3.2866999999999997</v>
      </c>
      <c r="V4556" s="2">
        <f t="shared" si="828"/>
        <v>17.576699999999999</v>
      </c>
      <c r="W4556" s="2">
        <f>5.33*S4556</f>
        <v>5.33</v>
      </c>
      <c r="X4556" s="5">
        <f t="shared" si="831"/>
        <v>0.62701189643107069</v>
      </c>
      <c r="Y4556" s="2" t="s">
        <v>3299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30"/>
        <v>8.9599999999999991</v>
      </c>
      <c r="AL4556" s="18">
        <f t="shared" si="822"/>
        <v>0.62701189643107069</v>
      </c>
    </row>
    <row r="4557" spans="1:38" x14ac:dyDescent="0.2">
      <c r="A4557" s="2">
        <v>2026</v>
      </c>
      <c r="B4557" s="2">
        <v>7</v>
      </c>
      <c r="C4557" s="2" t="s">
        <v>3474</v>
      </c>
      <c r="D4557" s="2" t="s">
        <v>3495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7"/>
        <v>160.839</v>
      </c>
      <c r="V4557" s="2">
        <f t="shared" si="828"/>
        <v>860.1389999999999</v>
      </c>
      <c r="W4557" s="2">
        <v>345.20339999999999</v>
      </c>
      <c r="X4557" s="5">
        <f t="shared" si="831"/>
        <v>0.50635864435864431</v>
      </c>
      <c r="Y4557" s="2" t="s">
        <v>3299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30"/>
        <v>354.09659999999997</v>
      </c>
      <c r="AL4557" s="18">
        <f t="shared" si="822"/>
        <v>0.50635864435864431</v>
      </c>
    </row>
    <row r="4558" spans="1:38" x14ac:dyDescent="0.2">
      <c r="A4558" s="2">
        <v>2026</v>
      </c>
      <c r="B4558" s="2">
        <v>7</v>
      </c>
      <c r="C4558" s="2" t="s">
        <v>3474</v>
      </c>
      <c r="D4558" s="2" t="s">
        <v>3495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7"/>
        <v>13.8</v>
      </c>
      <c r="V4558" s="2">
        <f t="shared" si="828"/>
        <v>73.8</v>
      </c>
      <c r="W4558" s="2">
        <f>T4558*40%</f>
        <v>24</v>
      </c>
      <c r="X4558" s="5">
        <f t="shared" si="831"/>
        <v>0.6</v>
      </c>
      <c r="Y4558" s="2" t="s">
        <v>3299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30"/>
        <v>36</v>
      </c>
      <c r="AL4558" s="18">
        <f t="shared" si="822"/>
        <v>0.6</v>
      </c>
    </row>
    <row r="4559" spans="1:38" x14ac:dyDescent="0.2">
      <c r="A4559" s="2">
        <v>2026</v>
      </c>
      <c r="B4559" s="2">
        <v>7</v>
      </c>
      <c r="C4559" s="2" t="s">
        <v>3474</v>
      </c>
      <c r="D4559" s="2" t="s">
        <v>3495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7"/>
        <v>12.65</v>
      </c>
      <c r="V4559" s="2">
        <f t="shared" si="828"/>
        <v>67.650000000000006</v>
      </c>
      <c r="W4559" s="2">
        <f>T4559*50%</f>
        <v>27.5</v>
      </c>
      <c r="X4559" s="5">
        <f t="shared" si="831"/>
        <v>0.5</v>
      </c>
      <c r="Y4559" s="2" t="s">
        <v>3299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30"/>
        <v>27.5</v>
      </c>
      <c r="AL4559" s="18">
        <f t="shared" si="822"/>
        <v>0.5</v>
      </c>
    </row>
    <row r="4560" spans="1:38" x14ac:dyDescent="0.2">
      <c r="A4560" s="2">
        <v>2026</v>
      </c>
      <c r="B4560" s="2">
        <v>7</v>
      </c>
      <c r="C4560" s="2" t="s">
        <v>3474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3496</v>
      </c>
      <c r="R4560" s="2" t="s">
        <v>3497</v>
      </c>
      <c r="S4560" s="13">
        <v>4</v>
      </c>
      <c r="T4560" s="14">
        <v>794.88</v>
      </c>
      <c r="U4560" s="2">
        <f t="shared" si="827"/>
        <v>182.82240000000002</v>
      </c>
      <c r="V4560" s="2">
        <f t="shared" si="828"/>
        <v>977.70240000000001</v>
      </c>
      <c r="W4560" s="2">
        <f>143.9*S4560</f>
        <v>575.6</v>
      </c>
      <c r="X4560" s="5">
        <f t="shared" si="831"/>
        <v>0.27586553945249592</v>
      </c>
      <c r="Z4560" s="2" t="s">
        <v>3226</v>
      </c>
      <c r="AA4560" s="2" t="s">
        <v>1041</v>
      </c>
      <c r="AB4560" s="2" t="s">
        <v>1042</v>
      </c>
      <c r="AC4560" s="2" t="s">
        <v>1038</v>
      </c>
      <c r="AK4560" s="2">
        <f t="shared" si="830"/>
        <v>219.27999999999997</v>
      </c>
      <c r="AL4560" s="18">
        <f t="shared" si="822"/>
        <v>0.27586553945249592</v>
      </c>
    </row>
    <row r="4561" spans="1:38" x14ac:dyDescent="0.2">
      <c r="A4561" s="2">
        <v>2026</v>
      </c>
      <c r="B4561" s="2">
        <v>7</v>
      </c>
      <c r="C4561" s="2" t="s">
        <v>3474</v>
      </c>
      <c r="D4561" s="2" t="s">
        <v>1720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7"/>
        <v>45.264000000000003</v>
      </c>
      <c r="V4561" s="2">
        <f t="shared" si="828"/>
        <v>242.06400000000002</v>
      </c>
      <c r="W4561" s="2">
        <f>T4561*40%</f>
        <v>78.720000000000013</v>
      </c>
      <c r="X4561" s="5">
        <f t="shared" si="831"/>
        <v>0.6</v>
      </c>
      <c r="Y4561" s="2" t="s">
        <v>3491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30"/>
        <v>118.08</v>
      </c>
      <c r="AL4561" s="18">
        <f t="shared" si="822"/>
        <v>0.6</v>
      </c>
    </row>
    <row r="4562" spans="1:38" x14ac:dyDescent="0.2">
      <c r="A4562" s="2">
        <v>2026</v>
      </c>
      <c r="B4562" s="2">
        <v>7</v>
      </c>
      <c r="C4562" s="2" t="s">
        <v>3474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7"/>
        <v>9.4875000000000007</v>
      </c>
      <c r="V4562" s="2">
        <f t="shared" si="828"/>
        <v>50.737499999999997</v>
      </c>
      <c r="W4562" s="2">
        <f>T4562*50%</f>
        <v>20.625</v>
      </c>
      <c r="X4562" s="5">
        <f t="shared" si="831"/>
        <v>0.5</v>
      </c>
      <c r="Y4562" s="2" t="s">
        <v>3491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30"/>
        <v>20.625</v>
      </c>
      <c r="AL4562" s="18">
        <f t="shared" si="822"/>
        <v>0.5</v>
      </c>
    </row>
    <row r="4563" spans="1:38" x14ac:dyDescent="0.2">
      <c r="A4563" s="2">
        <v>2026</v>
      </c>
      <c r="B4563" s="2">
        <v>7</v>
      </c>
      <c r="C4563" s="2" t="s">
        <v>3474</v>
      </c>
      <c r="D4563" s="2" t="s">
        <v>1275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1276</v>
      </c>
      <c r="J4563" s="2" t="s">
        <v>1277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7"/>
        <v>17.25</v>
      </c>
      <c r="V4563" s="2">
        <f t="shared" si="828"/>
        <v>92.25</v>
      </c>
      <c r="W4563" s="2">
        <f>T4563*40%</f>
        <v>30</v>
      </c>
      <c r="X4563" s="5">
        <f t="shared" si="831"/>
        <v>0.6</v>
      </c>
      <c r="Y4563" s="2" t="s">
        <v>3491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30"/>
        <v>45</v>
      </c>
      <c r="AL4563" s="18">
        <f t="shared" si="822"/>
        <v>0.6</v>
      </c>
    </row>
    <row r="4564" spans="1:38" x14ac:dyDescent="0.2">
      <c r="A4564" s="2">
        <v>2026</v>
      </c>
      <c r="B4564" s="2">
        <v>7</v>
      </c>
      <c r="C4564" s="2" t="s">
        <v>3474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7"/>
        <v>12.65</v>
      </c>
      <c r="V4564" s="2">
        <f t="shared" si="828"/>
        <v>67.650000000000006</v>
      </c>
      <c r="W4564" s="2">
        <f>T4564*50%</f>
        <v>27.5</v>
      </c>
      <c r="X4564" s="5">
        <f t="shared" si="831"/>
        <v>0.5</v>
      </c>
      <c r="Y4564" s="2" t="s">
        <v>3491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30"/>
        <v>27.5</v>
      </c>
      <c r="AL4564" s="18">
        <f t="shared" si="822"/>
        <v>0.5</v>
      </c>
    </row>
    <row r="4565" spans="1:38" x14ac:dyDescent="0.2">
      <c r="A4565" s="2">
        <v>2026</v>
      </c>
      <c r="B4565" s="2">
        <v>7</v>
      </c>
      <c r="C4565" s="2" t="s">
        <v>3474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7"/>
        <v>20.125</v>
      </c>
      <c r="V4565" s="2">
        <f t="shared" si="828"/>
        <v>107.625</v>
      </c>
      <c r="W4565" s="2">
        <f>T4565*70%</f>
        <v>61.249999999999993</v>
      </c>
      <c r="X4565" s="5">
        <f t="shared" si="831"/>
        <v>0.3000000000000001</v>
      </c>
      <c r="Y4565" s="2" t="s">
        <v>3491</v>
      </c>
      <c r="Z4565" s="2" t="s">
        <v>119</v>
      </c>
      <c r="AA4565" s="2" t="s">
        <v>3378</v>
      </c>
      <c r="AK4565" s="2">
        <f t="shared" si="830"/>
        <v>26.250000000000007</v>
      </c>
      <c r="AL4565" s="5">
        <f t="shared" si="822"/>
        <v>0.3000000000000001</v>
      </c>
    </row>
    <row r="4566" spans="1:38" x14ac:dyDescent="0.2">
      <c r="A4566" s="2">
        <v>2026</v>
      </c>
      <c r="B4566" s="2">
        <v>7</v>
      </c>
      <c r="C4566" s="2" t="s">
        <v>3474</v>
      </c>
      <c r="D4566" s="2" t="s">
        <v>1290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7"/>
        <v>46.46</v>
      </c>
      <c r="V4566" s="2">
        <f t="shared" si="828"/>
        <v>248.46</v>
      </c>
      <c r="W4566" s="2">
        <f>T4566*40%</f>
        <v>80.800000000000011</v>
      </c>
      <c r="X4566" s="5">
        <f t="shared" si="831"/>
        <v>0.6</v>
      </c>
      <c r="Y4566" s="2" t="s">
        <v>2540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30"/>
        <v>121.19999999999999</v>
      </c>
      <c r="AL4566" s="18">
        <f t="shared" si="822"/>
        <v>0.6</v>
      </c>
    </row>
    <row r="4567" spans="1:38" x14ac:dyDescent="0.2">
      <c r="A4567" s="2">
        <v>2026</v>
      </c>
      <c r="B4567" s="2">
        <v>7</v>
      </c>
      <c r="C4567" s="2" t="s">
        <v>3474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7"/>
        <v>50.6</v>
      </c>
      <c r="V4567" s="2">
        <f t="shared" si="828"/>
        <v>270.60000000000002</v>
      </c>
      <c r="W4567" s="2">
        <f>T4567*50%</f>
        <v>110</v>
      </c>
      <c r="X4567" s="5">
        <f t="shared" si="831"/>
        <v>0.5</v>
      </c>
      <c r="Y4567" s="2" t="s">
        <v>2540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30"/>
        <v>110</v>
      </c>
      <c r="AL4567" s="18">
        <f t="shared" si="822"/>
        <v>0.5</v>
      </c>
    </row>
    <row r="4568" spans="1:38" x14ac:dyDescent="0.2">
      <c r="A4568" s="2">
        <v>2026</v>
      </c>
      <c r="B4568" s="2">
        <v>7</v>
      </c>
      <c r="C4568" s="2" t="s">
        <v>3474</v>
      </c>
      <c r="D4568" s="2" t="s">
        <v>1657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7"/>
        <v>11.258500000000002</v>
      </c>
      <c r="V4568" s="2">
        <f t="shared" si="828"/>
        <v>60.208500000000001</v>
      </c>
      <c r="W4568" s="2">
        <f>23.042*S4568</f>
        <v>23.042000000000002</v>
      </c>
      <c r="X4568" s="5">
        <f t="shared" si="831"/>
        <v>0.52927477017364655</v>
      </c>
      <c r="Y4568" s="2" t="s">
        <v>2540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30"/>
        <v>25.908000000000001</v>
      </c>
      <c r="AL4568" s="18">
        <f t="shared" si="822"/>
        <v>0.52927477017364655</v>
      </c>
    </row>
    <row r="4569" spans="1:38" x14ac:dyDescent="0.2">
      <c r="A4569" s="2">
        <v>2026</v>
      </c>
      <c r="B4569" s="2">
        <v>7</v>
      </c>
      <c r="C4569" s="2" t="s">
        <v>3474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1920</v>
      </c>
      <c r="R4569" s="2" t="s">
        <v>1921</v>
      </c>
      <c r="S4569" s="13">
        <v>1</v>
      </c>
      <c r="T4569" s="14">
        <v>25000</v>
      </c>
      <c r="U4569" s="2">
        <f t="shared" si="827"/>
        <v>5750</v>
      </c>
      <c r="V4569" s="2">
        <f t="shared" si="828"/>
        <v>30750</v>
      </c>
      <c r="W4569" s="2">
        <f>19591.14+492.45</f>
        <v>20083.59</v>
      </c>
      <c r="X4569" s="5">
        <f t="shared" si="831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2"/>
        <v>0.19665639999999998</v>
      </c>
    </row>
    <row r="4570" spans="1:38" x14ac:dyDescent="0.2">
      <c r="A4570" s="2">
        <v>2026</v>
      </c>
      <c r="B4570" s="2">
        <v>7</v>
      </c>
      <c r="C4570" s="2" t="s">
        <v>3474</v>
      </c>
      <c r="D4570" s="2" t="s">
        <v>3498</v>
      </c>
      <c r="E4570" s="2" t="s">
        <v>183</v>
      </c>
      <c r="F4570" s="2" t="s">
        <v>3499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7"/>
        <v>43.7</v>
      </c>
      <c r="V4570" s="2">
        <f t="shared" si="828"/>
        <v>233.7</v>
      </c>
      <c r="W4570" s="2">
        <f>T4570*70%</f>
        <v>133</v>
      </c>
      <c r="X4570" s="5">
        <f t="shared" si="831"/>
        <v>0.3</v>
      </c>
      <c r="Z4570" s="2" t="s">
        <v>117</v>
      </c>
      <c r="AA4570" s="2" t="s">
        <v>3378</v>
      </c>
      <c r="AK4570" s="2">
        <f t="shared" ref="AK4570" si="832">T4570-W4570</f>
        <v>57</v>
      </c>
      <c r="AL4570" s="5">
        <f t="shared" si="822"/>
        <v>0.3</v>
      </c>
    </row>
    <row r="4571" spans="1:38" x14ac:dyDescent="0.2">
      <c r="A4571" s="2">
        <v>2026</v>
      </c>
      <c r="B4571" s="2">
        <v>8</v>
      </c>
      <c r="C4571" s="2" t="s">
        <v>3508</v>
      </c>
      <c r="D4571" s="2" t="s">
        <v>2442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8"/>
        <v>-1385.3366999999998</v>
      </c>
      <c r="X4571" s="18"/>
      <c r="Z4571" s="2" t="s">
        <v>119</v>
      </c>
      <c r="AA4571" s="2" t="s">
        <v>142</v>
      </c>
      <c r="AK4571" s="2">
        <f t="shared" ref="AK4571:AK4575" si="833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3508</v>
      </c>
      <c r="D4572" s="2" t="s">
        <v>2008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3509</v>
      </c>
      <c r="R4572" s="2" t="s">
        <v>3510</v>
      </c>
      <c r="S4572" s="13">
        <v>-2</v>
      </c>
      <c r="T4572" s="14">
        <v>-253</v>
      </c>
      <c r="U4572" s="2">
        <f t="shared" ref="U4572:U4592" si="834">T4572*23%</f>
        <v>-58.190000000000005</v>
      </c>
      <c r="V4572" s="2">
        <f t="shared" ref="V4572:V4593" si="835">T4572+U4572</f>
        <v>-311.19</v>
      </c>
      <c r="W4572" s="2">
        <f>253*50%</f>
        <v>126.5</v>
      </c>
      <c r="X4572" s="18">
        <f t="shared" ref="X4572" si="836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3"/>
        <v>-379.5</v>
      </c>
      <c r="AL4572" s="18">
        <f t="shared" ref="AL4572:AL4575" si="837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3508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4"/>
        <v>-76.067900000000009</v>
      </c>
      <c r="V4573" s="2">
        <f t="shared" si="835"/>
        <v>-406.79790000000003</v>
      </c>
      <c r="X4573" s="18"/>
      <c r="Z4573" s="2" t="s">
        <v>119</v>
      </c>
      <c r="AA4573" s="2" t="s">
        <v>142</v>
      </c>
      <c r="AK4573" s="2">
        <f t="shared" si="833"/>
        <v>-330.73</v>
      </c>
      <c r="AL4573" s="18">
        <f t="shared" si="837"/>
        <v>-1</v>
      </c>
    </row>
    <row r="4574" spans="1:38" x14ac:dyDescent="0.2">
      <c r="A4574" s="2">
        <v>2026</v>
      </c>
      <c r="B4574" s="2">
        <v>8</v>
      </c>
      <c r="C4574" s="2" t="s">
        <v>3508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4"/>
        <v>-44.85</v>
      </c>
      <c r="V4574" s="2">
        <f t="shared" si="835"/>
        <v>-239.85</v>
      </c>
      <c r="W4574" s="2">
        <v>111.98</v>
      </c>
      <c r="X4574" s="18">
        <f>SIGN(T4574)*((ABS(T4574)-W4574)/ABS(T4574))</f>
        <v>-0.42574358974358972</v>
      </c>
      <c r="Z4574" s="2" t="s">
        <v>3226</v>
      </c>
      <c r="AA4574" s="2" t="s">
        <v>75</v>
      </c>
      <c r="AB4574" s="2" t="s">
        <v>76</v>
      </c>
      <c r="AC4574" s="2" t="s">
        <v>77</v>
      </c>
      <c r="AK4574" s="2">
        <f t="shared" si="833"/>
        <v>-306.98</v>
      </c>
      <c r="AL4574" s="18">
        <f t="shared" si="837"/>
        <v>-0.42574358974358972</v>
      </c>
    </row>
    <row r="4575" spans="1:38" x14ac:dyDescent="0.2">
      <c r="A4575" s="2">
        <v>2026</v>
      </c>
      <c r="B4575" s="2">
        <v>8</v>
      </c>
      <c r="C4575" s="2" t="s">
        <v>3508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4"/>
        <v>-0.34040000000000004</v>
      </c>
      <c r="V4575" s="2">
        <f t="shared" si="835"/>
        <v>-1.8204</v>
      </c>
      <c r="W4575" s="2">
        <v>1.48</v>
      </c>
      <c r="X4575" s="18">
        <f>SIGN(T4575)*((ABS(T4575)-W4575)/ABS(T4575))</f>
        <v>0</v>
      </c>
      <c r="Z4575" s="2" t="s">
        <v>3226</v>
      </c>
      <c r="AA4575" s="2" t="s">
        <v>96</v>
      </c>
      <c r="AB4575" s="2" t="s">
        <v>76</v>
      </c>
      <c r="AC4575" s="2" t="s">
        <v>93</v>
      </c>
      <c r="AK4575" s="2">
        <f t="shared" si="833"/>
        <v>-2.96</v>
      </c>
      <c r="AL4575" s="18">
        <f t="shared" si="837"/>
        <v>0</v>
      </c>
    </row>
    <row r="4576" spans="1:38" x14ac:dyDescent="0.2">
      <c r="A4576" s="2">
        <v>2026</v>
      </c>
      <c r="B4576" s="2">
        <v>8</v>
      </c>
      <c r="C4576" s="2" t="s">
        <v>3508</v>
      </c>
      <c r="D4576" s="2" t="s">
        <v>1553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1554</v>
      </c>
      <c r="J4576" s="2" t="s">
        <v>1555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4"/>
        <v>52.900000000000006</v>
      </c>
      <c r="V4576" s="2">
        <f t="shared" si="835"/>
        <v>282.89999999999998</v>
      </c>
      <c r="W4576" s="2">
        <v>133.4616</v>
      </c>
      <c r="X4576" s="5">
        <f t="shared" si="831"/>
        <v>0.41973217391304346</v>
      </c>
      <c r="Z4576" s="2" t="s">
        <v>3226</v>
      </c>
      <c r="AA4576" s="2" t="s">
        <v>75</v>
      </c>
      <c r="AB4576" s="2" t="s">
        <v>76</v>
      </c>
      <c r="AC4576" s="2" t="s">
        <v>77</v>
      </c>
      <c r="AK4576" s="2">
        <f t="shared" ref="AK4576:AK4592" si="838">T4576-W4576</f>
        <v>96.538399999999996</v>
      </c>
      <c r="AL4576" s="34">
        <f t="shared" ref="AL4576:AL4602" si="839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3508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4"/>
        <v>0.34040000000000004</v>
      </c>
      <c r="V4577" s="2">
        <f t="shared" si="835"/>
        <v>1.8204</v>
      </c>
      <c r="W4577" s="2">
        <v>1.48</v>
      </c>
      <c r="X4577" s="5">
        <f t="shared" si="831"/>
        <v>0</v>
      </c>
      <c r="Z4577" s="2" t="s">
        <v>3226</v>
      </c>
      <c r="AA4577" s="2" t="s">
        <v>96</v>
      </c>
      <c r="AB4577" s="2" t="s">
        <v>76</v>
      </c>
      <c r="AC4577" s="2" t="s">
        <v>93</v>
      </c>
      <c r="AK4577" s="2">
        <f t="shared" si="838"/>
        <v>0</v>
      </c>
      <c r="AL4577" s="34">
        <f t="shared" si="839"/>
        <v>0</v>
      </c>
    </row>
    <row r="4578" spans="1:38" x14ac:dyDescent="0.2">
      <c r="A4578" s="2">
        <v>2026</v>
      </c>
      <c r="B4578" s="2">
        <v>8</v>
      </c>
      <c r="C4578" s="2" t="s">
        <v>3508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3509</v>
      </c>
      <c r="R4578" s="2" t="s">
        <v>3510</v>
      </c>
      <c r="S4578" s="13">
        <v>-6</v>
      </c>
      <c r="T4578" s="14">
        <v>-588</v>
      </c>
      <c r="U4578" s="2">
        <f t="shared" si="834"/>
        <v>-135.24</v>
      </c>
      <c r="V4578" s="2">
        <f t="shared" si="835"/>
        <v>-723.24</v>
      </c>
      <c r="W4578" s="2">
        <f>588*50%</f>
        <v>294</v>
      </c>
      <c r="X4578" s="18">
        <f t="shared" ref="X4578" si="840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8"/>
        <v>-882</v>
      </c>
      <c r="AL4578" s="18">
        <f t="shared" ref="AL4578" si="841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3508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4"/>
        <v>-41.354000000000006</v>
      </c>
      <c r="V4579" s="2">
        <f t="shared" si="835"/>
        <v>-221.15400000000002</v>
      </c>
      <c r="X4579" s="18"/>
      <c r="Z4579" s="2" t="s">
        <v>119</v>
      </c>
      <c r="AA4579" s="2" t="s">
        <v>142</v>
      </c>
      <c r="AK4579" s="2">
        <f t="shared" si="838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3508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4"/>
        <v>52.900000000000006</v>
      </c>
      <c r="V4580" s="2">
        <f t="shared" si="835"/>
        <v>282.89999999999998</v>
      </c>
      <c r="W4580" s="2">
        <v>122.446</v>
      </c>
      <c r="X4580" s="5">
        <f t="shared" si="831"/>
        <v>0.46762608695652175</v>
      </c>
      <c r="Z4580" s="2" t="s">
        <v>3226</v>
      </c>
      <c r="AA4580" s="2" t="s">
        <v>75</v>
      </c>
      <c r="AB4580" s="2" t="s">
        <v>76</v>
      </c>
      <c r="AC4580" s="2" t="s">
        <v>77</v>
      </c>
      <c r="AK4580" s="2">
        <f t="shared" si="838"/>
        <v>107.554</v>
      </c>
      <c r="AL4580" s="34">
        <f t="shared" si="839"/>
        <v>0.46762608695652175</v>
      </c>
    </row>
    <row r="4581" spans="1:38" x14ac:dyDescent="0.2">
      <c r="A4581" s="2">
        <v>2026</v>
      </c>
      <c r="B4581" s="2">
        <v>8</v>
      </c>
      <c r="C4581" s="2" t="s">
        <v>3508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4"/>
        <v>0.34040000000000004</v>
      </c>
      <c r="V4581" s="2">
        <f t="shared" si="835"/>
        <v>1.8204</v>
      </c>
      <c r="W4581" s="2">
        <v>1.48</v>
      </c>
      <c r="X4581" s="5">
        <f t="shared" si="831"/>
        <v>0</v>
      </c>
      <c r="Z4581" s="2" t="s">
        <v>3226</v>
      </c>
      <c r="AA4581" s="2" t="s">
        <v>96</v>
      </c>
      <c r="AB4581" s="2" t="s">
        <v>76</v>
      </c>
      <c r="AC4581" s="2" t="s">
        <v>93</v>
      </c>
      <c r="AK4581" s="2">
        <f t="shared" si="838"/>
        <v>0</v>
      </c>
      <c r="AL4581" s="34">
        <f t="shared" si="839"/>
        <v>0</v>
      </c>
    </row>
    <row r="4582" spans="1:38" x14ac:dyDescent="0.2">
      <c r="A4582" s="2">
        <v>2026</v>
      </c>
      <c r="B4582" s="2">
        <v>8</v>
      </c>
      <c r="C4582" s="2" t="s">
        <v>3508</v>
      </c>
      <c r="D4582" s="2" t="s">
        <v>3336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4"/>
        <v>-258.6902</v>
      </c>
      <c r="V4582" s="2">
        <f t="shared" si="835"/>
        <v>-1383.4302</v>
      </c>
      <c r="X4582" s="18"/>
      <c r="Z4582" s="2" t="s">
        <v>119</v>
      </c>
      <c r="AA4582" s="2" t="s">
        <v>142</v>
      </c>
      <c r="AK4582" s="2">
        <f t="shared" si="838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3508</v>
      </c>
      <c r="D4583" s="2" t="s">
        <v>2536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4"/>
        <v>52.900000000000006</v>
      </c>
      <c r="V4583" s="2">
        <f t="shared" si="835"/>
        <v>282.89999999999998</v>
      </c>
      <c r="W4583" s="2">
        <f>123.48+12.2</f>
        <v>135.68</v>
      </c>
      <c r="X4583" s="5">
        <f t="shared" si="831"/>
        <v>0.4100869565217391</v>
      </c>
      <c r="Z4583" s="2" t="s">
        <v>3226</v>
      </c>
      <c r="AA4583" s="2" t="s">
        <v>75</v>
      </c>
      <c r="AB4583" s="2" t="s">
        <v>76</v>
      </c>
      <c r="AC4583" s="2" t="s">
        <v>77</v>
      </c>
      <c r="AK4583" s="2">
        <f t="shared" si="838"/>
        <v>94.32</v>
      </c>
      <c r="AL4583" s="34">
        <f t="shared" si="839"/>
        <v>0.4100869565217391</v>
      </c>
    </row>
    <row r="4584" spans="1:38" x14ac:dyDescent="0.2">
      <c r="A4584" s="2">
        <v>2026</v>
      </c>
      <c r="B4584" s="2">
        <v>8</v>
      </c>
      <c r="C4584" s="2" t="s">
        <v>3508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4"/>
        <v>0.34040000000000004</v>
      </c>
      <c r="V4584" s="2">
        <f t="shared" si="835"/>
        <v>1.8204</v>
      </c>
      <c r="W4584" s="2">
        <v>1.48</v>
      </c>
      <c r="X4584" s="5">
        <f t="shared" si="831"/>
        <v>0</v>
      </c>
      <c r="Z4584" s="2" t="s">
        <v>3226</v>
      </c>
      <c r="AA4584" s="2" t="s">
        <v>96</v>
      </c>
      <c r="AB4584" s="2" t="s">
        <v>76</v>
      </c>
      <c r="AC4584" s="2" t="s">
        <v>93</v>
      </c>
      <c r="AK4584" s="2">
        <f t="shared" si="838"/>
        <v>0</v>
      </c>
      <c r="AL4584" s="34">
        <f t="shared" si="839"/>
        <v>0</v>
      </c>
    </row>
    <row r="4585" spans="1:38" x14ac:dyDescent="0.2">
      <c r="A4585" s="2">
        <v>2026</v>
      </c>
      <c r="B4585" s="2">
        <v>8</v>
      </c>
      <c r="C4585" s="2" t="s">
        <v>3508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4"/>
        <v>-5.9087000000000005</v>
      </c>
      <c r="V4585" s="2">
        <f t="shared" si="835"/>
        <v>-31.598700000000001</v>
      </c>
      <c r="X4585" s="18"/>
      <c r="Z4585" s="2" t="s">
        <v>119</v>
      </c>
      <c r="AA4585" s="2" t="s">
        <v>142</v>
      </c>
      <c r="AK4585" s="2">
        <f t="shared" si="838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3508</v>
      </c>
      <c r="D4586" s="2" t="s">
        <v>1622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1623</v>
      </c>
      <c r="J4586" s="2" t="s">
        <v>1624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4"/>
        <v>-52.900000000000006</v>
      </c>
      <c r="V4586" s="2">
        <f t="shared" si="835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3226</v>
      </c>
      <c r="AA4586" s="2" t="s">
        <v>75</v>
      </c>
      <c r="AB4586" s="2" t="s">
        <v>76</v>
      </c>
      <c r="AC4586" s="2" t="s">
        <v>77</v>
      </c>
      <c r="AK4586" s="2">
        <f t="shared" si="838"/>
        <v>-364.57</v>
      </c>
      <c r="AL4586" s="18">
        <f t="shared" ref="AL4586:AL4587" si="842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3508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4"/>
        <v>-0.34040000000000004</v>
      </c>
      <c r="V4587" s="2">
        <f t="shared" si="835"/>
        <v>-1.8204</v>
      </c>
      <c r="W4587" s="2">
        <v>1.48</v>
      </c>
      <c r="X4587" s="18">
        <f>SIGN(T4587)*((ABS(T4587)-W4587)/ABS(T4587))</f>
        <v>0</v>
      </c>
      <c r="Z4587" s="2" t="s">
        <v>3226</v>
      </c>
      <c r="AA4587" s="2" t="s">
        <v>96</v>
      </c>
      <c r="AB4587" s="2" t="s">
        <v>76</v>
      </c>
      <c r="AC4587" s="2" t="s">
        <v>93</v>
      </c>
      <c r="AK4587" s="2">
        <f t="shared" si="838"/>
        <v>-2.96</v>
      </c>
      <c r="AL4587" s="18">
        <f t="shared" si="842"/>
        <v>0</v>
      </c>
    </row>
    <row r="4588" spans="1:38" x14ac:dyDescent="0.2">
      <c r="A4588" s="2">
        <v>2026</v>
      </c>
      <c r="B4588" s="2">
        <v>8</v>
      </c>
      <c r="C4588" s="2" t="s">
        <v>3508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2486</v>
      </c>
      <c r="R4588" s="2" t="s">
        <v>2487</v>
      </c>
      <c r="S4588" s="13">
        <v>1</v>
      </c>
      <c r="T4588" s="14">
        <v>225.71</v>
      </c>
      <c r="U4588" s="2">
        <f t="shared" si="834"/>
        <v>51.913300000000007</v>
      </c>
      <c r="V4588" s="2">
        <f t="shared" si="835"/>
        <v>277.62330000000003</v>
      </c>
      <c r="W4588" s="2">
        <v>102.88249999999999</v>
      </c>
      <c r="X4588" s="5">
        <f t="shared" si="831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8"/>
        <v>122.82750000000001</v>
      </c>
      <c r="AL4588" s="34">
        <f t="shared" si="839"/>
        <v>0.54418280093925842</v>
      </c>
    </row>
    <row r="4589" spans="1:38" x14ac:dyDescent="0.2">
      <c r="A4589" s="2">
        <v>2026</v>
      </c>
      <c r="B4589" s="2">
        <v>8</v>
      </c>
      <c r="C4589" s="2" t="s">
        <v>3508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2489</v>
      </c>
      <c r="R4589" s="2" t="s">
        <v>2490</v>
      </c>
      <c r="S4589" s="13">
        <v>1</v>
      </c>
      <c r="T4589" s="14">
        <v>29.77</v>
      </c>
      <c r="U4589" s="2">
        <f t="shared" si="834"/>
        <v>6.8471000000000002</v>
      </c>
      <c r="V4589" s="2">
        <f t="shared" si="835"/>
        <v>36.617100000000001</v>
      </c>
      <c r="W4589" s="2">
        <v>15</v>
      </c>
      <c r="X4589" s="5">
        <f t="shared" si="831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8"/>
        <v>14.77</v>
      </c>
      <c r="AL4589" s="34">
        <f t="shared" si="839"/>
        <v>0.49613705072220354</v>
      </c>
    </row>
    <row r="4590" spans="1:38" x14ac:dyDescent="0.2">
      <c r="A4590" s="2">
        <v>2026</v>
      </c>
      <c r="B4590" s="2">
        <v>8</v>
      </c>
      <c r="C4590" s="2" t="s">
        <v>3508</v>
      </c>
      <c r="D4590" s="2" t="s">
        <v>3511</v>
      </c>
      <c r="E4590" s="2" t="s">
        <v>3417</v>
      </c>
      <c r="F4590" s="2" t="s">
        <v>3418</v>
      </c>
      <c r="L4590" s="2" t="s">
        <v>2438</v>
      </c>
      <c r="M4590" s="2" t="s">
        <v>40</v>
      </c>
      <c r="P4590" s="2" t="s">
        <v>114</v>
      </c>
      <c r="Q4590" s="2" t="s">
        <v>3356</v>
      </c>
      <c r="R4590" s="2" t="s">
        <v>1100</v>
      </c>
      <c r="S4590" s="13">
        <v>1</v>
      </c>
      <c r="T4590" s="14">
        <v>105.42</v>
      </c>
      <c r="U4590" s="2">
        <f t="shared" si="834"/>
        <v>24.246600000000001</v>
      </c>
      <c r="V4590" s="2">
        <f t="shared" si="835"/>
        <v>129.66660000000002</v>
      </c>
      <c r="W4590" s="2">
        <f>49.96+0.65</f>
        <v>50.61</v>
      </c>
      <c r="X4590" s="5">
        <f t="shared" si="831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8"/>
        <v>54.81</v>
      </c>
      <c r="AL4590" s="34">
        <f t="shared" si="839"/>
        <v>0.51992031872509958</v>
      </c>
    </row>
    <row r="4591" spans="1:38" x14ac:dyDescent="0.2">
      <c r="A4591" s="2">
        <v>2026</v>
      </c>
      <c r="B4591" s="2">
        <v>8</v>
      </c>
      <c r="C4591" s="2" t="s">
        <v>3508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1623</v>
      </c>
      <c r="J4591" s="2" t="s">
        <v>3169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4"/>
        <v>-11.96</v>
      </c>
      <c r="V4591" s="2">
        <f t="shared" si="835"/>
        <v>-63.96</v>
      </c>
      <c r="W4591" s="2">
        <f>52*40%</f>
        <v>20.8</v>
      </c>
      <c r="X4591" s="18">
        <f t="shared" ref="X4591:X4654" si="843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8"/>
        <v>-72.8</v>
      </c>
      <c r="AL4591" s="18">
        <f t="shared" ref="AL4591:AL4592" si="844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3508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4"/>
        <v>-11.5</v>
      </c>
      <c r="V4592" s="2">
        <f t="shared" si="835"/>
        <v>-61.5</v>
      </c>
      <c r="W4592" s="2">
        <f>50*50%</f>
        <v>25</v>
      </c>
      <c r="X4592" s="18">
        <f t="shared" si="843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8"/>
        <v>-75</v>
      </c>
      <c r="AL4592" s="18">
        <f t="shared" si="844"/>
        <v>-0.5</v>
      </c>
    </row>
    <row r="4593" spans="1:38" x14ac:dyDescent="0.2">
      <c r="A4593" s="2">
        <v>2026</v>
      </c>
      <c r="B4593" s="2">
        <v>8</v>
      </c>
      <c r="C4593" s="2" t="s">
        <v>3508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2584</v>
      </c>
      <c r="R4593" s="2" t="s">
        <v>2585</v>
      </c>
      <c r="S4593" s="13">
        <v>1</v>
      </c>
      <c r="T4593" s="14">
        <v>230</v>
      </c>
      <c r="U4593" s="2">
        <f>T4593*23%</f>
        <v>52.900000000000006</v>
      </c>
      <c r="V4593" s="2">
        <f t="shared" si="835"/>
        <v>282.89999999999998</v>
      </c>
      <c r="W4593" s="2">
        <v>153.34</v>
      </c>
      <c r="X4593" s="18">
        <f t="shared" si="843"/>
        <v>0.33330434782608692</v>
      </c>
      <c r="Z4593" s="2" t="s">
        <v>3226</v>
      </c>
      <c r="AA4593" s="2" t="s">
        <v>75</v>
      </c>
      <c r="AB4593" s="2" t="s">
        <v>76</v>
      </c>
      <c r="AC4593" s="2" t="s">
        <v>1038</v>
      </c>
      <c r="AK4593" s="2">
        <f t="shared" ref="AK4593:AK4609" si="845">T4593-W4593</f>
        <v>76.66</v>
      </c>
      <c r="AL4593" s="34">
        <f t="shared" si="839"/>
        <v>0.33330434782608692</v>
      </c>
    </row>
    <row r="4594" spans="1:38" x14ac:dyDescent="0.2">
      <c r="A4594" s="2">
        <v>2026</v>
      </c>
      <c r="B4594" s="2">
        <v>8</v>
      </c>
      <c r="C4594" s="2" t="s">
        <v>3508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6">T4594*23%</f>
        <v>8.0500000000000007</v>
      </c>
      <c r="V4594" s="2">
        <f t="shared" ref="V4594:V4610" si="847">T4594+U4594</f>
        <v>43.05</v>
      </c>
      <c r="W4594" s="2">
        <v>28</v>
      </c>
      <c r="X4594" s="18">
        <f t="shared" si="843"/>
        <v>0.2</v>
      </c>
      <c r="Z4594" s="2" t="s">
        <v>169</v>
      </c>
      <c r="AA4594" s="2" t="s">
        <v>169</v>
      </c>
      <c r="AK4594" s="2">
        <f t="shared" si="845"/>
        <v>7</v>
      </c>
      <c r="AL4594" s="34">
        <f t="shared" si="839"/>
        <v>0.2</v>
      </c>
    </row>
    <row r="4595" spans="1:38" x14ac:dyDescent="0.2">
      <c r="A4595" s="2">
        <v>2026</v>
      </c>
      <c r="B4595" s="2">
        <v>8</v>
      </c>
      <c r="C4595" s="2" t="s">
        <v>3508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6"/>
        <v>0.34040000000000004</v>
      </c>
      <c r="V4595" s="2">
        <f t="shared" si="847"/>
        <v>1.8204</v>
      </c>
      <c r="W4595" s="2">
        <v>1.48</v>
      </c>
      <c r="X4595" s="18">
        <f t="shared" si="843"/>
        <v>0</v>
      </c>
      <c r="Z4595" s="2" t="s">
        <v>3226</v>
      </c>
      <c r="AA4595" s="2" t="s">
        <v>96</v>
      </c>
      <c r="AB4595" s="2" t="s">
        <v>76</v>
      </c>
      <c r="AC4595" s="2" t="s">
        <v>93</v>
      </c>
      <c r="AK4595" s="2">
        <f t="shared" si="845"/>
        <v>0</v>
      </c>
      <c r="AL4595" s="34">
        <f t="shared" si="839"/>
        <v>0</v>
      </c>
    </row>
    <row r="4596" spans="1:38" x14ac:dyDescent="0.2">
      <c r="A4596" s="2">
        <v>2026</v>
      </c>
      <c r="B4596" s="2">
        <v>8</v>
      </c>
      <c r="C4596" s="2" t="s">
        <v>3508</v>
      </c>
      <c r="D4596" s="2" t="s">
        <v>1355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1356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6"/>
        <v>14.72</v>
      </c>
      <c r="V4596" s="2">
        <f t="shared" si="847"/>
        <v>78.72</v>
      </c>
      <c r="W4596" s="2">
        <f>11.34*S4596</f>
        <v>22.68</v>
      </c>
      <c r="X4596" s="18">
        <f t="shared" si="843"/>
        <v>0.645625</v>
      </c>
      <c r="Z4596" s="2" t="s">
        <v>3226</v>
      </c>
      <c r="AA4596" s="2" t="s">
        <v>71</v>
      </c>
      <c r="AB4596" s="2" t="s">
        <v>68</v>
      </c>
      <c r="AC4596" s="2" t="s">
        <v>3513</v>
      </c>
      <c r="AK4596" s="2">
        <f t="shared" si="845"/>
        <v>41.32</v>
      </c>
      <c r="AL4596" s="34">
        <f t="shared" si="839"/>
        <v>0.645625</v>
      </c>
    </row>
    <row r="4597" spans="1:38" x14ac:dyDescent="0.2">
      <c r="A4597" s="2">
        <v>2026</v>
      </c>
      <c r="B4597" s="2">
        <v>8</v>
      </c>
      <c r="C4597" s="2" t="s">
        <v>3508</v>
      </c>
      <c r="D4597" s="2" t="s">
        <v>3492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6"/>
        <v>52.900000000000006</v>
      </c>
      <c r="V4597" s="2">
        <f t="shared" si="847"/>
        <v>282.89999999999998</v>
      </c>
      <c r="W4597" s="2">
        <v>133.4616</v>
      </c>
      <c r="X4597" s="18">
        <f t="shared" si="843"/>
        <v>0.41973217391304346</v>
      </c>
      <c r="Z4597" s="2" t="s">
        <v>3226</v>
      </c>
      <c r="AA4597" s="2" t="s">
        <v>75</v>
      </c>
      <c r="AB4597" s="2" t="s">
        <v>76</v>
      </c>
      <c r="AC4597" s="2" t="s">
        <v>77</v>
      </c>
      <c r="AK4597" s="2">
        <f t="shared" si="845"/>
        <v>96.538399999999996</v>
      </c>
      <c r="AL4597" s="34">
        <f t="shared" si="839"/>
        <v>0.41973217391304346</v>
      </c>
    </row>
    <row r="4598" spans="1:38" x14ac:dyDescent="0.2">
      <c r="A4598" s="2">
        <v>2026</v>
      </c>
      <c r="B4598" s="2">
        <v>8</v>
      </c>
      <c r="C4598" s="2" t="s">
        <v>3508</v>
      </c>
      <c r="D4598" s="2" t="s">
        <v>3492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6"/>
        <v>0.34040000000000004</v>
      </c>
      <c r="V4598" s="2">
        <f t="shared" si="847"/>
        <v>1.8204</v>
      </c>
      <c r="W4598" s="2">
        <v>1.48</v>
      </c>
      <c r="X4598" s="18">
        <f t="shared" si="843"/>
        <v>0</v>
      </c>
      <c r="Z4598" s="2" t="s">
        <v>3226</v>
      </c>
      <c r="AA4598" s="2" t="s">
        <v>96</v>
      </c>
      <c r="AB4598" s="2" t="s">
        <v>76</v>
      </c>
      <c r="AC4598" s="2" t="s">
        <v>93</v>
      </c>
      <c r="AK4598" s="2">
        <f t="shared" si="845"/>
        <v>0</v>
      </c>
      <c r="AL4598" s="34">
        <f t="shared" si="839"/>
        <v>0</v>
      </c>
    </row>
    <row r="4599" spans="1:38" x14ac:dyDescent="0.2">
      <c r="A4599" s="2">
        <v>2026</v>
      </c>
      <c r="B4599" s="2">
        <v>8</v>
      </c>
      <c r="C4599" s="2" t="s">
        <v>3508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2582</v>
      </c>
      <c r="R4599" s="2" t="s">
        <v>2583</v>
      </c>
      <c r="S4599" s="13">
        <v>1</v>
      </c>
      <c r="T4599" s="14">
        <v>232.8</v>
      </c>
      <c r="U4599" s="2">
        <f t="shared" si="846"/>
        <v>53.544000000000004</v>
      </c>
      <c r="V4599" s="2">
        <f t="shared" si="847"/>
        <v>286.34399999999999</v>
      </c>
      <c r="W4599" s="2">
        <v>128.99</v>
      </c>
      <c r="X4599" s="18">
        <f t="shared" si="843"/>
        <v>0.44591924398625427</v>
      </c>
      <c r="Z4599" s="2" t="s">
        <v>3226</v>
      </c>
      <c r="AA4599" s="2" t="s">
        <v>75</v>
      </c>
      <c r="AB4599" s="2" t="s">
        <v>76</v>
      </c>
      <c r="AC4599" s="2" t="s">
        <v>1038</v>
      </c>
      <c r="AK4599" s="2">
        <f t="shared" si="845"/>
        <v>103.81</v>
      </c>
      <c r="AL4599" s="34">
        <f t="shared" si="839"/>
        <v>0.44591924398625427</v>
      </c>
    </row>
    <row r="4600" spans="1:38" x14ac:dyDescent="0.2">
      <c r="A4600" s="2">
        <v>2026</v>
      </c>
      <c r="B4600" s="2">
        <v>8</v>
      </c>
      <c r="C4600" s="2" t="s">
        <v>3508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6"/>
        <v>0.34040000000000004</v>
      </c>
      <c r="V4600" s="2">
        <f t="shared" si="847"/>
        <v>1.8204</v>
      </c>
      <c r="W4600" s="2">
        <v>1.48</v>
      </c>
      <c r="X4600" s="18">
        <f t="shared" si="843"/>
        <v>0</v>
      </c>
      <c r="Z4600" s="2" t="s">
        <v>3226</v>
      </c>
      <c r="AA4600" s="2" t="s">
        <v>96</v>
      </c>
      <c r="AB4600" s="2" t="s">
        <v>76</v>
      </c>
      <c r="AC4600" s="2" t="s">
        <v>93</v>
      </c>
      <c r="AK4600" s="2">
        <f t="shared" si="845"/>
        <v>0</v>
      </c>
      <c r="AL4600" s="34">
        <f t="shared" si="839"/>
        <v>0</v>
      </c>
    </row>
    <row r="4601" spans="1:38" x14ac:dyDescent="0.2">
      <c r="A4601" s="2">
        <v>2026</v>
      </c>
      <c r="B4601" s="2">
        <v>8</v>
      </c>
      <c r="C4601" s="2" t="s">
        <v>3508</v>
      </c>
      <c r="D4601" s="2" t="s">
        <v>2904</v>
      </c>
      <c r="E4601" s="2" t="s">
        <v>38</v>
      </c>
      <c r="F4601" s="2" t="s">
        <v>3443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6"/>
        <v>17.940000000000001</v>
      </c>
      <c r="V4601" s="2">
        <f t="shared" si="847"/>
        <v>95.94</v>
      </c>
      <c r="W4601" s="2">
        <f>T4601*50%</f>
        <v>39</v>
      </c>
      <c r="X4601" s="18">
        <f t="shared" si="843"/>
        <v>0.5</v>
      </c>
      <c r="Y4601" s="2" t="s">
        <v>3299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5"/>
        <v>39</v>
      </c>
      <c r="AL4601" s="34">
        <f t="shared" si="839"/>
        <v>0.5</v>
      </c>
    </row>
    <row r="4602" spans="1:38" x14ac:dyDescent="0.2">
      <c r="A4602" s="2">
        <v>2026</v>
      </c>
      <c r="B4602" s="2">
        <v>8</v>
      </c>
      <c r="C4602" s="2" t="s">
        <v>3508</v>
      </c>
      <c r="D4602" s="2" t="s">
        <v>1418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2411</v>
      </c>
      <c r="J4602" s="2" t="s">
        <v>2412</v>
      </c>
      <c r="L4602" s="2" t="s">
        <v>201</v>
      </c>
      <c r="M4602" s="2" t="s">
        <v>80</v>
      </c>
      <c r="P4602" s="2" t="s">
        <v>1038</v>
      </c>
      <c r="Q4602" s="2" t="s">
        <v>1569</v>
      </c>
      <c r="R4602" s="2" t="s">
        <v>1570</v>
      </c>
      <c r="S4602" s="13">
        <v>1</v>
      </c>
      <c r="T4602" s="14">
        <v>230</v>
      </c>
      <c r="U4602" s="2">
        <f t="shared" si="846"/>
        <v>52.900000000000006</v>
      </c>
      <c r="V4602" s="2">
        <f t="shared" si="847"/>
        <v>282.89999999999998</v>
      </c>
      <c r="W4602" s="2">
        <v>119.06</v>
      </c>
      <c r="X4602" s="18">
        <f t="shared" si="843"/>
        <v>0.48234782608695653</v>
      </c>
      <c r="Z4602" s="2" t="s">
        <v>3226</v>
      </c>
      <c r="AA4602" s="2" t="s">
        <v>75</v>
      </c>
      <c r="AB4602" s="2" t="s">
        <v>76</v>
      </c>
      <c r="AC4602" s="2" t="s">
        <v>1038</v>
      </c>
      <c r="AK4602" s="2">
        <f t="shared" si="845"/>
        <v>110.94</v>
      </c>
      <c r="AL4602" s="34">
        <f t="shared" si="839"/>
        <v>0.48234782608695653</v>
      </c>
    </row>
    <row r="4603" spans="1:38" x14ac:dyDescent="0.2">
      <c r="A4603" s="2">
        <v>2026</v>
      </c>
      <c r="B4603" s="2">
        <v>8</v>
      </c>
      <c r="C4603" s="2" t="s">
        <v>3508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6"/>
        <v>4.0250000000000004</v>
      </c>
      <c r="V4603" s="2">
        <f t="shared" si="847"/>
        <v>21.524999999999999</v>
      </c>
      <c r="W4603" s="2">
        <v>28</v>
      </c>
      <c r="X4603" s="18">
        <f t="shared" si="843"/>
        <v>-0.6</v>
      </c>
      <c r="Z4603" s="2" t="s">
        <v>169</v>
      </c>
      <c r="AA4603" s="2" t="s">
        <v>169</v>
      </c>
      <c r="AK4603" s="2">
        <f t="shared" si="845"/>
        <v>-10.5</v>
      </c>
      <c r="AL4603" s="34">
        <f t="shared" ref="AL4603:AL4609" si="848">(T4603-W4603)/T4603</f>
        <v>-0.6</v>
      </c>
    </row>
    <row r="4604" spans="1:38" x14ac:dyDescent="0.2">
      <c r="A4604" s="2">
        <v>2026</v>
      </c>
      <c r="B4604" s="2">
        <v>8</v>
      </c>
      <c r="C4604" s="2" t="s">
        <v>3508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6"/>
        <v>0.34040000000000004</v>
      </c>
      <c r="V4604" s="2">
        <f t="shared" si="847"/>
        <v>1.8204</v>
      </c>
      <c r="W4604" s="2">
        <v>1.48</v>
      </c>
      <c r="X4604" s="18">
        <f t="shared" si="843"/>
        <v>0</v>
      </c>
      <c r="Z4604" s="2" t="s">
        <v>3226</v>
      </c>
      <c r="AA4604" s="2" t="s">
        <v>96</v>
      </c>
      <c r="AB4604" s="2" t="s">
        <v>76</v>
      </c>
      <c r="AC4604" s="2" t="s">
        <v>93</v>
      </c>
      <c r="AK4604" s="2">
        <f t="shared" si="845"/>
        <v>0</v>
      </c>
      <c r="AL4604" s="5">
        <f t="shared" si="848"/>
        <v>0</v>
      </c>
    </row>
    <row r="4605" spans="1:38" x14ac:dyDescent="0.2">
      <c r="A4605" s="2">
        <v>2026</v>
      </c>
      <c r="B4605" s="2">
        <v>8</v>
      </c>
      <c r="C4605" s="2" t="s">
        <v>3508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6"/>
        <v>34.5</v>
      </c>
      <c r="V4605" s="2">
        <f t="shared" si="847"/>
        <v>184.5</v>
      </c>
      <c r="W4605" s="2">
        <f>10.6*S4605</f>
        <v>106</v>
      </c>
      <c r="X4605" s="18">
        <f t="shared" si="843"/>
        <v>0.29333333333333333</v>
      </c>
      <c r="Z4605" s="2" t="s">
        <v>3226</v>
      </c>
      <c r="AA4605" s="2" t="s">
        <v>46</v>
      </c>
      <c r="AB4605" s="2" t="s">
        <v>56</v>
      </c>
      <c r="AC4605" s="2" t="s">
        <v>57</v>
      </c>
      <c r="AK4605" s="2">
        <f t="shared" si="845"/>
        <v>44</v>
      </c>
      <c r="AL4605" s="5">
        <f t="shared" si="848"/>
        <v>0.29333333333333333</v>
      </c>
    </row>
    <row r="4606" spans="1:38" x14ac:dyDescent="0.2">
      <c r="A4606" s="2">
        <v>2026</v>
      </c>
      <c r="B4606" s="2">
        <v>8</v>
      </c>
      <c r="C4606" s="2" t="s">
        <v>3508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6"/>
        <v>34.5</v>
      </c>
      <c r="V4606" s="2">
        <f t="shared" si="847"/>
        <v>184.5</v>
      </c>
      <c r="W4606" s="2">
        <f>10.6*S4606</f>
        <v>106</v>
      </c>
      <c r="X4606" s="18">
        <f t="shared" si="843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45"/>
        <v>44</v>
      </c>
      <c r="AL4606" s="5">
        <f t="shared" si="848"/>
        <v>0.29333333333333333</v>
      </c>
    </row>
    <row r="4607" spans="1:38" x14ac:dyDescent="0.2">
      <c r="A4607" s="2">
        <v>2026</v>
      </c>
      <c r="B4607" s="2">
        <v>8</v>
      </c>
      <c r="C4607" s="2" t="s">
        <v>3508</v>
      </c>
      <c r="D4607" s="2" t="s">
        <v>1295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1296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6"/>
        <v>50.6</v>
      </c>
      <c r="V4607" s="2">
        <f t="shared" si="847"/>
        <v>270.60000000000002</v>
      </c>
      <c r="W4607" s="2">
        <f>112.39+12.01</f>
        <v>124.4</v>
      </c>
      <c r="X4607" s="18">
        <f t="shared" si="843"/>
        <v>0.43454545454545451</v>
      </c>
      <c r="Z4607" s="2" t="s">
        <v>3226</v>
      </c>
      <c r="AA4607" s="2" t="s">
        <v>75</v>
      </c>
      <c r="AB4607" s="2" t="s">
        <v>76</v>
      </c>
      <c r="AC4607" s="2" t="s">
        <v>77</v>
      </c>
      <c r="AK4607" s="2">
        <f t="shared" si="845"/>
        <v>95.6</v>
      </c>
      <c r="AL4607" s="5">
        <f t="shared" si="848"/>
        <v>0.43454545454545451</v>
      </c>
    </row>
    <row r="4608" spans="1:38" x14ac:dyDescent="0.2">
      <c r="A4608" s="2">
        <v>2026</v>
      </c>
      <c r="B4608" s="2">
        <v>8</v>
      </c>
      <c r="C4608" s="2" t="s">
        <v>3508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6"/>
        <v>8.0500000000000007</v>
      </c>
      <c r="V4608" s="2">
        <f t="shared" si="847"/>
        <v>43.05</v>
      </c>
      <c r="W4608" s="2">
        <v>0</v>
      </c>
      <c r="X4608" s="18">
        <f t="shared" si="843"/>
        <v>1</v>
      </c>
      <c r="Z4608" s="2" t="s">
        <v>169</v>
      </c>
      <c r="AA4608" s="2" t="s">
        <v>169</v>
      </c>
      <c r="AK4608" s="2">
        <f t="shared" si="845"/>
        <v>35</v>
      </c>
      <c r="AL4608" s="5">
        <f t="shared" si="848"/>
        <v>1</v>
      </c>
    </row>
    <row r="4609" spans="1:38" x14ac:dyDescent="0.2">
      <c r="A4609" s="2">
        <v>2026</v>
      </c>
      <c r="B4609" s="2">
        <v>8</v>
      </c>
      <c r="C4609" s="2" t="s">
        <v>3508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6"/>
        <v>0.34040000000000004</v>
      </c>
      <c r="V4609" s="2">
        <f t="shared" si="847"/>
        <v>1.8204</v>
      </c>
      <c r="W4609" s="2">
        <v>1.48</v>
      </c>
      <c r="X4609" s="18">
        <f t="shared" si="843"/>
        <v>0</v>
      </c>
      <c r="Z4609" s="2" t="s">
        <v>3226</v>
      </c>
      <c r="AA4609" s="2" t="s">
        <v>96</v>
      </c>
      <c r="AB4609" s="2" t="s">
        <v>76</v>
      </c>
      <c r="AC4609" s="2" t="s">
        <v>93</v>
      </c>
      <c r="AK4609" s="2">
        <f t="shared" si="845"/>
        <v>0</v>
      </c>
      <c r="AL4609" s="5">
        <f t="shared" si="848"/>
        <v>0</v>
      </c>
    </row>
    <row r="4610" spans="1:38" x14ac:dyDescent="0.2">
      <c r="A4610" s="2">
        <v>2026</v>
      </c>
      <c r="B4610" s="2">
        <v>8</v>
      </c>
      <c r="C4610" s="2" t="s">
        <v>3508</v>
      </c>
      <c r="D4610" s="35" t="s">
        <v>3514</v>
      </c>
      <c r="E4610" s="2" t="s">
        <v>38</v>
      </c>
      <c r="F4610" s="2" t="s">
        <v>39</v>
      </c>
      <c r="H4610" s="2" t="s">
        <v>40</v>
      </c>
      <c r="L4610" s="2" t="s">
        <v>3268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7"/>
        <v>17.712</v>
      </c>
      <c r="W4610" s="2">
        <f>0.826*S4610</f>
        <v>6.6079999999999997</v>
      </c>
      <c r="X4610" s="18">
        <f t="shared" si="843"/>
        <v>0.5411111111111111</v>
      </c>
      <c r="Z4610" s="2" t="s">
        <v>3226</v>
      </c>
      <c r="AA4610" s="2" t="s">
        <v>46</v>
      </c>
      <c r="AB4610" s="2" t="s">
        <v>60</v>
      </c>
      <c r="AC4610" s="2" t="s">
        <v>57</v>
      </c>
      <c r="AK4610" s="2">
        <f t="shared" ref="AK4610:AK4619" si="849">T4610-W4610</f>
        <v>7.7920000000000007</v>
      </c>
      <c r="AL4610" s="5">
        <f t="shared" ref="AL4610:AL4619" si="850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3508</v>
      </c>
      <c r="D4611" s="35" t="s">
        <v>3514</v>
      </c>
      <c r="E4611" s="2" t="s">
        <v>38</v>
      </c>
      <c r="F4611" s="2" t="s">
        <v>39</v>
      </c>
      <c r="H4611" s="2" t="s">
        <v>40</v>
      </c>
      <c r="L4611" s="2" t="s">
        <v>3268</v>
      </c>
      <c r="M4611" s="2" t="s">
        <v>80</v>
      </c>
      <c r="P4611" s="2" t="s">
        <v>1038</v>
      </c>
      <c r="Q4611" s="2" t="s">
        <v>2990</v>
      </c>
      <c r="R4611" s="2" t="s">
        <v>2991</v>
      </c>
      <c r="S4611" s="13">
        <v>1</v>
      </c>
      <c r="T4611" s="14">
        <v>275.8</v>
      </c>
      <c r="U4611" s="2">
        <f t="shared" ref="U4611:U4619" si="851">T4611*23%</f>
        <v>63.434000000000005</v>
      </c>
      <c r="V4611" s="2">
        <f t="shared" ref="V4611:V4620" si="852">T4611+U4611</f>
        <v>339.23400000000004</v>
      </c>
      <c r="W4611" s="2">
        <v>137.1</v>
      </c>
      <c r="X4611" s="18">
        <f t="shared" si="843"/>
        <v>0.50290065264684558</v>
      </c>
      <c r="Z4611" s="2" t="s">
        <v>3226</v>
      </c>
      <c r="AA4611" s="2" t="s">
        <v>75</v>
      </c>
      <c r="AB4611" s="2" t="s">
        <v>76</v>
      </c>
      <c r="AC4611" s="2" t="s">
        <v>1038</v>
      </c>
      <c r="AK4611" s="2">
        <f t="shared" si="849"/>
        <v>138.70000000000002</v>
      </c>
      <c r="AL4611" s="5">
        <f t="shared" si="850"/>
        <v>0.50290065264684558</v>
      </c>
    </row>
    <row r="4612" spans="1:38" x14ac:dyDescent="0.2">
      <c r="A4612" s="2">
        <v>2026</v>
      </c>
      <c r="B4612" s="2">
        <v>8</v>
      </c>
      <c r="C4612" s="2" t="s">
        <v>3508</v>
      </c>
      <c r="D4612" s="35" t="s">
        <v>3514</v>
      </c>
      <c r="E4612" s="2" t="s">
        <v>38</v>
      </c>
      <c r="F4612" s="2" t="s">
        <v>39</v>
      </c>
      <c r="H4612" s="2" t="s">
        <v>40</v>
      </c>
      <c r="L4612" s="2" t="s">
        <v>3268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1"/>
        <v>8.0500000000000007</v>
      </c>
      <c r="V4612" s="2">
        <f t="shared" si="852"/>
        <v>43.05</v>
      </c>
      <c r="W4612" s="2">
        <v>28</v>
      </c>
      <c r="X4612" s="18">
        <f t="shared" si="843"/>
        <v>0.2</v>
      </c>
      <c r="Z4612" s="2" t="s">
        <v>169</v>
      </c>
      <c r="AA4612" s="2" t="s">
        <v>169</v>
      </c>
      <c r="AK4612" s="2">
        <f t="shared" si="849"/>
        <v>7</v>
      </c>
      <c r="AL4612" s="5">
        <f t="shared" si="850"/>
        <v>0.2</v>
      </c>
    </row>
    <row r="4613" spans="1:38" x14ac:dyDescent="0.2">
      <c r="A4613" s="2">
        <v>2026</v>
      </c>
      <c r="B4613" s="2">
        <v>8</v>
      </c>
      <c r="C4613" s="2" t="s">
        <v>3508</v>
      </c>
      <c r="D4613" s="35" t="s">
        <v>3514</v>
      </c>
      <c r="E4613" s="2" t="s">
        <v>38</v>
      </c>
      <c r="F4613" s="2" t="s">
        <v>39</v>
      </c>
      <c r="H4613" s="2" t="s">
        <v>40</v>
      </c>
      <c r="L4613" s="2" t="s">
        <v>3268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1"/>
        <v>0.34040000000000004</v>
      </c>
      <c r="V4613" s="2">
        <f t="shared" si="852"/>
        <v>1.8204</v>
      </c>
      <c r="W4613" s="2">
        <v>1.48</v>
      </c>
      <c r="X4613" s="18">
        <f t="shared" si="843"/>
        <v>0</v>
      </c>
      <c r="Z4613" s="2" t="s">
        <v>3226</v>
      </c>
      <c r="AA4613" s="2" t="s">
        <v>96</v>
      </c>
      <c r="AB4613" s="2" t="s">
        <v>76</v>
      </c>
      <c r="AC4613" s="2" t="s">
        <v>93</v>
      </c>
      <c r="AK4613" s="2">
        <f t="shared" si="849"/>
        <v>0</v>
      </c>
      <c r="AL4613" s="5">
        <f t="shared" si="850"/>
        <v>0</v>
      </c>
    </row>
    <row r="4614" spans="1:38" x14ac:dyDescent="0.2">
      <c r="A4614" s="2">
        <v>2026</v>
      </c>
      <c r="B4614" s="2">
        <v>8</v>
      </c>
      <c r="C4614" s="2" t="s">
        <v>3508</v>
      </c>
      <c r="D4614" s="2" t="s">
        <v>2559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1"/>
        <v>52.900000000000006</v>
      </c>
      <c r="V4614" s="2">
        <f t="shared" si="852"/>
        <v>282.89999999999998</v>
      </c>
      <c r="W4614" s="2">
        <v>133.4616</v>
      </c>
      <c r="X4614" s="18">
        <f t="shared" si="843"/>
        <v>0.41973217391304346</v>
      </c>
      <c r="Z4614" s="2" t="s">
        <v>3226</v>
      </c>
      <c r="AA4614" s="2" t="s">
        <v>75</v>
      </c>
      <c r="AB4614" s="2" t="s">
        <v>76</v>
      </c>
      <c r="AC4614" s="2" t="s">
        <v>77</v>
      </c>
      <c r="AK4614" s="2">
        <f t="shared" si="849"/>
        <v>96.538399999999996</v>
      </c>
      <c r="AL4614" s="5">
        <f t="shared" si="850"/>
        <v>0.41973217391304346</v>
      </c>
    </row>
    <row r="4615" spans="1:38" x14ac:dyDescent="0.2">
      <c r="A4615" s="2">
        <v>2026</v>
      </c>
      <c r="B4615" s="2">
        <v>8</v>
      </c>
      <c r="C4615" s="2" t="s">
        <v>3508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1"/>
        <v>0.34040000000000004</v>
      </c>
      <c r="V4615" s="2">
        <f t="shared" si="852"/>
        <v>1.8204</v>
      </c>
      <c r="W4615" s="2">
        <v>1.48</v>
      </c>
      <c r="X4615" s="18">
        <f t="shared" si="843"/>
        <v>0</v>
      </c>
      <c r="Z4615" s="2" t="s">
        <v>3226</v>
      </c>
      <c r="AA4615" s="2" t="s">
        <v>96</v>
      </c>
      <c r="AB4615" s="2" t="s">
        <v>76</v>
      </c>
      <c r="AC4615" s="2" t="s">
        <v>93</v>
      </c>
      <c r="AK4615" s="2">
        <f t="shared" si="849"/>
        <v>0</v>
      </c>
      <c r="AL4615" s="5">
        <f t="shared" si="850"/>
        <v>0</v>
      </c>
    </row>
    <row r="4616" spans="1:38" x14ac:dyDescent="0.2">
      <c r="A4616" s="2">
        <v>2026</v>
      </c>
      <c r="B4616" s="2">
        <v>8</v>
      </c>
      <c r="C4616" s="2" t="s">
        <v>3508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2486</v>
      </c>
      <c r="R4616" s="2" t="s">
        <v>2487</v>
      </c>
      <c r="S4616" s="13">
        <v>-1</v>
      </c>
      <c r="T4616" s="14">
        <v>-225.71</v>
      </c>
      <c r="U4616" s="2">
        <f t="shared" si="851"/>
        <v>-51.913300000000007</v>
      </c>
      <c r="V4616" s="2">
        <f t="shared" si="852"/>
        <v>-277.62330000000003</v>
      </c>
      <c r="W4616" s="2">
        <v>102.88249999999999</v>
      </c>
      <c r="X4616" s="18">
        <f t="shared" si="843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9"/>
        <v>-328.59249999999997</v>
      </c>
      <c r="AL4616" s="18">
        <f t="shared" ref="AL4616" si="853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3508</v>
      </c>
      <c r="D4617" s="2" t="s">
        <v>1438</v>
      </c>
      <c r="E4617" s="2" t="s">
        <v>3417</v>
      </c>
      <c r="F4617" s="2" t="s">
        <v>3418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1"/>
        <v>19.271700000000003</v>
      </c>
      <c r="V4617" s="2">
        <f t="shared" si="852"/>
        <v>103.0617</v>
      </c>
      <c r="W4617" s="2">
        <v>40.357500000000002</v>
      </c>
      <c r="X4617" s="18">
        <f t="shared" si="843"/>
        <v>0.51834944504117442</v>
      </c>
      <c r="Y4617" s="2" t="s">
        <v>2540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9"/>
        <v>43.432500000000005</v>
      </c>
      <c r="AL4617" s="5">
        <f t="shared" si="850"/>
        <v>0.51834944504117442</v>
      </c>
    </row>
    <row r="4618" spans="1:38" x14ac:dyDescent="0.2">
      <c r="A4618" s="2">
        <v>2026</v>
      </c>
      <c r="B4618" s="2">
        <v>8</v>
      </c>
      <c r="C4618" s="2" t="s">
        <v>3508</v>
      </c>
      <c r="D4618" s="2" t="s">
        <v>1438</v>
      </c>
      <c r="E4618" s="2" t="s">
        <v>3417</v>
      </c>
      <c r="F4618" s="2" t="s">
        <v>3418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1"/>
        <v>40.71</v>
      </c>
      <c r="V4618" s="2">
        <f t="shared" si="852"/>
        <v>217.71</v>
      </c>
      <c r="W4618" s="2">
        <f>T4618*40%</f>
        <v>70.8</v>
      </c>
      <c r="X4618" s="18">
        <f t="shared" si="843"/>
        <v>0.6</v>
      </c>
      <c r="Y4618" s="2" t="s">
        <v>2540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9"/>
        <v>106.2</v>
      </c>
      <c r="AL4618" s="5">
        <f t="shared" si="850"/>
        <v>0.6</v>
      </c>
    </row>
    <row r="4619" spans="1:38" x14ac:dyDescent="0.2">
      <c r="A4619" s="2">
        <v>2026</v>
      </c>
      <c r="B4619" s="2">
        <v>8</v>
      </c>
      <c r="C4619" s="2" t="s">
        <v>3508</v>
      </c>
      <c r="D4619" s="2" t="s">
        <v>1438</v>
      </c>
      <c r="E4619" s="2" t="s">
        <v>3417</v>
      </c>
      <c r="F4619" s="2" t="s">
        <v>3418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1"/>
        <v>25.3</v>
      </c>
      <c r="V4619" s="2">
        <f t="shared" si="852"/>
        <v>135.30000000000001</v>
      </c>
      <c r="W4619" s="2">
        <f>T4619*50%</f>
        <v>55</v>
      </c>
      <c r="X4619" s="18">
        <f t="shared" si="843"/>
        <v>0.5</v>
      </c>
      <c r="Y4619" s="2" t="s">
        <v>2540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9"/>
        <v>55</v>
      </c>
      <c r="AL4619" s="5">
        <f t="shared" si="850"/>
        <v>0.5</v>
      </c>
    </row>
    <row r="4620" spans="1:38" x14ac:dyDescent="0.2">
      <c r="A4620" s="2">
        <v>2026</v>
      </c>
      <c r="B4620" s="2">
        <v>8</v>
      </c>
      <c r="C4620" s="2" t="s">
        <v>3508</v>
      </c>
      <c r="D4620" s="35" t="s">
        <v>3514</v>
      </c>
      <c r="E4620" s="2" t="s">
        <v>38</v>
      </c>
      <c r="F4620" s="2" t="s">
        <v>39</v>
      </c>
      <c r="H4620" s="2" t="s">
        <v>40</v>
      </c>
      <c r="L4620" s="2" t="s">
        <v>3268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2"/>
        <v>24.6</v>
      </c>
      <c r="W4620" s="2">
        <v>14.5099</v>
      </c>
      <c r="X4620" s="18">
        <f t="shared" si="843"/>
        <v>0.274505</v>
      </c>
      <c r="Z4620" s="2" t="s">
        <v>3226</v>
      </c>
      <c r="AA4620" s="2" t="s">
        <v>46</v>
      </c>
      <c r="AB4620" s="2" t="s">
        <v>60</v>
      </c>
      <c r="AC4620" s="2" t="s">
        <v>3330</v>
      </c>
      <c r="AK4620" s="2">
        <f t="shared" ref="AK4620:AK4640" si="854">T4620-W4620</f>
        <v>5.4901</v>
      </c>
      <c r="AL4620" s="5">
        <f t="shared" ref="AL4620:AL4640" si="855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3508</v>
      </c>
      <c r="D4621" s="35" t="s">
        <v>3514</v>
      </c>
      <c r="E4621" s="2" t="s">
        <v>38</v>
      </c>
      <c r="F4621" s="2" t="s">
        <v>39</v>
      </c>
      <c r="H4621" s="2" t="s">
        <v>40</v>
      </c>
      <c r="L4621" s="2" t="s">
        <v>3268</v>
      </c>
      <c r="M4621" s="2" t="s">
        <v>80</v>
      </c>
      <c r="P4621" s="2" t="s">
        <v>43</v>
      </c>
      <c r="Q4621" s="2" t="s">
        <v>3520</v>
      </c>
      <c r="R4621" s="2" t="s">
        <v>3521</v>
      </c>
      <c r="S4621" s="13">
        <v>1</v>
      </c>
      <c r="T4621" s="14">
        <v>12.5</v>
      </c>
      <c r="U4621" s="2">
        <f t="shared" ref="U4621:U4638" si="856">T4621*23%</f>
        <v>2.875</v>
      </c>
      <c r="V4621" s="2">
        <f t="shared" ref="V4621:V4638" si="857">T4621+U4621</f>
        <v>15.375</v>
      </c>
      <c r="W4621" s="2">
        <v>9.5</v>
      </c>
      <c r="X4621" s="18">
        <f t="shared" si="843"/>
        <v>0.24</v>
      </c>
      <c r="Z4621" s="2" t="s">
        <v>3226</v>
      </c>
      <c r="AA4621" s="2" t="s">
        <v>46</v>
      </c>
      <c r="AB4621" s="2" t="s">
        <v>90</v>
      </c>
      <c r="AC4621" s="2" t="s">
        <v>57</v>
      </c>
      <c r="AK4621" s="2">
        <f t="shared" si="854"/>
        <v>3</v>
      </c>
      <c r="AL4621" s="5">
        <f t="shared" si="855"/>
        <v>0.24</v>
      </c>
    </row>
    <row r="4622" spans="1:38" x14ac:dyDescent="0.2">
      <c r="A4622" s="2">
        <v>2026</v>
      </c>
      <c r="B4622" s="2">
        <v>8</v>
      </c>
      <c r="C4622" s="2" t="s">
        <v>3508</v>
      </c>
      <c r="D4622" s="35" t="s">
        <v>3514</v>
      </c>
      <c r="E4622" s="2" t="s">
        <v>38</v>
      </c>
      <c r="F4622" s="2" t="s">
        <v>39</v>
      </c>
      <c r="H4622" s="2" t="s">
        <v>40</v>
      </c>
      <c r="L4622" s="2" t="s">
        <v>3268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6"/>
        <v>0.82800000000000007</v>
      </c>
      <c r="V4622" s="2">
        <f t="shared" si="857"/>
        <v>4.4279999999999999</v>
      </c>
      <c r="W4622" s="2">
        <f>0.826*S4622</f>
        <v>1.6519999999999999</v>
      </c>
      <c r="X4622" s="18">
        <f t="shared" si="843"/>
        <v>0.5411111111111111</v>
      </c>
      <c r="Z4622" s="2" t="s">
        <v>3226</v>
      </c>
      <c r="AA4622" s="2" t="s">
        <v>46</v>
      </c>
      <c r="AB4622" s="2" t="s">
        <v>60</v>
      </c>
      <c r="AC4622" s="2" t="s">
        <v>57</v>
      </c>
      <c r="AK4622" s="2">
        <f t="shared" si="854"/>
        <v>1.9480000000000002</v>
      </c>
      <c r="AL4622" s="5">
        <f t="shared" si="855"/>
        <v>0.5411111111111111</v>
      </c>
    </row>
    <row r="4623" spans="1:38" x14ac:dyDescent="0.2">
      <c r="A4623" s="2">
        <v>2026</v>
      </c>
      <c r="B4623" s="2">
        <v>8</v>
      </c>
      <c r="C4623" s="2" t="s">
        <v>3508</v>
      </c>
      <c r="D4623" s="35" t="s">
        <v>3514</v>
      </c>
      <c r="E4623" s="2" t="s">
        <v>38</v>
      </c>
      <c r="F4623" s="2" t="s">
        <v>39</v>
      </c>
      <c r="H4623" s="2" t="s">
        <v>40</v>
      </c>
      <c r="L4623" s="2" t="s">
        <v>3268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6"/>
        <v>2.875</v>
      </c>
      <c r="V4623" s="2">
        <f t="shared" si="857"/>
        <v>15.375</v>
      </c>
      <c r="W4623" s="2">
        <v>8.3146000000000004</v>
      </c>
      <c r="X4623" s="18">
        <f t="shared" si="843"/>
        <v>0.33483199999999996</v>
      </c>
      <c r="Z4623" s="2" t="s">
        <v>3226</v>
      </c>
      <c r="AA4623" s="2" t="s">
        <v>46</v>
      </c>
      <c r="AB4623" s="2" t="s">
        <v>67</v>
      </c>
      <c r="AC4623" s="2" t="s">
        <v>57</v>
      </c>
      <c r="AK4623" s="2">
        <f t="shared" si="854"/>
        <v>4.1853999999999996</v>
      </c>
      <c r="AL4623" s="5">
        <f t="shared" si="855"/>
        <v>0.33483199999999996</v>
      </c>
    </row>
    <row r="4624" spans="1:38" x14ac:dyDescent="0.2">
      <c r="A4624" s="2">
        <v>2026</v>
      </c>
      <c r="B4624" s="2">
        <v>8</v>
      </c>
      <c r="C4624" s="2" t="s">
        <v>3508</v>
      </c>
      <c r="D4624" s="35" t="s">
        <v>3514</v>
      </c>
      <c r="E4624" s="2" t="s">
        <v>38</v>
      </c>
      <c r="F4624" s="2" t="s">
        <v>39</v>
      </c>
      <c r="H4624" s="2" t="s">
        <v>40</v>
      </c>
      <c r="L4624" s="2" t="s">
        <v>3268</v>
      </c>
      <c r="M4624" s="2" t="s">
        <v>80</v>
      </c>
      <c r="P4624" s="2" t="s">
        <v>166</v>
      </c>
      <c r="Q4624" s="2" t="s">
        <v>3522</v>
      </c>
      <c r="R4624" s="2" t="s">
        <v>3523</v>
      </c>
      <c r="S4624" s="13">
        <v>6</v>
      </c>
      <c r="T4624" s="14">
        <v>5.4</v>
      </c>
      <c r="U4624" s="2">
        <f t="shared" si="856"/>
        <v>1.2420000000000002</v>
      </c>
      <c r="V4624" s="2">
        <f t="shared" si="857"/>
        <v>6.6420000000000003</v>
      </c>
      <c r="W4624" s="2">
        <f>0.78*S4624</f>
        <v>4.68</v>
      </c>
      <c r="X4624" s="18">
        <f t="shared" si="843"/>
        <v>0.13333333333333344</v>
      </c>
      <c r="Z4624" s="2" t="s">
        <v>3226</v>
      </c>
      <c r="AA4624" s="2" t="s">
        <v>46</v>
      </c>
      <c r="AB4624" s="2" t="s">
        <v>60</v>
      </c>
      <c r="AC4624" s="2" t="s">
        <v>166</v>
      </c>
      <c r="AK4624" s="2">
        <f t="shared" si="854"/>
        <v>0.72000000000000064</v>
      </c>
      <c r="AL4624" s="5">
        <f t="shared" si="855"/>
        <v>0.13333333333333344</v>
      </c>
    </row>
    <row r="4625" spans="1:38" x14ac:dyDescent="0.2">
      <c r="A4625" s="2">
        <v>2026</v>
      </c>
      <c r="B4625" s="2">
        <v>8</v>
      </c>
      <c r="C4625" s="2" t="s">
        <v>3508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6"/>
        <v>20.010000000000002</v>
      </c>
      <c r="V4625" s="2">
        <f t="shared" si="857"/>
        <v>107.01</v>
      </c>
      <c r="W4625" s="2">
        <f>T4625*40%</f>
        <v>34.800000000000004</v>
      </c>
      <c r="X4625" s="18">
        <f t="shared" si="843"/>
        <v>0.6</v>
      </c>
      <c r="Y4625" s="2" t="s">
        <v>2540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4"/>
        <v>52.199999999999996</v>
      </c>
      <c r="AL4625" s="5">
        <f t="shared" si="855"/>
        <v>0.6</v>
      </c>
    </row>
    <row r="4626" spans="1:38" x14ac:dyDescent="0.2">
      <c r="A4626" s="2">
        <v>2026</v>
      </c>
      <c r="B4626" s="2">
        <v>8</v>
      </c>
      <c r="C4626" s="2" t="s">
        <v>3508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6"/>
        <v>22.137499999999999</v>
      </c>
      <c r="V4626" s="2">
        <f t="shared" si="857"/>
        <v>118.3875</v>
      </c>
      <c r="W4626" s="2">
        <f>T4626*50%</f>
        <v>48.125</v>
      </c>
      <c r="X4626" s="18">
        <f t="shared" si="843"/>
        <v>0.5</v>
      </c>
      <c r="Y4626" s="2" t="s">
        <v>2540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4"/>
        <v>48.125</v>
      </c>
      <c r="AL4626" s="5">
        <f t="shared" si="855"/>
        <v>0.5</v>
      </c>
    </row>
    <row r="4627" spans="1:38" x14ac:dyDescent="0.2">
      <c r="A4627" s="2">
        <v>2026</v>
      </c>
      <c r="B4627" s="2">
        <v>8</v>
      </c>
      <c r="C4627" s="2" t="s">
        <v>3508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6"/>
        <v>46</v>
      </c>
      <c r="V4627" s="2">
        <f t="shared" si="857"/>
        <v>246</v>
      </c>
      <c r="W4627" s="2">
        <v>111.98</v>
      </c>
      <c r="X4627" s="18">
        <f t="shared" si="843"/>
        <v>0.44009999999999999</v>
      </c>
      <c r="Z4627" s="2" t="s">
        <v>3226</v>
      </c>
      <c r="AA4627" s="2" t="s">
        <v>75</v>
      </c>
      <c r="AB4627" s="2" t="s">
        <v>76</v>
      </c>
      <c r="AC4627" s="2" t="s">
        <v>77</v>
      </c>
      <c r="AK4627" s="2">
        <f t="shared" si="854"/>
        <v>88.02</v>
      </c>
      <c r="AL4627" s="5">
        <f t="shared" si="855"/>
        <v>0.44009999999999999</v>
      </c>
    </row>
    <row r="4628" spans="1:38" x14ac:dyDescent="0.2">
      <c r="A4628" s="2">
        <v>2026</v>
      </c>
      <c r="B4628" s="2">
        <v>8</v>
      </c>
      <c r="C4628" s="2" t="s">
        <v>3508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6"/>
        <v>0.34040000000000004</v>
      </c>
      <c r="V4628" s="2">
        <f t="shared" si="857"/>
        <v>1.8204</v>
      </c>
      <c r="W4628" s="2">
        <v>1.48</v>
      </c>
      <c r="X4628" s="18">
        <f t="shared" si="843"/>
        <v>0</v>
      </c>
      <c r="Z4628" s="2" t="s">
        <v>3226</v>
      </c>
      <c r="AA4628" s="2" t="s">
        <v>96</v>
      </c>
      <c r="AB4628" s="2" t="s">
        <v>76</v>
      </c>
      <c r="AC4628" s="2" t="s">
        <v>93</v>
      </c>
      <c r="AK4628" s="2">
        <f t="shared" si="854"/>
        <v>0</v>
      </c>
      <c r="AL4628" s="5">
        <f t="shared" si="855"/>
        <v>0</v>
      </c>
    </row>
    <row r="4629" spans="1:38" x14ac:dyDescent="0.2">
      <c r="A4629" s="2">
        <v>2026</v>
      </c>
      <c r="B4629" s="2">
        <v>8</v>
      </c>
      <c r="C4629" s="2" t="s">
        <v>3508</v>
      </c>
      <c r="D4629" s="2" t="s">
        <v>1785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3524</v>
      </c>
      <c r="R4629" s="2" t="s">
        <v>3525</v>
      </c>
      <c r="S4629" s="8">
        <v>1</v>
      </c>
      <c r="T4629" s="14">
        <v>918</v>
      </c>
      <c r="U4629" s="2">
        <f t="shared" si="856"/>
        <v>211.14000000000001</v>
      </c>
      <c r="V4629" s="2">
        <f t="shared" si="857"/>
        <v>1129.1400000000001</v>
      </c>
      <c r="W4629" s="2">
        <v>674.24</v>
      </c>
      <c r="X4629" s="18">
        <f t="shared" si="843"/>
        <v>0.26553376906318082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4"/>
        <v>243.76</v>
      </c>
      <c r="AL4629" s="5">
        <f t="shared" si="855"/>
        <v>0.26553376906318082</v>
      </c>
    </row>
    <row r="4630" spans="1:38" x14ac:dyDescent="0.2">
      <c r="A4630" s="2">
        <v>2026</v>
      </c>
      <c r="B4630" s="2">
        <v>8</v>
      </c>
      <c r="C4630" s="2" t="s">
        <v>3508</v>
      </c>
      <c r="D4630" s="2" t="s">
        <v>1575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2519</v>
      </c>
      <c r="J4630" s="2" t="s">
        <v>2520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6"/>
        <v>77.740000000000009</v>
      </c>
      <c r="V4630" s="2">
        <f t="shared" si="857"/>
        <v>415.74</v>
      </c>
      <c r="W4630" s="2">
        <f>T4630*40%</f>
        <v>135.20000000000002</v>
      </c>
      <c r="X4630" s="18">
        <f t="shared" si="843"/>
        <v>0.6</v>
      </c>
      <c r="Y4630" s="2" t="s">
        <v>3491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4"/>
        <v>202.79999999999998</v>
      </c>
      <c r="AL4630" s="5">
        <f t="shared" si="855"/>
        <v>0.6</v>
      </c>
    </row>
    <row r="4631" spans="1:38" x14ac:dyDescent="0.2">
      <c r="A4631" s="2">
        <v>2026</v>
      </c>
      <c r="B4631" s="2">
        <v>8</v>
      </c>
      <c r="C4631" s="2" t="s">
        <v>3508</v>
      </c>
      <c r="D4631" s="2" t="s">
        <v>1575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2519</v>
      </c>
      <c r="J4631" s="2" t="s">
        <v>2520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6"/>
        <v>44.274999999999999</v>
      </c>
      <c r="V4631" s="2">
        <f t="shared" si="857"/>
        <v>236.77500000000001</v>
      </c>
      <c r="W4631" s="2">
        <f>T4631*50%</f>
        <v>96.25</v>
      </c>
      <c r="X4631" s="18">
        <f t="shared" si="843"/>
        <v>0.5</v>
      </c>
      <c r="Y4631" s="2" t="s">
        <v>3491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4"/>
        <v>96.25</v>
      </c>
      <c r="AL4631" s="5">
        <f t="shared" si="855"/>
        <v>0.5</v>
      </c>
    </row>
    <row r="4632" spans="1:38" x14ac:dyDescent="0.2">
      <c r="A4632" s="2">
        <v>2026</v>
      </c>
      <c r="B4632" s="2">
        <v>8</v>
      </c>
      <c r="C4632" s="2" t="s">
        <v>3508</v>
      </c>
      <c r="D4632" s="2" t="s">
        <v>1575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2519</v>
      </c>
      <c r="J4632" s="2" t="s">
        <v>2520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6"/>
        <v>11.891000000000002</v>
      </c>
      <c r="V4632" s="2">
        <f t="shared" si="857"/>
        <v>63.591000000000008</v>
      </c>
      <c r="X4632" s="18">
        <f t="shared" si="843"/>
        <v>1</v>
      </c>
      <c r="Y4632" s="2" t="s">
        <v>3491</v>
      </c>
      <c r="Z4632" s="2" t="s">
        <v>117</v>
      </c>
      <c r="AA4632" s="2" t="s">
        <v>118</v>
      </c>
      <c r="AB4632" s="2" t="s">
        <v>119</v>
      </c>
      <c r="AC4632" s="2" t="s">
        <v>3527</v>
      </c>
      <c r="AK4632" s="2">
        <f t="shared" si="854"/>
        <v>51.7</v>
      </c>
      <c r="AL4632" s="5">
        <f t="shared" si="855"/>
        <v>1</v>
      </c>
    </row>
    <row r="4633" spans="1:38" x14ac:dyDescent="0.2">
      <c r="A4633" s="2">
        <v>2026</v>
      </c>
      <c r="B4633" s="2">
        <v>8</v>
      </c>
      <c r="C4633" s="2" t="s">
        <v>3508</v>
      </c>
      <c r="D4633" s="2" t="s">
        <v>3526</v>
      </c>
      <c r="E4633" s="2" t="s">
        <v>38</v>
      </c>
      <c r="F4633" s="2" t="s">
        <v>3528</v>
      </c>
      <c r="L4633" s="2" t="s">
        <v>344</v>
      </c>
      <c r="M4633" s="2" t="s">
        <v>40</v>
      </c>
      <c r="P4633" s="2" t="s">
        <v>3229</v>
      </c>
      <c r="Q4633" s="2" t="s">
        <v>1786</v>
      </c>
      <c r="R4633" s="2" t="s">
        <v>1787</v>
      </c>
      <c r="S4633" s="13">
        <v>1</v>
      </c>
      <c r="T4633" s="14">
        <v>1827.5</v>
      </c>
      <c r="U4633" s="2">
        <f t="shared" si="856"/>
        <v>420.32500000000005</v>
      </c>
      <c r="V4633" s="2">
        <f t="shared" si="857"/>
        <v>2247.8249999999998</v>
      </c>
      <c r="W4633" s="2">
        <v>1036.96</v>
      </c>
      <c r="X4633" s="18">
        <f t="shared" si="843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3229</v>
      </c>
      <c r="AK4633" s="2">
        <f t="shared" si="854"/>
        <v>790.54</v>
      </c>
      <c r="AL4633" s="5">
        <f t="shared" si="855"/>
        <v>0.43258002735978113</v>
      </c>
    </row>
    <row r="4634" spans="1:38" x14ac:dyDescent="0.2">
      <c r="A4634" s="2">
        <v>2026</v>
      </c>
      <c r="B4634" s="2">
        <v>8</v>
      </c>
      <c r="C4634" s="2" t="s">
        <v>3508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6"/>
        <v>-43.221600000000002</v>
      </c>
      <c r="V4634" s="2">
        <f t="shared" si="857"/>
        <v>-231.14159999999998</v>
      </c>
      <c r="W4634" s="2">
        <v>93.83</v>
      </c>
      <c r="X4634" s="18">
        <f t="shared" si="843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4"/>
        <v>-281.75</v>
      </c>
      <c r="AL4634" s="5">
        <f t="shared" si="855"/>
        <v>1.4993082162622393</v>
      </c>
    </row>
    <row r="4635" spans="1:38" x14ac:dyDescent="0.2">
      <c r="A4635" s="2">
        <v>2026</v>
      </c>
      <c r="B4635" s="2">
        <v>8</v>
      </c>
      <c r="C4635" s="2" t="s">
        <v>3508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2984</v>
      </c>
      <c r="S4635" s="13">
        <v>-1</v>
      </c>
      <c r="T4635" s="14">
        <v>-28.38</v>
      </c>
      <c r="U4635" s="2">
        <f t="shared" si="856"/>
        <v>-6.5274000000000001</v>
      </c>
      <c r="V4635" s="2">
        <f t="shared" si="857"/>
        <v>-34.907399999999996</v>
      </c>
      <c r="W4635" s="2">
        <v>13.715</v>
      </c>
      <c r="X4635" s="18">
        <f t="shared" si="843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4"/>
        <v>-42.094999999999999</v>
      </c>
      <c r="AL4635" s="5">
        <f t="shared" si="855"/>
        <v>1.483262861169838</v>
      </c>
    </row>
    <row r="4636" spans="1:38" x14ac:dyDescent="0.2">
      <c r="A4636" s="2">
        <v>2026</v>
      </c>
      <c r="B4636" s="2">
        <v>8</v>
      </c>
      <c r="C4636" s="2" t="s">
        <v>3508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6"/>
        <v>-21.62</v>
      </c>
      <c r="V4636" s="2">
        <f t="shared" si="857"/>
        <v>-115.62</v>
      </c>
      <c r="W4636" s="2">
        <f>94*40%</f>
        <v>37.6</v>
      </c>
      <c r="X4636" s="18">
        <f t="shared" si="843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4"/>
        <v>-131.6</v>
      </c>
      <c r="AL4636" s="5">
        <f t="shared" si="855"/>
        <v>1.4</v>
      </c>
    </row>
    <row r="4637" spans="1:38" x14ac:dyDescent="0.2">
      <c r="A4637" s="2">
        <v>2026</v>
      </c>
      <c r="B4637" s="2">
        <v>8</v>
      </c>
      <c r="C4637" s="2" t="s">
        <v>3508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6"/>
        <v>-12.65</v>
      </c>
      <c r="V4637" s="2">
        <f t="shared" si="857"/>
        <v>-67.650000000000006</v>
      </c>
      <c r="W4637" s="2">
        <f>55*50%</f>
        <v>27.5</v>
      </c>
      <c r="X4637" s="18">
        <f t="shared" si="843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4"/>
        <v>-82.5</v>
      </c>
      <c r="AL4637" s="5">
        <f t="shared" si="855"/>
        <v>1.5</v>
      </c>
    </row>
    <row r="4638" spans="1:38" x14ac:dyDescent="0.2">
      <c r="A4638" s="2">
        <v>2026</v>
      </c>
      <c r="B4638" s="2">
        <v>8</v>
      </c>
      <c r="C4638" s="2" t="s">
        <v>3508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6"/>
        <v>-20.125</v>
      </c>
      <c r="V4638" s="2">
        <f t="shared" si="857"/>
        <v>-107.625</v>
      </c>
      <c r="W4638" s="2">
        <v>61.25</v>
      </c>
      <c r="X4638" s="18">
        <f t="shared" si="843"/>
        <v>-0.3</v>
      </c>
      <c r="Z4638" s="2" t="s">
        <v>119</v>
      </c>
      <c r="AA4638" s="2" t="s">
        <v>3378</v>
      </c>
      <c r="AK4638" s="2">
        <f t="shared" si="854"/>
        <v>-148.75</v>
      </c>
      <c r="AL4638" s="5">
        <f t="shared" si="855"/>
        <v>1.7</v>
      </c>
    </row>
    <row r="4639" spans="1:38" x14ac:dyDescent="0.2">
      <c r="A4639" s="2">
        <v>2026</v>
      </c>
      <c r="B4639" s="2">
        <v>1</v>
      </c>
      <c r="C4639" s="2" t="s">
        <v>3325</v>
      </c>
      <c r="D4639" s="2" t="s">
        <v>143</v>
      </c>
      <c r="E4639" s="2" t="s">
        <v>183</v>
      </c>
      <c r="F4639" s="2" t="s">
        <v>366</v>
      </c>
      <c r="L4639" s="2" t="s">
        <v>398</v>
      </c>
      <c r="M4639" s="2" t="s">
        <v>80</v>
      </c>
      <c r="P4639" s="2" t="s">
        <v>72</v>
      </c>
      <c r="Q4639" s="2" t="s">
        <v>73</v>
      </c>
      <c r="R4639" s="2" t="s">
        <v>74</v>
      </c>
      <c r="S4639" s="2">
        <v>1</v>
      </c>
      <c r="T4639" s="2">
        <v>220</v>
      </c>
      <c r="U4639" s="2">
        <f>T4639*23%</f>
        <v>50.6</v>
      </c>
      <c r="V4639" s="2">
        <f>T4639+U4639</f>
        <v>270.60000000000002</v>
      </c>
      <c r="W4639" s="2">
        <v>133</v>
      </c>
      <c r="X4639" s="18">
        <f t="shared" si="843"/>
        <v>0.39545454545454545</v>
      </c>
      <c r="Z4639" s="2" t="s">
        <v>3226</v>
      </c>
      <c r="AA4639" s="2" t="s">
        <v>75</v>
      </c>
      <c r="AB4639" s="2" t="s">
        <v>76</v>
      </c>
      <c r="AC4639" s="2" t="s">
        <v>77</v>
      </c>
      <c r="AK4639" s="2">
        <f t="shared" si="854"/>
        <v>87</v>
      </c>
      <c r="AL4639" s="5">
        <f t="shared" si="855"/>
        <v>0.39545454545454545</v>
      </c>
    </row>
    <row r="4640" spans="1:38" x14ac:dyDescent="0.2">
      <c r="A4640" s="2">
        <v>2026</v>
      </c>
      <c r="B4640" s="2">
        <v>1</v>
      </c>
      <c r="C4640" s="2" t="s">
        <v>3325</v>
      </c>
      <c r="D4640" s="2" t="s">
        <v>143</v>
      </c>
      <c r="E4640" s="2" t="s">
        <v>183</v>
      </c>
      <c r="F4640" s="2" t="s">
        <v>366</v>
      </c>
      <c r="L4640" s="2" t="s">
        <v>398</v>
      </c>
      <c r="M4640" s="2" t="s">
        <v>80</v>
      </c>
      <c r="P4640" s="2" t="s">
        <v>93</v>
      </c>
      <c r="Q4640" s="2" t="s">
        <v>94</v>
      </c>
      <c r="R4640" s="2" t="s">
        <v>95</v>
      </c>
      <c r="S4640" s="2">
        <v>1</v>
      </c>
      <c r="T4640" s="2">
        <v>1.48</v>
      </c>
      <c r="U4640" s="2">
        <f>T4640*23%</f>
        <v>0.34040000000000004</v>
      </c>
      <c r="V4640" s="2">
        <f>T4640+U4640</f>
        <v>1.8204</v>
      </c>
      <c r="W4640" s="2">
        <v>1.48</v>
      </c>
      <c r="X4640" s="18">
        <f t="shared" si="843"/>
        <v>0</v>
      </c>
      <c r="Z4640" s="2" t="s">
        <v>3226</v>
      </c>
      <c r="AA4640" s="2" t="s">
        <v>96</v>
      </c>
      <c r="AB4640" s="2" t="s">
        <v>76</v>
      </c>
      <c r="AC4640" s="2" t="s">
        <v>93</v>
      </c>
      <c r="AK4640" s="2">
        <f t="shared" si="854"/>
        <v>0</v>
      </c>
      <c r="AL4640" s="5">
        <f t="shared" si="855"/>
        <v>0</v>
      </c>
    </row>
    <row r="4641" spans="1:38" x14ac:dyDescent="0.2">
      <c r="A4641" s="2">
        <v>2026</v>
      </c>
      <c r="B4641" s="2">
        <v>8</v>
      </c>
      <c r="C4641" s="2" t="s">
        <v>3508</v>
      </c>
      <c r="D4641" s="2" t="s">
        <v>311</v>
      </c>
      <c r="E4641" s="2" t="s">
        <v>2446</v>
      </c>
      <c r="F4641" s="2" t="s">
        <v>39</v>
      </c>
      <c r="G4641" s="2">
        <v>505814030</v>
      </c>
      <c r="H4641" s="2" t="s">
        <v>290</v>
      </c>
      <c r="I4641" s="2" t="s">
        <v>2447</v>
      </c>
      <c r="J4641" s="2" t="s">
        <v>2448</v>
      </c>
      <c r="L4641" s="2" t="s">
        <v>339</v>
      </c>
      <c r="M4641" s="2" t="s">
        <v>80</v>
      </c>
      <c r="P4641" s="2" t="s">
        <v>72</v>
      </c>
      <c r="Q4641" s="2" t="s">
        <v>73</v>
      </c>
      <c r="R4641" s="2" t="s">
        <v>74</v>
      </c>
      <c r="S4641" s="13">
        <v>1</v>
      </c>
      <c r="T4641" s="14">
        <v>230</v>
      </c>
      <c r="U4641" s="2">
        <f>T4641*23%</f>
        <v>52.900000000000006</v>
      </c>
      <c r="V4641" s="2">
        <f>T4641+U4641</f>
        <v>282.89999999999998</v>
      </c>
      <c r="W4641" s="2">
        <v>133.4616</v>
      </c>
      <c r="X4641" s="18">
        <f t="shared" si="843"/>
        <v>0.41973217391304346</v>
      </c>
      <c r="Z4641" s="2" t="s">
        <v>3226</v>
      </c>
      <c r="AA4641" s="2" t="s">
        <v>75</v>
      </c>
      <c r="AB4641" s="2" t="s">
        <v>76</v>
      </c>
      <c r="AC4641" s="2" t="s">
        <v>77</v>
      </c>
      <c r="AK4641" s="2">
        <f t="shared" ref="AK4641:AK4652" si="858">T4641-W4641</f>
        <v>96.538399999999996</v>
      </c>
      <c r="AL4641" s="5">
        <f t="shared" ref="AL4641:AL4652" si="859">(T4641-W4641)/T4641</f>
        <v>0.41973217391304346</v>
      </c>
    </row>
    <row r="4642" spans="1:38" x14ac:dyDescent="0.2">
      <c r="A4642" s="2">
        <v>2026</v>
      </c>
      <c r="B4642" s="2">
        <v>8</v>
      </c>
      <c r="C4642" s="2" t="s">
        <v>3508</v>
      </c>
      <c r="D4642" s="2" t="s">
        <v>311</v>
      </c>
      <c r="E4642" s="2" t="s">
        <v>2446</v>
      </c>
      <c r="F4642" s="2" t="s">
        <v>39</v>
      </c>
      <c r="G4642" s="2">
        <v>505814030</v>
      </c>
      <c r="H4642" s="2" t="s">
        <v>290</v>
      </c>
      <c r="I4642" s="2" t="s">
        <v>2447</v>
      </c>
      <c r="J4642" s="2" t="s">
        <v>2448</v>
      </c>
      <c r="L4642" s="2" t="s">
        <v>339</v>
      </c>
      <c r="M4642" s="2" t="s">
        <v>80</v>
      </c>
      <c r="P4642" s="2" t="s">
        <v>93</v>
      </c>
      <c r="Q4642" s="2" t="s">
        <v>94</v>
      </c>
      <c r="R4642" s="2" t="s">
        <v>95</v>
      </c>
      <c r="S4642" s="13">
        <v>1</v>
      </c>
      <c r="T4642" s="14">
        <v>1.48</v>
      </c>
      <c r="U4642" s="2">
        <f t="shared" ref="U4642:U4652" si="860">T4642*23%</f>
        <v>0.34040000000000004</v>
      </c>
      <c r="V4642" s="2">
        <f t="shared" ref="V4642:V4653" si="861">T4642+U4642</f>
        <v>1.8204</v>
      </c>
      <c r="W4642" s="2">
        <v>1.48</v>
      </c>
      <c r="X4642" s="18">
        <f t="shared" si="843"/>
        <v>0</v>
      </c>
      <c r="Z4642" s="2" t="s">
        <v>3226</v>
      </c>
      <c r="AA4642" s="2" t="s">
        <v>96</v>
      </c>
      <c r="AB4642" s="2" t="s">
        <v>76</v>
      </c>
      <c r="AC4642" s="2" t="s">
        <v>93</v>
      </c>
      <c r="AK4642" s="2">
        <f t="shared" si="858"/>
        <v>0</v>
      </c>
      <c r="AL4642" s="5">
        <f t="shared" si="859"/>
        <v>0</v>
      </c>
    </row>
    <row r="4643" spans="1:38" x14ac:dyDescent="0.2">
      <c r="A4643" s="2">
        <v>2026</v>
      </c>
      <c r="B4643" s="2">
        <v>8</v>
      </c>
      <c r="C4643" s="2" t="s">
        <v>3508</v>
      </c>
      <c r="D4643" s="2" t="s">
        <v>2111</v>
      </c>
      <c r="E4643" s="2" t="s">
        <v>108</v>
      </c>
      <c r="F4643" s="2" t="s">
        <v>39</v>
      </c>
      <c r="L4643" s="2" t="s">
        <v>99</v>
      </c>
      <c r="M4643" s="2" t="s">
        <v>40</v>
      </c>
      <c r="P4643" s="2" t="s">
        <v>114</v>
      </c>
      <c r="Q4643" s="2" t="s">
        <v>3530</v>
      </c>
      <c r="R4643" s="2" t="s">
        <v>3531</v>
      </c>
      <c r="S4643" s="13">
        <v>4</v>
      </c>
      <c r="T4643" s="14">
        <v>29.48</v>
      </c>
      <c r="U4643" s="2">
        <f t="shared" si="860"/>
        <v>6.7804000000000002</v>
      </c>
      <c r="V4643" s="2">
        <f t="shared" si="861"/>
        <v>36.260400000000004</v>
      </c>
      <c r="W4643" s="2">
        <f>(2.79+0.04)*S4643</f>
        <v>11.32</v>
      </c>
      <c r="X4643" s="18">
        <f t="shared" si="843"/>
        <v>0.61601085481682494</v>
      </c>
      <c r="Z4643" s="2" t="s">
        <v>117</v>
      </c>
      <c r="AA4643" s="2" t="s">
        <v>118</v>
      </c>
      <c r="AB4643" s="2" t="s">
        <v>119</v>
      </c>
      <c r="AC4643" s="2" t="s">
        <v>114</v>
      </c>
      <c r="AK4643" s="2">
        <f t="shared" si="858"/>
        <v>18.16</v>
      </c>
      <c r="AL4643" s="5">
        <f t="shared" si="859"/>
        <v>0.61601085481682494</v>
      </c>
    </row>
    <row r="4644" spans="1:38" x14ac:dyDescent="0.2">
      <c r="A4644" s="2">
        <v>2026</v>
      </c>
      <c r="B4644" s="2">
        <v>8</v>
      </c>
      <c r="C4644" s="2" t="s">
        <v>3508</v>
      </c>
      <c r="D4644" s="2" t="s">
        <v>2111</v>
      </c>
      <c r="E4644" s="2" t="s">
        <v>108</v>
      </c>
      <c r="F4644" s="2" t="s">
        <v>39</v>
      </c>
      <c r="L4644" s="2" t="s">
        <v>99</v>
      </c>
      <c r="M4644" s="2" t="s">
        <v>40</v>
      </c>
      <c r="P4644" s="2" t="s">
        <v>169</v>
      </c>
      <c r="Q4644" s="2" t="s">
        <v>170</v>
      </c>
      <c r="R4644" s="2" t="s">
        <v>170</v>
      </c>
      <c r="S4644" s="13">
        <v>1</v>
      </c>
      <c r="T4644" s="14">
        <v>8</v>
      </c>
      <c r="U4644" s="2">
        <f t="shared" si="860"/>
        <v>1.84</v>
      </c>
      <c r="V4644" s="2">
        <f t="shared" si="861"/>
        <v>9.84</v>
      </c>
      <c r="W4644" s="2">
        <v>6</v>
      </c>
      <c r="X4644" s="18">
        <f t="shared" si="843"/>
        <v>0.25</v>
      </c>
      <c r="Z4644" s="2" t="s">
        <v>169</v>
      </c>
      <c r="AA4644" s="2" t="s">
        <v>169</v>
      </c>
      <c r="AK4644" s="2">
        <f t="shared" si="858"/>
        <v>2</v>
      </c>
      <c r="AL4644" s="5">
        <f t="shared" si="859"/>
        <v>0.25</v>
      </c>
    </row>
    <row r="4645" spans="1:38" x14ac:dyDescent="0.2">
      <c r="A4645" s="2">
        <v>2026</v>
      </c>
      <c r="B4645" s="2">
        <v>8</v>
      </c>
      <c r="C4645" s="2" t="s">
        <v>3508</v>
      </c>
      <c r="D4645" s="2" t="s">
        <v>960</v>
      </c>
      <c r="E4645" s="2" t="s">
        <v>38</v>
      </c>
      <c r="F4645" s="2" t="s">
        <v>39</v>
      </c>
      <c r="G4645" s="2">
        <v>502714913</v>
      </c>
      <c r="H4645" s="2" t="s">
        <v>40</v>
      </c>
      <c r="I4645" s="2" t="s">
        <v>371</v>
      </c>
      <c r="J4645" s="2" t="s">
        <v>1987</v>
      </c>
      <c r="L4645" s="2" t="s">
        <v>177</v>
      </c>
      <c r="M4645" s="2" t="s">
        <v>80</v>
      </c>
      <c r="P4645" s="2" t="s">
        <v>1038</v>
      </c>
      <c r="Q4645" s="2" t="s">
        <v>2990</v>
      </c>
      <c r="R4645" s="2" t="s">
        <v>2991</v>
      </c>
      <c r="S4645" s="13">
        <v>1</v>
      </c>
      <c r="T4645" s="14">
        <v>220</v>
      </c>
      <c r="U4645" s="2">
        <f t="shared" si="860"/>
        <v>50.6</v>
      </c>
      <c r="V4645" s="2">
        <f t="shared" si="861"/>
        <v>270.60000000000002</v>
      </c>
      <c r="W4645" s="2">
        <v>122</v>
      </c>
      <c r="X4645" s="18">
        <f t="shared" si="843"/>
        <v>0.44545454545454544</v>
      </c>
      <c r="Z4645" s="2" t="s">
        <v>3226</v>
      </c>
      <c r="AA4645" s="2" t="s">
        <v>75</v>
      </c>
      <c r="AB4645" s="2" t="s">
        <v>76</v>
      </c>
      <c r="AC4645" s="2" t="s">
        <v>1038</v>
      </c>
      <c r="AK4645" s="2">
        <f t="shared" si="858"/>
        <v>98</v>
      </c>
      <c r="AL4645" s="5">
        <f t="shared" si="859"/>
        <v>0.44545454545454544</v>
      </c>
    </row>
    <row r="4646" spans="1:38" x14ac:dyDescent="0.2">
      <c r="A4646" s="2">
        <v>2026</v>
      </c>
      <c r="B4646" s="2">
        <v>8</v>
      </c>
      <c r="C4646" s="2" t="s">
        <v>3508</v>
      </c>
      <c r="D4646" s="2" t="s">
        <v>960</v>
      </c>
      <c r="E4646" s="2" t="s">
        <v>38</v>
      </c>
      <c r="F4646" s="2" t="s">
        <v>39</v>
      </c>
      <c r="G4646" s="2">
        <v>502714913</v>
      </c>
      <c r="H4646" s="2" t="s">
        <v>40</v>
      </c>
      <c r="I4646" s="2" t="s">
        <v>371</v>
      </c>
      <c r="J4646" s="2" t="s">
        <v>1987</v>
      </c>
      <c r="L4646" s="2" t="s">
        <v>177</v>
      </c>
      <c r="M4646" s="2" t="s">
        <v>80</v>
      </c>
      <c r="P4646" s="2" t="s">
        <v>169</v>
      </c>
      <c r="Q4646" s="2" t="s">
        <v>170</v>
      </c>
      <c r="R4646" s="2" t="s">
        <v>170</v>
      </c>
      <c r="S4646" s="13">
        <v>1</v>
      </c>
      <c r="T4646" s="14">
        <v>35</v>
      </c>
      <c r="U4646" s="2">
        <f t="shared" si="860"/>
        <v>8.0500000000000007</v>
      </c>
      <c r="V4646" s="2">
        <f t="shared" si="861"/>
        <v>43.05</v>
      </c>
      <c r="W4646" s="2">
        <v>28</v>
      </c>
      <c r="X4646" s="18">
        <f t="shared" si="843"/>
        <v>0.2</v>
      </c>
      <c r="Z4646" s="2" t="s">
        <v>169</v>
      </c>
      <c r="AA4646" s="2" t="s">
        <v>169</v>
      </c>
      <c r="AK4646" s="2">
        <f t="shared" si="858"/>
        <v>7</v>
      </c>
      <c r="AL4646" s="5">
        <f t="shared" si="859"/>
        <v>0.2</v>
      </c>
    </row>
    <row r="4647" spans="1:38" x14ac:dyDescent="0.2">
      <c r="A4647" s="2">
        <v>2026</v>
      </c>
      <c r="B4647" s="2">
        <v>8</v>
      </c>
      <c r="C4647" s="2" t="s">
        <v>3508</v>
      </c>
      <c r="D4647" s="2" t="s">
        <v>960</v>
      </c>
      <c r="E4647" s="2" t="s">
        <v>38</v>
      </c>
      <c r="F4647" s="2" t="s">
        <v>39</v>
      </c>
      <c r="G4647" s="2">
        <v>502714913</v>
      </c>
      <c r="H4647" s="2" t="s">
        <v>40</v>
      </c>
      <c r="I4647" s="2" t="s">
        <v>371</v>
      </c>
      <c r="J4647" s="2" t="s">
        <v>1987</v>
      </c>
      <c r="L4647" s="2" t="s">
        <v>177</v>
      </c>
      <c r="M4647" s="2" t="s">
        <v>80</v>
      </c>
      <c r="P4647" s="2" t="s">
        <v>93</v>
      </c>
      <c r="Q4647" s="2" t="s">
        <v>94</v>
      </c>
      <c r="R4647" s="2" t="s">
        <v>95</v>
      </c>
      <c r="S4647" s="13">
        <v>1</v>
      </c>
      <c r="T4647" s="14">
        <v>1.48</v>
      </c>
      <c r="U4647" s="2">
        <f t="shared" si="860"/>
        <v>0.34040000000000004</v>
      </c>
      <c r="V4647" s="2">
        <f t="shared" si="861"/>
        <v>1.8204</v>
      </c>
      <c r="W4647" s="2">
        <v>1.48</v>
      </c>
      <c r="X4647" s="18">
        <f t="shared" si="843"/>
        <v>0</v>
      </c>
      <c r="Z4647" s="2" t="s">
        <v>3226</v>
      </c>
      <c r="AA4647" s="2" t="s">
        <v>96</v>
      </c>
      <c r="AB4647" s="2" t="s">
        <v>76</v>
      </c>
      <c r="AC4647" s="2" t="s">
        <v>93</v>
      </c>
      <c r="AK4647" s="2">
        <f t="shared" si="858"/>
        <v>0</v>
      </c>
      <c r="AL4647" s="5">
        <f t="shared" si="859"/>
        <v>0</v>
      </c>
    </row>
    <row r="4648" spans="1:38" x14ac:dyDescent="0.2">
      <c r="A4648" s="2">
        <v>2026</v>
      </c>
      <c r="B4648" s="2">
        <v>8</v>
      </c>
      <c r="C4648" s="2" t="s">
        <v>3508</v>
      </c>
      <c r="D4648" s="2" t="s">
        <v>3108</v>
      </c>
      <c r="E4648" s="2" t="s">
        <v>38</v>
      </c>
      <c r="F4648" s="2" t="s">
        <v>39</v>
      </c>
      <c r="L4648" s="2" t="s">
        <v>99</v>
      </c>
      <c r="M4648" s="2" t="s">
        <v>40</v>
      </c>
      <c r="P4648" s="2" t="s">
        <v>282</v>
      </c>
      <c r="Q4648" s="2" t="s">
        <v>1547</v>
      </c>
      <c r="R4648" s="2" t="s">
        <v>1548</v>
      </c>
      <c r="S4648" s="13">
        <v>1</v>
      </c>
      <c r="T4648" s="14">
        <v>595</v>
      </c>
      <c r="U4648" s="2">
        <f t="shared" si="860"/>
        <v>136.85</v>
      </c>
      <c r="V4648" s="2">
        <f t="shared" si="861"/>
        <v>731.85</v>
      </c>
      <c r="W4648" s="2">
        <v>297</v>
      </c>
      <c r="X4648" s="18">
        <f t="shared" si="843"/>
        <v>0.50084033613445378</v>
      </c>
      <c r="Z4648" s="2" t="s">
        <v>104</v>
      </c>
      <c r="AA4648" s="2" t="s">
        <v>387</v>
      </c>
      <c r="AB4648" s="2" t="s">
        <v>388</v>
      </c>
      <c r="AC4648" s="2" t="s">
        <v>389</v>
      </c>
      <c r="AK4648" s="2">
        <f t="shared" si="858"/>
        <v>298</v>
      </c>
      <c r="AL4648" s="5">
        <f t="shared" si="859"/>
        <v>0.50084033613445378</v>
      </c>
    </row>
    <row r="4649" spans="1:38" x14ac:dyDescent="0.2">
      <c r="A4649" s="2">
        <v>2026</v>
      </c>
      <c r="B4649" s="2">
        <v>8</v>
      </c>
      <c r="C4649" s="2" t="s">
        <v>3508</v>
      </c>
      <c r="D4649" s="2" t="s">
        <v>3108</v>
      </c>
      <c r="E4649" s="2" t="s">
        <v>38</v>
      </c>
      <c r="F4649" s="2" t="s">
        <v>39</v>
      </c>
      <c r="L4649" s="2" t="s">
        <v>99</v>
      </c>
      <c r="M4649" s="2" t="s">
        <v>40</v>
      </c>
      <c r="P4649" s="2" t="s">
        <v>282</v>
      </c>
      <c r="Q4649" s="2" t="s">
        <v>399</v>
      </c>
      <c r="R4649" s="2" t="s">
        <v>400</v>
      </c>
      <c r="S4649" s="13">
        <v>2</v>
      </c>
      <c r="T4649" s="14">
        <v>0</v>
      </c>
      <c r="U4649" s="2">
        <f t="shared" si="860"/>
        <v>0</v>
      </c>
      <c r="V4649" s="2">
        <f t="shared" si="861"/>
        <v>0</v>
      </c>
      <c r="W4649" s="2">
        <f>14.5099*2</f>
        <v>29.0198</v>
      </c>
      <c r="X4649" s="18">
        <v>-1</v>
      </c>
      <c r="Z4649" s="2" t="s">
        <v>3226</v>
      </c>
      <c r="AA4649" s="2" t="s">
        <v>46</v>
      </c>
      <c r="AB4649" s="2" t="s">
        <v>60</v>
      </c>
      <c r="AC4649" s="2" t="s">
        <v>3330</v>
      </c>
      <c r="AK4649" s="2">
        <f t="shared" si="858"/>
        <v>-29.0198</v>
      </c>
      <c r="AL4649" s="5">
        <v>-1</v>
      </c>
    </row>
    <row r="4650" spans="1:38" x14ac:dyDescent="0.2">
      <c r="A4650" s="2">
        <v>2026</v>
      </c>
      <c r="B4650" s="2">
        <v>8</v>
      </c>
      <c r="C4650" s="2" t="s">
        <v>3508</v>
      </c>
      <c r="D4650" s="2" t="s">
        <v>3108</v>
      </c>
      <c r="E4650" s="2" t="s">
        <v>38</v>
      </c>
      <c r="F4650" s="2" t="s">
        <v>39</v>
      </c>
      <c r="L4650" s="2" t="s">
        <v>99</v>
      </c>
      <c r="M4650" s="2" t="s">
        <v>40</v>
      </c>
      <c r="P4650" s="2" t="s">
        <v>282</v>
      </c>
      <c r="Q4650" s="2" t="s">
        <v>401</v>
      </c>
      <c r="R4650" s="2" t="s">
        <v>402</v>
      </c>
      <c r="S4650" s="13">
        <v>2</v>
      </c>
      <c r="T4650" s="14">
        <v>0</v>
      </c>
      <c r="U4650" s="2">
        <f t="shared" si="860"/>
        <v>0</v>
      </c>
      <c r="V4650" s="2">
        <f t="shared" si="861"/>
        <v>0</v>
      </c>
      <c r="W4650" s="2">
        <f>14.5099*2</f>
        <v>29.0198</v>
      </c>
      <c r="X4650" s="18">
        <v>-1</v>
      </c>
      <c r="Z4650" s="2" t="s">
        <v>3226</v>
      </c>
      <c r="AA4650" s="2" t="s">
        <v>46</v>
      </c>
      <c r="AB4650" s="2" t="s">
        <v>60</v>
      </c>
      <c r="AC4650" s="2" t="s">
        <v>3330</v>
      </c>
      <c r="AK4650" s="2">
        <f t="shared" si="858"/>
        <v>-29.0198</v>
      </c>
      <c r="AL4650" s="5">
        <v>-1</v>
      </c>
    </row>
    <row r="4651" spans="1:38" x14ac:dyDescent="0.2">
      <c r="A4651" s="2">
        <v>2026</v>
      </c>
      <c r="B4651" s="2">
        <v>8</v>
      </c>
      <c r="C4651" s="2" t="s">
        <v>3508</v>
      </c>
      <c r="D4651" s="2" t="s">
        <v>2072</v>
      </c>
      <c r="E4651" s="2" t="s">
        <v>752</v>
      </c>
      <c r="F4651" s="2" t="s">
        <v>39</v>
      </c>
      <c r="L4651" s="2" t="s">
        <v>112</v>
      </c>
      <c r="M4651" s="2" t="s">
        <v>109</v>
      </c>
      <c r="P4651" s="2" t="s">
        <v>282</v>
      </c>
      <c r="Q4651" s="2" t="s">
        <v>1530</v>
      </c>
      <c r="R4651" s="2" t="s">
        <v>1531</v>
      </c>
      <c r="S4651" s="13">
        <v>-1</v>
      </c>
      <c r="T4651" s="14">
        <v>-54</v>
      </c>
      <c r="U4651" s="2">
        <f t="shared" si="860"/>
        <v>-12.42</v>
      </c>
      <c r="V4651" s="2">
        <f t="shared" si="861"/>
        <v>-66.42</v>
      </c>
      <c r="W4651" s="2">
        <v>6.3</v>
      </c>
      <c r="X4651" s="18">
        <f t="shared" si="843"/>
        <v>-0.88333333333333341</v>
      </c>
      <c r="Z4651" s="2" t="s">
        <v>3226</v>
      </c>
      <c r="AA4651" s="2" t="s">
        <v>155</v>
      </c>
      <c r="AB4651" s="2" t="s">
        <v>3401</v>
      </c>
      <c r="AC4651" s="2" t="s">
        <v>1327</v>
      </c>
      <c r="AK4651" s="2">
        <f t="shared" si="858"/>
        <v>-60.3</v>
      </c>
      <c r="AL4651" s="5">
        <f t="shared" si="859"/>
        <v>1.1166666666666667</v>
      </c>
    </row>
    <row r="4652" spans="1:38" x14ac:dyDescent="0.2">
      <c r="A4652" s="2">
        <v>2026</v>
      </c>
      <c r="B4652" s="2">
        <v>8</v>
      </c>
      <c r="C4652" s="2" t="s">
        <v>3508</v>
      </c>
      <c r="D4652" s="2" t="s">
        <v>2072</v>
      </c>
      <c r="E4652" s="2" t="s">
        <v>752</v>
      </c>
      <c r="F4652" s="2" t="s">
        <v>39</v>
      </c>
      <c r="L4652" s="2" t="s">
        <v>112</v>
      </c>
      <c r="M4652" s="2" t="s">
        <v>109</v>
      </c>
      <c r="P4652" s="2" t="s">
        <v>282</v>
      </c>
      <c r="Q4652" s="2" t="s">
        <v>2183</v>
      </c>
      <c r="R4652" s="2" t="s">
        <v>2184</v>
      </c>
      <c r="S4652" s="13">
        <v>-1</v>
      </c>
      <c r="T4652" s="14">
        <v>-32</v>
      </c>
      <c r="U4652" s="2">
        <f t="shared" si="860"/>
        <v>-7.36</v>
      </c>
      <c r="V4652" s="2">
        <f t="shared" si="861"/>
        <v>-39.36</v>
      </c>
      <c r="W4652" s="2">
        <v>6.3</v>
      </c>
      <c r="X4652" s="18">
        <f t="shared" si="843"/>
        <v>-0.80312499999999998</v>
      </c>
      <c r="Z4652" s="2" t="s">
        <v>3226</v>
      </c>
      <c r="AA4652" s="2" t="s">
        <v>155</v>
      </c>
      <c r="AB4652" s="2" t="s">
        <v>3401</v>
      </c>
      <c r="AC4652" s="2" t="s">
        <v>1327</v>
      </c>
      <c r="AK4652" s="2">
        <f t="shared" si="858"/>
        <v>-38.299999999999997</v>
      </c>
      <c r="AL4652" s="5">
        <f t="shared" si="859"/>
        <v>1.1968749999999999</v>
      </c>
    </row>
    <row r="4653" spans="1:38" x14ac:dyDescent="0.2">
      <c r="A4653" s="2">
        <v>2026</v>
      </c>
      <c r="B4653" s="2">
        <v>8</v>
      </c>
      <c r="C4653" s="2" t="s">
        <v>3532</v>
      </c>
      <c r="D4653" s="38" t="s">
        <v>3533</v>
      </c>
      <c r="E4653" s="2" t="s">
        <v>38</v>
      </c>
      <c r="F4653" s="2" t="s">
        <v>39</v>
      </c>
      <c r="L4653" s="2" t="s">
        <v>339</v>
      </c>
      <c r="M4653" s="2" t="s">
        <v>40</v>
      </c>
      <c r="P4653" s="2" t="s">
        <v>114</v>
      </c>
      <c r="Q4653" s="38" t="s">
        <v>2273</v>
      </c>
      <c r="R4653" s="38" t="s">
        <v>2274</v>
      </c>
      <c r="S4653" s="37">
        <v>3</v>
      </c>
      <c r="T4653" s="36">
        <v>29.38</v>
      </c>
      <c r="U4653" s="2">
        <f>T4653*23%</f>
        <v>6.7573999999999996</v>
      </c>
      <c r="V4653" s="2">
        <f t="shared" si="861"/>
        <v>36.1374</v>
      </c>
      <c r="W4653" s="2">
        <f>4.6858*S4653</f>
        <v>14.057400000000001</v>
      </c>
      <c r="X4653" s="18">
        <f t="shared" si="843"/>
        <v>0.52153165418652137</v>
      </c>
      <c r="Z4653" s="2" t="s">
        <v>117</v>
      </c>
      <c r="AA4653" s="2" t="s">
        <v>118</v>
      </c>
      <c r="AB4653" s="2" t="s">
        <v>119</v>
      </c>
      <c r="AC4653" s="2" t="s">
        <v>114</v>
      </c>
      <c r="AK4653" s="2">
        <f t="shared" ref="AK4653:AK4665" si="862">T4653-W4653</f>
        <v>15.322599999999998</v>
      </c>
      <c r="AL4653" s="5">
        <f t="shared" ref="AL4653:AL4665" si="863">(T4653-W4653)/T4653</f>
        <v>0.52153165418652137</v>
      </c>
    </row>
    <row r="4654" spans="1:38" x14ac:dyDescent="0.2">
      <c r="A4654" s="2">
        <v>2026</v>
      </c>
      <c r="B4654" s="2">
        <v>8</v>
      </c>
      <c r="C4654" s="2" t="s">
        <v>3532</v>
      </c>
      <c r="D4654" s="38" t="s">
        <v>3533</v>
      </c>
      <c r="E4654" s="2" t="s">
        <v>38</v>
      </c>
      <c r="F4654" s="2" t="s">
        <v>39</v>
      </c>
      <c r="L4654" s="2" t="s">
        <v>339</v>
      </c>
      <c r="M4654" s="2" t="s">
        <v>40</v>
      </c>
      <c r="P4654" s="2" t="s">
        <v>114</v>
      </c>
      <c r="Q4654" s="38" t="s">
        <v>1013</v>
      </c>
      <c r="R4654" s="38" t="s">
        <v>1014</v>
      </c>
      <c r="S4654" s="37">
        <v>2</v>
      </c>
      <c r="T4654" s="36">
        <v>195.43</v>
      </c>
      <c r="U4654" s="2">
        <f t="shared" ref="U4654:U4665" si="864">T4654*23%</f>
        <v>44.948900000000002</v>
      </c>
      <c r="V4654" s="2">
        <f t="shared" ref="V4654:V4666" si="865">T4654+U4654</f>
        <v>240.37890000000002</v>
      </c>
      <c r="W4654" s="2">
        <f>46.7951*S4654</f>
        <v>93.590199999999996</v>
      </c>
      <c r="X4654" s="18">
        <f t="shared" si="843"/>
        <v>0.52110627846287683</v>
      </c>
      <c r="Z4654" s="2" t="s">
        <v>117</v>
      </c>
      <c r="AA4654" s="2" t="s">
        <v>118</v>
      </c>
      <c r="AB4654" s="2" t="s">
        <v>119</v>
      </c>
      <c r="AC4654" s="2" t="s">
        <v>114</v>
      </c>
      <c r="AK4654" s="2">
        <f t="shared" si="862"/>
        <v>101.83980000000001</v>
      </c>
      <c r="AL4654" s="5">
        <f t="shared" si="863"/>
        <v>0.52110627846287683</v>
      </c>
    </row>
    <row r="4655" spans="1:38" x14ac:dyDescent="0.2">
      <c r="A4655" s="2">
        <v>2026</v>
      </c>
      <c r="B4655" s="2">
        <v>8</v>
      </c>
      <c r="C4655" s="2" t="s">
        <v>3532</v>
      </c>
      <c r="D4655" s="38" t="s">
        <v>3533</v>
      </c>
      <c r="E4655" s="2" t="s">
        <v>38</v>
      </c>
      <c r="F4655" s="2" t="s">
        <v>39</v>
      </c>
      <c r="L4655" s="2" t="s">
        <v>339</v>
      </c>
      <c r="M4655" s="2" t="s">
        <v>40</v>
      </c>
      <c r="P4655" s="2" t="s">
        <v>114</v>
      </c>
      <c r="Q4655" s="38" t="s">
        <v>1689</v>
      </c>
      <c r="R4655" s="38" t="s">
        <v>1690</v>
      </c>
      <c r="S4655" s="37">
        <v>1</v>
      </c>
      <c r="T4655" s="36">
        <v>78.17</v>
      </c>
      <c r="U4655" s="2">
        <f t="shared" si="864"/>
        <v>17.979100000000003</v>
      </c>
      <c r="V4655" s="2">
        <f t="shared" si="865"/>
        <v>96.149100000000004</v>
      </c>
      <c r="W4655" s="2">
        <v>37.886600000000001</v>
      </c>
      <c r="X4655" s="18">
        <f t="shared" ref="X4655:X4707" si="866">SIGN(T4655)*((ABS(T4655)-W4655)/ABS(T4655))</f>
        <v>0.51533068952283489</v>
      </c>
      <c r="Z4655" s="2" t="s">
        <v>117</v>
      </c>
      <c r="AA4655" s="2" t="s">
        <v>118</v>
      </c>
      <c r="AB4655" s="2" t="s">
        <v>119</v>
      </c>
      <c r="AC4655" s="2" t="s">
        <v>114</v>
      </c>
      <c r="AK4655" s="2">
        <f t="shared" si="862"/>
        <v>40.2834</v>
      </c>
      <c r="AL4655" s="5">
        <f t="shared" si="863"/>
        <v>0.51533068952283489</v>
      </c>
    </row>
    <row r="4656" spans="1:38" x14ac:dyDescent="0.2">
      <c r="A4656" s="2">
        <v>2026</v>
      </c>
      <c r="B4656" s="2">
        <v>8</v>
      </c>
      <c r="C4656" s="2" t="s">
        <v>3532</v>
      </c>
      <c r="D4656" s="38" t="s">
        <v>308</v>
      </c>
      <c r="E4656" s="2" t="s">
        <v>108</v>
      </c>
      <c r="F4656" s="2" t="s">
        <v>39</v>
      </c>
      <c r="G4656" s="2">
        <v>503724300</v>
      </c>
      <c r="H4656" s="2" t="s">
        <v>109</v>
      </c>
      <c r="I4656" s="2" t="s">
        <v>3114</v>
      </c>
      <c r="J4656" s="2" t="s">
        <v>3115</v>
      </c>
      <c r="L4656" s="2" t="s">
        <v>112</v>
      </c>
      <c r="M4656" s="2" t="s">
        <v>80</v>
      </c>
      <c r="P4656" s="2" t="s">
        <v>43</v>
      </c>
      <c r="Q4656" s="38" t="s">
        <v>54</v>
      </c>
      <c r="R4656" s="38" t="s">
        <v>55</v>
      </c>
      <c r="S4656" s="37">
        <v>4</v>
      </c>
      <c r="T4656" s="36">
        <v>72</v>
      </c>
      <c r="U4656" s="2">
        <f t="shared" si="864"/>
        <v>16.560000000000002</v>
      </c>
      <c r="V4656" s="2">
        <f t="shared" si="865"/>
        <v>88.56</v>
      </c>
      <c r="W4656" s="2">
        <f>10.6*S4656</f>
        <v>42.4</v>
      </c>
      <c r="X4656" s="18">
        <f t="shared" si="866"/>
        <v>0.41111111111111115</v>
      </c>
      <c r="Z4656" s="2" t="s">
        <v>3226</v>
      </c>
      <c r="AA4656" s="2" t="s">
        <v>46</v>
      </c>
      <c r="AB4656" s="2" t="s">
        <v>56</v>
      </c>
      <c r="AC4656" s="2" t="s">
        <v>57</v>
      </c>
      <c r="AK4656" s="2">
        <f t="shared" si="862"/>
        <v>29.6</v>
      </c>
      <c r="AL4656" s="5">
        <f t="shared" si="863"/>
        <v>0.41111111111111115</v>
      </c>
    </row>
    <row r="4657" spans="1:38" x14ac:dyDescent="0.2">
      <c r="A4657" s="2">
        <v>2026</v>
      </c>
      <c r="B4657" s="2">
        <v>8</v>
      </c>
      <c r="C4657" s="2" t="s">
        <v>3532</v>
      </c>
      <c r="D4657" s="38" t="s">
        <v>308</v>
      </c>
      <c r="E4657" s="2" t="s">
        <v>108</v>
      </c>
      <c r="F4657" s="2" t="s">
        <v>39</v>
      </c>
      <c r="G4657" s="2">
        <v>503724300</v>
      </c>
      <c r="H4657" s="2" t="s">
        <v>109</v>
      </c>
      <c r="I4657" s="2" t="s">
        <v>3114</v>
      </c>
      <c r="J4657" s="2" t="s">
        <v>3115</v>
      </c>
      <c r="L4657" s="2" t="s">
        <v>112</v>
      </c>
      <c r="M4657" s="2" t="s">
        <v>80</v>
      </c>
      <c r="P4657" s="2" t="s">
        <v>169</v>
      </c>
      <c r="Q4657" s="38" t="s">
        <v>170</v>
      </c>
      <c r="R4657" s="38" t="s">
        <v>170</v>
      </c>
      <c r="S4657" s="37">
        <v>1</v>
      </c>
      <c r="T4657" s="36">
        <v>8</v>
      </c>
      <c r="U4657" s="2">
        <f t="shared" si="864"/>
        <v>1.84</v>
      </c>
      <c r="V4657" s="2">
        <f t="shared" si="865"/>
        <v>9.84</v>
      </c>
      <c r="W4657" s="2">
        <v>6</v>
      </c>
      <c r="X4657" s="18">
        <f t="shared" si="866"/>
        <v>0.25</v>
      </c>
      <c r="Z4657" s="2" t="s">
        <v>169</v>
      </c>
      <c r="AA4657" s="2" t="s">
        <v>169</v>
      </c>
      <c r="AK4657" s="2">
        <f t="shared" si="862"/>
        <v>2</v>
      </c>
      <c r="AL4657" s="5">
        <f t="shared" si="863"/>
        <v>0.25</v>
      </c>
    </row>
    <row r="4658" spans="1:38" x14ac:dyDescent="0.2">
      <c r="A4658" s="2">
        <v>2026</v>
      </c>
      <c r="B4658" s="2">
        <v>8</v>
      </c>
      <c r="C4658" s="2" t="s">
        <v>3532</v>
      </c>
      <c r="D4658" s="38" t="s">
        <v>3534</v>
      </c>
      <c r="E4658" s="2" t="s">
        <v>98</v>
      </c>
      <c r="F4658" s="2" t="s">
        <v>39</v>
      </c>
      <c r="L4658" s="2" t="s">
        <v>339</v>
      </c>
      <c r="M4658" s="2" t="s">
        <v>80</v>
      </c>
      <c r="P4658" s="2" t="s">
        <v>72</v>
      </c>
      <c r="Q4658" s="38" t="s">
        <v>73</v>
      </c>
      <c r="R4658" s="38" t="s">
        <v>74</v>
      </c>
      <c r="S4658" s="37">
        <v>1</v>
      </c>
      <c r="T4658" s="36">
        <v>220</v>
      </c>
      <c r="U4658" s="2">
        <f t="shared" si="864"/>
        <v>50.6</v>
      </c>
      <c r="V4658" s="2">
        <f t="shared" si="865"/>
        <v>270.60000000000002</v>
      </c>
      <c r="W4658" s="2">
        <v>133.4616</v>
      </c>
      <c r="X4658" s="18">
        <f t="shared" si="866"/>
        <v>0.39335636363636362</v>
      </c>
      <c r="Z4658" s="2" t="s">
        <v>3226</v>
      </c>
      <c r="AA4658" s="2" t="s">
        <v>75</v>
      </c>
      <c r="AB4658" s="2" t="s">
        <v>76</v>
      </c>
      <c r="AC4658" s="2" t="s">
        <v>77</v>
      </c>
      <c r="AK4658" s="2">
        <f t="shared" si="862"/>
        <v>86.538399999999996</v>
      </c>
      <c r="AL4658" s="5">
        <f t="shared" si="863"/>
        <v>0.39335636363636362</v>
      </c>
    </row>
    <row r="4659" spans="1:38" x14ac:dyDescent="0.2">
      <c r="A4659" s="2">
        <v>2026</v>
      </c>
      <c r="B4659" s="2">
        <v>8</v>
      </c>
      <c r="C4659" s="2" t="s">
        <v>3532</v>
      </c>
      <c r="D4659" s="38" t="s">
        <v>3534</v>
      </c>
      <c r="E4659" s="2" t="s">
        <v>98</v>
      </c>
      <c r="F4659" s="2" t="s">
        <v>39</v>
      </c>
      <c r="L4659" s="2" t="s">
        <v>339</v>
      </c>
      <c r="M4659" s="2" t="s">
        <v>80</v>
      </c>
      <c r="P4659" s="2" t="s">
        <v>93</v>
      </c>
      <c r="Q4659" s="38" t="s">
        <v>94</v>
      </c>
      <c r="R4659" s="38" t="s">
        <v>95</v>
      </c>
      <c r="S4659" s="37">
        <v>1</v>
      </c>
      <c r="T4659" s="36">
        <v>1.48</v>
      </c>
      <c r="U4659" s="2">
        <f t="shared" si="864"/>
        <v>0.34040000000000004</v>
      </c>
      <c r="V4659" s="2">
        <f t="shared" si="865"/>
        <v>1.8204</v>
      </c>
      <c r="W4659" s="2">
        <v>1.48</v>
      </c>
      <c r="X4659" s="18">
        <f t="shared" si="866"/>
        <v>0</v>
      </c>
      <c r="Z4659" s="2" t="s">
        <v>3226</v>
      </c>
      <c r="AA4659" s="2" t="s">
        <v>96</v>
      </c>
      <c r="AB4659" s="2" t="s">
        <v>76</v>
      </c>
      <c r="AC4659" s="2" t="s">
        <v>93</v>
      </c>
      <c r="AK4659" s="2">
        <f t="shared" si="862"/>
        <v>0</v>
      </c>
      <c r="AL4659" s="5">
        <f t="shared" si="863"/>
        <v>0</v>
      </c>
    </row>
    <row r="4660" spans="1:38" x14ac:dyDescent="0.2">
      <c r="A4660" s="2">
        <v>2026</v>
      </c>
      <c r="B4660" s="2">
        <v>8</v>
      </c>
      <c r="C4660" s="2" t="s">
        <v>3532</v>
      </c>
      <c r="D4660" s="38" t="s">
        <v>1718</v>
      </c>
      <c r="E4660" s="2" t="s">
        <v>752</v>
      </c>
      <c r="F4660" s="2" t="s">
        <v>39</v>
      </c>
      <c r="L4660" s="2" t="s">
        <v>398</v>
      </c>
      <c r="M4660" s="2" t="s">
        <v>109</v>
      </c>
      <c r="P4660" s="2" t="s">
        <v>282</v>
      </c>
      <c r="Q4660" s="38" t="s">
        <v>1436</v>
      </c>
      <c r="R4660" s="38" t="s">
        <v>1437</v>
      </c>
      <c r="S4660" s="37">
        <v>6</v>
      </c>
      <c r="T4660" s="36">
        <v>41.4</v>
      </c>
      <c r="U4660" s="2">
        <f t="shared" si="864"/>
        <v>9.5220000000000002</v>
      </c>
      <c r="V4660" s="2">
        <f t="shared" si="865"/>
        <v>50.921999999999997</v>
      </c>
      <c r="W4660" s="2">
        <f>5.135*S4660</f>
        <v>30.81</v>
      </c>
      <c r="X4660" s="18">
        <f t="shared" si="866"/>
        <v>0.25579710144927537</v>
      </c>
      <c r="Z4660" s="2" t="s">
        <v>3226</v>
      </c>
      <c r="AA4660" s="2" t="s">
        <v>71</v>
      </c>
      <c r="AB4660" s="2" t="s">
        <v>119</v>
      </c>
      <c r="AC4660" s="2" t="s">
        <v>119</v>
      </c>
      <c r="AK4660" s="2">
        <f t="shared" si="862"/>
        <v>10.59</v>
      </c>
      <c r="AL4660" s="5">
        <f t="shared" si="863"/>
        <v>0.25579710144927537</v>
      </c>
    </row>
    <row r="4661" spans="1:38" x14ac:dyDescent="0.2">
      <c r="A4661" s="2">
        <v>2026</v>
      </c>
      <c r="B4661" s="2">
        <v>8</v>
      </c>
      <c r="C4661" s="2" t="s">
        <v>3532</v>
      </c>
      <c r="D4661" s="38" t="s">
        <v>3108</v>
      </c>
      <c r="E4661" s="2" t="s">
        <v>38</v>
      </c>
      <c r="F4661" s="2" t="s">
        <v>39</v>
      </c>
      <c r="L4661" s="2" t="s">
        <v>99</v>
      </c>
      <c r="M4661" s="2" t="s">
        <v>40</v>
      </c>
      <c r="P4661" s="2" t="s">
        <v>282</v>
      </c>
      <c r="Q4661" s="38" t="s">
        <v>3049</v>
      </c>
      <c r="R4661" s="38" t="s">
        <v>3050</v>
      </c>
      <c r="S4661" s="37">
        <v>2</v>
      </c>
      <c r="T4661" s="36">
        <v>17.8</v>
      </c>
      <c r="U4661" s="2">
        <f t="shared" si="864"/>
        <v>4.0940000000000003</v>
      </c>
      <c r="V4661" s="2">
        <f t="shared" si="865"/>
        <v>21.894000000000002</v>
      </c>
      <c r="W4661" s="2">
        <f>6.23*2</f>
        <v>12.46</v>
      </c>
      <c r="X4661" s="18">
        <f t="shared" si="866"/>
        <v>0.3</v>
      </c>
      <c r="Z4661" s="2" t="s">
        <v>3226</v>
      </c>
      <c r="AA4661" s="2" t="s">
        <v>155</v>
      </c>
      <c r="AB4661" s="2" t="s">
        <v>3401</v>
      </c>
      <c r="AC4661" s="2" t="s">
        <v>1327</v>
      </c>
      <c r="AK4661" s="2">
        <f t="shared" si="862"/>
        <v>5.34</v>
      </c>
      <c r="AL4661" s="5">
        <f t="shared" si="863"/>
        <v>0.3</v>
      </c>
    </row>
    <row r="4662" spans="1:38" x14ac:dyDescent="0.2">
      <c r="A4662" s="2">
        <v>2026</v>
      </c>
      <c r="B4662" s="2">
        <v>8</v>
      </c>
      <c r="C4662" s="2" t="s">
        <v>3532</v>
      </c>
      <c r="D4662" s="38" t="s">
        <v>3108</v>
      </c>
      <c r="E4662" s="2" t="s">
        <v>38</v>
      </c>
      <c r="F4662" s="2" t="s">
        <v>39</v>
      </c>
      <c r="L4662" s="2" t="s">
        <v>99</v>
      </c>
      <c r="M4662" s="2" t="s">
        <v>40</v>
      </c>
      <c r="P4662" s="2" t="s">
        <v>282</v>
      </c>
      <c r="Q4662" s="38" t="s">
        <v>3088</v>
      </c>
      <c r="R4662" s="38" t="s">
        <v>3089</v>
      </c>
      <c r="S4662" s="37">
        <v>1</v>
      </c>
      <c r="T4662" s="36">
        <v>2490</v>
      </c>
      <c r="U4662" s="2">
        <f t="shared" si="864"/>
        <v>572.70000000000005</v>
      </c>
      <c r="V4662" s="2">
        <f t="shared" si="865"/>
        <v>3062.7</v>
      </c>
      <c r="W4662" s="2">
        <f>1907.5+49</f>
        <v>1956.5</v>
      </c>
      <c r="X4662" s="18">
        <f t="shared" si="866"/>
        <v>0.21425702811244979</v>
      </c>
      <c r="Z4662" s="2" t="s">
        <v>104</v>
      </c>
      <c r="AA4662" s="2" t="s">
        <v>387</v>
      </c>
      <c r="AB4662" s="2" t="s">
        <v>1330</v>
      </c>
      <c r="AC4662" s="2" t="s">
        <v>1327</v>
      </c>
      <c r="AK4662" s="2">
        <f t="shared" si="862"/>
        <v>533.5</v>
      </c>
      <c r="AL4662" s="5">
        <f t="shared" si="863"/>
        <v>0.21425702811244979</v>
      </c>
    </row>
    <row r="4663" spans="1:38" x14ac:dyDescent="0.2">
      <c r="A4663" s="2">
        <v>2026</v>
      </c>
      <c r="B4663" s="2">
        <v>8</v>
      </c>
      <c r="C4663" s="2" t="s">
        <v>3532</v>
      </c>
      <c r="D4663" s="38" t="s">
        <v>3108</v>
      </c>
      <c r="E4663" s="2" t="s">
        <v>38</v>
      </c>
      <c r="F4663" s="2" t="s">
        <v>39</v>
      </c>
      <c r="L4663" s="2" t="s">
        <v>99</v>
      </c>
      <c r="M4663" s="2" t="s">
        <v>40</v>
      </c>
      <c r="P4663" s="2" t="s">
        <v>282</v>
      </c>
      <c r="Q4663" s="38" t="s">
        <v>3090</v>
      </c>
      <c r="R4663" s="38" t="s">
        <v>3091</v>
      </c>
      <c r="S4663" s="37">
        <v>1</v>
      </c>
      <c r="T4663" s="36">
        <v>2490</v>
      </c>
      <c r="U4663" s="2">
        <f t="shared" si="864"/>
        <v>572.70000000000005</v>
      </c>
      <c r="V4663" s="2">
        <f t="shared" si="865"/>
        <v>3062.7</v>
      </c>
      <c r="W4663" s="2">
        <f>1995.2+43.97</f>
        <v>2039.17</v>
      </c>
      <c r="X4663" s="18">
        <f t="shared" si="866"/>
        <v>0.18105622489959836</v>
      </c>
      <c r="Z4663" s="2" t="s">
        <v>104</v>
      </c>
      <c r="AA4663" s="2" t="s">
        <v>387</v>
      </c>
      <c r="AB4663" s="2" t="s">
        <v>1330</v>
      </c>
      <c r="AC4663" s="2" t="s">
        <v>1327</v>
      </c>
      <c r="AK4663" s="2">
        <f t="shared" si="862"/>
        <v>450.82999999999993</v>
      </c>
      <c r="AL4663" s="5">
        <f t="shared" si="863"/>
        <v>0.18105622489959836</v>
      </c>
    </row>
    <row r="4664" spans="1:38" x14ac:dyDescent="0.2">
      <c r="A4664" s="2">
        <v>2026</v>
      </c>
      <c r="B4664" s="2">
        <v>8</v>
      </c>
      <c r="C4664" s="2" t="s">
        <v>3532</v>
      </c>
      <c r="D4664" s="38" t="s">
        <v>3108</v>
      </c>
      <c r="E4664" s="2" t="s">
        <v>38</v>
      </c>
      <c r="F4664" s="2" t="s">
        <v>39</v>
      </c>
      <c r="L4664" s="2" t="s">
        <v>99</v>
      </c>
      <c r="M4664" s="2" t="s">
        <v>80</v>
      </c>
      <c r="P4664" s="2" t="s">
        <v>68</v>
      </c>
      <c r="Q4664" s="38" t="s">
        <v>1160</v>
      </c>
      <c r="R4664" s="38" t="s">
        <v>1161</v>
      </c>
      <c r="S4664" s="37">
        <v>1</v>
      </c>
      <c r="T4664" s="36">
        <v>70</v>
      </c>
      <c r="U4664" s="2">
        <f t="shared" si="864"/>
        <v>16.100000000000001</v>
      </c>
      <c r="V4664" s="2">
        <f t="shared" si="865"/>
        <v>86.1</v>
      </c>
      <c r="W4664" s="2">
        <v>47.4</v>
      </c>
      <c r="X4664" s="18">
        <f t="shared" si="866"/>
        <v>0.3228571428571429</v>
      </c>
      <c r="Z4664" s="2" t="s">
        <v>3226</v>
      </c>
      <c r="AA4664" s="2" t="s">
        <v>71</v>
      </c>
      <c r="AB4664" s="2" t="s">
        <v>68</v>
      </c>
      <c r="AC4664" s="2" t="s">
        <v>3230</v>
      </c>
      <c r="AK4664" s="2">
        <f t="shared" si="862"/>
        <v>22.6</v>
      </c>
      <c r="AL4664" s="5">
        <f t="shared" si="863"/>
        <v>0.3228571428571429</v>
      </c>
    </row>
    <row r="4665" spans="1:38" x14ac:dyDescent="0.2">
      <c r="A4665" s="2">
        <v>2026</v>
      </c>
      <c r="B4665" s="2">
        <v>8</v>
      </c>
      <c r="C4665" s="2" t="s">
        <v>3532</v>
      </c>
      <c r="D4665" s="38" t="s">
        <v>3108</v>
      </c>
      <c r="E4665" s="2" t="s">
        <v>38</v>
      </c>
      <c r="F4665" s="2" t="s">
        <v>39</v>
      </c>
      <c r="L4665" s="2" t="s">
        <v>99</v>
      </c>
      <c r="M4665" s="2" t="s">
        <v>40</v>
      </c>
      <c r="P4665" s="2" t="s">
        <v>3516</v>
      </c>
      <c r="Q4665" s="38" t="s">
        <v>363</v>
      </c>
      <c r="R4665" s="38" t="s">
        <v>364</v>
      </c>
      <c r="S4665" s="37">
        <v>4</v>
      </c>
      <c r="T4665" s="36">
        <v>829.06</v>
      </c>
      <c r="U4665" s="2">
        <f t="shared" si="864"/>
        <v>190.68379999999999</v>
      </c>
      <c r="V4665" s="2">
        <f t="shared" si="865"/>
        <v>1019.7438</v>
      </c>
      <c r="W4665" s="17">
        <f>T4665*75%</f>
        <v>621.79499999999996</v>
      </c>
      <c r="X4665" s="18">
        <f t="shared" si="866"/>
        <v>0.25</v>
      </c>
      <c r="Z4665" s="2" t="s">
        <v>119</v>
      </c>
      <c r="AA4665" s="2" t="s">
        <v>3378</v>
      </c>
      <c r="AB4665" s="2" t="s">
        <v>3516</v>
      </c>
      <c r="AK4665" s="2">
        <f t="shared" si="862"/>
        <v>207.26499999999999</v>
      </c>
      <c r="AL4665" s="5">
        <f t="shared" si="863"/>
        <v>0.25</v>
      </c>
    </row>
    <row r="4666" spans="1:38" x14ac:dyDescent="0.2">
      <c r="A4666" s="2">
        <v>2026</v>
      </c>
      <c r="B4666" s="2">
        <v>8</v>
      </c>
      <c r="C4666" s="2" t="s">
        <v>3532</v>
      </c>
      <c r="D4666" s="2" t="s">
        <v>1543</v>
      </c>
      <c r="E4666" s="2" t="s">
        <v>108</v>
      </c>
      <c r="F4666" s="2" t="s">
        <v>39</v>
      </c>
      <c r="L4666" s="2" t="s">
        <v>177</v>
      </c>
      <c r="M4666" s="2" t="s">
        <v>40</v>
      </c>
      <c r="P4666" s="2" t="s">
        <v>2346</v>
      </c>
      <c r="Q4666" s="2" t="s">
        <v>3535</v>
      </c>
      <c r="R4666" s="2" t="s">
        <v>3536</v>
      </c>
      <c r="S4666" s="13">
        <v>1</v>
      </c>
      <c r="T4666" s="14">
        <v>87.35</v>
      </c>
      <c r="U4666" s="2">
        <f>T4666*23%</f>
        <v>20.090499999999999</v>
      </c>
      <c r="V4666" s="2">
        <f t="shared" si="865"/>
        <v>107.44049999999999</v>
      </c>
      <c r="W4666" s="2">
        <v>38.659999999999997</v>
      </c>
      <c r="X4666" s="18">
        <f t="shared" si="866"/>
        <v>0.55741270749856897</v>
      </c>
      <c r="Y4666" s="2" t="s">
        <v>2540</v>
      </c>
      <c r="Z4666" s="2" t="s">
        <v>117</v>
      </c>
      <c r="AA4666" s="2" t="s">
        <v>118</v>
      </c>
      <c r="AB4666" s="2" t="s">
        <v>119</v>
      </c>
      <c r="AC4666" s="2" t="s">
        <v>2346</v>
      </c>
      <c r="AK4666" s="2">
        <f t="shared" ref="AK4666:AK4674" si="867">T4666-W4666</f>
        <v>48.69</v>
      </c>
      <c r="AL4666" s="5">
        <f t="shared" ref="AL4666:AL4674" si="868">(T4666-W4666)/T4666</f>
        <v>0.55741270749856897</v>
      </c>
    </row>
    <row r="4667" spans="1:38" x14ac:dyDescent="0.2">
      <c r="A4667" s="2">
        <v>2026</v>
      </c>
      <c r="B4667" s="2">
        <v>8</v>
      </c>
      <c r="C4667" s="2" t="s">
        <v>3532</v>
      </c>
      <c r="D4667" s="2" t="s">
        <v>1543</v>
      </c>
      <c r="E4667" s="2" t="s">
        <v>108</v>
      </c>
      <c r="F4667" s="2" t="s">
        <v>39</v>
      </c>
      <c r="L4667" s="2" t="s">
        <v>177</v>
      </c>
      <c r="M4667" s="2" t="s">
        <v>40</v>
      </c>
      <c r="P4667" s="2" t="s">
        <v>187</v>
      </c>
      <c r="Q4667" s="2" t="s">
        <v>188</v>
      </c>
      <c r="R4667" s="2" t="s">
        <v>189</v>
      </c>
      <c r="S4667" s="13">
        <v>1</v>
      </c>
      <c r="T4667" s="14">
        <v>75</v>
      </c>
      <c r="U4667" s="2">
        <f t="shared" ref="U4667:U4674" si="869">T4667*23%</f>
        <v>17.25</v>
      </c>
      <c r="V4667" s="2">
        <f t="shared" ref="V4667:V4675" si="870">T4667+U4667</f>
        <v>92.25</v>
      </c>
      <c r="W4667" s="2">
        <f>T4667*40%</f>
        <v>30</v>
      </c>
      <c r="X4667" s="18">
        <f t="shared" si="866"/>
        <v>0.6</v>
      </c>
      <c r="Y4667" s="2" t="s">
        <v>2540</v>
      </c>
      <c r="Z4667" s="2" t="s">
        <v>117</v>
      </c>
      <c r="AA4667" s="2" t="s">
        <v>190</v>
      </c>
      <c r="AB4667" s="2" t="s">
        <v>189</v>
      </c>
      <c r="AC4667" s="2" t="s">
        <v>40</v>
      </c>
      <c r="AK4667" s="2">
        <f t="shared" si="867"/>
        <v>45</v>
      </c>
      <c r="AL4667" s="5">
        <f t="shared" si="868"/>
        <v>0.6</v>
      </c>
    </row>
    <row r="4668" spans="1:38" x14ac:dyDescent="0.2">
      <c r="A4668" s="2">
        <v>2026</v>
      </c>
      <c r="B4668" s="2">
        <v>8</v>
      </c>
      <c r="C4668" s="2" t="s">
        <v>3532</v>
      </c>
      <c r="D4668" s="2" t="s">
        <v>1543</v>
      </c>
      <c r="E4668" s="2" t="s">
        <v>108</v>
      </c>
      <c r="F4668" s="2" t="s">
        <v>39</v>
      </c>
      <c r="L4668" s="2" t="s">
        <v>177</v>
      </c>
      <c r="M4668" s="2" t="s">
        <v>40</v>
      </c>
      <c r="P4668" s="2" t="s">
        <v>187</v>
      </c>
      <c r="Q4668" s="2" t="s">
        <v>191</v>
      </c>
      <c r="R4668" s="2" t="s">
        <v>190</v>
      </c>
      <c r="S4668" s="13">
        <v>1</v>
      </c>
      <c r="T4668" s="14">
        <v>55</v>
      </c>
      <c r="U4668" s="2">
        <f t="shared" si="869"/>
        <v>12.65</v>
      </c>
      <c r="V4668" s="2">
        <f t="shared" si="870"/>
        <v>67.650000000000006</v>
      </c>
      <c r="W4668" s="2">
        <f>T4668*50%</f>
        <v>27.5</v>
      </c>
      <c r="X4668" s="18">
        <f t="shared" si="866"/>
        <v>0.5</v>
      </c>
      <c r="Y4668" s="2" t="s">
        <v>2540</v>
      </c>
      <c r="Z4668" s="2" t="s">
        <v>117</v>
      </c>
      <c r="AA4668" s="2" t="s">
        <v>190</v>
      </c>
      <c r="AB4668" s="2" t="s">
        <v>190</v>
      </c>
      <c r="AC4668" s="2" t="s">
        <v>40</v>
      </c>
      <c r="AK4668" s="2">
        <f t="shared" si="867"/>
        <v>27.5</v>
      </c>
      <c r="AL4668" s="5">
        <f t="shared" si="868"/>
        <v>0.5</v>
      </c>
    </row>
    <row r="4669" spans="1:38" x14ac:dyDescent="0.2">
      <c r="A4669" s="2">
        <v>2026</v>
      </c>
      <c r="B4669" s="2">
        <v>8</v>
      </c>
      <c r="C4669" s="2" t="s">
        <v>3532</v>
      </c>
      <c r="D4669" s="2" t="s">
        <v>415</v>
      </c>
      <c r="E4669" s="2" t="s">
        <v>38</v>
      </c>
      <c r="F4669" s="2" t="s">
        <v>39</v>
      </c>
      <c r="G4669" s="2">
        <v>219908800</v>
      </c>
      <c r="H4669" s="2" t="s">
        <v>41</v>
      </c>
      <c r="I4669" s="2" t="s">
        <v>416</v>
      </c>
      <c r="J4669" s="2" t="s">
        <v>417</v>
      </c>
      <c r="L4669" s="2" t="s">
        <v>418</v>
      </c>
      <c r="M4669" s="2" t="s">
        <v>41</v>
      </c>
      <c r="P4669" s="2" t="s">
        <v>43</v>
      </c>
      <c r="Q4669" s="2" t="s">
        <v>48</v>
      </c>
      <c r="R4669" s="2" t="s">
        <v>49</v>
      </c>
      <c r="S4669" s="13">
        <v>3</v>
      </c>
      <c r="T4669" s="14">
        <v>39</v>
      </c>
      <c r="U4669" s="2">
        <f t="shared" si="869"/>
        <v>8.9700000000000006</v>
      </c>
      <c r="V4669" s="2">
        <f t="shared" si="870"/>
        <v>47.97</v>
      </c>
      <c r="W4669" s="2">
        <f>6.6267*S4669</f>
        <v>19.880099999999999</v>
      </c>
      <c r="X4669" s="18">
        <f t="shared" si="866"/>
        <v>0.49025384615384621</v>
      </c>
      <c r="Z4669" s="2" t="s">
        <v>3226</v>
      </c>
      <c r="AA4669" s="2" t="s">
        <v>46</v>
      </c>
      <c r="AB4669" s="2" t="s">
        <v>47</v>
      </c>
      <c r="AC4669" s="2" t="s">
        <v>57</v>
      </c>
      <c r="AK4669" s="2">
        <f t="shared" si="867"/>
        <v>19.119900000000001</v>
      </c>
      <c r="AL4669" s="5">
        <f t="shared" si="868"/>
        <v>0.49025384615384621</v>
      </c>
    </row>
    <row r="4670" spans="1:38" x14ac:dyDescent="0.2">
      <c r="A4670" s="2">
        <v>2026</v>
      </c>
      <c r="B4670" s="2">
        <v>8</v>
      </c>
      <c r="C4670" s="2" t="s">
        <v>3532</v>
      </c>
      <c r="D4670" s="2" t="s">
        <v>415</v>
      </c>
      <c r="E4670" s="2" t="s">
        <v>38</v>
      </c>
      <c r="F4670" s="2" t="s">
        <v>39</v>
      </c>
      <c r="G4670" s="2">
        <v>219908800</v>
      </c>
      <c r="H4670" s="2" t="s">
        <v>41</v>
      </c>
      <c r="I4670" s="2" t="s">
        <v>416</v>
      </c>
      <c r="J4670" s="2" t="s">
        <v>417</v>
      </c>
      <c r="L4670" s="2" t="s">
        <v>418</v>
      </c>
      <c r="M4670" s="2" t="s">
        <v>41</v>
      </c>
      <c r="P4670" s="2" t="s">
        <v>169</v>
      </c>
      <c r="Q4670" s="2" t="s">
        <v>170</v>
      </c>
      <c r="R4670" s="2" t="s">
        <v>170</v>
      </c>
      <c r="S4670" s="13">
        <v>1</v>
      </c>
      <c r="T4670" s="14">
        <v>5</v>
      </c>
      <c r="U4670" s="2">
        <f t="shared" si="869"/>
        <v>1.1500000000000001</v>
      </c>
      <c r="V4670" s="2">
        <f t="shared" si="870"/>
        <v>6.15</v>
      </c>
      <c r="W4670" s="2">
        <v>5</v>
      </c>
      <c r="X4670" s="18">
        <f t="shared" si="866"/>
        <v>0</v>
      </c>
      <c r="Z4670" s="2" t="s">
        <v>169</v>
      </c>
      <c r="AA4670" s="2" t="s">
        <v>169</v>
      </c>
      <c r="AK4670" s="2">
        <f t="shared" si="867"/>
        <v>0</v>
      </c>
      <c r="AL4670" s="5">
        <f t="shared" si="868"/>
        <v>0</v>
      </c>
    </row>
    <row r="4671" spans="1:38" x14ac:dyDescent="0.2">
      <c r="A4671" s="2">
        <v>2026</v>
      </c>
      <c r="B4671" s="2">
        <v>8</v>
      </c>
      <c r="C4671" s="2" t="s">
        <v>3532</v>
      </c>
      <c r="D4671" s="2" t="s">
        <v>1590</v>
      </c>
      <c r="E4671" s="2" t="s">
        <v>38</v>
      </c>
      <c r="F4671" s="2" t="s">
        <v>39</v>
      </c>
      <c r="L4671" s="2" t="s">
        <v>571</v>
      </c>
      <c r="M4671" s="2" t="s">
        <v>80</v>
      </c>
      <c r="P4671" s="2" t="s">
        <v>72</v>
      </c>
      <c r="Q4671" s="2" t="s">
        <v>1075</v>
      </c>
      <c r="R4671" s="2" t="s">
        <v>83</v>
      </c>
      <c r="S4671" s="13">
        <v>1</v>
      </c>
      <c r="T4671" s="14">
        <v>285</v>
      </c>
      <c r="U4671" s="2">
        <f t="shared" si="869"/>
        <v>65.55</v>
      </c>
      <c r="V4671" s="2">
        <f t="shared" si="870"/>
        <v>350.55</v>
      </c>
      <c r="W4671" s="2">
        <v>171.67500000000001</v>
      </c>
      <c r="X4671" s="18">
        <f t="shared" si="866"/>
        <v>0.39763157894736839</v>
      </c>
      <c r="Z4671" s="2" t="s">
        <v>3226</v>
      </c>
      <c r="AA4671" s="2" t="s">
        <v>75</v>
      </c>
      <c r="AB4671" s="2" t="s">
        <v>76</v>
      </c>
      <c r="AC4671" s="2" t="s">
        <v>77</v>
      </c>
      <c r="AK4671" s="2">
        <f t="shared" si="867"/>
        <v>113.32499999999999</v>
      </c>
      <c r="AL4671" s="5">
        <f t="shared" si="868"/>
        <v>0.39763157894736839</v>
      </c>
    </row>
    <row r="4672" spans="1:38" x14ac:dyDescent="0.2">
      <c r="A4672" s="2">
        <v>2026</v>
      </c>
      <c r="B4672" s="2">
        <v>8</v>
      </c>
      <c r="C4672" s="2" t="s">
        <v>3532</v>
      </c>
      <c r="D4672" s="2" t="s">
        <v>1590</v>
      </c>
      <c r="E4672" s="2" t="s">
        <v>38</v>
      </c>
      <c r="F4672" s="2" t="s">
        <v>39</v>
      </c>
      <c r="L4672" s="2" t="s">
        <v>571</v>
      </c>
      <c r="M4672" s="2" t="s">
        <v>80</v>
      </c>
      <c r="P4672" s="2" t="s">
        <v>93</v>
      </c>
      <c r="Q4672" s="2" t="s">
        <v>94</v>
      </c>
      <c r="R4672" s="2" t="s">
        <v>95</v>
      </c>
      <c r="S4672" s="13">
        <v>1</v>
      </c>
      <c r="T4672" s="14">
        <v>1.48</v>
      </c>
      <c r="U4672" s="2">
        <f t="shared" si="869"/>
        <v>0.34040000000000004</v>
      </c>
      <c r="V4672" s="2">
        <f t="shared" si="870"/>
        <v>1.8204</v>
      </c>
      <c r="W4672" s="2">
        <v>1.48</v>
      </c>
      <c r="X4672" s="18">
        <f t="shared" si="866"/>
        <v>0</v>
      </c>
      <c r="Z4672" s="2" t="s">
        <v>3226</v>
      </c>
      <c r="AA4672" s="2" t="s">
        <v>96</v>
      </c>
      <c r="AB4672" s="2" t="s">
        <v>76</v>
      </c>
      <c r="AC4672" s="2" t="s">
        <v>93</v>
      </c>
      <c r="AK4672" s="2">
        <f t="shared" si="867"/>
        <v>0</v>
      </c>
      <c r="AL4672" s="5">
        <f t="shared" si="868"/>
        <v>0</v>
      </c>
    </row>
    <row r="4673" spans="1:38" x14ac:dyDescent="0.2">
      <c r="A4673" s="2">
        <v>2026</v>
      </c>
      <c r="B4673" s="2">
        <v>8</v>
      </c>
      <c r="C4673" s="2" t="s">
        <v>3532</v>
      </c>
      <c r="D4673" s="2" t="s">
        <v>549</v>
      </c>
      <c r="E4673" s="2" t="s">
        <v>108</v>
      </c>
      <c r="F4673" s="2" t="s">
        <v>395</v>
      </c>
      <c r="G4673" s="2">
        <v>503641790</v>
      </c>
      <c r="H4673" s="2" t="s">
        <v>40</v>
      </c>
      <c r="I4673" s="2" t="s">
        <v>550</v>
      </c>
      <c r="J4673" s="2" t="s">
        <v>551</v>
      </c>
      <c r="K4673" s="2">
        <v>917753665</v>
      </c>
      <c r="L4673" s="2" t="s">
        <v>99</v>
      </c>
      <c r="M4673" s="2" t="s">
        <v>40</v>
      </c>
      <c r="P4673" s="2" t="s">
        <v>187</v>
      </c>
      <c r="Q4673" s="2" t="s">
        <v>188</v>
      </c>
      <c r="R4673" s="2" t="s">
        <v>189</v>
      </c>
      <c r="S4673" s="13">
        <v>1</v>
      </c>
      <c r="T4673" s="14">
        <v>45</v>
      </c>
      <c r="U4673" s="2">
        <f t="shared" si="869"/>
        <v>10.35</v>
      </c>
      <c r="V4673" s="2">
        <f t="shared" si="870"/>
        <v>55.35</v>
      </c>
      <c r="W4673" s="2">
        <f>T4673*40%</f>
        <v>18</v>
      </c>
      <c r="X4673" s="18">
        <f t="shared" si="866"/>
        <v>0.6</v>
      </c>
      <c r="Y4673" s="2" t="s">
        <v>2540</v>
      </c>
      <c r="Z4673" s="2" t="s">
        <v>117</v>
      </c>
      <c r="AA4673" s="2" t="s">
        <v>190</v>
      </c>
      <c r="AB4673" s="2" t="s">
        <v>189</v>
      </c>
      <c r="AC4673" s="2" t="s">
        <v>40</v>
      </c>
      <c r="AK4673" s="2">
        <f t="shared" si="867"/>
        <v>27</v>
      </c>
      <c r="AL4673" s="5">
        <f t="shared" si="868"/>
        <v>0.6</v>
      </c>
    </row>
    <row r="4674" spans="1:38" x14ac:dyDescent="0.2">
      <c r="A4674" s="2">
        <v>2026</v>
      </c>
      <c r="B4674" s="2">
        <v>8</v>
      </c>
      <c r="C4674" s="2" t="s">
        <v>3532</v>
      </c>
      <c r="D4674" s="2" t="s">
        <v>549</v>
      </c>
      <c r="E4674" s="2" t="s">
        <v>108</v>
      </c>
      <c r="F4674" s="2" t="s">
        <v>395</v>
      </c>
      <c r="G4674" s="2">
        <v>503641790</v>
      </c>
      <c r="H4674" s="2" t="s">
        <v>40</v>
      </c>
      <c r="I4674" s="2" t="s">
        <v>550</v>
      </c>
      <c r="J4674" s="2" t="s">
        <v>551</v>
      </c>
      <c r="K4674" s="2">
        <v>917753665</v>
      </c>
      <c r="L4674" s="2" t="s">
        <v>99</v>
      </c>
      <c r="M4674" s="2" t="s">
        <v>40</v>
      </c>
      <c r="P4674" s="2" t="s">
        <v>187</v>
      </c>
      <c r="Q4674" s="2" t="s">
        <v>191</v>
      </c>
      <c r="R4674" s="2" t="s">
        <v>190</v>
      </c>
      <c r="S4674" s="13">
        <v>3</v>
      </c>
      <c r="T4674" s="14">
        <v>49.5</v>
      </c>
      <c r="U4674" s="2">
        <f t="shared" si="869"/>
        <v>11.385</v>
      </c>
      <c r="V4674" s="2">
        <f t="shared" si="870"/>
        <v>60.884999999999998</v>
      </c>
      <c r="W4674" s="2">
        <f>T4674*50%</f>
        <v>24.75</v>
      </c>
      <c r="X4674" s="18">
        <f t="shared" si="866"/>
        <v>0.5</v>
      </c>
      <c r="Y4674" s="2" t="s">
        <v>2540</v>
      </c>
      <c r="Z4674" s="2" t="s">
        <v>117</v>
      </c>
      <c r="AA4674" s="2" t="s">
        <v>190</v>
      </c>
      <c r="AB4674" s="2" t="s">
        <v>190</v>
      </c>
      <c r="AC4674" s="2" t="s">
        <v>40</v>
      </c>
      <c r="AK4674" s="2">
        <f t="shared" si="867"/>
        <v>24.75</v>
      </c>
      <c r="AL4674" s="5">
        <f t="shared" si="868"/>
        <v>0.5</v>
      </c>
    </row>
    <row r="4675" spans="1:38" x14ac:dyDescent="0.2">
      <c r="A4675" s="2">
        <v>2026</v>
      </c>
      <c r="B4675" s="2">
        <v>8</v>
      </c>
      <c r="C4675" s="2" t="s">
        <v>3532</v>
      </c>
      <c r="D4675" s="2" t="s">
        <v>3552</v>
      </c>
      <c r="E4675" s="2" t="s">
        <v>108</v>
      </c>
      <c r="F4675" s="2" t="s">
        <v>39</v>
      </c>
      <c r="L4675" s="2" t="s">
        <v>133</v>
      </c>
      <c r="M4675" s="2" t="s">
        <v>80</v>
      </c>
      <c r="P4675" s="2" t="s">
        <v>1038</v>
      </c>
      <c r="Q4675" s="2" t="s">
        <v>3537</v>
      </c>
      <c r="R4675" s="2" t="s">
        <v>3538</v>
      </c>
      <c r="S4675" s="13">
        <v>2</v>
      </c>
      <c r="T4675" s="14">
        <v>589.42999999999995</v>
      </c>
      <c r="U4675" s="2">
        <f>T4675*23%</f>
        <v>135.56889999999999</v>
      </c>
      <c r="V4675" s="2">
        <f t="shared" si="870"/>
        <v>724.99889999999994</v>
      </c>
      <c r="W4675" s="2">
        <f>186.43*S4675</f>
        <v>372.86</v>
      </c>
      <c r="X4675" s="18">
        <f t="shared" si="866"/>
        <v>0.36742276436557342</v>
      </c>
      <c r="Z4675" s="2" t="s">
        <v>3226</v>
      </c>
      <c r="AA4675" s="2" t="s">
        <v>1041</v>
      </c>
      <c r="AB4675" s="2" t="s">
        <v>2031</v>
      </c>
      <c r="AC4675" s="2" t="s">
        <v>1038</v>
      </c>
      <c r="AK4675" s="2">
        <f t="shared" ref="AK4675:AK4706" si="871">T4675-W4675</f>
        <v>216.56999999999994</v>
      </c>
      <c r="AL4675" s="5">
        <f t="shared" ref="AL4675:AL4706" si="872">(T4675-W4675)/T4675</f>
        <v>0.36742276436557342</v>
      </c>
    </row>
    <row r="4676" spans="1:38" x14ac:dyDescent="0.2">
      <c r="A4676" s="2">
        <v>2026</v>
      </c>
      <c r="B4676" s="2">
        <v>8</v>
      </c>
      <c r="C4676" s="2" t="s">
        <v>3532</v>
      </c>
      <c r="D4676" s="2" t="s">
        <v>3552</v>
      </c>
      <c r="E4676" s="2" t="s">
        <v>108</v>
      </c>
      <c r="F4676" s="2" t="s">
        <v>39</v>
      </c>
      <c r="L4676" s="2" t="s">
        <v>133</v>
      </c>
      <c r="M4676" s="2" t="s">
        <v>80</v>
      </c>
      <c r="P4676" s="2" t="s">
        <v>1038</v>
      </c>
      <c r="Q4676" s="2" t="s">
        <v>3539</v>
      </c>
      <c r="R4676" s="2" t="s">
        <v>3540</v>
      </c>
      <c r="S4676" s="13">
        <v>2</v>
      </c>
      <c r="T4676" s="14">
        <v>589.42999999999995</v>
      </c>
      <c r="U4676" s="2">
        <f t="shared" ref="U4676:U4707" si="873">T4676*23%</f>
        <v>135.56889999999999</v>
      </c>
      <c r="V4676" s="2">
        <f t="shared" ref="V4676:V4707" si="874">T4676+U4676</f>
        <v>724.99889999999994</v>
      </c>
      <c r="W4676" s="2">
        <f>192.07*S4676</f>
        <v>384.14</v>
      </c>
      <c r="X4676" s="18">
        <f t="shared" si="866"/>
        <v>0.34828563188164835</v>
      </c>
      <c r="Z4676" s="2" t="s">
        <v>3226</v>
      </c>
      <c r="AA4676" s="2" t="s">
        <v>1041</v>
      </c>
      <c r="AB4676" s="2" t="s">
        <v>2031</v>
      </c>
      <c r="AC4676" s="2" t="s">
        <v>1038</v>
      </c>
      <c r="AK4676" s="2">
        <f t="shared" si="871"/>
        <v>205.28999999999996</v>
      </c>
      <c r="AL4676" s="5">
        <f t="shared" si="872"/>
        <v>0.34828563188164835</v>
      </c>
    </row>
    <row r="4677" spans="1:38" x14ac:dyDescent="0.2">
      <c r="A4677" s="2">
        <v>2026</v>
      </c>
      <c r="B4677" s="2">
        <v>8</v>
      </c>
      <c r="C4677" s="2" t="s">
        <v>3532</v>
      </c>
      <c r="D4677" s="2" t="s">
        <v>319</v>
      </c>
      <c r="E4677" s="2" t="s">
        <v>38</v>
      </c>
      <c r="F4677" s="2" t="s">
        <v>39</v>
      </c>
      <c r="G4677" s="2">
        <v>500883262</v>
      </c>
      <c r="H4677" s="2" t="s">
        <v>40</v>
      </c>
      <c r="I4677" s="2" t="s">
        <v>99</v>
      </c>
      <c r="J4677" s="2" t="s">
        <v>320</v>
      </c>
      <c r="L4677" s="2" t="s">
        <v>99</v>
      </c>
      <c r="M4677" s="2" t="s">
        <v>80</v>
      </c>
      <c r="P4677" s="2" t="s">
        <v>72</v>
      </c>
      <c r="Q4677" s="2" t="s">
        <v>484</v>
      </c>
      <c r="R4677" s="2" t="s">
        <v>74</v>
      </c>
      <c r="S4677" s="13">
        <v>1</v>
      </c>
      <c r="T4677" s="14">
        <v>230</v>
      </c>
      <c r="U4677" s="2">
        <f t="shared" si="873"/>
        <v>52.900000000000006</v>
      </c>
      <c r="V4677" s="2">
        <f t="shared" si="874"/>
        <v>282.89999999999998</v>
      </c>
      <c r="W4677" s="2">
        <v>131.93</v>
      </c>
      <c r="X4677" s="18">
        <f t="shared" si="866"/>
        <v>0.42639130434782607</v>
      </c>
      <c r="Z4677" s="2" t="s">
        <v>3226</v>
      </c>
      <c r="AA4677" s="2" t="s">
        <v>75</v>
      </c>
      <c r="AB4677" s="2" t="s">
        <v>76</v>
      </c>
      <c r="AC4677" s="2" t="s">
        <v>77</v>
      </c>
      <c r="AF4677" s="2">
        <f>AJ4677</f>
        <v>0</v>
      </c>
      <c r="AG4677" s="2">
        <v>131.93</v>
      </c>
      <c r="AH4677" s="2">
        <v>220</v>
      </c>
      <c r="AK4677" s="2">
        <f t="shared" si="871"/>
        <v>98.07</v>
      </c>
      <c r="AL4677" s="5">
        <f t="shared" si="872"/>
        <v>0.42639130434782607</v>
      </c>
    </row>
    <row r="4678" spans="1:38" x14ac:dyDescent="0.2">
      <c r="A4678" s="2">
        <v>2026</v>
      </c>
      <c r="B4678" s="2">
        <v>8</v>
      </c>
      <c r="C4678" s="2" t="s">
        <v>3532</v>
      </c>
      <c r="D4678" s="2" t="s">
        <v>319</v>
      </c>
      <c r="E4678" s="2" t="s">
        <v>38</v>
      </c>
      <c r="F4678" s="2" t="s">
        <v>39</v>
      </c>
      <c r="G4678" s="2">
        <v>500883262</v>
      </c>
      <c r="H4678" s="2" t="s">
        <v>40</v>
      </c>
      <c r="I4678" s="2" t="s">
        <v>99</v>
      </c>
      <c r="J4678" s="2" t="s">
        <v>320</v>
      </c>
      <c r="L4678" s="2" t="s">
        <v>99</v>
      </c>
      <c r="M4678" s="2" t="s">
        <v>80</v>
      </c>
      <c r="P4678" s="2" t="s">
        <v>93</v>
      </c>
      <c r="Q4678" s="2" t="s">
        <v>94</v>
      </c>
      <c r="R4678" s="2" t="s">
        <v>95</v>
      </c>
      <c r="S4678" s="13">
        <v>1</v>
      </c>
      <c r="T4678" s="14">
        <v>1.48</v>
      </c>
      <c r="U4678" s="2">
        <f t="shared" si="873"/>
        <v>0.34040000000000004</v>
      </c>
      <c r="V4678" s="2">
        <f t="shared" si="874"/>
        <v>1.8204</v>
      </c>
      <c r="W4678" s="2">
        <v>1.48</v>
      </c>
      <c r="X4678" s="18">
        <f t="shared" si="866"/>
        <v>0</v>
      </c>
      <c r="Z4678" s="2" t="s">
        <v>3226</v>
      </c>
      <c r="AA4678" s="2" t="s">
        <v>96</v>
      </c>
      <c r="AB4678" s="2" t="s">
        <v>76</v>
      </c>
      <c r="AC4678" s="2" t="s">
        <v>93</v>
      </c>
      <c r="AK4678" s="2">
        <f t="shared" si="871"/>
        <v>0</v>
      </c>
      <c r="AL4678" s="5">
        <f t="shared" si="872"/>
        <v>0</v>
      </c>
    </row>
    <row r="4679" spans="1:38" x14ac:dyDescent="0.2">
      <c r="A4679" s="2">
        <v>2026</v>
      </c>
      <c r="B4679" s="2">
        <v>8</v>
      </c>
      <c r="C4679" s="2" t="s">
        <v>3532</v>
      </c>
      <c r="D4679" s="2" t="s">
        <v>2557</v>
      </c>
      <c r="E4679" s="2" t="s">
        <v>108</v>
      </c>
      <c r="F4679" s="2" t="s">
        <v>717</v>
      </c>
      <c r="G4679" s="2">
        <v>500228264</v>
      </c>
      <c r="H4679" s="2" t="s">
        <v>109</v>
      </c>
      <c r="I4679" s="2" t="s">
        <v>2937</v>
      </c>
      <c r="J4679" s="2" t="s">
        <v>2938</v>
      </c>
      <c r="K4679" s="2">
        <v>962004672</v>
      </c>
      <c r="L4679" s="2" t="s">
        <v>398</v>
      </c>
      <c r="M4679" s="2" t="s">
        <v>80</v>
      </c>
      <c r="P4679" s="2" t="s">
        <v>72</v>
      </c>
      <c r="Q4679" s="2" t="s">
        <v>3027</v>
      </c>
      <c r="R4679" s="2" t="s">
        <v>331</v>
      </c>
      <c r="S4679" s="13">
        <v>1</v>
      </c>
      <c r="T4679" s="14">
        <v>210</v>
      </c>
      <c r="U4679" s="2">
        <f t="shared" si="873"/>
        <v>48.300000000000004</v>
      </c>
      <c r="V4679" s="2">
        <f t="shared" si="874"/>
        <v>258.3</v>
      </c>
      <c r="W4679" s="2">
        <v>113.4</v>
      </c>
      <c r="X4679" s="18">
        <f t="shared" si="866"/>
        <v>0.45999999999999996</v>
      </c>
      <c r="Z4679" s="2" t="s">
        <v>3226</v>
      </c>
      <c r="AA4679" s="2" t="s">
        <v>75</v>
      </c>
      <c r="AB4679" s="2" t="s">
        <v>76</v>
      </c>
      <c r="AC4679" s="2" t="s">
        <v>77</v>
      </c>
      <c r="AK4679" s="2">
        <f t="shared" si="871"/>
        <v>96.6</v>
      </c>
      <c r="AL4679" s="5">
        <f t="shared" si="872"/>
        <v>0.45999999999999996</v>
      </c>
    </row>
    <row r="4680" spans="1:38" x14ac:dyDescent="0.2">
      <c r="A4680" s="2">
        <v>2026</v>
      </c>
      <c r="B4680" s="2">
        <v>8</v>
      </c>
      <c r="C4680" s="2" t="s">
        <v>3532</v>
      </c>
      <c r="D4680" s="2" t="s">
        <v>2557</v>
      </c>
      <c r="E4680" s="2" t="s">
        <v>108</v>
      </c>
      <c r="F4680" s="2" t="s">
        <v>717</v>
      </c>
      <c r="G4680" s="2">
        <v>500228264</v>
      </c>
      <c r="H4680" s="2" t="s">
        <v>109</v>
      </c>
      <c r="I4680" s="2" t="s">
        <v>2937</v>
      </c>
      <c r="J4680" s="2" t="s">
        <v>2938</v>
      </c>
      <c r="K4680" s="2">
        <v>962004672</v>
      </c>
      <c r="L4680" s="2" t="s">
        <v>398</v>
      </c>
      <c r="M4680" s="2" t="s">
        <v>80</v>
      </c>
      <c r="P4680" s="2" t="s">
        <v>93</v>
      </c>
      <c r="Q4680" s="2" t="s">
        <v>94</v>
      </c>
      <c r="R4680" s="2" t="s">
        <v>95</v>
      </c>
      <c r="S4680" s="13">
        <v>1</v>
      </c>
      <c r="T4680" s="14">
        <v>1.48</v>
      </c>
      <c r="U4680" s="2">
        <f t="shared" si="873"/>
        <v>0.34040000000000004</v>
      </c>
      <c r="V4680" s="2">
        <f t="shared" si="874"/>
        <v>1.8204</v>
      </c>
      <c r="W4680" s="2">
        <v>1.48</v>
      </c>
      <c r="X4680" s="18">
        <f t="shared" si="866"/>
        <v>0</v>
      </c>
      <c r="Z4680" s="2" t="s">
        <v>3226</v>
      </c>
      <c r="AA4680" s="2" t="s">
        <v>96</v>
      </c>
      <c r="AB4680" s="2" t="s">
        <v>76</v>
      </c>
      <c r="AC4680" s="2" t="s">
        <v>93</v>
      </c>
      <c r="AK4680" s="2">
        <f t="shared" si="871"/>
        <v>0</v>
      </c>
      <c r="AL4680" s="5">
        <f t="shared" si="872"/>
        <v>0</v>
      </c>
    </row>
    <row r="4681" spans="1:38" x14ac:dyDescent="0.2">
      <c r="A4681" s="2">
        <v>2026</v>
      </c>
      <c r="B4681" s="2">
        <v>8</v>
      </c>
      <c r="C4681" s="2" t="s">
        <v>3532</v>
      </c>
      <c r="D4681" s="2" t="s">
        <v>341</v>
      </c>
      <c r="E4681" s="2" t="s">
        <v>98</v>
      </c>
      <c r="F4681" s="2" t="s">
        <v>39</v>
      </c>
      <c r="G4681" s="2">
        <v>515045209</v>
      </c>
      <c r="H4681" s="2" t="s">
        <v>40</v>
      </c>
      <c r="I4681" s="2" t="s">
        <v>342</v>
      </c>
      <c r="J4681" s="2" t="s">
        <v>343</v>
      </c>
      <c r="K4681" s="2">
        <v>910797622</v>
      </c>
      <c r="L4681" s="2" t="s">
        <v>344</v>
      </c>
      <c r="M4681" s="2" t="s">
        <v>80</v>
      </c>
      <c r="P4681" s="2" t="s">
        <v>72</v>
      </c>
      <c r="Q4681" s="2" t="s">
        <v>2407</v>
      </c>
      <c r="R4681" s="2" t="s">
        <v>1416</v>
      </c>
      <c r="S4681" s="13">
        <v>1</v>
      </c>
      <c r="T4681" s="14">
        <v>235</v>
      </c>
      <c r="U4681" s="2">
        <f t="shared" si="873"/>
        <v>54.050000000000004</v>
      </c>
      <c r="V4681" s="2">
        <f t="shared" si="874"/>
        <v>289.05</v>
      </c>
      <c r="W4681" s="2">
        <v>129.02000000000001</v>
      </c>
      <c r="X4681" s="18">
        <f t="shared" si="866"/>
        <v>0.45097872340425527</v>
      </c>
      <c r="Z4681" s="2" t="s">
        <v>3226</v>
      </c>
      <c r="AA4681" s="2" t="s">
        <v>75</v>
      </c>
      <c r="AB4681" s="2" t="s">
        <v>76</v>
      </c>
      <c r="AC4681" s="2" t="s">
        <v>77</v>
      </c>
      <c r="AK4681" s="2">
        <f t="shared" si="871"/>
        <v>105.97999999999999</v>
      </c>
      <c r="AL4681" s="5">
        <f t="shared" si="872"/>
        <v>0.45097872340425527</v>
      </c>
    </row>
    <row r="4682" spans="1:38" x14ac:dyDescent="0.2">
      <c r="A4682" s="2">
        <v>2026</v>
      </c>
      <c r="B4682" s="2">
        <v>8</v>
      </c>
      <c r="C4682" s="2" t="s">
        <v>3532</v>
      </c>
      <c r="D4682" s="2" t="s">
        <v>341</v>
      </c>
      <c r="E4682" s="2" t="s">
        <v>98</v>
      </c>
      <c r="F4682" s="2" t="s">
        <v>39</v>
      </c>
      <c r="G4682" s="2">
        <v>515045209</v>
      </c>
      <c r="H4682" s="2" t="s">
        <v>40</v>
      </c>
      <c r="I4682" s="2" t="s">
        <v>342</v>
      </c>
      <c r="J4682" s="2" t="s">
        <v>343</v>
      </c>
      <c r="K4682" s="2">
        <v>910797622</v>
      </c>
      <c r="L4682" s="2" t="s">
        <v>344</v>
      </c>
      <c r="M4682" s="2" t="s">
        <v>80</v>
      </c>
      <c r="P4682" s="2" t="s">
        <v>93</v>
      </c>
      <c r="Q4682" s="2" t="s">
        <v>94</v>
      </c>
      <c r="R4682" s="2" t="s">
        <v>95</v>
      </c>
      <c r="S4682" s="13">
        <v>1</v>
      </c>
      <c r="T4682" s="14">
        <v>1.48</v>
      </c>
      <c r="U4682" s="2">
        <f t="shared" si="873"/>
        <v>0.34040000000000004</v>
      </c>
      <c r="V4682" s="2">
        <f t="shared" si="874"/>
        <v>1.8204</v>
      </c>
      <c r="W4682" s="2">
        <v>1.48</v>
      </c>
      <c r="X4682" s="18">
        <f t="shared" si="866"/>
        <v>0</v>
      </c>
      <c r="Z4682" s="2" t="s">
        <v>3226</v>
      </c>
      <c r="AA4682" s="2" t="s">
        <v>96</v>
      </c>
      <c r="AB4682" s="2" t="s">
        <v>76</v>
      </c>
      <c r="AC4682" s="2" t="s">
        <v>93</v>
      </c>
      <c r="AK4682" s="2">
        <f t="shared" si="871"/>
        <v>0</v>
      </c>
      <c r="AL4682" s="5">
        <f t="shared" si="872"/>
        <v>0</v>
      </c>
    </row>
    <row r="4683" spans="1:38" x14ac:dyDescent="0.2">
      <c r="A4683" s="2">
        <v>2026</v>
      </c>
      <c r="B4683" s="2">
        <v>8</v>
      </c>
      <c r="C4683" s="2" t="s">
        <v>3532</v>
      </c>
      <c r="D4683" s="2" t="s">
        <v>749</v>
      </c>
      <c r="E4683" s="2" t="s">
        <v>108</v>
      </c>
      <c r="F4683" s="2" t="s">
        <v>39</v>
      </c>
      <c r="G4683" s="2">
        <v>510039537</v>
      </c>
      <c r="H4683" s="2" t="s">
        <v>40</v>
      </c>
      <c r="I4683" s="2" t="s">
        <v>571</v>
      </c>
      <c r="J4683" s="2" t="s">
        <v>750</v>
      </c>
      <c r="K4683" s="2">
        <v>969042927</v>
      </c>
      <c r="L4683" s="2" t="s">
        <v>571</v>
      </c>
      <c r="M4683" s="2" t="s">
        <v>80</v>
      </c>
      <c r="P4683" s="2" t="s">
        <v>72</v>
      </c>
      <c r="Q4683" s="2" t="s">
        <v>3541</v>
      </c>
      <c r="R4683" s="2" t="s">
        <v>1416</v>
      </c>
      <c r="S4683" s="13">
        <v>1</v>
      </c>
      <c r="T4683" s="14">
        <v>250</v>
      </c>
      <c r="U4683" s="2">
        <f t="shared" si="873"/>
        <v>57.5</v>
      </c>
      <c r="V4683" s="2">
        <f t="shared" si="874"/>
        <v>307.5</v>
      </c>
      <c r="W4683" s="2">
        <v>133.05000000000001</v>
      </c>
      <c r="X4683" s="18">
        <f t="shared" si="866"/>
        <v>0.46779999999999994</v>
      </c>
      <c r="Z4683" s="2" t="s">
        <v>3226</v>
      </c>
      <c r="AA4683" s="2" t="s">
        <v>75</v>
      </c>
      <c r="AB4683" s="2" t="s">
        <v>76</v>
      </c>
      <c r="AC4683" s="2" t="s">
        <v>77</v>
      </c>
      <c r="AK4683" s="2">
        <f t="shared" si="871"/>
        <v>116.94999999999999</v>
      </c>
      <c r="AL4683" s="5">
        <f t="shared" si="872"/>
        <v>0.46779999999999994</v>
      </c>
    </row>
    <row r="4684" spans="1:38" x14ac:dyDescent="0.2">
      <c r="A4684" s="2">
        <v>2026</v>
      </c>
      <c r="B4684" s="2">
        <v>8</v>
      </c>
      <c r="C4684" s="2" t="s">
        <v>3532</v>
      </c>
      <c r="D4684" s="2" t="s">
        <v>749</v>
      </c>
      <c r="E4684" s="2" t="s">
        <v>108</v>
      </c>
      <c r="F4684" s="2" t="s">
        <v>39</v>
      </c>
      <c r="G4684" s="2">
        <v>510039537</v>
      </c>
      <c r="H4684" s="2" t="s">
        <v>40</v>
      </c>
      <c r="I4684" s="2" t="s">
        <v>571</v>
      </c>
      <c r="J4684" s="2" t="s">
        <v>750</v>
      </c>
      <c r="K4684" s="2">
        <v>969042927</v>
      </c>
      <c r="L4684" s="2" t="s">
        <v>571</v>
      </c>
      <c r="M4684" s="2" t="s">
        <v>80</v>
      </c>
      <c r="P4684" s="2" t="s">
        <v>93</v>
      </c>
      <c r="Q4684" s="2" t="s">
        <v>94</v>
      </c>
      <c r="R4684" s="2" t="s">
        <v>95</v>
      </c>
      <c r="S4684" s="13">
        <v>1</v>
      </c>
      <c r="T4684" s="14">
        <v>1.48</v>
      </c>
      <c r="U4684" s="2">
        <f t="shared" si="873"/>
        <v>0.34040000000000004</v>
      </c>
      <c r="V4684" s="2">
        <f t="shared" si="874"/>
        <v>1.8204</v>
      </c>
      <c r="W4684" s="2">
        <v>1.48</v>
      </c>
      <c r="X4684" s="18">
        <f t="shared" si="866"/>
        <v>0</v>
      </c>
      <c r="Z4684" s="2" t="s">
        <v>3226</v>
      </c>
      <c r="AA4684" s="2" t="s">
        <v>96</v>
      </c>
      <c r="AB4684" s="2" t="s">
        <v>76</v>
      </c>
      <c r="AC4684" s="2" t="s">
        <v>93</v>
      </c>
      <c r="AK4684" s="2">
        <f t="shared" si="871"/>
        <v>0</v>
      </c>
      <c r="AL4684" s="5">
        <f t="shared" si="872"/>
        <v>0</v>
      </c>
    </row>
    <row r="4685" spans="1:38" x14ac:dyDescent="0.2">
      <c r="A4685" s="2">
        <v>2026</v>
      </c>
      <c r="B4685" s="2">
        <v>8</v>
      </c>
      <c r="C4685" s="2" t="s">
        <v>3532</v>
      </c>
      <c r="D4685" s="2" t="s">
        <v>3553</v>
      </c>
      <c r="E4685" s="2" t="s">
        <v>38</v>
      </c>
      <c r="F4685" s="2" t="s">
        <v>39</v>
      </c>
      <c r="L4685" s="2" t="s">
        <v>293</v>
      </c>
      <c r="M4685" s="2" t="s">
        <v>80</v>
      </c>
      <c r="P4685" s="2" t="s">
        <v>72</v>
      </c>
      <c r="Q4685" s="2" t="s">
        <v>196</v>
      </c>
      <c r="R4685" s="2" t="s">
        <v>197</v>
      </c>
      <c r="S4685" s="13">
        <v>1</v>
      </c>
      <c r="T4685" s="14">
        <v>410</v>
      </c>
      <c r="U4685" s="2">
        <f t="shared" si="873"/>
        <v>94.3</v>
      </c>
      <c r="V4685" s="2">
        <f t="shared" si="874"/>
        <v>504.3</v>
      </c>
      <c r="W4685" s="2">
        <v>206.64</v>
      </c>
      <c r="X4685" s="18">
        <f t="shared" si="866"/>
        <v>0.49600000000000005</v>
      </c>
      <c r="Z4685" s="2" t="s">
        <v>3226</v>
      </c>
      <c r="AA4685" s="2" t="s">
        <v>75</v>
      </c>
      <c r="AB4685" s="2" t="s">
        <v>76</v>
      </c>
      <c r="AC4685" s="2" t="s">
        <v>77</v>
      </c>
      <c r="AK4685" s="2">
        <f t="shared" si="871"/>
        <v>203.36</v>
      </c>
      <c r="AL4685" s="5">
        <f t="shared" si="872"/>
        <v>0.49600000000000005</v>
      </c>
    </row>
    <row r="4686" spans="1:38" x14ac:dyDescent="0.2">
      <c r="A4686" s="2">
        <v>2026</v>
      </c>
      <c r="B4686" s="2">
        <v>8</v>
      </c>
      <c r="C4686" s="2" t="s">
        <v>3532</v>
      </c>
      <c r="D4686" s="2" t="s">
        <v>3553</v>
      </c>
      <c r="E4686" s="2" t="s">
        <v>38</v>
      </c>
      <c r="F4686" s="2" t="s">
        <v>39</v>
      </c>
      <c r="L4686" s="2" t="s">
        <v>293</v>
      </c>
      <c r="M4686" s="2" t="s">
        <v>80</v>
      </c>
      <c r="P4686" s="2" t="s">
        <v>93</v>
      </c>
      <c r="Q4686" s="2" t="s">
        <v>94</v>
      </c>
      <c r="R4686" s="2" t="s">
        <v>95</v>
      </c>
      <c r="S4686" s="13">
        <v>1</v>
      </c>
      <c r="T4686" s="14">
        <v>1.48</v>
      </c>
      <c r="U4686" s="2">
        <f t="shared" si="873"/>
        <v>0.34040000000000004</v>
      </c>
      <c r="V4686" s="2">
        <f t="shared" si="874"/>
        <v>1.8204</v>
      </c>
      <c r="W4686" s="2">
        <v>1.48</v>
      </c>
      <c r="X4686" s="18">
        <f t="shared" si="866"/>
        <v>0</v>
      </c>
      <c r="Z4686" s="2" t="s">
        <v>3226</v>
      </c>
      <c r="AA4686" s="2" t="s">
        <v>96</v>
      </c>
      <c r="AB4686" s="2" t="s">
        <v>76</v>
      </c>
      <c r="AC4686" s="2" t="s">
        <v>93</v>
      </c>
      <c r="AK4686" s="2">
        <f t="shared" si="871"/>
        <v>0</v>
      </c>
      <c r="AL4686" s="5">
        <f t="shared" si="872"/>
        <v>0</v>
      </c>
    </row>
    <row r="4687" spans="1:38" x14ac:dyDescent="0.2">
      <c r="A4687" s="2">
        <v>2026</v>
      </c>
      <c r="B4687" s="2">
        <v>8</v>
      </c>
      <c r="C4687" s="2" t="s">
        <v>3532</v>
      </c>
      <c r="D4687" s="2" t="s">
        <v>3554</v>
      </c>
      <c r="E4687" s="2" t="s">
        <v>108</v>
      </c>
      <c r="F4687" s="2" t="s">
        <v>477</v>
      </c>
      <c r="L4687" s="2" t="s">
        <v>600</v>
      </c>
      <c r="M4687" s="2" t="s">
        <v>80</v>
      </c>
      <c r="P4687" s="2" t="s">
        <v>72</v>
      </c>
      <c r="Q4687" s="2" t="s">
        <v>1449</v>
      </c>
      <c r="R4687" s="2" t="s">
        <v>307</v>
      </c>
      <c r="S4687" s="13">
        <v>1</v>
      </c>
      <c r="T4687" s="14">
        <v>230</v>
      </c>
      <c r="U4687" s="2">
        <f t="shared" si="873"/>
        <v>52.900000000000006</v>
      </c>
      <c r="V4687" s="2">
        <f t="shared" si="874"/>
        <v>282.89999999999998</v>
      </c>
      <c r="W4687" s="2">
        <f>110.628+11.82</f>
        <v>122.44800000000001</v>
      </c>
      <c r="X4687" s="18">
        <f t="shared" si="866"/>
        <v>0.46761739130434782</v>
      </c>
      <c r="Z4687" s="2" t="s">
        <v>3226</v>
      </c>
      <c r="AA4687" s="2" t="s">
        <v>75</v>
      </c>
      <c r="AB4687" s="2" t="s">
        <v>76</v>
      </c>
      <c r="AC4687" s="2" t="s">
        <v>77</v>
      </c>
      <c r="AK4687" s="2">
        <f t="shared" si="871"/>
        <v>107.55199999999999</v>
      </c>
      <c r="AL4687" s="5">
        <f t="shared" si="872"/>
        <v>0.46761739130434782</v>
      </c>
    </row>
    <row r="4688" spans="1:38" x14ac:dyDescent="0.2">
      <c r="A4688" s="2">
        <v>2026</v>
      </c>
      <c r="B4688" s="2">
        <v>8</v>
      </c>
      <c r="C4688" s="2" t="s">
        <v>3532</v>
      </c>
      <c r="D4688" s="2" t="s">
        <v>3554</v>
      </c>
      <c r="E4688" s="2" t="s">
        <v>108</v>
      </c>
      <c r="F4688" s="2" t="s">
        <v>477</v>
      </c>
      <c r="L4688" s="2" t="s">
        <v>600</v>
      </c>
      <c r="M4688" s="2" t="s">
        <v>80</v>
      </c>
      <c r="P4688" s="2" t="s">
        <v>93</v>
      </c>
      <c r="Q4688" s="2" t="s">
        <v>94</v>
      </c>
      <c r="R4688" s="2" t="s">
        <v>95</v>
      </c>
      <c r="S4688" s="13">
        <v>1</v>
      </c>
      <c r="T4688" s="14">
        <v>1.48</v>
      </c>
      <c r="U4688" s="2">
        <f t="shared" si="873"/>
        <v>0.34040000000000004</v>
      </c>
      <c r="V4688" s="2">
        <f t="shared" si="874"/>
        <v>1.8204</v>
      </c>
      <c r="W4688" s="2">
        <v>1.48</v>
      </c>
      <c r="X4688" s="18">
        <f t="shared" si="866"/>
        <v>0</v>
      </c>
      <c r="Z4688" s="2" t="s">
        <v>3226</v>
      </c>
      <c r="AA4688" s="2" t="s">
        <v>96</v>
      </c>
      <c r="AB4688" s="2" t="s">
        <v>76</v>
      </c>
      <c r="AC4688" s="2" t="s">
        <v>93</v>
      </c>
      <c r="AK4688" s="2">
        <f t="shared" si="871"/>
        <v>0</v>
      </c>
      <c r="AL4688" s="5">
        <f t="shared" si="872"/>
        <v>0</v>
      </c>
    </row>
    <row r="4689" spans="1:38" x14ac:dyDescent="0.2">
      <c r="A4689" s="2">
        <v>2026</v>
      </c>
      <c r="B4689" s="2">
        <v>8</v>
      </c>
      <c r="C4689" s="2" t="s">
        <v>3532</v>
      </c>
      <c r="D4689" s="2" t="s">
        <v>1376</v>
      </c>
      <c r="E4689" s="2" t="s">
        <v>183</v>
      </c>
      <c r="F4689" s="2" t="s">
        <v>366</v>
      </c>
      <c r="L4689" s="2" t="s">
        <v>571</v>
      </c>
      <c r="M4689" s="2" t="s">
        <v>80</v>
      </c>
      <c r="P4689" s="2" t="s">
        <v>72</v>
      </c>
      <c r="Q4689" s="2" t="s">
        <v>1122</v>
      </c>
      <c r="R4689" s="2" t="s">
        <v>79</v>
      </c>
      <c r="S4689" s="13">
        <v>1</v>
      </c>
      <c r="T4689" s="14">
        <v>210</v>
      </c>
      <c r="U4689" s="2">
        <f t="shared" si="873"/>
        <v>48.300000000000004</v>
      </c>
      <c r="V4689" s="2">
        <f t="shared" si="874"/>
        <v>258.3</v>
      </c>
      <c r="W4689" s="2">
        <v>113.9</v>
      </c>
      <c r="X4689" s="18">
        <f t="shared" si="866"/>
        <v>0.45761904761904759</v>
      </c>
      <c r="Z4689" s="2" t="s">
        <v>3226</v>
      </c>
      <c r="AA4689" s="2" t="s">
        <v>75</v>
      </c>
      <c r="AB4689" s="2" t="s">
        <v>76</v>
      </c>
      <c r="AC4689" s="2" t="s">
        <v>77</v>
      </c>
      <c r="AK4689" s="2">
        <f t="shared" si="871"/>
        <v>96.1</v>
      </c>
      <c r="AL4689" s="5">
        <f t="shared" si="872"/>
        <v>0.45761904761904759</v>
      </c>
    </row>
    <row r="4690" spans="1:38" x14ac:dyDescent="0.2">
      <c r="A4690" s="2">
        <v>2026</v>
      </c>
      <c r="B4690" s="2">
        <v>8</v>
      </c>
      <c r="C4690" s="2" t="s">
        <v>3532</v>
      </c>
      <c r="D4690" s="2" t="s">
        <v>1376</v>
      </c>
      <c r="E4690" s="2" t="s">
        <v>183</v>
      </c>
      <c r="F4690" s="2" t="s">
        <v>366</v>
      </c>
      <c r="L4690" s="2" t="s">
        <v>571</v>
      </c>
      <c r="M4690" s="2" t="s">
        <v>80</v>
      </c>
      <c r="P4690" s="2" t="s">
        <v>93</v>
      </c>
      <c r="Q4690" s="2" t="s">
        <v>94</v>
      </c>
      <c r="R4690" s="2" t="s">
        <v>95</v>
      </c>
      <c r="S4690" s="13">
        <v>1</v>
      </c>
      <c r="T4690" s="14">
        <v>1.48</v>
      </c>
      <c r="U4690" s="2">
        <f t="shared" si="873"/>
        <v>0.34040000000000004</v>
      </c>
      <c r="V4690" s="2">
        <f t="shared" si="874"/>
        <v>1.8204</v>
      </c>
      <c r="W4690" s="2">
        <v>1.48</v>
      </c>
      <c r="X4690" s="18">
        <f t="shared" si="866"/>
        <v>0</v>
      </c>
      <c r="Z4690" s="2" t="s">
        <v>3226</v>
      </c>
      <c r="AA4690" s="2" t="s">
        <v>96</v>
      </c>
      <c r="AB4690" s="2" t="s">
        <v>76</v>
      </c>
      <c r="AC4690" s="2" t="s">
        <v>93</v>
      </c>
      <c r="AK4690" s="2">
        <f t="shared" si="871"/>
        <v>0</v>
      </c>
      <c r="AL4690" s="5">
        <f t="shared" si="872"/>
        <v>0</v>
      </c>
    </row>
    <row r="4691" spans="1:38" x14ac:dyDescent="0.2">
      <c r="A4691" s="2">
        <v>2026</v>
      </c>
      <c r="B4691" s="2">
        <v>8</v>
      </c>
      <c r="C4691" s="2" t="s">
        <v>3532</v>
      </c>
      <c r="D4691" s="2" t="s">
        <v>1573</v>
      </c>
      <c r="E4691" s="2" t="s">
        <v>752</v>
      </c>
      <c r="F4691" s="2" t="s">
        <v>39</v>
      </c>
      <c r="L4691" s="2" t="s">
        <v>461</v>
      </c>
      <c r="M4691" s="2" t="s">
        <v>109</v>
      </c>
      <c r="P4691" s="2" t="s">
        <v>282</v>
      </c>
      <c r="Q4691" s="2" t="s">
        <v>3542</v>
      </c>
      <c r="R4691" s="2" t="s">
        <v>3543</v>
      </c>
      <c r="S4691" s="13">
        <v>1</v>
      </c>
      <c r="T4691" s="14">
        <v>1171</v>
      </c>
      <c r="U4691" s="2">
        <f t="shared" si="873"/>
        <v>269.33</v>
      </c>
      <c r="V4691" s="2">
        <f t="shared" si="874"/>
        <v>1440.33</v>
      </c>
      <c r="W4691" s="2">
        <f>819.07+25.03</f>
        <v>844.1</v>
      </c>
      <c r="X4691" s="18">
        <f t="shared" si="866"/>
        <v>0.27916310845431253</v>
      </c>
      <c r="Z4691" s="2" t="s">
        <v>104</v>
      </c>
      <c r="AA4691" s="2" t="s">
        <v>578</v>
      </c>
      <c r="AB4691" s="2" t="s">
        <v>119</v>
      </c>
      <c r="AC4691" s="2" t="s">
        <v>1327</v>
      </c>
      <c r="AK4691" s="2">
        <f t="shared" si="871"/>
        <v>326.89999999999998</v>
      </c>
      <c r="AL4691" s="5">
        <f t="shared" si="872"/>
        <v>0.27916310845431253</v>
      </c>
    </row>
    <row r="4692" spans="1:38" x14ac:dyDescent="0.2">
      <c r="A4692" s="2">
        <v>2026</v>
      </c>
      <c r="B4692" s="2">
        <v>8</v>
      </c>
      <c r="C4692" s="2" t="s">
        <v>3532</v>
      </c>
      <c r="D4692" s="2" t="s">
        <v>1573</v>
      </c>
      <c r="E4692" s="2" t="s">
        <v>752</v>
      </c>
      <c r="F4692" s="2" t="s">
        <v>39</v>
      </c>
      <c r="L4692" s="2" t="s">
        <v>461</v>
      </c>
      <c r="M4692" s="2" t="s">
        <v>109</v>
      </c>
      <c r="P4692" s="2" t="s">
        <v>282</v>
      </c>
      <c r="Q4692" s="2" t="s">
        <v>3544</v>
      </c>
      <c r="R4692" s="2" t="s">
        <v>3545</v>
      </c>
      <c r="S4692" s="13">
        <v>1</v>
      </c>
      <c r="T4692" s="14">
        <v>872</v>
      </c>
      <c r="U4692" s="2">
        <f t="shared" si="873"/>
        <v>200.56</v>
      </c>
      <c r="V4692" s="2">
        <f t="shared" si="874"/>
        <v>1072.56</v>
      </c>
      <c r="W4692" s="2">
        <f>610.4+18.64</f>
        <v>629.04</v>
      </c>
      <c r="X4692" s="18">
        <f t="shared" si="866"/>
        <v>0.27862385321100924</v>
      </c>
      <c r="Z4692" s="2" t="s">
        <v>104</v>
      </c>
      <c r="AA4692" s="2" t="s">
        <v>578</v>
      </c>
      <c r="AB4692" s="2" t="s">
        <v>119</v>
      </c>
      <c r="AC4692" s="2" t="s">
        <v>1327</v>
      </c>
      <c r="AK4692" s="2">
        <f t="shared" si="871"/>
        <v>242.96000000000004</v>
      </c>
      <c r="AL4692" s="5">
        <f t="shared" si="872"/>
        <v>0.27862385321100924</v>
      </c>
    </row>
    <row r="4693" spans="1:38" x14ac:dyDescent="0.2">
      <c r="A4693" s="2">
        <v>2026</v>
      </c>
      <c r="B4693" s="2">
        <v>8</v>
      </c>
      <c r="C4693" s="2" t="s">
        <v>3532</v>
      </c>
      <c r="D4693" s="2" t="s">
        <v>1573</v>
      </c>
      <c r="E4693" s="2" t="s">
        <v>752</v>
      </c>
      <c r="F4693" s="2" t="s">
        <v>39</v>
      </c>
      <c r="L4693" s="2" t="s">
        <v>461</v>
      </c>
      <c r="M4693" s="2" t="s">
        <v>109</v>
      </c>
      <c r="P4693" s="2" t="s">
        <v>282</v>
      </c>
      <c r="Q4693" s="2" t="s">
        <v>3546</v>
      </c>
      <c r="R4693" s="2" t="s">
        <v>3547</v>
      </c>
      <c r="S4693" s="13">
        <v>1</v>
      </c>
      <c r="T4693" s="14">
        <v>788</v>
      </c>
      <c r="U4693" s="2">
        <f t="shared" si="873"/>
        <v>181.24</v>
      </c>
      <c r="V4693" s="2">
        <f t="shared" si="874"/>
        <v>969.24</v>
      </c>
      <c r="W4693" s="2">
        <f>551.6+16.84</f>
        <v>568.44000000000005</v>
      </c>
      <c r="X4693" s="18">
        <f t="shared" si="866"/>
        <v>0.27862944162436543</v>
      </c>
      <c r="Z4693" s="2" t="s">
        <v>104</v>
      </c>
      <c r="AA4693" s="2" t="s">
        <v>578</v>
      </c>
      <c r="AB4693" s="2" t="s">
        <v>119</v>
      </c>
      <c r="AC4693" s="2" t="s">
        <v>1327</v>
      </c>
      <c r="AK4693" s="2">
        <f t="shared" si="871"/>
        <v>219.55999999999995</v>
      </c>
      <c r="AL4693" s="5">
        <f t="shared" si="872"/>
        <v>0.27862944162436543</v>
      </c>
    </row>
    <row r="4694" spans="1:38" x14ac:dyDescent="0.2">
      <c r="A4694" s="2">
        <v>2026</v>
      </c>
      <c r="B4694" s="2">
        <v>8</v>
      </c>
      <c r="C4694" s="2" t="s">
        <v>3532</v>
      </c>
      <c r="D4694" s="2" t="s">
        <v>1573</v>
      </c>
      <c r="E4694" s="2" t="s">
        <v>752</v>
      </c>
      <c r="F4694" s="2" t="s">
        <v>39</v>
      </c>
      <c r="L4694" s="2" t="s">
        <v>461</v>
      </c>
      <c r="M4694" s="2" t="s">
        <v>109</v>
      </c>
      <c r="P4694" s="2" t="s">
        <v>282</v>
      </c>
      <c r="Q4694" s="2" t="s">
        <v>3548</v>
      </c>
      <c r="R4694" s="2" t="s">
        <v>3549</v>
      </c>
      <c r="S4694" s="13">
        <v>1</v>
      </c>
      <c r="T4694" s="14">
        <v>2783</v>
      </c>
      <c r="U4694" s="2">
        <f t="shared" si="873"/>
        <v>640.09</v>
      </c>
      <c r="V4694" s="2">
        <f t="shared" si="874"/>
        <v>3423.09</v>
      </c>
      <c r="W4694" s="2">
        <f>1948.1+59.49</f>
        <v>2007.59</v>
      </c>
      <c r="X4694" s="18">
        <f t="shared" si="866"/>
        <v>0.27862378727991377</v>
      </c>
      <c r="Z4694" s="2" t="s">
        <v>104</v>
      </c>
      <c r="AA4694" s="2" t="s">
        <v>578</v>
      </c>
      <c r="AB4694" s="2" t="s">
        <v>119</v>
      </c>
      <c r="AC4694" s="2" t="s">
        <v>1327</v>
      </c>
      <c r="AK4694" s="2">
        <f t="shared" si="871"/>
        <v>775.41000000000008</v>
      </c>
      <c r="AL4694" s="5">
        <f t="shared" si="872"/>
        <v>0.27862378727991377</v>
      </c>
    </row>
    <row r="4695" spans="1:38" x14ac:dyDescent="0.2">
      <c r="A4695" s="2">
        <v>2026</v>
      </c>
      <c r="B4695" s="2">
        <v>8</v>
      </c>
      <c r="C4695" s="2" t="s">
        <v>3532</v>
      </c>
      <c r="D4695" s="2" t="s">
        <v>500</v>
      </c>
      <c r="E4695" s="2" t="s">
        <v>38</v>
      </c>
      <c r="F4695" s="2" t="s">
        <v>39</v>
      </c>
      <c r="G4695" s="2">
        <v>513244468</v>
      </c>
      <c r="H4695" s="2" t="s">
        <v>41</v>
      </c>
      <c r="I4695" s="2" t="s">
        <v>501</v>
      </c>
      <c r="J4695" s="2" t="s">
        <v>502</v>
      </c>
      <c r="K4695" s="2">
        <v>918010109</v>
      </c>
      <c r="L4695" s="2" t="s">
        <v>99</v>
      </c>
      <c r="M4695" s="2" t="s">
        <v>41</v>
      </c>
      <c r="P4695" s="2" t="s">
        <v>282</v>
      </c>
      <c r="Q4695" s="2" t="s">
        <v>3550</v>
      </c>
      <c r="R4695" s="2" t="s">
        <v>3551</v>
      </c>
      <c r="S4695" s="13">
        <v>1</v>
      </c>
      <c r="T4695" s="14">
        <v>1400</v>
      </c>
      <c r="U4695" s="2">
        <f t="shared" si="873"/>
        <v>322</v>
      </c>
      <c r="V4695" s="2">
        <f t="shared" si="874"/>
        <v>1722</v>
      </c>
      <c r="W4695" s="2">
        <v>1400</v>
      </c>
      <c r="X4695" s="18">
        <f t="shared" si="866"/>
        <v>0</v>
      </c>
      <c r="Z4695" s="2" t="s">
        <v>3226</v>
      </c>
      <c r="AA4695" s="2" t="s">
        <v>71</v>
      </c>
      <c r="AB4695" s="2" t="s">
        <v>1600</v>
      </c>
      <c r="AC4695" s="2" t="s">
        <v>1600</v>
      </c>
      <c r="AK4695" s="2">
        <f t="shared" si="871"/>
        <v>0</v>
      </c>
      <c r="AL4695" s="5">
        <f t="shared" si="872"/>
        <v>0</v>
      </c>
    </row>
    <row r="4696" spans="1:38" x14ac:dyDescent="0.2">
      <c r="A4696" s="2">
        <v>2026</v>
      </c>
      <c r="B4696" s="2">
        <v>8</v>
      </c>
      <c r="C4696" s="2" t="s">
        <v>3532</v>
      </c>
      <c r="D4696" s="2" t="s">
        <v>2052</v>
      </c>
      <c r="E4696" s="2" t="s">
        <v>108</v>
      </c>
      <c r="F4696" s="2" t="s">
        <v>39</v>
      </c>
      <c r="L4696" s="2" t="s">
        <v>339</v>
      </c>
      <c r="M4696" s="2" t="s">
        <v>39</v>
      </c>
      <c r="P4696" s="2" t="s">
        <v>72</v>
      </c>
      <c r="Q4696" s="2" t="s">
        <v>1025</v>
      </c>
      <c r="R4696" s="2" t="s">
        <v>197</v>
      </c>
      <c r="S4696" s="13">
        <v>1</v>
      </c>
      <c r="T4696" s="14">
        <v>270</v>
      </c>
      <c r="U4696" s="2">
        <f t="shared" si="873"/>
        <v>62.1</v>
      </c>
      <c r="V4696" s="2">
        <f t="shared" si="874"/>
        <v>332.1</v>
      </c>
      <c r="W4696" s="2">
        <v>152.85</v>
      </c>
      <c r="X4696" s="18">
        <f t="shared" si="866"/>
        <v>0.43388888888888894</v>
      </c>
      <c r="Z4696" s="2" t="s">
        <v>3226</v>
      </c>
      <c r="AA4696" s="2" t="s">
        <v>75</v>
      </c>
      <c r="AB4696" s="2" t="s">
        <v>76</v>
      </c>
      <c r="AC4696" s="2" t="s">
        <v>77</v>
      </c>
      <c r="AK4696" s="2">
        <f t="shared" si="871"/>
        <v>117.15</v>
      </c>
      <c r="AL4696" s="5">
        <f t="shared" si="872"/>
        <v>0.43388888888888894</v>
      </c>
    </row>
    <row r="4697" spans="1:38" x14ac:dyDescent="0.2">
      <c r="A4697" s="2">
        <v>2026</v>
      </c>
      <c r="B4697" s="2">
        <v>8</v>
      </c>
      <c r="C4697" s="2" t="s">
        <v>3532</v>
      </c>
      <c r="D4697" s="2" t="s">
        <v>2052</v>
      </c>
      <c r="E4697" s="2" t="s">
        <v>108</v>
      </c>
      <c r="F4697" s="2" t="s">
        <v>39</v>
      </c>
      <c r="L4697" s="2" t="s">
        <v>339</v>
      </c>
      <c r="M4697" s="2" t="s">
        <v>39</v>
      </c>
      <c r="P4697" s="2" t="s">
        <v>93</v>
      </c>
      <c r="Q4697" s="2" t="s">
        <v>94</v>
      </c>
      <c r="R4697" s="2" t="s">
        <v>95</v>
      </c>
      <c r="S4697" s="13">
        <v>1</v>
      </c>
      <c r="T4697" s="14">
        <v>1.48</v>
      </c>
      <c r="U4697" s="2">
        <f t="shared" si="873"/>
        <v>0.34040000000000004</v>
      </c>
      <c r="V4697" s="2">
        <f t="shared" si="874"/>
        <v>1.8204</v>
      </c>
      <c r="W4697" s="2">
        <v>1.48</v>
      </c>
      <c r="X4697" s="18">
        <f t="shared" si="866"/>
        <v>0</v>
      </c>
      <c r="Z4697" s="2" t="s">
        <v>3226</v>
      </c>
      <c r="AA4697" s="2" t="s">
        <v>96</v>
      </c>
      <c r="AB4697" s="2" t="s">
        <v>76</v>
      </c>
      <c r="AC4697" s="2" t="s">
        <v>93</v>
      </c>
      <c r="AK4697" s="2">
        <f t="shared" si="871"/>
        <v>0</v>
      </c>
      <c r="AL4697" s="5">
        <f t="shared" si="872"/>
        <v>0</v>
      </c>
    </row>
    <row r="4698" spans="1:38" x14ac:dyDescent="0.2">
      <c r="A4698" s="2">
        <v>2026</v>
      </c>
      <c r="B4698" s="2">
        <v>8</v>
      </c>
      <c r="C4698" s="2" t="s">
        <v>3532</v>
      </c>
      <c r="D4698" s="2" t="s">
        <v>2904</v>
      </c>
      <c r="E4698" s="2" t="s">
        <v>38</v>
      </c>
      <c r="F4698" s="2" t="s">
        <v>3443</v>
      </c>
      <c r="L4698" s="2" t="s">
        <v>99</v>
      </c>
      <c r="M4698" s="2" t="s">
        <v>40</v>
      </c>
      <c r="P4698" s="2" t="s">
        <v>187</v>
      </c>
      <c r="Q4698" s="2" t="s">
        <v>191</v>
      </c>
      <c r="R4698" s="2" t="s">
        <v>190</v>
      </c>
      <c r="S4698" s="13">
        <v>1</v>
      </c>
      <c r="T4698" s="14">
        <v>28.4</v>
      </c>
      <c r="U4698" s="2">
        <f t="shared" si="873"/>
        <v>6.532</v>
      </c>
      <c r="V4698" s="2">
        <f t="shared" si="874"/>
        <v>34.932000000000002</v>
      </c>
      <c r="W4698" s="2">
        <f>T4698*50%</f>
        <v>14.2</v>
      </c>
      <c r="X4698" s="18">
        <f t="shared" si="866"/>
        <v>0.5</v>
      </c>
      <c r="Y4698" s="2" t="s">
        <v>3299</v>
      </c>
      <c r="Z4698" s="2" t="s">
        <v>117</v>
      </c>
      <c r="AA4698" s="2" t="s">
        <v>190</v>
      </c>
      <c r="AB4698" s="2" t="s">
        <v>190</v>
      </c>
      <c r="AC4698" s="2" t="s">
        <v>40</v>
      </c>
      <c r="AK4698" s="2">
        <f t="shared" si="871"/>
        <v>14.2</v>
      </c>
      <c r="AL4698" s="5">
        <f t="shared" si="872"/>
        <v>0.5</v>
      </c>
    </row>
    <row r="4699" spans="1:38" x14ac:dyDescent="0.2">
      <c r="A4699" s="2">
        <v>2026</v>
      </c>
      <c r="B4699" s="2">
        <v>8</v>
      </c>
      <c r="C4699" s="2" t="s">
        <v>3532</v>
      </c>
      <c r="D4699" s="2" t="s">
        <v>1418</v>
      </c>
      <c r="E4699" s="2" t="s">
        <v>108</v>
      </c>
      <c r="F4699" s="2" t="s">
        <v>39</v>
      </c>
      <c r="G4699" s="2">
        <v>502696338</v>
      </c>
      <c r="H4699" s="2" t="s">
        <v>40</v>
      </c>
      <c r="I4699" s="2" t="s">
        <v>2411</v>
      </c>
      <c r="J4699" s="2" t="s">
        <v>2412</v>
      </c>
      <c r="L4699" s="2" t="s">
        <v>201</v>
      </c>
      <c r="M4699" s="2" t="s">
        <v>80</v>
      </c>
      <c r="P4699" s="2" t="s">
        <v>72</v>
      </c>
      <c r="Q4699" s="2" t="s">
        <v>202</v>
      </c>
      <c r="R4699" s="2" t="s">
        <v>197</v>
      </c>
      <c r="S4699" s="13">
        <v>1</v>
      </c>
      <c r="T4699" s="14">
        <v>275</v>
      </c>
      <c r="U4699" s="2">
        <f t="shared" si="873"/>
        <v>63.25</v>
      </c>
      <c r="V4699" s="2">
        <f t="shared" si="874"/>
        <v>338.25</v>
      </c>
      <c r="W4699" s="2">
        <v>152.85</v>
      </c>
      <c r="X4699" s="18">
        <f t="shared" si="866"/>
        <v>0.44418181818181818</v>
      </c>
      <c r="Z4699" s="2" t="s">
        <v>3226</v>
      </c>
      <c r="AA4699" s="2" t="s">
        <v>75</v>
      </c>
      <c r="AB4699" s="2" t="s">
        <v>76</v>
      </c>
      <c r="AC4699" s="2" t="s">
        <v>77</v>
      </c>
      <c r="AK4699" s="2">
        <f t="shared" si="871"/>
        <v>122.15</v>
      </c>
      <c r="AL4699" s="5">
        <f t="shared" si="872"/>
        <v>0.44418181818181818</v>
      </c>
    </row>
    <row r="4700" spans="1:38" x14ac:dyDescent="0.2">
      <c r="A4700" s="2">
        <v>2026</v>
      </c>
      <c r="B4700" s="2">
        <v>8</v>
      </c>
      <c r="C4700" s="2" t="s">
        <v>3532</v>
      </c>
      <c r="D4700" s="2" t="s">
        <v>1418</v>
      </c>
      <c r="E4700" s="2" t="s">
        <v>108</v>
      </c>
      <c r="F4700" s="2" t="s">
        <v>39</v>
      </c>
      <c r="G4700" s="2">
        <v>502696338</v>
      </c>
      <c r="H4700" s="2" t="s">
        <v>40</v>
      </c>
      <c r="I4700" s="2" t="s">
        <v>2411</v>
      </c>
      <c r="J4700" s="2" t="s">
        <v>2412</v>
      </c>
      <c r="L4700" s="2" t="s">
        <v>201</v>
      </c>
      <c r="M4700" s="2" t="s">
        <v>80</v>
      </c>
      <c r="P4700" s="2" t="s">
        <v>93</v>
      </c>
      <c r="Q4700" s="2" t="s">
        <v>94</v>
      </c>
      <c r="R4700" s="2" t="s">
        <v>95</v>
      </c>
      <c r="S4700" s="13">
        <v>1</v>
      </c>
      <c r="T4700" s="14">
        <v>1.48</v>
      </c>
      <c r="U4700" s="2">
        <f t="shared" si="873"/>
        <v>0.34040000000000004</v>
      </c>
      <c r="V4700" s="2">
        <f t="shared" si="874"/>
        <v>1.8204</v>
      </c>
      <c r="W4700" s="2">
        <v>1.48</v>
      </c>
      <c r="X4700" s="18">
        <f t="shared" si="866"/>
        <v>0</v>
      </c>
      <c r="Z4700" s="2" t="s">
        <v>3226</v>
      </c>
      <c r="AA4700" s="2" t="s">
        <v>96</v>
      </c>
      <c r="AB4700" s="2" t="s">
        <v>76</v>
      </c>
      <c r="AC4700" s="2" t="s">
        <v>93</v>
      </c>
      <c r="AK4700" s="2">
        <f t="shared" si="871"/>
        <v>0</v>
      </c>
      <c r="AL4700" s="5">
        <f t="shared" si="872"/>
        <v>0</v>
      </c>
    </row>
    <row r="4701" spans="1:38" x14ac:dyDescent="0.2">
      <c r="A4701" s="2">
        <v>2026</v>
      </c>
      <c r="B4701" s="2">
        <v>8</v>
      </c>
      <c r="C4701" s="2" t="s">
        <v>3532</v>
      </c>
      <c r="D4701" s="2" t="s">
        <v>549</v>
      </c>
      <c r="E4701" s="2" t="s">
        <v>108</v>
      </c>
      <c r="F4701" s="2" t="s">
        <v>395</v>
      </c>
      <c r="G4701" s="2">
        <v>503641790</v>
      </c>
      <c r="H4701" s="2" t="s">
        <v>40</v>
      </c>
      <c r="I4701" s="2" t="s">
        <v>550</v>
      </c>
      <c r="J4701" s="2" t="s">
        <v>551</v>
      </c>
      <c r="K4701" s="2">
        <v>917753665</v>
      </c>
      <c r="L4701" s="2" t="s">
        <v>99</v>
      </c>
      <c r="M4701" s="2" t="s">
        <v>80</v>
      </c>
      <c r="P4701" s="2" t="s">
        <v>72</v>
      </c>
      <c r="Q4701" s="2" t="s">
        <v>664</v>
      </c>
      <c r="R4701" s="2" t="s">
        <v>79</v>
      </c>
      <c r="S4701" s="13">
        <v>1</v>
      </c>
      <c r="T4701" s="14">
        <v>210</v>
      </c>
      <c r="U4701" s="2">
        <f t="shared" si="873"/>
        <v>48.300000000000004</v>
      </c>
      <c r="V4701" s="2">
        <f t="shared" si="874"/>
        <v>258.3</v>
      </c>
      <c r="W4701" s="2">
        <f>113.905+11.25</f>
        <v>125.155</v>
      </c>
      <c r="X4701" s="18">
        <f t="shared" si="866"/>
        <v>0.40402380952380951</v>
      </c>
      <c r="Z4701" s="2" t="s">
        <v>3226</v>
      </c>
      <c r="AA4701" s="2" t="s">
        <v>75</v>
      </c>
      <c r="AB4701" s="2" t="s">
        <v>76</v>
      </c>
      <c r="AC4701" s="2" t="s">
        <v>77</v>
      </c>
      <c r="AK4701" s="2">
        <f t="shared" si="871"/>
        <v>84.844999999999999</v>
      </c>
      <c r="AL4701" s="5">
        <f t="shared" si="872"/>
        <v>0.40402380952380951</v>
      </c>
    </row>
    <row r="4702" spans="1:38" x14ac:dyDescent="0.2">
      <c r="A4702" s="2">
        <v>2026</v>
      </c>
      <c r="B4702" s="2">
        <v>8</v>
      </c>
      <c r="C4702" s="2" t="s">
        <v>3532</v>
      </c>
      <c r="D4702" s="2" t="s">
        <v>549</v>
      </c>
      <c r="E4702" s="2" t="s">
        <v>108</v>
      </c>
      <c r="F4702" s="2" t="s">
        <v>395</v>
      </c>
      <c r="G4702" s="2">
        <v>503641790</v>
      </c>
      <c r="H4702" s="2" t="s">
        <v>40</v>
      </c>
      <c r="I4702" s="2" t="s">
        <v>550</v>
      </c>
      <c r="J4702" s="2" t="s">
        <v>551</v>
      </c>
      <c r="K4702" s="2">
        <v>917753665</v>
      </c>
      <c r="L4702" s="2" t="s">
        <v>99</v>
      </c>
      <c r="M4702" s="2" t="s">
        <v>80</v>
      </c>
      <c r="P4702" s="2" t="s">
        <v>72</v>
      </c>
      <c r="Q4702" s="2" t="s">
        <v>202</v>
      </c>
      <c r="R4702" s="2" t="s">
        <v>197</v>
      </c>
      <c r="S4702" s="13">
        <v>1</v>
      </c>
      <c r="T4702" s="14">
        <v>275</v>
      </c>
      <c r="U4702" s="2">
        <f t="shared" si="873"/>
        <v>63.25</v>
      </c>
      <c r="V4702" s="2">
        <f t="shared" si="874"/>
        <v>338.25</v>
      </c>
      <c r="W4702" s="2">
        <v>152.85</v>
      </c>
      <c r="X4702" s="18">
        <f t="shared" si="866"/>
        <v>0.44418181818181818</v>
      </c>
      <c r="Z4702" s="2" t="s">
        <v>3226</v>
      </c>
      <c r="AA4702" s="2" t="s">
        <v>75</v>
      </c>
      <c r="AB4702" s="2" t="s">
        <v>76</v>
      </c>
      <c r="AC4702" s="2" t="s">
        <v>77</v>
      </c>
      <c r="AK4702" s="2">
        <f t="shared" si="871"/>
        <v>122.15</v>
      </c>
      <c r="AL4702" s="5">
        <f t="shared" si="872"/>
        <v>0.44418181818181818</v>
      </c>
    </row>
    <row r="4703" spans="1:38" x14ac:dyDescent="0.2">
      <c r="A4703" s="2">
        <v>2026</v>
      </c>
      <c r="B4703" s="2">
        <v>8</v>
      </c>
      <c r="C4703" s="2" t="s">
        <v>3532</v>
      </c>
      <c r="D4703" s="2" t="s">
        <v>549</v>
      </c>
      <c r="E4703" s="2" t="s">
        <v>108</v>
      </c>
      <c r="F4703" s="2" t="s">
        <v>395</v>
      </c>
      <c r="G4703" s="2">
        <v>503641790</v>
      </c>
      <c r="H4703" s="2" t="s">
        <v>40</v>
      </c>
      <c r="I4703" s="2" t="s">
        <v>550</v>
      </c>
      <c r="J4703" s="2" t="s">
        <v>551</v>
      </c>
      <c r="K4703" s="2">
        <v>917753665</v>
      </c>
      <c r="L4703" s="2" t="s">
        <v>99</v>
      </c>
      <c r="M4703" s="2" t="s">
        <v>80</v>
      </c>
      <c r="P4703" s="2" t="s">
        <v>93</v>
      </c>
      <c r="Q4703" s="2" t="s">
        <v>94</v>
      </c>
      <c r="R4703" s="2" t="s">
        <v>95</v>
      </c>
      <c r="S4703" s="13">
        <v>2</v>
      </c>
      <c r="T4703" s="14">
        <v>2.96</v>
      </c>
      <c r="U4703" s="2">
        <f t="shared" si="873"/>
        <v>0.68080000000000007</v>
      </c>
      <c r="V4703" s="2">
        <f t="shared" si="874"/>
        <v>3.6408</v>
      </c>
      <c r="W4703" s="2">
        <f>1.48*S4703</f>
        <v>2.96</v>
      </c>
      <c r="X4703" s="18">
        <f t="shared" si="866"/>
        <v>0</v>
      </c>
      <c r="Z4703" s="2" t="s">
        <v>3226</v>
      </c>
      <c r="AA4703" s="2" t="s">
        <v>96</v>
      </c>
      <c r="AB4703" s="2" t="s">
        <v>76</v>
      </c>
      <c r="AC4703" s="2" t="s">
        <v>93</v>
      </c>
      <c r="AK4703" s="2">
        <f t="shared" si="871"/>
        <v>0</v>
      </c>
      <c r="AL4703" s="5">
        <f t="shared" si="872"/>
        <v>0</v>
      </c>
    </row>
    <row r="4704" spans="1:38" x14ac:dyDescent="0.2">
      <c r="A4704" s="2">
        <v>2026</v>
      </c>
      <c r="B4704" s="2">
        <v>8</v>
      </c>
      <c r="C4704" s="2" t="s">
        <v>3532</v>
      </c>
      <c r="D4704" s="2" t="s">
        <v>606</v>
      </c>
      <c r="E4704" s="2" t="s">
        <v>108</v>
      </c>
      <c r="F4704" s="2" t="s">
        <v>39</v>
      </c>
      <c r="G4704" s="2">
        <v>504822187</v>
      </c>
      <c r="H4704" s="2" t="s">
        <v>109</v>
      </c>
      <c r="I4704" s="2" t="s">
        <v>607</v>
      </c>
      <c r="J4704" s="2" t="s">
        <v>608</v>
      </c>
      <c r="K4704" s="2">
        <v>966216853</v>
      </c>
      <c r="L4704" s="2" t="s">
        <v>461</v>
      </c>
      <c r="M4704" s="2" t="s">
        <v>41</v>
      </c>
      <c r="P4704" s="2" t="s">
        <v>43</v>
      </c>
      <c r="Q4704" s="2" t="s">
        <v>54</v>
      </c>
      <c r="R4704" s="2" t="s">
        <v>55</v>
      </c>
      <c r="S4704" s="13">
        <v>5</v>
      </c>
      <c r="T4704" s="14">
        <v>80</v>
      </c>
      <c r="U4704" s="2">
        <f t="shared" si="873"/>
        <v>18.400000000000002</v>
      </c>
      <c r="V4704" s="2">
        <f t="shared" si="874"/>
        <v>98.4</v>
      </c>
      <c r="W4704" s="2">
        <f>10.6*S4704</f>
        <v>53</v>
      </c>
      <c r="X4704" s="18">
        <f t="shared" si="866"/>
        <v>0.33750000000000002</v>
      </c>
      <c r="Z4704" s="2" t="s">
        <v>3226</v>
      </c>
      <c r="AA4704" s="2" t="s">
        <v>46</v>
      </c>
      <c r="AB4704" s="2" t="s">
        <v>56</v>
      </c>
      <c r="AC4704" s="2" t="s">
        <v>57</v>
      </c>
      <c r="AK4704" s="2">
        <f t="shared" si="871"/>
        <v>27</v>
      </c>
      <c r="AL4704" s="5">
        <f t="shared" si="872"/>
        <v>0.33750000000000002</v>
      </c>
    </row>
    <row r="4705" spans="1:38" x14ac:dyDescent="0.2">
      <c r="A4705" s="2">
        <v>2026</v>
      </c>
      <c r="B4705" s="2">
        <v>8</v>
      </c>
      <c r="C4705" s="2" t="s">
        <v>3532</v>
      </c>
      <c r="D4705" s="2" t="s">
        <v>606</v>
      </c>
      <c r="E4705" s="2" t="s">
        <v>108</v>
      </c>
      <c r="F4705" s="2" t="s">
        <v>39</v>
      </c>
      <c r="G4705" s="2">
        <v>504822187</v>
      </c>
      <c r="H4705" s="2" t="s">
        <v>109</v>
      </c>
      <c r="I4705" s="2" t="s">
        <v>607</v>
      </c>
      <c r="J4705" s="2" t="s">
        <v>608</v>
      </c>
      <c r="K4705" s="2">
        <v>966216853</v>
      </c>
      <c r="L4705" s="2" t="s">
        <v>461</v>
      </c>
      <c r="M4705" s="2" t="s">
        <v>41</v>
      </c>
      <c r="P4705" s="2" t="s">
        <v>84</v>
      </c>
      <c r="Q4705" s="2" t="s">
        <v>270</v>
      </c>
      <c r="R4705" s="2" t="s">
        <v>271</v>
      </c>
      <c r="S4705" s="13">
        <v>2</v>
      </c>
      <c r="T4705" s="14">
        <v>24</v>
      </c>
      <c r="U4705" s="2">
        <f t="shared" si="873"/>
        <v>5.5200000000000005</v>
      </c>
      <c r="V4705" s="2">
        <f t="shared" si="874"/>
        <v>29.52</v>
      </c>
      <c r="W4705" s="2">
        <f>6.86*S4705</f>
        <v>13.72</v>
      </c>
      <c r="X4705" s="18">
        <f t="shared" si="866"/>
        <v>0.42833333333333329</v>
      </c>
      <c r="Z4705" s="2" t="s">
        <v>3226</v>
      </c>
      <c r="AA4705" s="2" t="s">
        <v>87</v>
      </c>
      <c r="AB4705" s="2" t="s">
        <v>90</v>
      </c>
      <c r="AC4705" s="2" t="s">
        <v>84</v>
      </c>
      <c r="AK4705" s="2">
        <f t="shared" si="871"/>
        <v>10.28</v>
      </c>
      <c r="AL4705" s="5">
        <f t="shared" si="872"/>
        <v>0.42833333333333329</v>
      </c>
    </row>
    <row r="4706" spans="1:38" x14ac:dyDescent="0.2">
      <c r="A4706" s="2">
        <v>2026</v>
      </c>
      <c r="B4706" s="2">
        <v>8</v>
      </c>
      <c r="C4706" s="2" t="s">
        <v>3532</v>
      </c>
      <c r="D4706" s="2" t="s">
        <v>633</v>
      </c>
      <c r="E4706" s="2" t="s">
        <v>183</v>
      </c>
      <c r="F4706" s="2" t="s">
        <v>366</v>
      </c>
      <c r="H4706" s="2" t="s">
        <v>290</v>
      </c>
      <c r="L4706" s="2" t="s">
        <v>339</v>
      </c>
      <c r="M4706" s="2" t="s">
        <v>80</v>
      </c>
      <c r="P4706" s="2" t="s">
        <v>72</v>
      </c>
      <c r="Q4706" s="2" t="s">
        <v>664</v>
      </c>
      <c r="R4706" s="2" t="s">
        <v>79</v>
      </c>
      <c r="S4706" s="13">
        <v>1</v>
      </c>
      <c r="T4706" s="14">
        <v>210</v>
      </c>
      <c r="U4706" s="2">
        <f t="shared" si="873"/>
        <v>48.300000000000004</v>
      </c>
      <c r="V4706" s="2">
        <f t="shared" si="874"/>
        <v>258.3</v>
      </c>
      <c r="W4706" s="2">
        <f>113.905+11.25</f>
        <v>125.155</v>
      </c>
      <c r="X4706" s="18">
        <f t="shared" si="866"/>
        <v>0.40402380952380951</v>
      </c>
      <c r="Z4706" s="2" t="s">
        <v>3226</v>
      </c>
      <c r="AA4706" s="2" t="s">
        <v>75</v>
      </c>
      <c r="AB4706" s="2" t="s">
        <v>76</v>
      </c>
      <c r="AC4706" s="2" t="s">
        <v>77</v>
      </c>
      <c r="AK4706" s="2">
        <f t="shared" si="871"/>
        <v>84.844999999999999</v>
      </c>
      <c r="AL4706" s="5">
        <f t="shared" si="872"/>
        <v>0.40402380952380951</v>
      </c>
    </row>
    <row r="4707" spans="1:38" x14ac:dyDescent="0.2">
      <c r="B4707" s="2">
        <v>8</v>
      </c>
      <c r="C4707" s="2" t="s">
        <v>3532</v>
      </c>
      <c r="D4707" s="2" t="s">
        <v>633</v>
      </c>
      <c r="E4707" s="2" t="s">
        <v>183</v>
      </c>
      <c r="F4707" s="2" t="s">
        <v>366</v>
      </c>
      <c r="H4707" s="2" t="s">
        <v>290</v>
      </c>
      <c r="L4707" s="2" t="s">
        <v>339</v>
      </c>
      <c r="M4707" s="2" t="s">
        <v>80</v>
      </c>
      <c r="P4707" s="2" t="s">
        <v>93</v>
      </c>
      <c r="Q4707" s="2" t="s">
        <v>94</v>
      </c>
      <c r="R4707" s="2" t="s">
        <v>95</v>
      </c>
      <c r="S4707" s="13">
        <v>1</v>
      </c>
      <c r="T4707" s="14">
        <v>1.48</v>
      </c>
      <c r="U4707" s="2">
        <f t="shared" si="873"/>
        <v>0.34040000000000004</v>
      </c>
      <c r="V4707" s="2">
        <f t="shared" si="874"/>
        <v>1.8204</v>
      </c>
      <c r="W4707" s="2">
        <v>1.48</v>
      </c>
      <c r="X4707" s="18">
        <f t="shared" si="866"/>
        <v>0</v>
      </c>
      <c r="Z4707" s="2" t="s">
        <v>3226</v>
      </c>
      <c r="AA4707" s="2" t="s">
        <v>96</v>
      </c>
      <c r="AB4707" s="2" t="s">
        <v>76</v>
      </c>
      <c r="AC4707" s="2" t="s">
        <v>93</v>
      </c>
    </row>
  </sheetData>
  <autoFilter ref="A1:AL4707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2026-08-13T07:02:39Z</dcterms:modified>
</cp:coreProperties>
</file>