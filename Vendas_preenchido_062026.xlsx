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DAF94E66-E682-450F-A367-BBF0AC9DDCA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4479" i="1" l="1"/>
  <c r="AK4479" i="1"/>
  <c r="W4477" i="1"/>
  <c r="T4477" i="1"/>
  <c r="X4477" i="1" s="1"/>
  <c r="T4478" i="1"/>
  <c r="U4478" i="1" s="1"/>
  <c r="V4478" i="1" s="1"/>
  <c r="W4478" i="1"/>
  <c r="X4479" i="1"/>
  <c r="X4478" i="1"/>
  <c r="U4479" i="1"/>
  <c r="V4479" i="1" s="1"/>
  <c r="W4283" i="1"/>
  <c r="AL4283" i="1" s="1"/>
  <c r="W4378" i="1"/>
  <c r="W4374" i="1"/>
  <c r="X4374" i="1" s="1"/>
  <c r="W929" i="1"/>
  <c r="W926" i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W2361" i="1"/>
  <c r="AK2361" i="1" s="1"/>
  <c r="W2085" i="1"/>
  <c r="W1868" i="1"/>
  <c r="AL1868" i="1" s="1"/>
  <c r="AL1841" i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W550" i="1"/>
  <c r="AL3817" i="1"/>
  <c r="AK3817" i="1"/>
  <c r="W2020" i="1"/>
  <c r="W1501" i="1"/>
  <c r="AL1501" i="1" s="1"/>
  <c r="W1500" i="1"/>
  <c r="W1261" i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4475" i="1"/>
  <c r="X2815" i="1"/>
  <c r="X2814" i="1"/>
  <c r="X2293" i="1"/>
  <c r="X2292" i="1"/>
  <c r="X2288" i="1"/>
  <c r="X2287" i="1"/>
  <c r="X2286" i="1"/>
  <c r="X2285" i="1"/>
  <c r="X2284" i="1"/>
  <c r="X2283" i="1"/>
  <c r="X2282" i="1"/>
  <c r="X2281" i="1"/>
  <c r="X946" i="1"/>
  <c r="X944" i="1"/>
  <c r="X943" i="1"/>
  <c r="X942" i="1"/>
  <c r="X941" i="1"/>
  <c r="X940" i="1"/>
  <c r="X738" i="1"/>
  <c r="X540" i="1"/>
  <c r="X539" i="1"/>
  <c r="X535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K4191" i="1"/>
  <c r="AL4191" i="1"/>
  <c r="AL4190" i="1"/>
  <c r="AK4190" i="1"/>
  <c r="AL4180" i="1"/>
  <c r="AK4180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91" i="1"/>
  <c r="X4180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4" i="1"/>
  <c r="X4204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4" i="1"/>
  <c r="AL4434" i="1"/>
  <c r="AK4435" i="1"/>
  <c r="AL4435" i="1"/>
  <c r="AK4438" i="1"/>
  <c r="AL4438" i="1"/>
  <c r="AK4441" i="1"/>
  <c r="AL4441" i="1"/>
  <c r="AK4442" i="1"/>
  <c r="AL4442" i="1"/>
  <c r="W4432" i="1"/>
  <c r="X4432" i="1" s="1"/>
  <c r="X4434" i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X4245" i="1"/>
  <c r="X4248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6" i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259" i="1"/>
  <c r="AL2002" i="1"/>
  <c r="AL1842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515" i="1"/>
  <c r="AL1515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W714" i="1"/>
  <c r="AL714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0" i="1"/>
  <c r="AK4100" i="1"/>
  <c r="AL4099" i="1"/>
  <c r="AK4099" i="1"/>
  <c r="AL4098" i="1"/>
  <c r="AK4098" i="1"/>
  <c r="AL4091" i="1"/>
  <c r="AK4091" i="1"/>
  <c r="AL4090" i="1"/>
  <c r="AK4090" i="1"/>
  <c r="AL4089" i="1"/>
  <c r="AK4089" i="1"/>
  <c r="AL4088" i="1"/>
  <c r="AK4088" i="1"/>
  <c r="AL4087" i="1"/>
  <c r="AK4087" i="1"/>
  <c r="AL4086" i="1"/>
  <c r="AK4086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411" i="1"/>
  <c r="AK4411" i="1" s="1"/>
  <c r="W4359" i="1"/>
  <c r="AL4359" i="1" s="1"/>
  <c r="X4318" i="1"/>
  <c r="W4404" i="1"/>
  <c r="AK4404" i="1" s="1"/>
  <c r="W4413" i="1"/>
  <c r="AK4413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1" i="1"/>
  <c r="AL4351" i="1"/>
  <c r="AK4352" i="1"/>
  <c r="AL4352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69" i="1"/>
  <c r="AL4369" i="1"/>
  <c r="AK4370" i="1"/>
  <c r="AL4370" i="1"/>
  <c r="AL4374" i="1"/>
  <c r="AK4376" i="1"/>
  <c r="AL4376" i="1"/>
  <c r="AK4378" i="1"/>
  <c r="AL4378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399" i="1"/>
  <c r="AL4399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X4241" i="1"/>
  <c r="X4242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51" i="1"/>
  <c r="X4352" i="1"/>
  <c r="X4360" i="1"/>
  <c r="X4361" i="1"/>
  <c r="X4364" i="1"/>
  <c r="X4366" i="1"/>
  <c r="X4369" i="1"/>
  <c r="X4370" i="1"/>
  <c r="X4378" i="1"/>
  <c r="X4381" i="1"/>
  <c r="X4388" i="1"/>
  <c r="X4389" i="1"/>
  <c r="X4392" i="1"/>
  <c r="X4393" i="1"/>
  <c r="X4394" i="1"/>
  <c r="X4395" i="1"/>
  <c r="X4396" i="1"/>
  <c r="X4397" i="1"/>
  <c r="X4399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3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3" i="1"/>
  <c r="X4284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X4235" i="1"/>
  <c r="U4235" i="1"/>
  <c r="V4235" i="1" s="1"/>
  <c r="U4234" i="1"/>
  <c r="V4234" i="1" s="1"/>
  <c r="X4233" i="1"/>
  <c r="U4233" i="1"/>
  <c r="V4233" i="1" s="1"/>
  <c r="X4232" i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X4153" i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U4101" i="1"/>
  <c r="V4101" i="1" s="1"/>
  <c r="X4100" i="1"/>
  <c r="U4100" i="1"/>
  <c r="V4100" i="1" s="1"/>
  <c r="X4099" i="1"/>
  <c r="U4099" i="1"/>
  <c r="V4099" i="1" s="1"/>
  <c r="X4098" i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L3704" i="1"/>
  <c r="AK3704" i="1"/>
  <c r="AJ3704" i="1"/>
  <c r="AF3704" i="1" s="1"/>
  <c r="X3704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J3697" i="1"/>
  <c r="AF3697" i="1" s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J3152" i="1"/>
  <c r="AF3152" i="1" s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L2815" i="1"/>
  <c r="AK2815" i="1"/>
  <c r="AJ2815" i="1"/>
  <c r="AF2815" i="1" s="1"/>
  <c r="AL2814" i="1"/>
  <c r="AK2814" i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J2778" i="1"/>
  <c r="AF2778" i="1" s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L2288" i="1"/>
  <c r="AK2288" i="1"/>
  <c r="AJ2288" i="1"/>
  <c r="AF2288" i="1" s="1"/>
  <c r="AL2287" i="1"/>
  <c r="AK2287" i="1"/>
  <c r="AJ2287" i="1"/>
  <c r="AF2287" i="1" s="1"/>
  <c r="AL2286" i="1"/>
  <c r="AK2286" i="1"/>
  <c r="AJ2286" i="1"/>
  <c r="AF2286" i="1" s="1"/>
  <c r="AL2285" i="1"/>
  <c r="AK2285" i="1"/>
  <c r="AJ2285" i="1"/>
  <c r="AF2285" i="1" s="1"/>
  <c r="AL2284" i="1"/>
  <c r="AK2284" i="1"/>
  <c r="AJ2284" i="1"/>
  <c r="AF2284" i="1" s="1"/>
  <c r="AL2283" i="1"/>
  <c r="AK2283" i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L1869" i="1"/>
  <c r="AK1869" i="1"/>
  <c r="AJ1869" i="1"/>
  <c r="AF1869" i="1" s="1"/>
  <c r="X1869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J1020" i="1"/>
  <c r="AF1020" i="1" s="1"/>
  <c r="AJ1019" i="1"/>
  <c r="AF1019" i="1" s="1"/>
  <c r="W1019" i="1"/>
  <c r="AL1018" i="1"/>
  <c r="AK1018" i="1"/>
  <c r="AJ1018" i="1"/>
  <c r="AF1018" i="1" s="1"/>
  <c r="X1018" i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L944" i="1"/>
  <c r="AK944" i="1"/>
  <c r="AJ944" i="1"/>
  <c r="AF944" i="1" s="1"/>
  <c r="AL943" i="1"/>
  <c r="AK943" i="1"/>
  <c r="AJ943" i="1"/>
  <c r="AF943" i="1" s="1"/>
  <c r="AL942" i="1"/>
  <c r="AK942" i="1"/>
  <c r="AJ942" i="1"/>
  <c r="AF942" i="1" s="1"/>
  <c r="AL941" i="1"/>
  <c r="AK941" i="1"/>
  <c r="AJ941" i="1"/>
  <c r="AF941" i="1" s="1"/>
  <c r="AL940" i="1"/>
  <c r="AK940" i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J783" i="1"/>
  <c r="AF783" i="1" s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J553" i="1"/>
  <c r="AF553" i="1" s="1"/>
  <c r="AL552" i="1"/>
  <c r="AK552" i="1"/>
  <c r="AJ552" i="1"/>
  <c r="AF552" i="1" s="1"/>
  <c r="X552" i="1"/>
  <c r="AJ551" i="1"/>
  <c r="AF551" i="1" s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AL539" i="1"/>
  <c r="AK539" i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L411" i="1"/>
  <c r="AK411" i="1"/>
  <c r="AJ411" i="1"/>
  <c r="AF411" i="1" s="1"/>
  <c r="X411" i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K291" i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K4374" i="1" l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AL4223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140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41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<sst xmlns="http://schemas.openxmlformats.org/spreadsheetml/2006/main" count="57272" uniqueCount="3476">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</sst>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1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0" fontId="5" fillId="0" borderId="0" applyNumberFormat="0" applyFill="0" applyBorder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8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2" fillId="7" borderId="5" applyNumberFormat="0" applyAlignment="0" applyProtection="0"/>
    <xf numFmtId="0" fontId="13" fillId="8" borderId="6" applyNumberFormat="0" applyAlignment="0" applyProtection="0"/>
    <xf numFmtId="0" fontId="14" fillId="8" borderId="5" applyNumberFormat="0" applyAlignment="0" applyProtection="0"/>
    <xf numFmtId="0" fontId="15" fillId="0" borderId="7" applyNumberFormat="0" applyFill="0" applyAlignment="0" applyProtection="0"/>
    <xf numFmtId="0" fontId="16" fillId="9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10" applyNumberFormat="0" applyFill="0" applyAlignment="0" applyProtection="0"/>
    <xf numFmtId="0" fontId="20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0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0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0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0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0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2" fillId="0" borderId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27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0" xfId="0" applyFont="1"/>
    <xf numFmtId="0" fontId="3" fillId="0" borderId="1" xfId="0" applyFont="1" applyBorder="1" applyAlignment="1">
      <alignment horizontal="left" vertical="top"/>
    </xf>
    <xf numFmtId="10" fontId="3" fillId="0" borderId="1" xfId="0" applyNumberFormat="1" applyFont="1" applyBorder="1" applyAlignment="1">
      <alignment horizontal="center" vertical="top"/>
    </xf>
    <xf numFmtId="10" fontId="4" fillId="0" borderId="0" xfId="0" applyNumberFormat="1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4" fontId="4" fillId="0" borderId="0" xfId="0" applyNumberFormat="1" applyFont="1"/>
    <xf numFmtId="1" fontId="3" fillId="0" borderId="1" xfId="0" applyNumberFormat="1" applyFont="1" applyBorder="1" applyAlignment="1">
      <alignment horizontal="center" vertical="top"/>
    </xf>
    <xf numFmtId="166" fontId="4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0" fontId="4" fillId="0" borderId="0" xfId="0" applyFont="1" applyAlignment="1">
      <alignment wrapText="1"/>
    </xf>
    <xf numFmtId="49" fontId="4" fillId="0" borderId="0" xfId="0" applyNumberFormat="1" applyFont="1" applyAlignment="1">
      <alignment wrapText="1"/>
    </xf>
    <xf numFmtId="0" fontId="4" fillId="2" borderId="0" xfId="0" applyFont="1" applyFill="1"/>
    <xf numFmtId="10" fontId="4" fillId="2" borderId="0" xfId="0" applyNumberFormat="1" applyFont="1" applyFill="1"/>
    <xf numFmtId="10" fontId="4" fillId="3" borderId="0" xfId="0" applyNumberFormat="1" applyFont="1" applyFill="1"/>
    <xf numFmtId="10" fontId="4" fillId="0" borderId="0" xfId="0" quotePrefix="1" applyNumberFormat="1" applyFont="1"/>
    <xf numFmtId="164" fontId="4" fillId="0" borderId="0" xfId="41" applyNumberFormat="1" applyFont="1"/>
    <xf numFmtId="165" fontId="4" fillId="0" borderId="0" xfId="41" applyNumberFormat="1" applyFont="1"/>
    <xf numFmtId="0" fontId="4" fillId="0" borderId="0" xfId="41" applyFont="1"/>
    <xf numFmtId="0" fontId="4" fillId="0" borderId="0" xfId="43" applyFont="1"/>
    <xf numFmtId="164" fontId="4" fillId="0" borderId="0" xfId="43" applyNumberFormat="1" applyFont="1"/>
    <xf numFmtId="165" fontId="4" fillId="0" borderId="0" xfId="43" applyNumberFormat="1" applyFont="1"/>
  </cellXfs>
  <cellStyles count="63">
    <cellStyle name="20% - Cor1" xfId="18" builtinId="30" customBuiltin="1"/>
    <cellStyle name="20% - Cor1 2" xfId="44" xr:uid="{E1FB5F7F-5C5A-415E-9D77-E80A873B1849}"/>
    <cellStyle name="20% - Cor2" xfId="22" builtinId="34" customBuiltin="1"/>
    <cellStyle name="20% - Cor2 2" xfId="45" xr:uid="{7D41E263-55BD-458B-9945-64BE9E28C48C}"/>
    <cellStyle name="20% - Cor3" xfId="26" builtinId="38" customBuiltin="1"/>
    <cellStyle name="20% - Cor3 2" xfId="46" xr:uid="{19A3B827-0F6E-4E1A-8EFD-57D04FC17724}"/>
    <cellStyle name="20% - Cor4" xfId="30" builtinId="42" customBuiltin="1"/>
    <cellStyle name="20% - Cor4 2" xfId="47" xr:uid="{78181C26-292C-41FC-B15F-29B79A5F5FB4}"/>
    <cellStyle name="20% - Cor5" xfId="34" builtinId="46" customBuiltin="1"/>
    <cellStyle name="20% - Cor5 2" xfId="48" xr:uid="{061F8B37-9D8B-4FE9-8943-4ACB58A7BB6D}"/>
    <cellStyle name="20% - Cor6" xfId="38" builtinId="50" customBuiltin="1"/>
    <cellStyle name="20% - Cor6 2" xfId="49" xr:uid="{08B934EB-E65A-4CC5-80D3-2C16B1B7C127}"/>
    <cellStyle name="40% - Cor1" xfId="19" builtinId="31" customBuiltin="1"/>
    <cellStyle name="40% - Cor1 2" xfId="50" xr:uid="{8AFA9211-F63C-442E-A44D-4E7FC37DF752}"/>
    <cellStyle name="40% - Cor2" xfId="23" builtinId="35" customBuiltin="1"/>
    <cellStyle name="40% - Cor2 2" xfId="51" xr:uid="{B1C89A42-4E35-4CFB-B58F-B026E7336F88}"/>
    <cellStyle name="40% - Cor3" xfId="27" builtinId="39" customBuiltin="1"/>
    <cellStyle name="40% - Cor3 2" xfId="52" xr:uid="{8B6A9729-0F8D-4DF7-AA57-65A5C0568B33}"/>
    <cellStyle name="40% - Cor4" xfId="31" builtinId="43" customBuiltin="1"/>
    <cellStyle name="40% - Cor4 2" xfId="53" xr:uid="{A0763C18-6FED-428D-8F2A-CABD859F1742}"/>
    <cellStyle name="40% - Cor5" xfId="35" builtinId="47" customBuiltin="1"/>
    <cellStyle name="40% - Cor5 2" xfId="54" xr:uid="{D7BE0C5C-7C43-4F77-AE4B-394BCAB2FC3C}"/>
    <cellStyle name="40% - Cor6" xfId="39" builtinId="51" customBuiltin="1"/>
    <cellStyle name="40% - Cor6 2" xfId="55" xr:uid="{2BF4CBF2-1CC6-438D-A3ED-6A5F56F3253C}"/>
    <cellStyle name="60% - Cor1" xfId="20" builtinId="32" customBuiltin="1"/>
    <cellStyle name="60% - Cor1 2" xfId="56" xr:uid="{C636C8F8-576F-40D8-AFF5-4977E2E2C13D}"/>
    <cellStyle name="60% - Cor2" xfId="24" builtinId="36" customBuiltin="1"/>
    <cellStyle name="60% - Cor2 2" xfId="57" xr:uid="{B34E2AD2-DBC8-4A8F-8C24-1941B7DBF66A}"/>
    <cellStyle name="60% - Cor3" xfId="28" builtinId="40" customBuiltin="1"/>
    <cellStyle name="60% - Cor3 2" xfId="58" xr:uid="{779236A1-F935-4690-8F71-090405031367}"/>
    <cellStyle name="60% - Cor4" xfId="32" builtinId="44" customBuiltin="1"/>
    <cellStyle name="60% - Cor4 2" xfId="59" xr:uid="{7B0B0F73-C6BB-4D59-A58A-BAFDBB999DC8}"/>
    <cellStyle name="60% - Cor5" xfId="36" builtinId="48" customBuiltin="1"/>
    <cellStyle name="60% - Cor5 2" xfId="60" xr:uid="{2BCC25BB-AD8C-48F8-829A-93EF9522F5AA}"/>
    <cellStyle name="60% - Cor6" xfId="40" builtinId="52" customBuiltin="1"/>
    <cellStyle name="60% - Cor6 2" xfId="61" xr:uid="{E5643370-BF22-4B48-97CC-0D656751AD6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ta 2" xfId="42" xr:uid="{B10ED945-6AC2-457D-9920-F6FD2C78ABDB}"/>
    <cellStyle name="Nota 3" xfId="62" xr:uid="{AE69EB27-59CB-4130-B3F3-88980003F244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4479"/>
  <sheetViews>
    <sheetView tabSelected="1" workbookViewId="0">
      <pane ySplit="1" topLeftCell="A4450" activePane="bottomLeft" state="frozen"/>
      <selection pane="bottomLeft" activeCell="A4496" sqref="A4496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hidden="1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3274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3231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hidden="1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3231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hidden="1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3231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hidden="1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3231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hidden="1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3231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hidden="1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3231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hidden="1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3231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hidden="1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3231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hidden="1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3231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hidden="1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3231</v>
      </c>
      <c r="AA11" s="2" t="s">
        <v>72</v>
      </c>
      <c r="AB11" s="2" t="s">
        <v>69</v>
      </c>
      <c r="AC11" s="2" t="s">
        <v>3235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hidden="1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3231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hidden="1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3274</v>
      </c>
      <c r="M13" s="2" t="s">
        <v>81</v>
      </c>
      <c r="O13" s="2" t="s">
        <v>3202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3231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hidden="1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3274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3231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hidden="1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3274</v>
      </c>
      <c r="M15" s="2" t="s">
        <v>41</v>
      </c>
      <c r="O15" s="2" t="s">
        <v>3150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3231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hidden="1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3231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hidden="1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3231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hidden="1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3231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hidden="1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3176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hidden="1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hidden="1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hidden="1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hidden="1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hidden="1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hidden="1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hidden="1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hidden="1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hidden="1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hidden="1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3231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hidden="1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3231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hidden="1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hidden="1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3231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hidden="1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3231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hidden="1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3231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hidden="1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3231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2.1999999999999993</v>
      </c>
      <c r="AL35" s="5">
        <f t="shared" si="6"/>
        <v>7.0967741935483844E-2</v>
      </c>
    </row>
    <row r="36" spans="1:38" hidden="1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3231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hidden="1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3231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hidden="1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3231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hidden="1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3231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hidden="1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3231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hidden="1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3231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hidden="1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3231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hidden="1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hidden="1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3231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hidden="1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hidden="1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hidden="1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hidden="1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B48" s="2" t="s">
        <v>190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hidden="1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B49" s="2" t="s">
        <v>191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hidden="1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3231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hidden="1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3231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hidden="1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3231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hidden="1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3231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hidden="1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3231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hidden="1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3274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3231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hidden="1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3231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hidden="1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3231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hidden="1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3231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hidden="1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3231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hidden="1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3231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hidden="1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3231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hidden="1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hidden="1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3118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3231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hidden="1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3118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7"/>
        <v>-8.4033613445378859E-3</v>
      </c>
      <c r="Z64" s="2" t="s">
        <v>3231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-0.12000000000000099</v>
      </c>
      <c r="AL64" s="5">
        <f t="shared" si="6"/>
        <v>-8.4033613445378859E-3</v>
      </c>
    </row>
    <row r="65" spans="1:38" hidden="1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3118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7"/>
        <v>0.43305651672433682</v>
      </c>
      <c r="Z65" s="2" t="s">
        <v>3231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7.5091999999999999</v>
      </c>
      <c r="AL65" s="5">
        <f t="shared" si="6"/>
        <v>0.43305651672433682</v>
      </c>
    </row>
    <row r="66" spans="1:38" hidden="1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3118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7"/>
        <v>0.35877053524112351</v>
      </c>
      <c r="Z66" s="2" t="s">
        <v>3231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6.7700000000000014</v>
      </c>
      <c r="AL66" s="5">
        <f t="shared" ref="AL66:AL97" si="11">(T66-W66)/T66</f>
        <v>0.35877053524112351</v>
      </c>
    </row>
    <row r="67" spans="1:38" hidden="1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3118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7"/>
        <v>0.32167461579226286</v>
      </c>
      <c r="Z67" s="2" t="s">
        <v>3231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12.14</v>
      </c>
      <c r="AL67" s="5">
        <f t="shared" si="11"/>
        <v>0.32167461579226286</v>
      </c>
    </row>
    <row r="68" spans="1:38" hidden="1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3118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3231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hidden="1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3118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3231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hidden="1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3118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7"/>
        <v>0.32523444160272807</v>
      </c>
      <c r="Z70" s="2" t="s">
        <v>3231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3.8150000000000004</v>
      </c>
      <c r="AL70" s="5">
        <f t="shared" si="11"/>
        <v>0.32523444160272807</v>
      </c>
    </row>
    <row r="71" spans="1:38" hidden="1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3118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7"/>
        <v>0.32150101419878291</v>
      </c>
      <c r="Z71" s="2" t="s">
        <v>3231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4.754999999999999</v>
      </c>
      <c r="AL71" s="5">
        <f t="shared" si="11"/>
        <v>0.32150101419878291</v>
      </c>
    </row>
    <row r="72" spans="1:38" hidden="1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3118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7"/>
        <v>0.30289075630252105</v>
      </c>
      <c r="Z72" s="2" t="s">
        <v>3231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5.406600000000001</v>
      </c>
      <c r="AL72" s="5">
        <f t="shared" si="11"/>
        <v>0.30289075630252105</v>
      </c>
    </row>
    <row r="73" spans="1:38" hidden="1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3118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7"/>
        <v>0.28957436633189859</v>
      </c>
      <c r="Z73" s="2" t="s">
        <v>3231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6.0549999999999997</v>
      </c>
      <c r="AL73" s="5">
        <f t="shared" si="11"/>
        <v>0.28957436633189859</v>
      </c>
    </row>
    <row r="74" spans="1:38" hidden="1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3118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3231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hidden="1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3118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7"/>
        <v>0.31674208144796373</v>
      </c>
      <c r="Z75" s="2" t="s">
        <v>3231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4.1999999999999993</v>
      </c>
      <c r="AL75" s="5">
        <f t="shared" si="11"/>
        <v>0.31674208144796373</v>
      </c>
    </row>
    <row r="76" spans="1:38" hidden="1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3118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7"/>
        <v>0.29276538201487484</v>
      </c>
      <c r="Z76" s="2" t="s">
        <v>3231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4.3299999999999983</v>
      </c>
      <c r="AL76" s="5">
        <f t="shared" si="11"/>
        <v>0.29276538201487484</v>
      </c>
    </row>
    <row r="77" spans="1:38" hidden="1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3118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3231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hidden="1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3118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3231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hidden="1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3118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3231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hidden="1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3118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3231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hidden="1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3118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7"/>
        <v>0.34095860566448805</v>
      </c>
      <c r="Z81" s="2" t="s">
        <v>3231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4.6950000000000003</v>
      </c>
      <c r="AL81" s="5">
        <f t="shared" si="11"/>
        <v>0.34095860566448805</v>
      </c>
    </row>
    <row r="82" spans="1:38" hidden="1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3118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3231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hidden="1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3118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3231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hidden="1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3118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3231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hidden="1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3118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3231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hidden="1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3118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3231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hidden="1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3118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7"/>
        <v>0.36098541980894921</v>
      </c>
      <c r="Z87" s="2" t="s">
        <v>3231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7.18</v>
      </c>
      <c r="AL87" s="5">
        <f t="shared" si="11"/>
        <v>0.36098541980894921</v>
      </c>
    </row>
    <row r="88" spans="1:38" hidden="1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3118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3231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hidden="1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3118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3231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hidden="1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3118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3231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hidden="1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3118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3231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hidden="1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3118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3231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hidden="1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3118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3231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hidden="1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3118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3231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hidden="1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3118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3231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hidden="1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3118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2"/>
        <v>0.46078431372549017</v>
      </c>
      <c r="Z96" s="2" t="s">
        <v>3231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9.3999999999999986</v>
      </c>
      <c r="AL96" s="5">
        <f t="shared" si="11"/>
        <v>0.46078431372549017</v>
      </c>
    </row>
    <row r="97" spans="1:38" hidden="1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3118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3231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hidden="1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3118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3231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hidden="1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hidden="1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3231</v>
      </c>
      <c r="AA100" s="2" t="s">
        <v>72</v>
      </c>
      <c r="AB100" s="2" t="s">
        <v>69</v>
      </c>
      <c r="AC100" s="2" t="s">
        <v>3235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hidden="1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3231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hidden="1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3231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hidden="1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3231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hidden="1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3231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hidden="1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3231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hidden="1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3231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hidden="1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3231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hidden="1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3231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hidden="1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3231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hidden="1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3231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hidden="1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3231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hidden="1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3231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hidden="1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B113" s="2" t="s">
        <v>190</v>
      </c>
      <c r="AC113" s="2" t="s">
        <v>40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hidden="1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B114" s="2" t="s">
        <v>191</v>
      </c>
      <c r="AC114" s="2" t="s">
        <v>40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hidden="1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3178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3177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hidden="1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3231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hidden="1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hidden="1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B118" s="2" t="s">
        <v>190</v>
      </c>
      <c r="AC118" s="2" t="s">
        <v>40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hidden="1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3231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hidden="1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3231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hidden="1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3235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hidden="1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3231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hidden="1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3231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hidden="1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3119</v>
      </c>
      <c r="J124" s="2" t="s">
        <v>3120</v>
      </c>
      <c r="L124" s="2" t="s">
        <v>113</v>
      </c>
      <c r="M124" s="2" t="s">
        <v>40</v>
      </c>
      <c r="O124" s="2" t="s">
        <v>3121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hidden="1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3119</v>
      </c>
      <c r="J125" s="2" t="s">
        <v>3120</v>
      </c>
      <c r="L125" s="2" t="s">
        <v>113</v>
      </c>
      <c r="M125" s="2" t="s">
        <v>40</v>
      </c>
      <c r="O125" s="2" t="s">
        <v>3121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B125" s="2" t="s">
        <v>190</v>
      </c>
      <c r="AC125" s="2" t="s">
        <v>40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hidden="1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3119</v>
      </c>
      <c r="J126" s="2" t="s">
        <v>3120</v>
      </c>
      <c r="L126" s="2" t="s">
        <v>113</v>
      </c>
      <c r="M126" s="2" t="s">
        <v>40</v>
      </c>
      <c r="O126" s="2" t="s">
        <v>3121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B126" s="2" t="s">
        <v>191</v>
      </c>
      <c r="AC126" s="2" t="s">
        <v>40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hidden="1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3231</v>
      </c>
      <c r="AA127" s="2" t="s">
        <v>72</v>
      </c>
      <c r="AB127" s="2" t="s">
        <v>69</v>
      </c>
      <c r="AC127" s="2" t="s">
        <v>3235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hidden="1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hidden="1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3231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hidden="1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3231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hidden="1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3231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hidden="1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3231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hidden="1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3231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hidden="1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3231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hidden="1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3231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hidden="1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3231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hidden="1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4"/>
        <v>0.39613821138211386</v>
      </c>
      <c r="Z137" s="2" t="s">
        <v>3231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9.745000000000001</v>
      </c>
      <c r="AL137" s="5">
        <f t="shared" si="18"/>
        <v>0.39613821138211386</v>
      </c>
    </row>
    <row r="138" spans="1:38" hidden="1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3231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hidden="1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3231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hidden="1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3231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hidden="1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B141" s="2" t="s">
        <v>191</v>
      </c>
      <c r="AC141" s="2" t="s">
        <v>40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hidden="1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3231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hidden="1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3231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hidden="1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B144" s="2" t="s">
        <v>191</v>
      </c>
      <c r="AC144" s="2" t="s">
        <v>40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hidden="1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B145" s="2" t="s">
        <v>190</v>
      </c>
      <c r="AC145" s="2" t="s">
        <v>40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hidden="1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B146" s="2" t="s">
        <v>191</v>
      </c>
      <c r="AC146" s="2" t="s">
        <v>40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hidden="1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B147" s="2" t="s">
        <v>191</v>
      </c>
      <c r="AC147" s="2" t="s">
        <v>40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hidden="1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3231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hidden="1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 t="shared" si="20"/>
        <v>0.14285714285714288</v>
      </c>
      <c r="Z149" s="2" t="s">
        <v>3231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2.4000000000000004</v>
      </c>
      <c r="AL149" s="5">
        <f t="shared" si="18"/>
        <v>0.14285714285714288</v>
      </c>
    </row>
    <row r="150" spans="1:38" hidden="1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3231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hidden="1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hidden="1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hidden="1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B153" s="2" t="s">
        <v>190</v>
      </c>
      <c r="AC153" s="2" t="s">
        <v>40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hidden="1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B154" s="2" t="s">
        <v>191</v>
      </c>
      <c r="AC154" s="2" t="s">
        <v>40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hidden="1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3124</v>
      </c>
      <c r="K155" s="2">
        <v>917575485</v>
      </c>
      <c r="L155" s="2" t="s">
        <v>462</v>
      </c>
      <c r="M155" s="2" t="s">
        <v>41</v>
      </c>
      <c r="O155" s="2" t="s">
        <v>3126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3231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hidden="1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3124</v>
      </c>
      <c r="K156" s="2">
        <v>917575485</v>
      </c>
      <c r="L156" s="2" t="s">
        <v>462</v>
      </c>
      <c r="M156" s="2" t="s">
        <v>41</v>
      </c>
      <c r="O156" s="2" t="s">
        <v>3126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3231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hidden="1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3385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hidden="1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3231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hidden="1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3231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hidden="1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hidden="1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3231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hidden="1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1"/>
        <v>0.43981481481481483</v>
      </c>
      <c r="Z162" s="2" t="s">
        <v>3231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7.125</v>
      </c>
      <c r="AL162" s="5">
        <f t="shared" si="22"/>
        <v>0.43981481481481483</v>
      </c>
    </row>
    <row r="163" spans="1:38" hidden="1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3231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hidden="1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3231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hidden="1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3231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hidden="1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hidden="1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3385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hidden="1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3231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hidden="1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3231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hidden="1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B170" s="2" t="s">
        <v>190</v>
      </c>
      <c r="AC170" s="2" t="s">
        <v>40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hidden="1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B171" s="2" t="s">
        <v>191</v>
      </c>
      <c r="AC171" s="2" t="s">
        <v>40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hidden="1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3385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hidden="1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3231</v>
      </c>
      <c r="AA173" s="2" t="s">
        <v>46</v>
      </c>
      <c r="AB173" s="2" t="s">
        <v>61</v>
      </c>
      <c r="AC173" s="2" t="s">
        <v>3336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hidden="1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3231</v>
      </c>
      <c r="AA174" s="2" t="s">
        <v>46</v>
      </c>
      <c r="AB174" s="2" t="s">
        <v>61</v>
      </c>
      <c r="AC174" s="2" t="s">
        <v>3336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hidden="1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2480</v>
      </c>
      <c r="J175" s="2" t="s">
        <v>3127</v>
      </c>
      <c r="K175" s="2">
        <v>965864665</v>
      </c>
      <c r="L175" s="2" t="s">
        <v>345</v>
      </c>
      <c r="M175" s="2" t="s">
        <v>81</v>
      </c>
      <c r="O175" s="2" t="s">
        <v>3128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3231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hidden="1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2480</v>
      </c>
      <c r="J176" s="2" t="s">
        <v>3127</v>
      </c>
      <c r="K176" s="2">
        <v>965864665</v>
      </c>
      <c r="L176" s="2" t="s">
        <v>345</v>
      </c>
      <c r="M176" s="2" t="s">
        <v>81</v>
      </c>
      <c r="O176" s="2" t="s">
        <v>3128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3231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hidden="1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hidden="1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B178" s="2" t="s">
        <v>190</v>
      </c>
      <c r="AC178" s="2" t="s">
        <v>40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hidden="1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B179" s="2" t="s">
        <v>191</v>
      </c>
      <c r="AC179" s="2" t="s">
        <v>40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hidden="1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hidden="1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3133</v>
      </c>
      <c r="K181" s="2">
        <v>962555043</v>
      </c>
      <c r="L181" s="2" t="s">
        <v>345</v>
      </c>
      <c r="M181" s="2" t="s">
        <v>40</v>
      </c>
      <c r="O181" s="2" t="s">
        <v>3134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hidden="1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3133</v>
      </c>
      <c r="K182" s="2">
        <v>962555043</v>
      </c>
      <c r="L182" s="2" t="s">
        <v>345</v>
      </c>
      <c r="M182" s="2" t="s">
        <v>40</v>
      </c>
      <c r="O182" s="2" t="s">
        <v>3134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hidden="1" x14ac:dyDescent="0.2">
      <c r="A183" s="2">
        <v>2025</v>
      </c>
      <c r="B183" s="2">
        <v>1</v>
      </c>
      <c r="C183" s="2" t="s">
        <v>3311</v>
      </c>
      <c r="D183" s="2" t="s">
        <v>3334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hidden="1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3231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hidden="1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3231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hidden="1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3231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hidden="1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hidden="1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3231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hidden="1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3231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hidden="1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3231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hidden="1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3231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hidden="1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hidden="1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3231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hidden="1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3231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hidden="1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3180</v>
      </c>
      <c r="K195" s="2">
        <v>911577458</v>
      </c>
      <c r="L195" s="2" t="s">
        <v>178</v>
      </c>
      <c r="M195" s="2" t="s">
        <v>41</v>
      </c>
      <c r="O195" s="2" t="s">
        <v>3181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3231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hidden="1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3180</v>
      </c>
      <c r="K196" s="2">
        <v>911577458</v>
      </c>
      <c r="L196" s="2" t="s">
        <v>178</v>
      </c>
      <c r="M196" s="2" t="s">
        <v>41</v>
      </c>
      <c r="O196" s="2" t="s">
        <v>3181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3231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hidden="1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3185</v>
      </c>
      <c r="L197" s="2" t="s">
        <v>134</v>
      </c>
      <c r="M197" s="2" t="s">
        <v>40</v>
      </c>
      <c r="O197" s="2" t="s">
        <v>3186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hidden="1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hidden="1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hidden="1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B200" s="2" t="s">
        <v>190</v>
      </c>
      <c r="AC200" s="2" t="s">
        <v>40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hidden="1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B201" s="2" t="s">
        <v>191</v>
      </c>
      <c r="AC201" s="2" t="s">
        <v>40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hidden="1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3231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hidden="1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3231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hidden="1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3231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hidden="1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3231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hidden="1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3231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hidden="1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3231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hidden="1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3231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hidden="1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3231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hidden="1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B210" s="2" t="s">
        <v>190</v>
      </c>
      <c r="AC210" s="2" t="s">
        <v>40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hidden="1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B211" s="2" t="s">
        <v>191</v>
      </c>
      <c r="AC211" s="2" t="s">
        <v>40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hidden="1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3385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hidden="1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hidden="1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hidden="1" x14ac:dyDescent="0.2">
      <c r="A215" s="2">
        <v>2025</v>
      </c>
      <c r="B215" s="2">
        <v>1</v>
      </c>
      <c r="C215" s="2" t="s">
        <v>3311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si="28"/>
        <v>0.25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1500</v>
      </c>
      <c r="AL215" s="5">
        <f t="shared" si="24"/>
        <v>0.25</v>
      </c>
    </row>
    <row r="216" spans="1:38" hidden="1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3231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hidden="1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3231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hidden="1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3231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hidden="1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3231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hidden="1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3231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hidden="1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hidden="1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3137</v>
      </c>
      <c r="L222" s="2" t="s">
        <v>178</v>
      </c>
      <c r="M222" s="2" t="s">
        <v>41</v>
      </c>
      <c r="O222" s="2" t="s">
        <v>3136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3231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hidden="1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3137</v>
      </c>
      <c r="L223" s="2" t="s">
        <v>178</v>
      </c>
      <c r="M223" s="2" t="s">
        <v>41</v>
      </c>
      <c r="O223" s="2" t="s">
        <v>3136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3231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hidden="1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3137</v>
      </c>
      <c r="L224" s="2" t="s">
        <v>178</v>
      </c>
      <c r="M224" s="2" t="s">
        <v>41</v>
      </c>
      <c r="O224" s="2" t="s">
        <v>3136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3231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hidden="1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3231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hidden="1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28"/>
        <v>0.46722222222222221</v>
      </c>
      <c r="Z226" s="2" t="s">
        <v>3231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8.41</v>
      </c>
      <c r="AL226" s="5">
        <f t="shared" si="29"/>
        <v>0.46722222222222221</v>
      </c>
    </row>
    <row r="227" spans="1:38" hidden="1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3231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hidden="1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3231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hidden="1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3138</v>
      </c>
      <c r="L229" s="2" t="s">
        <v>178</v>
      </c>
      <c r="M229" s="2" t="s">
        <v>41</v>
      </c>
      <c r="O229" s="2" t="s">
        <v>3139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3231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hidden="1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3231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hidden="1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3231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hidden="1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3231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hidden="1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hidden="1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B234" s="2" t="s">
        <v>190</v>
      </c>
      <c r="AC234" s="2" t="s">
        <v>40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hidden="1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B235" s="2" t="s">
        <v>191</v>
      </c>
      <c r="AC235" s="2" t="s">
        <v>40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hidden="1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hidden="1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hidden="1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hidden="1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3188</v>
      </c>
      <c r="J239" s="2" t="s">
        <v>3189</v>
      </c>
      <c r="L239" s="2" t="s">
        <v>202</v>
      </c>
      <c r="M239" s="2" t="s">
        <v>41</v>
      </c>
      <c r="O239" s="2" t="s">
        <v>3190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3231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hidden="1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3188</v>
      </c>
      <c r="J240" s="2" t="s">
        <v>3189</v>
      </c>
      <c r="L240" s="2" t="s">
        <v>202</v>
      </c>
      <c r="M240" s="2" t="s">
        <v>41</v>
      </c>
      <c r="O240" s="2" t="s">
        <v>3190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3231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hidden="1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3231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hidden="1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3231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hidden="1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3231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hidden="1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3195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3231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hidden="1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3231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hidden="1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3231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hidden="1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0"/>
        <v>0.5090544067456334</v>
      </c>
      <c r="Z247" s="2" t="s">
        <v>118</v>
      </c>
      <c r="AA247" s="2" t="s">
        <v>119</v>
      </c>
      <c r="AB247" s="2" t="s">
        <v>120</v>
      </c>
      <c r="AC247" s="2" t="s">
        <v>115</v>
      </c>
      <c r="AF247" s="2">
        <f t="shared" si="25"/>
        <v>0</v>
      </c>
      <c r="AJ247" s="2">
        <f t="shared" si="26"/>
        <v>0</v>
      </c>
      <c r="AK247" s="2">
        <f t="shared" si="27"/>
        <v>25.356000000000002</v>
      </c>
      <c r="AL247" s="5">
        <f t="shared" si="29"/>
        <v>0.5090544067456334</v>
      </c>
    </row>
    <row r="248" spans="1:38" hidden="1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3231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hidden="1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3231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hidden="1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3231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hidden="1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3231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hidden="1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hidden="1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3231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hidden="1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3231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hidden="1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3231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hidden="1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3231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hidden="1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3231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hidden="1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hidden="1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B259" s="2" t="s">
        <v>190</v>
      </c>
      <c r="AC259" s="2" t="s">
        <v>40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hidden="1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B260" s="2" t="s">
        <v>191</v>
      </c>
      <c r="AC260" s="2" t="s">
        <v>40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hidden="1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hidden="1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3191</v>
      </c>
      <c r="L262" s="2" t="s">
        <v>340</v>
      </c>
      <c r="M262" s="2" t="s">
        <v>40</v>
      </c>
      <c r="O262" s="2" t="s">
        <v>3192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B262" s="2" t="s">
        <v>190</v>
      </c>
      <c r="AC262" s="2" t="s">
        <v>40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hidden="1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3191</v>
      </c>
      <c r="L263" s="2" t="s">
        <v>340</v>
      </c>
      <c r="M263" s="2" t="s">
        <v>40</v>
      </c>
      <c r="O263" s="2" t="s">
        <v>3193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B263" s="2" t="s">
        <v>191</v>
      </c>
      <c r="AC263" s="2" t="s">
        <v>40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hidden="1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3231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hidden="1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3231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hidden="1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hidden="1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3231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hidden="1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3231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hidden="1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hidden="1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3231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hidden="1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3231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hidden="1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3231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hidden="1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3231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hidden="1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3231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hidden="1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3231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hidden="1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3231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hidden="1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3231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hidden="1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3231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hidden="1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5"/>
        <v>0.60781250000000009</v>
      </c>
      <c r="Z279" s="2" t="s">
        <v>3231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17.505000000000003</v>
      </c>
      <c r="AL279" s="5">
        <f t="shared" si="31"/>
        <v>0.60781250000000009</v>
      </c>
    </row>
    <row r="280" spans="1:38" hidden="1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3231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hidden="1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5"/>
        <v>0.43981481481481483</v>
      </c>
      <c r="Z281" s="2" t="s">
        <v>3231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7.125</v>
      </c>
      <c r="AL281" s="5">
        <f t="shared" si="31"/>
        <v>0.43981481481481483</v>
      </c>
    </row>
    <row r="282" spans="1:38" hidden="1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3231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hidden="1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3231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hidden="1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3231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hidden="1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3231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hidden="1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3231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hidden="1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hidden="1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hidden="1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3231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-14.4</v>
      </c>
      <c r="AL289" s="18">
        <f>IF(T289=0,IF(W289&gt;0,-100%,0%),(T289-W289)/T289)</f>
        <v>-1</v>
      </c>
    </row>
    <row r="290" spans="1:38" hidden="1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3231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18">
        <f>IF(T290=0,IF(W290&gt;0,-100%,0%),(T290-W290)/T290)</f>
        <v>-1</v>
      </c>
    </row>
    <row r="291" spans="1:38" hidden="1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18">
        <v>-1</v>
      </c>
      <c r="Z291" s="2" t="s">
        <v>3231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18">
        <v>-1</v>
      </c>
    </row>
    <row r="292" spans="1:38" hidden="1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3231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18">
        <f>IF(T292=0,IF(W292&gt;0,-100%,0%),(T292-W292)/T292)</f>
        <v>-1</v>
      </c>
    </row>
    <row r="293" spans="1:38" hidden="1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3231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18">
        <f>IF(T293=0,IF(W293&gt;0,-100%,0%),(T293-W293)/T293)</f>
        <v>-1</v>
      </c>
    </row>
    <row r="294" spans="1:38" hidden="1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3231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hidden="1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hidden="1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hidden="1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3231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hidden="1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3231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hidden="1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3231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hidden="1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3231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hidden="1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3443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hidden="1" x14ac:dyDescent="0.2">
      <c r="A302" s="2">
        <v>2025</v>
      </c>
      <c r="B302" s="2">
        <v>1</v>
      </c>
      <c r="D302" s="2" t="s">
        <v>618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619</v>
      </c>
      <c r="J302" s="2" t="s">
        <v>620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3231</v>
      </c>
      <c r="AA302" s="2" t="s">
        <v>46</v>
      </c>
      <c r="AB302" s="2" t="s">
        <v>61</v>
      </c>
      <c r="AC302" s="2" t="s">
        <v>3336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hidden="1" x14ac:dyDescent="0.2">
      <c r="A303" s="2">
        <v>2025</v>
      </c>
      <c r="B303" s="2">
        <v>1</v>
      </c>
      <c r="D303" s="2" t="s">
        <v>618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619</v>
      </c>
      <c r="J303" s="2" t="s">
        <v>620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37"/>
        <v>0.60781250000000009</v>
      </c>
      <c r="Z303" s="2" t="s">
        <v>3231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17.505000000000003</v>
      </c>
      <c r="AL303" s="5">
        <f t="shared" si="36"/>
        <v>0.60781250000000009</v>
      </c>
    </row>
    <row r="304" spans="1:38" hidden="1" x14ac:dyDescent="0.2">
      <c r="A304" s="2">
        <v>2025</v>
      </c>
      <c r="B304" s="2">
        <v>1</v>
      </c>
      <c r="D304" s="2" t="s">
        <v>618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619</v>
      </c>
      <c r="J304" s="2" t="s">
        <v>620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3231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hidden="1" x14ac:dyDescent="0.2">
      <c r="A305" s="2">
        <v>2025</v>
      </c>
      <c r="B305" s="2">
        <v>1</v>
      </c>
      <c r="D305" s="2" t="s">
        <v>618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619</v>
      </c>
      <c r="J305" s="2" t="s">
        <v>620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3231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hidden="1" x14ac:dyDescent="0.2">
      <c r="A306" s="2">
        <v>2025</v>
      </c>
      <c r="B306" s="2">
        <v>1</v>
      </c>
      <c r="D306" s="2" t="s">
        <v>618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619</v>
      </c>
      <c r="J306" s="2" t="s">
        <v>620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3231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hidden="1" x14ac:dyDescent="0.2">
      <c r="A307" s="2">
        <v>2025</v>
      </c>
      <c r="B307" s="2">
        <v>1</v>
      </c>
      <c r="D307" s="2" t="s">
        <v>618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619</v>
      </c>
      <c r="J307" s="2" t="s">
        <v>620</v>
      </c>
      <c r="L307" s="2" t="s">
        <v>419</v>
      </c>
      <c r="M307" s="2" t="s">
        <v>41</v>
      </c>
      <c r="P307" s="2" t="s">
        <v>85</v>
      </c>
      <c r="Q307" s="2" t="s">
        <v>621</v>
      </c>
      <c r="R307" s="2" t="s">
        <v>622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3231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hidden="1" x14ac:dyDescent="0.2">
      <c r="A308" s="2">
        <v>2025</v>
      </c>
      <c r="B308" s="2">
        <v>1</v>
      </c>
      <c r="D308" s="2" t="s">
        <v>618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619</v>
      </c>
      <c r="J308" s="2" t="s">
        <v>620</v>
      </c>
      <c r="L308" s="2" t="s">
        <v>419</v>
      </c>
      <c r="M308" s="2" t="s">
        <v>41</v>
      </c>
      <c r="P308" s="2" t="s">
        <v>85</v>
      </c>
      <c r="Q308" s="2" t="s">
        <v>623</v>
      </c>
      <c r="R308" s="2" t="s">
        <v>624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3231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hidden="1" x14ac:dyDescent="0.2">
      <c r="A309" s="2">
        <v>2025</v>
      </c>
      <c r="B309" s="2">
        <v>1</v>
      </c>
      <c r="D309" s="2" t="s">
        <v>625</v>
      </c>
      <c r="E309" s="2" t="s">
        <v>38</v>
      </c>
      <c r="F309" s="2" t="s">
        <v>39</v>
      </c>
      <c r="G309" s="2" t="s">
        <v>626</v>
      </c>
      <c r="H309" s="2" t="s">
        <v>40</v>
      </c>
      <c r="I309" s="2" t="s">
        <v>627</v>
      </c>
      <c r="J309" s="2" t="s">
        <v>628</v>
      </c>
      <c r="L309" s="2" t="s">
        <v>627</v>
      </c>
      <c r="M309" s="2" t="s">
        <v>40</v>
      </c>
      <c r="P309" s="2" t="s">
        <v>115</v>
      </c>
      <c r="Q309" s="2" t="s">
        <v>629</v>
      </c>
      <c r="R309" s="2" t="s">
        <v>630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hidden="1" x14ac:dyDescent="0.2">
      <c r="A310" s="2">
        <v>2025</v>
      </c>
      <c r="B310" s="2">
        <v>1</v>
      </c>
      <c r="D310" s="2" t="s">
        <v>625</v>
      </c>
      <c r="E310" s="2" t="s">
        <v>38</v>
      </c>
      <c r="F310" s="2" t="s">
        <v>39</v>
      </c>
      <c r="G310" s="2" t="s">
        <v>626</v>
      </c>
      <c r="H310" s="2" t="s">
        <v>40</v>
      </c>
      <c r="I310" s="2" t="s">
        <v>627</v>
      </c>
      <c r="J310" s="2" t="s">
        <v>628</v>
      </c>
      <c r="L310" s="2" t="s">
        <v>627</v>
      </c>
      <c r="M310" s="2" t="s">
        <v>40</v>
      </c>
      <c r="P310" s="2" t="s">
        <v>115</v>
      </c>
      <c r="Q310" s="2" t="s">
        <v>631</v>
      </c>
      <c r="R310" s="2" t="s">
        <v>632</v>
      </c>
      <c r="S310" s="2">
        <v>1</v>
      </c>
      <c r="T310" s="2">
        <v>39.5</v>
      </c>
      <c r="V310" s="2">
        <f t="shared" ref="V310:V311" si="38">T310</f>
        <v>39.5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hidden="1" x14ac:dyDescent="0.2">
      <c r="A311" s="2">
        <v>2025</v>
      </c>
      <c r="B311" s="2">
        <v>1</v>
      </c>
      <c r="D311" s="2" t="s">
        <v>625</v>
      </c>
      <c r="E311" s="2" t="s">
        <v>38</v>
      </c>
      <c r="F311" s="2" t="s">
        <v>39</v>
      </c>
      <c r="G311" s="2" t="s">
        <v>626</v>
      </c>
      <c r="H311" s="2" t="s">
        <v>40</v>
      </c>
      <c r="I311" s="2" t="s">
        <v>627</v>
      </c>
      <c r="J311" s="2" t="s">
        <v>628</v>
      </c>
      <c r="L311" s="2" t="s">
        <v>627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V311" s="2">
        <f t="shared" si="38"/>
        <v>28.56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hidden="1" x14ac:dyDescent="0.2">
      <c r="A312" s="2">
        <v>2025</v>
      </c>
      <c r="B312" s="2">
        <v>1</v>
      </c>
      <c r="D312" s="2" t="s">
        <v>633</v>
      </c>
      <c r="E312" s="2" t="s">
        <v>109</v>
      </c>
      <c r="F312" s="2" t="s">
        <v>478</v>
      </c>
      <c r="H312" s="2" t="s">
        <v>41</v>
      </c>
      <c r="I312" s="2" t="s">
        <v>3188</v>
      </c>
      <c r="J312" s="2" t="s">
        <v>3242</v>
      </c>
      <c r="K312" s="2">
        <v>965347433</v>
      </c>
      <c r="L312" s="2" t="s">
        <v>202</v>
      </c>
      <c r="M312" s="2" t="s">
        <v>41</v>
      </c>
      <c r="O312" s="2" t="s">
        <v>3243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3231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hidden="1" x14ac:dyDescent="0.2">
      <c r="A313" s="2">
        <v>2025</v>
      </c>
      <c r="B313" s="2">
        <v>1</v>
      </c>
      <c r="D313" s="2" t="s">
        <v>633</v>
      </c>
      <c r="E313" s="2" t="s">
        <v>109</v>
      </c>
      <c r="F313" s="2" t="s">
        <v>478</v>
      </c>
      <c r="H313" s="2" t="s">
        <v>41</v>
      </c>
      <c r="I313" s="2" t="s">
        <v>3188</v>
      </c>
      <c r="J313" s="2" t="s">
        <v>3242</v>
      </c>
      <c r="K313" s="2">
        <v>965347433</v>
      </c>
      <c r="L313" s="2" t="s">
        <v>202</v>
      </c>
      <c r="M313" s="2" t="s">
        <v>41</v>
      </c>
      <c r="O313" s="2" t="s">
        <v>3243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3231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hidden="1" x14ac:dyDescent="0.2">
      <c r="A314" s="2">
        <v>2025</v>
      </c>
      <c r="B314" s="2">
        <v>1</v>
      </c>
      <c r="D314" s="2" t="s">
        <v>634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3231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hidden="1" x14ac:dyDescent="0.2">
      <c r="A315" s="2">
        <v>2025</v>
      </c>
      <c r="B315" s="2">
        <v>1</v>
      </c>
      <c r="D315" s="2" t="s">
        <v>634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3231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hidden="1" x14ac:dyDescent="0.2">
      <c r="A316" s="2">
        <v>2025</v>
      </c>
      <c r="B316" s="2">
        <v>1</v>
      </c>
      <c r="C316" s="2" t="s">
        <v>3311</v>
      </c>
      <c r="D316" s="2" t="s">
        <v>635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636</v>
      </c>
      <c r="J316" s="2" t="s">
        <v>637</v>
      </c>
      <c r="L316" s="2" t="s">
        <v>113</v>
      </c>
      <c r="M316" s="2" t="s">
        <v>40</v>
      </c>
      <c r="P316" s="2" t="s">
        <v>115</v>
      </c>
      <c r="Q316" s="2" t="s">
        <v>638</v>
      </c>
      <c r="R316" s="2" t="s">
        <v>639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9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40">T316+(W316)</f>
        <v>-77.89</v>
      </c>
      <c r="AL316" s="18">
        <f t="shared" ref="AL316" si="41">SIGN(T316)*((ABS(T316)-W316)/ABS(T316))</f>
        <v>-0.54648144250333264</v>
      </c>
    </row>
    <row r="317" spans="1:38" hidden="1" x14ac:dyDescent="0.2">
      <c r="A317" s="2">
        <v>2025</v>
      </c>
      <c r="B317" s="2">
        <v>1</v>
      </c>
      <c r="C317" s="2" t="s">
        <v>3311</v>
      </c>
      <c r="D317" s="2" t="s">
        <v>635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636</v>
      </c>
      <c r="J317" s="2" t="s">
        <v>637</v>
      </c>
      <c r="L317" s="2" t="s">
        <v>113</v>
      </c>
      <c r="M317" s="2" t="s">
        <v>40</v>
      </c>
      <c r="P317" s="2" t="s">
        <v>115</v>
      </c>
      <c r="Q317" s="2" t="s">
        <v>640</v>
      </c>
      <c r="R317" s="2" t="s">
        <v>641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hidden="1" x14ac:dyDescent="0.2">
      <c r="A318" s="2">
        <v>2025</v>
      </c>
      <c r="B318" s="2">
        <v>1</v>
      </c>
      <c r="C318" s="2" t="s">
        <v>3311</v>
      </c>
      <c r="D318" s="2" t="s">
        <v>635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636</v>
      </c>
      <c r="J318" s="2" t="s">
        <v>637</v>
      </c>
      <c r="L318" s="2" t="s">
        <v>113</v>
      </c>
      <c r="M318" s="2" t="s">
        <v>40</v>
      </c>
      <c r="P318" s="2" t="s">
        <v>115</v>
      </c>
      <c r="Q318" s="2" t="s">
        <v>642</v>
      </c>
      <c r="R318" s="2" t="s">
        <v>643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hidden="1" x14ac:dyDescent="0.2">
      <c r="A319" s="2">
        <v>2025</v>
      </c>
      <c r="B319" s="2">
        <v>1</v>
      </c>
      <c r="C319" s="2" t="s">
        <v>3311</v>
      </c>
      <c r="D319" s="2" t="s">
        <v>635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636</v>
      </c>
      <c r="J319" s="2" t="s">
        <v>637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B319" s="2" t="s">
        <v>190</v>
      </c>
      <c r="AC319" s="2" t="s">
        <v>40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hidden="1" x14ac:dyDescent="0.2">
      <c r="A320" s="2">
        <v>2025</v>
      </c>
      <c r="B320" s="2">
        <v>1</v>
      </c>
      <c r="C320" s="2" t="s">
        <v>3311</v>
      </c>
      <c r="D320" s="2" t="s">
        <v>635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636</v>
      </c>
      <c r="J320" s="2" t="s">
        <v>637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B320" s="2" t="s">
        <v>191</v>
      </c>
      <c r="AC320" s="2" t="s">
        <v>40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hidden="1" x14ac:dyDescent="0.2">
      <c r="A321" s="2">
        <v>2025</v>
      </c>
      <c r="B321" s="2">
        <v>1</v>
      </c>
      <c r="D321" s="2" t="s">
        <v>644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645</v>
      </c>
      <c r="J321" s="2" t="s">
        <v>646</v>
      </c>
      <c r="K321" s="2">
        <v>964495536</v>
      </c>
      <c r="L321" s="2" t="s">
        <v>113</v>
      </c>
      <c r="P321" s="2" t="s">
        <v>115</v>
      </c>
      <c r="Q321" s="2" t="s">
        <v>647</v>
      </c>
      <c r="R321" s="2" t="s">
        <v>648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hidden="1" x14ac:dyDescent="0.2">
      <c r="A322" s="2">
        <v>2025</v>
      </c>
      <c r="B322" s="2">
        <v>1</v>
      </c>
      <c r="D322" s="2" t="s">
        <v>644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645</v>
      </c>
      <c r="J322" s="2" t="s">
        <v>646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B322" s="2" t="s">
        <v>190</v>
      </c>
      <c r="AC322" s="2" t="s">
        <v>40</v>
      </c>
      <c r="AF322" s="2">
        <f t="shared" ref="AF322:AF385" si="42">AJ322</f>
        <v>0</v>
      </c>
      <c r="AJ322" s="2">
        <f t="shared" ref="AJ322:AJ385" si="43">AI322*T322</f>
        <v>0</v>
      </c>
      <c r="AK322" s="2">
        <f t="shared" ref="AK322:AK385" si="44">T322-W322</f>
        <v>60.3</v>
      </c>
      <c r="AL322" s="5">
        <f t="shared" si="36"/>
        <v>0.6</v>
      </c>
    </row>
    <row r="323" spans="1:38" hidden="1" x14ac:dyDescent="0.2">
      <c r="A323" s="2">
        <v>2025</v>
      </c>
      <c r="B323" s="2">
        <v>1</v>
      </c>
      <c r="D323" s="2" t="s">
        <v>644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645</v>
      </c>
      <c r="J323" s="2" t="s">
        <v>646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B323" s="2" t="s">
        <v>191</v>
      </c>
      <c r="AC323" s="2" t="s">
        <v>40</v>
      </c>
      <c r="AF323" s="2">
        <f t="shared" si="42"/>
        <v>0</v>
      </c>
      <c r="AJ323" s="2">
        <f t="shared" si="43"/>
        <v>0</v>
      </c>
      <c r="AK323" s="2">
        <f t="shared" si="44"/>
        <v>22.5</v>
      </c>
      <c r="AL323" s="5">
        <f t="shared" si="36"/>
        <v>0.5</v>
      </c>
    </row>
    <row r="324" spans="1:38" hidden="1" x14ac:dyDescent="0.2">
      <c r="A324" s="2">
        <v>2025</v>
      </c>
      <c r="B324" s="2">
        <v>1</v>
      </c>
      <c r="D324" s="2" t="s">
        <v>649</v>
      </c>
      <c r="P324" s="2" t="s">
        <v>3179</v>
      </c>
      <c r="Q324" s="2" t="s">
        <v>650</v>
      </c>
      <c r="R324" s="2" t="s">
        <v>651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3179</v>
      </c>
      <c r="AF324" s="2">
        <f t="shared" si="42"/>
        <v>0</v>
      </c>
      <c r="AG324" s="2">
        <v>77</v>
      </c>
      <c r="AJ324" s="2">
        <f t="shared" si="43"/>
        <v>0</v>
      </c>
      <c r="AK324" s="2">
        <f t="shared" si="44"/>
        <v>217</v>
      </c>
      <c r="AL324" s="5">
        <f t="shared" si="36"/>
        <v>0.58490566037735847</v>
      </c>
    </row>
    <row r="325" spans="1:38" hidden="1" x14ac:dyDescent="0.2">
      <c r="A325" s="2">
        <v>2025</v>
      </c>
      <c r="B325" s="2">
        <v>1</v>
      </c>
      <c r="D325" s="2" t="s">
        <v>652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653</v>
      </c>
      <c r="J325" s="2" t="s">
        <v>654</v>
      </c>
      <c r="L325" s="2" t="s">
        <v>419</v>
      </c>
      <c r="M325" s="2" t="s">
        <v>41</v>
      </c>
      <c r="O325" s="2" t="s">
        <v>655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3231</v>
      </c>
      <c r="AA325" s="2" t="s">
        <v>76</v>
      </c>
      <c r="AB325" s="2" t="s">
        <v>77</v>
      </c>
      <c r="AC325" s="2" t="s">
        <v>78</v>
      </c>
      <c r="AF325" s="2">
        <f t="shared" si="42"/>
        <v>0</v>
      </c>
      <c r="AG325" s="2">
        <v>119.33</v>
      </c>
      <c r="AH325" s="2">
        <v>220</v>
      </c>
      <c r="AJ325" s="2">
        <f t="shared" si="43"/>
        <v>0</v>
      </c>
      <c r="AK325" s="2">
        <f t="shared" si="44"/>
        <v>92.27</v>
      </c>
      <c r="AL325" s="5">
        <f t="shared" si="36"/>
        <v>0.43605860113421552</v>
      </c>
    </row>
    <row r="326" spans="1:38" hidden="1" x14ac:dyDescent="0.2">
      <c r="A326" s="2">
        <v>2025</v>
      </c>
      <c r="B326" s="2">
        <v>1</v>
      </c>
      <c r="D326" s="2" t="s">
        <v>652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653</v>
      </c>
      <c r="J326" s="2" t="s">
        <v>654</v>
      </c>
      <c r="L326" s="2" t="s">
        <v>419</v>
      </c>
      <c r="M326" s="2" t="s">
        <v>41</v>
      </c>
      <c r="O326" s="2" t="s">
        <v>655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5">(T326-W326)/T326</f>
        <v>0</v>
      </c>
      <c r="Z326" s="2" t="s">
        <v>3231</v>
      </c>
      <c r="AA326" s="2" t="s">
        <v>97</v>
      </c>
      <c r="AB326" s="2" t="s">
        <v>77</v>
      </c>
      <c r="AC326" s="2" t="s">
        <v>94</v>
      </c>
      <c r="AF326" s="2">
        <f t="shared" si="42"/>
        <v>0</v>
      </c>
      <c r="AG326" s="2">
        <v>1.1399999999999999</v>
      </c>
      <c r="AH326" s="2">
        <v>1.1399999999999999</v>
      </c>
      <c r="AJ326" s="2">
        <f t="shared" si="43"/>
        <v>0</v>
      </c>
      <c r="AK326" s="2">
        <f t="shared" si="44"/>
        <v>0</v>
      </c>
      <c r="AL326" s="5">
        <f t="shared" si="36"/>
        <v>0</v>
      </c>
    </row>
    <row r="327" spans="1:38" hidden="1" x14ac:dyDescent="0.2">
      <c r="A327" s="2">
        <v>2025</v>
      </c>
      <c r="B327" s="2">
        <v>1</v>
      </c>
      <c r="C327" s="2" t="s">
        <v>3461</v>
      </c>
      <c r="D327" s="2" t="s">
        <v>656</v>
      </c>
      <c r="E327" s="2" t="s">
        <v>38</v>
      </c>
      <c r="G327" s="2">
        <v>509116590</v>
      </c>
      <c r="H327" s="2" t="s">
        <v>291</v>
      </c>
      <c r="I327" s="2" t="s">
        <v>657</v>
      </c>
      <c r="J327" s="2" t="s">
        <v>658</v>
      </c>
      <c r="L327" s="2" t="s">
        <v>294</v>
      </c>
      <c r="M327" s="2" t="s">
        <v>81</v>
      </c>
      <c r="P327" s="2" t="s">
        <v>659</v>
      </c>
      <c r="Q327" s="2" t="s">
        <v>660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6">SIGN(T327)*((ABS(T327)-W327)/ABS(T327))</f>
        <v>-0.42527173913043481</v>
      </c>
      <c r="Z327" s="2" t="s">
        <v>3231</v>
      </c>
      <c r="AA327" s="2" t="s">
        <v>76</v>
      </c>
      <c r="AB327" s="2" t="s">
        <v>77</v>
      </c>
      <c r="AC327" s="2" t="s">
        <v>659</v>
      </c>
      <c r="AF327" s="2">
        <f t="shared" si="42"/>
        <v>0</v>
      </c>
      <c r="AJ327" s="2">
        <f t="shared" si="43"/>
        <v>0</v>
      </c>
      <c r="AK327" s="2">
        <f t="shared" ref="AK327:AK328" si="47">T327+(W327)</f>
        <v>-93.9</v>
      </c>
      <c r="AL327" s="18">
        <f t="shared" ref="AL327:AL328" si="48">SIGN(T327)*((ABS(T327)-W327)/ABS(T327))</f>
        <v>-0.42527173913043481</v>
      </c>
    </row>
    <row r="328" spans="1:38" hidden="1" x14ac:dyDescent="0.2">
      <c r="A328" s="2">
        <v>2025</v>
      </c>
      <c r="B328" s="2">
        <v>1</v>
      </c>
      <c r="C328" s="2" t="s">
        <v>3461</v>
      </c>
      <c r="D328" s="2" t="s">
        <v>656</v>
      </c>
      <c r="E328" s="2" t="s">
        <v>38</v>
      </c>
      <c r="G328" s="2">
        <v>509116590</v>
      </c>
      <c r="H328" s="2" t="s">
        <v>291</v>
      </c>
      <c r="I328" s="2" t="s">
        <v>657</v>
      </c>
      <c r="J328" s="2" t="s">
        <v>658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6"/>
        <v>0</v>
      </c>
      <c r="Z328" s="2" t="s">
        <v>3231</v>
      </c>
      <c r="AA328" s="2" t="s">
        <v>97</v>
      </c>
      <c r="AB328" s="2" t="s">
        <v>77</v>
      </c>
      <c r="AC328" s="2" t="s">
        <v>94</v>
      </c>
      <c r="AF328" s="2">
        <f t="shared" si="42"/>
        <v>0</v>
      </c>
      <c r="AJ328" s="2">
        <f t="shared" si="43"/>
        <v>0</v>
      </c>
      <c r="AK328" s="2">
        <f t="shared" si="47"/>
        <v>0</v>
      </c>
      <c r="AL328" s="18">
        <f t="shared" si="48"/>
        <v>0</v>
      </c>
    </row>
    <row r="329" spans="1:38" hidden="1" x14ac:dyDescent="0.2">
      <c r="A329" s="2">
        <v>2025</v>
      </c>
      <c r="B329" s="2">
        <v>1</v>
      </c>
      <c r="D329" s="2" t="s">
        <v>661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662</v>
      </c>
      <c r="J329" s="2" t="s">
        <v>663</v>
      </c>
      <c r="L329" s="2" t="s">
        <v>345</v>
      </c>
      <c r="M329" s="2" t="s">
        <v>81</v>
      </c>
      <c r="O329" s="2" t="s">
        <v>664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5"/>
        <v>0.42599243856332702</v>
      </c>
      <c r="Z329" s="2" t="s">
        <v>3231</v>
      </c>
      <c r="AA329" s="2" t="s">
        <v>76</v>
      </c>
      <c r="AB329" s="2" t="s">
        <v>77</v>
      </c>
      <c r="AC329" s="2" t="s">
        <v>78</v>
      </c>
      <c r="AF329" s="2">
        <f t="shared" si="42"/>
        <v>0</v>
      </c>
      <c r="AG329" s="2">
        <v>121.46</v>
      </c>
      <c r="AH329" s="2">
        <v>210</v>
      </c>
      <c r="AJ329" s="2">
        <f t="shared" si="43"/>
        <v>0</v>
      </c>
      <c r="AK329" s="2">
        <f t="shared" si="44"/>
        <v>90.14</v>
      </c>
      <c r="AL329" s="5">
        <f t="shared" si="36"/>
        <v>0.42599243856332702</v>
      </c>
    </row>
    <row r="330" spans="1:38" hidden="1" x14ac:dyDescent="0.2">
      <c r="A330" s="2">
        <v>2025</v>
      </c>
      <c r="B330" s="2">
        <v>1</v>
      </c>
      <c r="D330" s="2" t="s">
        <v>661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662</v>
      </c>
      <c r="J330" s="2" t="s">
        <v>663</v>
      </c>
      <c r="L330" s="2" t="s">
        <v>345</v>
      </c>
      <c r="M330" s="2" t="s">
        <v>81</v>
      </c>
      <c r="P330" s="2" t="s">
        <v>73</v>
      </c>
      <c r="Q330" s="2" t="s">
        <v>665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5"/>
        <v>0.38164525691699608</v>
      </c>
      <c r="Z330" s="2" t="s">
        <v>3231</v>
      </c>
      <c r="AA330" s="2" t="s">
        <v>76</v>
      </c>
      <c r="AB330" s="2" t="s">
        <v>77</v>
      </c>
      <c r="AC330" s="2" t="s">
        <v>78</v>
      </c>
      <c r="AF330" s="2">
        <f t="shared" si="42"/>
        <v>0</v>
      </c>
      <c r="AJ330" s="2">
        <f t="shared" si="43"/>
        <v>0</v>
      </c>
      <c r="AK330" s="2">
        <f t="shared" si="44"/>
        <v>77.245000000000005</v>
      </c>
      <c r="AL330" s="5">
        <f t="shared" si="36"/>
        <v>0.38164525691699608</v>
      </c>
    </row>
    <row r="331" spans="1:38" hidden="1" x14ac:dyDescent="0.2">
      <c r="A331" s="2">
        <v>2025</v>
      </c>
      <c r="B331" s="2">
        <v>1</v>
      </c>
      <c r="D331" s="2" t="s">
        <v>661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662</v>
      </c>
      <c r="J331" s="2" t="s">
        <v>663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5"/>
        <v>0</v>
      </c>
      <c r="Z331" s="2" t="s">
        <v>3231</v>
      </c>
      <c r="AA331" s="2" t="s">
        <v>97</v>
      </c>
      <c r="AB331" s="2" t="s">
        <v>77</v>
      </c>
      <c r="AC331" s="2" t="s">
        <v>94</v>
      </c>
      <c r="AF331" s="2">
        <f t="shared" si="42"/>
        <v>0</v>
      </c>
      <c r="AJ331" s="2">
        <f t="shared" si="43"/>
        <v>0</v>
      </c>
      <c r="AK331" s="2">
        <f t="shared" si="44"/>
        <v>0</v>
      </c>
      <c r="AL331" s="5">
        <f t="shared" si="36"/>
        <v>0</v>
      </c>
    </row>
    <row r="332" spans="1:38" hidden="1" x14ac:dyDescent="0.2">
      <c r="A332" s="2">
        <v>2025</v>
      </c>
      <c r="B332" s="2">
        <v>1</v>
      </c>
      <c r="D332" s="2" t="s">
        <v>666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667</v>
      </c>
      <c r="J332" s="2" t="s">
        <v>668</v>
      </c>
      <c r="K332" s="2">
        <v>917178517</v>
      </c>
      <c r="L332" s="2" t="s">
        <v>462</v>
      </c>
      <c r="M332" s="2" t="s">
        <v>40</v>
      </c>
      <c r="O332" s="2" t="s">
        <v>669</v>
      </c>
      <c r="P332" s="2" t="s">
        <v>43</v>
      </c>
      <c r="Q332" s="2" t="s">
        <v>670</v>
      </c>
      <c r="R332" s="2" t="s">
        <v>671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5"/>
        <v>0.51216666666666666</v>
      </c>
      <c r="Z332" s="2" t="s">
        <v>3231</v>
      </c>
      <c r="AA332" s="2" t="s">
        <v>46</v>
      </c>
      <c r="AB332" s="2" t="s">
        <v>57</v>
      </c>
      <c r="AC332" s="2" t="s">
        <v>58</v>
      </c>
      <c r="AF332" s="2">
        <f t="shared" si="42"/>
        <v>0</v>
      </c>
      <c r="AG332" s="2">
        <v>29.27</v>
      </c>
      <c r="AH332" s="2">
        <v>60</v>
      </c>
      <c r="AJ332" s="2">
        <f t="shared" si="43"/>
        <v>0</v>
      </c>
      <c r="AK332" s="2">
        <f t="shared" si="44"/>
        <v>30.73</v>
      </c>
      <c r="AL332" s="5">
        <f t="shared" si="36"/>
        <v>0.51216666666666666</v>
      </c>
    </row>
    <row r="333" spans="1:38" hidden="1" x14ac:dyDescent="0.2">
      <c r="A333" s="2">
        <v>2025</v>
      </c>
      <c r="B333" s="2">
        <v>1</v>
      </c>
      <c r="D333" s="2" t="s">
        <v>666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5"/>
        <v>1</v>
      </c>
      <c r="Z333" s="2" t="s">
        <v>170</v>
      </c>
      <c r="AA333" s="2" t="s">
        <v>170</v>
      </c>
      <c r="AF333" s="2">
        <f t="shared" si="42"/>
        <v>0</v>
      </c>
      <c r="AJ333" s="2">
        <f t="shared" si="43"/>
        <v>0</v>
      </c>
      <c r="AK333" s="2">
        <f t="shared" si="44"/>
        <v>8.5</v>
      </c>
      <c r="AL333" s="5">
        <f t="shared" si="36"/>
        <v>1</v>
      </c>
    </row>
    <row r="334" spans="1:38" hidden="1" x14ac:dyDescent="0.2">
      <c r="A334" s="2">
        <v>2025</v>
      </c>
      <c r="B334" s="2">
        <v>1</v>
      </c>
      <c r="D334" s="2" t="s">
        <v>672</v>
      </c>
      <c r="P334" s="2" t="s">
        <v>115</v>
      </c>
      <c r="Q334" s="2" t="s">
        <v>673</v>
      </c>
      <c r="R334" s="2" t="s">
        <v>674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5"/>
        <v>1</v>
      </c>
      <c r="Z334" s="2" t="s">
        <v>118</v>
      </c>
      <c r="AF334" s="2">
        <f t="shared" si="42"/>
        <v>0</v>
      </c>
      <c r="AJ334" s="2">
        <f t="shared" si="43"/>
        <v>0</v>
      </c>
      <c r="AK334" s="2">
        <f t="shared" si="44"/>
        <v>14.95</v>
      </c>
      <c r="AL334" s="5">
        <f t="shared" si="36"/>
        <v>1</v>
      </c>
    </row>
    <row r="335" spans="1:38" hidden="1" x14ac:dyDescent="0.2">
      <c r="A335" s="2">
        <v>2025</v>
      </c>
      <c r="B335" s="2">
        <v>1</v>
      </c>
      <c r="D335" s="2" t="s">
        <v>672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5"/>
        <v>0.5</v>
      </c>
      <c r="Z335" s="2" t="s">
        <v>118</v>
      </c>
      <c r="AA335" s="2" t="s">
        <v>191</v>
      </c>
      <c r="AB335" s="2" t="s">
        <v>191</v>
      </c>
      <c r="AC335" s="2" t="s">
        <v>40</v>
      </c>
      <c r="AF335" s="2">
        <f t="shared" si="42"/>
        <v>0</v>
      </c>
      <c r="AJ335" s="2">
        <f t="shared" si="43"/>
        <v>0</v>
      </c>
      <c r="AK335" s="2">
        <f t="shared" si="44"/>
        <v>24.995000000000001</v>
      </c>
      <c r="AL335" s="5">
        <f t="shared" si="36"/>
        <v>0.5</v>
      </c>
    </row>
    <row r="336" spans="1:38" hidden="1" x14ac:dyDescent="0.2">
      <c r="A336" s="2">
        <v>2025</v>
      </c>
      <c r="B336" s="2">
        <v>1</v>
      </c>
      <c r="D336" s="2" t="s">
        <v>675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1627</v>
      </c>
      <c r="J336" s="2" t="s">
        <v>3174</v>
      </c>
      <c r="L336" s="2" t="s">
        <v>340</v>
      </c>
      <c r="M336" s="2" t="s">
        <v>40</v>
      </c>
      <c r="O336" s="2" t="s">
        <v>3175</v>
      </c>
      <c r="P336" s="2" t="s">
        <v>1612</v>
      </c>
      <c r="Q336" s="2" t="s">
        <v>676</v>
      </c>
      <c r="R336" s="2" t="s">
        <v>677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5"/>
        <v>0.2484807610855895</v>
      </c>
      <c r="Z336" s="2" t="s">
        <v>105</v>
      </c>
      <c r="AA336" s="2" t="s">
        <v>265</v>
      </c>
      <c r="AB336" s="2" t="s">
        <v>1097</v>
      </c>
      <c r="AC336" s="2" t="s">
        <v>1612</v>
      </c>
      <c r="AF336" s="2">
        <f t="shared" si="42"/>
        <v>0</v>
      </c>
      <c r="AG336" s="2">
        <f>10958.19+575</f>
        <v>11533.19</v>
      </c>
      <c r="AJ336" s="2">
        <f t="shared" si="43"/>
        <v>0</v>
      </c>
      <c r="AK336" s="2">
        <f t="shared" si="44"/>
        <v>7626.619999999999</v>
      </c>
      <c r="AL336" s="5">
        <f t="shared" si="36"/>
        <v>0.2484807610855895</v>
      </c>
    </row>
    <row r="337" spans="1:38" hidden="1" x14ac:dyDescent="0.2">
      <c r="A337" s="2">
        <v>2025</v>
      </c>
      <c r="B337" s="2">
        <v>1</v>
      </c>
      <c r="D337" s="2" t="s">
        <v>678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679</v>
      </c>
      <c r="J337" s="2" t="s">
        <v>680</v>
      </c>
      <c r="L337" s="2" t="s">
        <v>340</v>
      </c>
      <c r="M337" s="2" t="s">
        <v>81</v>
      </c>
      <c r="O337" s="2" t="s">
        <v>681</v>
      </c>
      <c r="P337" s="2" t="s">
        <v>73</v>
      </c>
      <c r="Q337" s="2" t="s">
        <v>682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5"/>
        <v>0.43211956521739131</v>
      </c>
      <c r="Z337" s="2" t="s">
        <v>3231</v>
      </c>
      <c r="AA337" s="2" t="s">
        <v>76</v>
      </c>
      <c r="AB337" s="2" t="s">
        <v>77</v>
      </c>
      <c r="AC337" s="2" t="s">
        <v>78</v>
      </c>
      <c r="AF337" s="2">
        <f t="shared" si="42"/>
        <v>0</v>
      </c>
      <c r="AG337" s="2">
        <v>104.49</v>
      </c>
      <c r="AH337" s="2">
        <v>220</v>
      </c>
      <c r="AJ337" s="2">
        <f t="shared" si="43"/>
        <v>0</v>
      </c>
      <c r="AK337" s="2">
        <f t="shared" si="44"/>
        <v>79.510000000000005</v>
      </c>
      <c r="AL337" s="5">
        <f t="shared" si="36"/>
        <v>0.43211956521739131</v>
      </c>
    </row>
    <row r="338" spans="1:38" hidden="1" x14ac:dyDescent="0.2">
      <c r="A338" s="2">
        <v>2025</v>
      </c>
      <c r="B338" s="2">
        <v>1</v>
      </c>
      <c r="D338" s="2" t="s">
        <v>678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679</v>
      </c>
      <c r="J338" s="2" t="s">
        <v>680</v>
      </c>
      <c r="L338" s="2" t="s">
        <v>340</v>
      </c>
      <c r="M338" s="2" t="s">
        <v>81</v>
      </c>
      <c r="O338" s="2" t="s">
        <v>683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5"/>
        <v>0.43048372093023257</v>
      </c>
      <c r="Z338" s="2" t="s">
        <v>3231</v>
      </c>
      <c r="AA338" s="2" t="s">
        <v>76</v>
      </c>
      <c r="AB338" s="2" t="s">
        <v>77</v>
      </c>
      <c r="AC338" s="2" t="s">
        <v>78</v>
      </c>
      <c r="AF338" s="2">
        <f t="shared" si="42"/>
        <v>0</v>
      </c>
      <c r="AG338" s="2">
        <v>122.446</v>
      </c>
      <c r="AH338" s="2">
        <v>230</v>
      </c>
      <c r="AJ338" s="2">
        <f t="shared" si="43"/>
        <v>0</v>
      </c>
      <c r="AK338" s="2">
        <f t="shared" si="44"/>
        <v>92.554000000000002</v>
      </c>
      <c r="AL338" s="5">
        <f t="shared" si="36"/>
        <v>0.43048372093023257</v>
      </c>
    </row>
    <row r="339" spans="1:38" hidden="1" x14ac:dyDescent="0.2">
      <c r="A339" s="2">
        <v>2025</v>
      </c>
      <c r="B339" s="2">
        <v>1</v>
      </c>
      <c r="D339" s="2" t="s">
        <v>678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679</v>
      </c>
      <c r="J339" s="2" t="s">
        <v>680</v>
      </c>
      <c r="L339" s="2" t="s">
        <v>340</v>
      </c>
      <c r="M339" s="2" t="s">
        <v>81</v>
      </c>
      <c r="P339" s="2" t="s">
        <v>73</v>
      </c>
      <c r="Q339" s="2" t="s">
        <v>684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5"/>
        <v>0.35713043478260864</v>
      </c>
      <c r="Z339" s="2" t="s">
        <v>3231</v>
      </c>
      <c r="AA339" s="2" t="s">
        <v>76</v>
      </c>
      <c r="AB339" s="2" t="s">
        <v>77</v>
      </c>
      <c r="AC339" s="2" t="s">
        <v>78</v>
      </c>
      <c r="AF339" s="2">
        <f t="shared" si="42"/>
        <v>0</v>
      </c>
      <c r="AG339" s="2">
        <v>147.86000000000001</v>
      </c>
      <c r="AH339" s="2">
        <v>250</v>
      </c>
      <c r="AJ339" s="2">
        <f t="shared" si="43"/>
        <v>0</v>
      </c>
      <c r="AK339" s="2">
        <f t="shared" si="44"/>
        <v>82.139999999999986</v>
      </c>
      <c r="AL339" s="5">
        <f t="shared" si="36"/>
        <v>0.35713043478260864</v>
      </c>
    </row>
    <row r="340" spans="1:38" hidden="1" x14ac:dyDescent="0.2">
      <c r="A340" s="2">
        <v>2025</v>
      </c>
      <c r="B340" s="2">
        <v>1</v>
      </c>
      <c r="D340" s="2" t="s">
        <v>678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679</v>
      </c>
      <c r="J340" s="2" t="s">
        <v>680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5"/>
        <v>0</v>
      </c>
      <c r="Z340" s="2" t="s">
        <v>3231</v>
      </c>
      <c r="AA340" s="2" t="s">
        <v>97</v>
      </c>
      <c r="AB340" s="2" t="s">
        <v>77</v>
      </c>
      <c r="AC340" s="2" t="s">
        <v>94</v>
      </c>
      <c r="AF340" s="2">
        <f t="shared" si="42"/>
        <v>0</v>
      </c>
      <c r="AJ340" s="2">
        <f t="shared" si="43"/>
        <v>0</v>
      </c>
      <c r="AK340" s="2">
        <f t="shared" si="44"/>
        <v>0</v>
      </c>
      <c r="AL340" s="5">
        <f t="shared" si="36"/>
        <v>0</v>
      </c>
    </row>
    <row r="341" spans="1:38" hidden="1" x14ac:dyDescent="0.2">
      <c r="A341" s="2">
        <v>2025</v>
      </c>
      <c r="B341" s="2">
        <v>2</v>
      </c>
      <c r="C341" s="2" t="s">
        <v>3407</v>
      </c>
      <c r="D341" s="2" t="s">
        <v>685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686</v>
      </c>
      <c r="R341" s="2" t="s">
        <v>687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5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2"/>
        <v>0</v>
      </c>
      <c r="AJ341" s="2">
        <f t="shared" si="43"/>
        <v>0</v>
      </c>
      <c r="AK341" s="2">
        <f t="shared" si="44"/>
        <v>400</v>
      </c>
      <c r="AL341" s="5">
        <f t="shared" si="36"/>
        <v>0.30769230769230771</v>
      </c>
    </row>
    <row r="342" spans="1:38" hidden="1" x14ac:dyDescent="0.2">
      <c r="A342" s="2">
        <v>2025</v>
      </c>
      <c r="B342" s="2">
        <v>2</v>
      </c>
      <c r="D342" s="2" t="s">
        <v>688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689</v>
      </c>
      <c r="L342" s="2" t="s">
        <v>340</v>
      </c>
      <c r="M342" s="2" t="s">
        <v>40</v>
      </c>
      <c r="O342" s="2" t="s">
        <v>3194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5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2"/>
        <v>0</v>
      </c>
      <c r="AG342" s="2">
        <v>246.77</v>
      </c>
      <c r="AJ342" s="2">
        <f t="shared" si="43"/>
        <v>0</v>
      </c>
      <c r="AK342" s="2">
        <f t="shared" si="44"/>
        <v>271.52</v>
      </c>
      <c r="AL342" s="5">
        <f t="shared" si="36"/>
        <v>0.52387659418472288</v>
      </c>
    </row>
    <row r="343" spans="1:38" hidden="1" x14ac:dyDescent="0.2">
      <c r="A343" s="2">
        <v>2025</v>
      </c>
      <c r="B343" s="2">
        <v>2</v>
      </c>
      <c r="D343" s="2" t="s">
        <v>688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689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5"/>
        <v>0.6</v>
      </c>
      <c r="Z343" s="2" t="s">
        <v>118</v>
      </c>
      <c r="AA343" s="2" t="s">
        <v>191</v>
      </c>
      <c r="AB343" s="2" t="s">
        <v>190</v>
      </c>
      <c r="AC343" s="2" t="s">
        <v>40</v>
      </c>
      <c r="AF343" s="2">
        <f t="shared" si="42"/>
        <v>0</v>
      </c>
      <c r="AJ343" s="2">
        <f t="shared" si="43"/>
        <v>0</v>
      </c>
      <c r="AK343" s="2">
        <f t="shared" si="44"/>
        <v>30</v>
      </c>
      <c r="AL343" s="5">
        <f t="shared" si="36"/>
        <v>0.6</v>
      </c>
    </row>
    <row r="344" spans="1:38" hidden="1" x14ac:dyDescent="0.2">
      <c r="A344" s="2">
        <v>2025</v>
      </c>
      <c r="B344" s="2">
        <v>2</v>
      </c>
      <c r="D344" s="2" t="s">
        <v>688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689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5"/>
        <v>0.5</v>
      </c>
      <c r="Z344" s="2" t="s">
        <v>118</v>
      </c>
      <c r="AA344" s="2" t="s">
        <v>191</v>
      </c>
      <c r="AB344" s="2" t="s">
        <v>191</v>
      </c>
      <c r="AC344" s="2" t="s">
        <v>40</v>
      </c>
      <c r="AF344" s="2">
        <f t="shared" si="42"/>
        <v>0</v>
      </c>
      <c r="AJ344" s="2">
        <f t="shared" si="43"/>
        <v>0</v>
      </c>
      <c r="AK344" s="2">
        <f t="shared" si="44"/>
        <v>25</v>
      </c>
      <c r="AL344" s="5">
        <f t="shared" si="36"/>
        <v>0.5</v>
      </c>
    </row>
    <row r="345" spans="1:38" hidden="1" x14ac:dyDescent="0.2">
      <c r="A345" s="2">
        <v>2025</v>
      </c>
      <c r="B345" s="2">
        <v>2</v>
      </c>
      <c r="D345" s="2" t="s">
        <v>690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691</v>
      </c>
      <c r="K345" s="2">
        <v>913036545</v>
      </c>
      <c r="L345" s="2" t="s">
        <v>178</v>
      </c>
      <c r="M345" s="2" t="s">
        <v>41</v>
      </c>
      <c r="O345" s="2" t="s">
        <v>692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5"/>
        <v>0.45495495495495497</v>
      </c>
      <c r="Z345" s="2" t="s">
        <v>3231</v>
      </c>
      <c r="AA345" s="2" t="s">
        <v>46</v>
      </c>
      <c r="AB345" s="2" t="s">
        <v>47</v>
      </c>
      <c r="AC345" s="2" t="s">
        <v>48</v>
      </c>
      <c r="AF345" s="2">
        <f t="shared" si="42"/>
        <v>0</v>
      </c>
      <c r="AG345" s="2">
        <v>12.1</v>
      </c>
      <c r="AH345" s="2">
        <v>22.2</v>
      </c>
      <c r="AJ345" s="2">
        <f t="shared" si="43"/>
        <v>0</v>
      </c>
      <c r="AK345" s="2">
        <f t="shared" si="44"/>
        <v>20.2</v>
      </c>
      <c r="AL345" s="5">
        <f t="shared" si="36"/>
        <v>0.45495495495495497</v>
      </c>
    </row>
    <row r="346" spans="1:38" hidden="1" x14ac:dyDescent="0.2">
      <c r="A346" s="2">
        <v>2025</v>
      </c>
      <c r="B346" s="2">
        <v>2</v>
      </c>
      <c r="D346" s="2" t="s">
        <v>690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691</v>
      </c>
      <c r="K346" s="2">
        <v>913036545</v>
      </c>
      <c r="L346" s="2" t="s">
        <v>178</v>
      </c>
      <c r="M346" s="2" t="s">
        <v>41</v>
      </c>
      <c r="O346" s="2" t="s">
        <v>692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5"/>
        <v>0.52105128205128204</v>
      </c>
      <c r="Z346" s="2" t="s">
        <v>3231</v>
      </c>
      <c r="AA346" s="2" t="s">
        <v>46</v>
      </c>
      <c r="AB346" s="2" t="s">
        <v>47</v>
      </c>
      <c r="AC346" s="2" t="s">
        <v>48</v>
      </c>
      <c r="AF346" s="2">
        <f t="shared" si="42"/>
        <v>0</v>
      </c>
      <c r="AG346" s="2">
        <v>3.7357999999999998</v>
      </c>
      <c r="AH346" s="2">
        <v>9</v>
      </c>
      <c r="AJ346" s="2">
        <f t="shared" si="43"/>
        <v>0</v>
      </c>
      <c r="AK346" s="2">
        <f t="shared" si="44"/>
        <v>16.256799999999998</v>
      </c>
      <c r="AL346" s="5">
        <f t="shared" si="36"/>
        <v>0.52105128205128204</v>
      </c>
    </row>
    <row r="347" spans="1:38" hidden="1" x14ac:dyDescent="0.2">
      <c r="A347" s="2">
        <v>2025</v>
      </c>
      <c r="B347" s="2">
        <v>2</v>
      </c>
      <c r="D347" s="2" t="s">
        <v>690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691</v>
      </c>
      <c r="K347" s="2">
        <v>913036545</v>
      </c>
      <c r="L347" s="2" t="s">
        <v>178</v>
      </c>
      <c r="M347" s="2" t="s">
        <v>41</v>
      </c>
      <c r="O347" s="2" t="s">
        <v>693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5"/>
        <v>0.5243888888888889</v>
      </c>
      <c r="Z347" s="2" t="s">
        <v>3231</v>
      </c>
      <c r="AA347" s="2" t="s">
        <v>46</v>
      </c>
      <c r="AB347" s="2" t="s">
        <v>61</v>
      </c>
      <c r="AC347" s="2" t="s">
        <v>58</v>
      </c>
      <c r="AF347" s="2">
        <f t="shared" si="42"/>
        <v>0</v>
      </c>
      <c r="AG347" s="2">
        <v>0.85609999999999997</v>
      </c>
      <c r="AH347" s="2">
        <v>1.8</v>
      </c>
      <c r="AJ347" s="2">
        <f t="shared" si="43"/>
        <v>0</v>
      </c>
      <c r="AK347" s="2">
        <f t="shared" si="44"/>
        <v>18.878</v>
      </c>
      <c r="AL347" s="5">
        <f t="shared" si="36"/>
        <v>0.5243888888888889</v>
      </c>
    </row>
    <row r="348" spans="1:38" hidden="1" x14ac:dyDescent="0.2">
      <c r="A348" s="2">
        <v>2025</v>
      </c>
      <c r="B348" s="2">
        <v>2</v>
      </c>
      <c r="D348" s="2" t="s">
        <v>694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695</v>
      </c>
      <c r="J348" s="2" t="s">
        <v>696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5"/>
        <v>0.52105128205128204</v>
      </c>
      <c r="Z348" s="2" t="s">
        <v>3231</v>
      </c>
      <c r="AA348" s="2" t="s">
        <v>46</v>
      </c>
      <c r="AB348" s="2" t="s">
        <v>47</v>
      </c>
      <c r="AC348" s="2" t="s">
        <v>48</v>
      </c>
      <c r="AF348" s="2">
        <f t="shared" si="42"/>
        <v>0</v>
      </c>
      <c r="AG348" s="2">
        <v>3.7357999999999998</v>
      </c>
      <c r="AH348" s="2">
        <v>9</v>
      </c>
      <c r="AJ348" s="2">
        <f t="shared" si="43"/>
        <v>0</v>
      </c>
      <c r="AK348" s="2">
        <f t="shared" si="44"/>
        <v>4.0641999999999996</v>
      </c>
      <c r="AL348" s="5">
        <f t="shared" si="36"/>
        <v>0.52105128205128204</v>
      </c>
    </row>
    <row r="349" spans="1:38" hidden="1" x14ac:dyDescent="0.2">
      <c r="A349" s="2">
        <v>2025</v>
      </c>
      <c r="B349" s="2">
        <v>2</v>
      </c>
      <c r="D349" s="2" t="s">
        <v>694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695</v>
      </c>
      <c r="J349" s="2" t="s">
        <v>696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5"/>
        <v>0.45290151515151511</v>
      </c>
      <c r="Z349" s="2" t="s">
        <v>3231</v>
      </c>
      <c r="AA349" s="2" t="s">
        <v>46</v>
      </c>
      <c r="AB349" s="2" t="s">
        <v>57</v>
      </c>
      <c r="AC349" s="2" t="s">
        <v>58</v>
      </c>
      <c r="AF349" s="2">
        <f t="shared" si="42"/>
        <v>0</v>
      </c>
      <c r="AG349" s="2">
        <v>7.2217000000000002</v>
      </c>
      <c r="AH349" s="2">
        <v>14.4</v>
      </c>
      <c r="AJ349" s="2">
        <f t="shared" si="43"/>
        <v>0</v>
      </c>
      <c r="AK349" s="2">
        <f t="shared" si="44"/>
        <v>5.9782999999999991</v>
      </c>
      <c r="AL349" s="5">
        <f t="shared" si="36"/>
        <v>0.45290151515151511</v>
      </c>
    </row>
    <row r="350" spans="1:38" hidden="1" x14ac:dyDescent="0.2">
      <c r="A350" s="2">
        <v>2025</v>
      </c>
      <c r="B350" s="2">
        <v>2</v>
      </c>
      <c r="D350" s="2" t="s">
        <v>694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695</v>
      </c>
      <c r="J350" s="2" t="s">
        <v>696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5"/>
        <v>1</v>
      </c>
      <c r="Z350" s="2" t="s">
        <v>3231</v>
      </c>
      <c r="AA350" s="2" t="s">
        <v>46</v>
      </c>
      <c r="AB350" s="2" t="s">
        <v>57</v>
      </c>
      <c r="AC350" s="2" t="s">
        <v>58</v>
      </c>
      <c r="AF350" s="2">
        <f t="shared" si="42"/>
        <v>0</v>
      </c>
      <c r="AJ350" s="2">
        <f t="shared" si="43"/>
        <v>0</v>
      </c>
      <c r="AK350" s="2">
        <f t="shared" si="44"/>
        <v>19.8</v>
      </c>
      <c r="AL350" s="5">
        <f t="shared" si="36"/>
        <v>1</v>
      </c>
    </row>
    <row r="351" spans="1:38" hidden="1" x14ac:dyDescent="0.2">
      <c r="A351" s="2">
        <v>2025</v>
      </c>
      <c r="B351" s="2">
        <v>2</v>
      </c>
      <c r="D351" s="2" t="s">
        <v>694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695</v>
      </c>
      <c r="J351" s="2" t="s">
        <v>696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5"/>
        <v>1</v>
      </c>
      <c r="Z351" s="2" t="s">
        <v>3231</v>
      </c>
      <c r="AA351" s="2" t="s">
        <v>46</v>
      </c>
      <c r="AB351" s="2" t="s">
        <v>57</v>
      </c>
      <c r="AC351" s="2" t="s">
        <v>58</v>
      </c>
      <c r="AF351" s="2">
        <f t="shared" si="42"/>
        <v>0</v>
      </c>
      <c r="AJ351" s="2">
        <f t="shared" si="43"/>
        <v>0</v>
      </c>
      <c r="AK351" s="2">
        <f t="shared" si="44"/>
        <v>24</v>
      </c>
      <c r="AL351" s="5">
        <f t="shared" si="36"/>
        <v>1</v>
      </c>
    </row>
    <row r="352" spans="1:38" hidden="1" x14ac:dyDescent="0.2">
      <c r="A352" s="2">
        <v>2025</v>
      </c>
      <c r="B352" s="2">
        <v>2</v>
      </c>
      <c r="D352" s="2" t="s">
        <v>694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695</v>
      </c>
      <c r="J352" s="2" t="s">
        <v>696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5"/>
        <v>1</v>
      </c>
      <c r="Z352" s="2" t="s">
        <v>3231</v>
      </c>
      <c r="AA352" s="2" t="s">
        <v>46</v>
      </c>
      <c r="AB352" s="2" t="s">
        <v>57</v>
      </c>
      <c r="AC352" s="2" t="s">
        <v>58</v>
      </c>
      <c r="AF352" s="2">
        <f t="shared" si="42"/>
        <v>0</v>
      </c>
      <c r="AJ352" s="2">
        <f t="shared" si="43"/>
        <v>0</v>
      </c>
      <c r="AK352" s="2">
        <f t="shared" si="44"/>
        <v>28.8</v>
      </c>
      <c r="AL352" s="5">
        <f t="shared" si="36"/>
        <v>1</v>
      </c>
    </row>
    <row r="353" spans="1:38" hidden="1" x14ac:dyDescent="0.2">
      <c r="A353" s="2">
        <v>2025</v>
      </c>
      <c r="B353" s="2">
        <v>2</v>
      </c>
      <c r="D353" s="2" t="s">
        <v>694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695</v>
      </c>
      <c r="J353" s="2" t="s">
        <v>696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5"/>
        <v>1</v>
      </c>
      <c r="Z353" s="2" t="s">
        <v>3231</v>
      </c>
      <c r="AA353" s="2" t="s">
        <v>46</v>
      </c>
      <c r="AB353" s="2" t="s">
        <v>57</v>
      </c>
      <c r="AC353" s="2" t="s">
        <v>58</v>
      </c>
      <c r="AF353" s="2">
        <f t="shared" si="42"/>
        <v>0</v>
      </c>
      <c r="AJ353" s="2">
        <f t="shared" si="43"/>
        <v>0</v>
      </c>
      <c r="AK353" s="2">
        <f t="shared" si="44"/>
        <v>16.8</v>
      </c>
      <c r="AL353" s="5">
        <f t="shared" si="36"/>
        <v>1</v>
      </c>
    </row>
    <row r="354" spans="1:38" hidden="1" x14ac:dyDescent="0.2">
      <c r="A354" s="2">
        <v>2025</v>
      </c>
      <c r="B354" s="2">
        <v>2</v>
      </c>
      <c r="D354" s="2" t="s">
        <v>694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695</v>
      </c>
      <c r="J354" s="2" t="s">
        <v>696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5"/>
        <v>1</v>
      </c>
      <c r="Z354" s="2" t="s">
        <v>3231</v>
      </c>
      <c r="AA354" s="2" t="s">
        <v>46</v>
      </c>
      <c r="AB354" s="2" t="s">
        <v>57</v>
      </c>
      <c r="AC354" s="2" t="s">
        <v>58</v>
      </c>
      <c r="AF354" s="2">
        <f t="shared" si="42"/>
        <v>0</v>
      </c>
      <c r="AJ354" s="2">
        <f t="shared" si="43"/>
        <v>0</v>
      </c>
      <c r="AK354" s="2">
        <f t="shared" si="44"/>
        <v>19.2</v>
      </c>
      <c r="AL354" s="5">
        <f t="shared" si="36"/>
        <v>1</v>
      </c>
    </row>
    <row r="355" spans="1:38" hidden="1" x14ac:dyDescent="0.2">
      <c r="A355" s="2">
        <v>2025</v>
      </c>
      <c r="B355" s="2">
        <v>2</v>
      </c>
      <c r="D355" s="2" t="s">
        <v>694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695</v>
      </c>
      <c r="J355" s="2" t="s">
        <v>696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5"/>
        <v>1</v>
      </c>
      <c r="Z355" s="2" t="s">
        <v>3231</v>
      </c>
      <c r="AA355" s="2" t="s">
        <v>46</v>
      </c>
      <c r="AB355" s="2" t="s">
        <v>57</v>
      </c>
      <c r="AC355" s="2" t="s">
        <v>58</v>
      </c>
      <c r="AF355" s="2">
        <f t="shared" si="42"/>
        <v>0</v>
      </c>
      <c r="AJ355" s="2">
        <f t="shared" si="43"/>
        <v>0</v>
      </c>
      <c r="AK355" s="2">
        <f t="shared" si="44"/>
        <v>22.2</v>
      </c>
      <c r="AL355" s="5">
        <f t="shared" si="36"/>
        <v>1</v>
      </c>
    </row>
    <row r="356" spans="1:38" hidden="1" x14ac:dyDescent="0.2">
      <c r="A356" s="2">
        <v>2025</v>
      </c>
      <c r="B356" s="2">
        <v>2</v>
      </c>
      <c r="D356" s="2" t="s">
        <v>694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695</v>
      </c>
      <c r="J356" s="2" t="s">
        <v>696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5"/>
        <v>0.44210526315789478</v>
      </c>
      <c r="Z356" s="2" t="s">
        <v>3231</v>
      </c>
      <c r="AA356" s="2" t="s">
        <v>46</v>
      </c>
      <c r="AB356" s="2" t="s">
        <v>57</v>
      </c>
      <c r="AC356" s="2" t="s">
        <v>58</v>
      </c>
      <c r="AF356" s="2">
        <f t="shared" si="42"/>
        <v>0</v>
      </c>
      <c r="AG356" s="2">
        <v>10.6</v>
      </c>
      <c r="AH356" s="2">
        <v>18</v>
      </c>
      <c r="AJ356" s="2">
        <f t="shared" si="43"/>
        <v>0</v>
      </c>
      <c r="AK356" s="2">
        <f t="shared" si="44"/>
        <v>8.4</v>
      </c>
      <c r="AL356" s="5">
        <f t="shared" si="36"/>
        <v>0.44210526315789478</v>
      </c>
    </row>
    <row r="357" spans="1:38" hidden="1" x14ac:dyDescent="0.2">
      <c r="A357" s="2">
        <v>2025</v>
      </c>
      <c r="B357" s="2">
        <v>2</v>
      </c>
      <c r="D357" s="2" t="s">
        <v>694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695</v>
      </c>
      <c r="J357" s="2" t="s">
        <v>696</v>
      </c>
      <c r="K357" s="2">
        <v>917295518</v>
      </c>
      <c r="L357" s="2" t="s">
        <v>178</v>
      </c>
      <c r="M357" s="2" t="s">
        <v>41</v>
      </c>
      <c r="O357" s="2" t="s">
        <v>697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5"/>
        <v>0.53045454545454551</v>
      </c>
      <c r="Z357" s="2" t="s">
        <v>3231</v>
      </c>
      <c r="AA357" s="2" t="s">
        <v>46</v>
      </c>
      <c r="AB357" s="2" t="s">
        <v>47</v>
      </c>
      <c r="AC357" s="2" t="s">
        <v>48</v>
      </c>
      <c r="AF357" s="2">
        <f t="shared" si="42"/>
        <v>0</v>
      </c>
      <c r="AG357" s="2">
        <v>15.494999999999999</v>
      </c>
      <c r="AH357" s="2">
        <v>36</v>
      </c>
      <c r="AJ357" s="2">
        <f t="shared" si="43"/>
        <v>0</v>
      </c>
      <c r="AK357" s="2">
        <f t="shared" si="44"/>
        <v>17.505000000000003</v>
      </c>
      <c r="AL357" s="5">
        <f t="shared" si="36"/>
        <v>0.53045454545454551</v>
      </c>
    </row>
    <row r="358" spans="1:38" hidden="1" x14ac:dyDescent="0.2">
      <c r="A358" s="2">
        <v>2025</v>
      </c>
      <c r="B358" s="2">
        <v>2</v>
      </c>
      <c r="D358" s="2" t="s">
        <v>694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695</v>
      </c>
      <c r="J358" s="2" t="s">
        <v>696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9">(T358-W358)/T358</f>
        <v>0.46925333333333336</v>
      </c>
      <c r="Z358" s="2" t="s">
        <v>3231</v>
      </c>
      <c r="AA358" s="2" t="s">
        <v>46</v>
      </c>
      <c r="AB358" s="2" t="s">
        <v>68</v>
      </c>
      <c r="AC358" s="2" t="s">
        <v>58</v>
      </c>
      <c r="AF358" s="2">
        <f t="shared" si="42"/>
        <v>0</v>
      </c>
      <c r="AG358" s="2">
        <v>7.9611999999999998</v>
      </c>
      <c r="AH358" s="2">
        <v>14.4</v>
      </c>
      <c r="AJ358" s="2">
        <f t="shared" si="43"/>
        <v>0</v>
      </c>
      <c r="AK358" s="2">
        <f t="shared" si="44"/>
        <v>7.0388000000000002</v>
      </c>
      <c r="AL358" s="5">
        <f t="shared" ref="AL358:AL421" si="50">(T358-W358)/T358</f>
        <v>0.46925333333333336</v>
      </c>
    </row>
    <row r="359" spans="1:38" hidden="1" x14ac:dyDescent="0.2">
      <c r="A359" s="2">
        <v>2025</v>
      </c>
      <c r="B359" s="2">
        <v>2</v>
      </c>
      <c r="D359" s="2" t="s">
        <v>303</v>
      </c>
      <c r="O359" s="2" t="s">
        <v>698</v>
      </c>
      <c r="P359" s="2" t="s">
        <v>699</v>
      </c>
      <c r="Q359" s="2" t="s">
        <v>700</v>
      </c>
      <c r="R359" s="2" t="s">
        <v>701</v>
      </c>
      <c r="S359" s="2">
        <v>1</v>
      </c>
      <c r="T359" s="2">
        <v>0</v>
      </c>
      <c r="U359" s="2">
        <v>0</v>
      </c>
      <c r="V359" s="2">
        <v>0</v>
      </c>
      <c r="X359" s="5">
        <v>-1</v>
      </c>
      <c r="Z359" s="2" t="s">
        <v>105</v>
      </c>
      <c r="AA359" s="2" t="s">
        <v>579</v>
      </c>
      <c r="AB359" s="2" t="s">
        <v>702</v>
      </c>
      <c r="AC359" s="2" t="s">
        <v>699</v>
      </c>
      <c r="AF359" s="2">
        <f t="shared" si="42"/>
        <v>0</v>
      </c>
      <c r="AJ359" s="2">
        <f t="shared" si="43"/>
        <v>0</v>
      </c>
      <c r="AK359" s="2">
        <f t="shared" si="44"/>
        <v>0</v>
      </c>
      <c r="AL359" s="5" t="e">
        <f t="shared" si="50"/>
        <v>#DIV/0!</v>
      </c>
    </row>
    <row r="360" spans="1:38" hidden="1" x14ac:dyDescent="0.2">
      <c r="A360" s="2">
        <v>2025</v>
      </c>
      <c r="B360" s="2">
        <v>2</v>
      </c>
      <c r="D360" s="2" t="s">
        <v>303</v>
      </c>
      <c r="P360" s="2" t="s">
        <v>699</v>
      </c>
      <c r="Q360" s="2" t="s">
        <v>703</v>
      </c>
      <c r="R360" s="2" t="s">
        <v>704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9"/>
        <v>0.33882352941176469</v>
      </c>
      <c r="Z360" s="2" t="s">
        <v>105</v>
      </c>
      <c r="AA360" s="2" t="s">
        <v>151</v>
      </c>
      <c r="AB360" s="2" t="s">
        <v>152</v>
      </c>
      <c r="AC360" s="2" t="s">
        <v>699</v>
      </c>
      <c r="AF360" s="2">
        <f t="shared" si="42"/>
        <v>0</v>
      </c>
      <c r="AJ360" s="2">
        <f t="shared" si="43"/>
        <v>0</v>
      </c>
      <c r="AK360" s="2">
        <f t="shared" si="44"/>
        <v>1036.8</v>
      </c>
      <c r="AL360" s="5">
        <f t="shared" si="50"/>
        <v>0.33882352941176469</v>
      </c>
    </row>
    <row r="361" spans="1:38" hidden="1" x14ac:dyDescent="0.2">
      <c r="A361" s="2">
        <v>2025</v>
      </c>
      <c r="B361" s="2">
        <v>2</v>
      </c>
      <c r="D361" s="2" t="s">
        <v>303</v>
      </c>
      <c r="P361" s="2" t="s">
        <v>699</v>
      </c>
      <c r="Q361" s="2" t="s">
        <v>705</v>
      </c>
      <c r="R361" s="2" t="s">
        <v>706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9"/>
        <v>0.45423307436182025</v>
      </c>
      <c r="Z361" s="2" t="s">
        <v>105</v>
      </c>
      <c r="AA361" s="2" t="s">
        <v>617</v>
      </c>
      <c r="AB361" s="2" t="s">
        <v>152</v>
      </c>
      <c r="AC361" s="2" t="s">
        <v>699</v>
      </c>
      <c r="AF361" s="2">
        <f t="shared" si="42"/>
        <v>0</v>
      </c>
      <c r="AJ361" s="2">
        <f t="shared" si="43"/>
        <v>0</v>
      </c>
      <c r="AK361" s="2">
        <f t="shared" si="44"/>
        <v>1023.1600000000001</v>
      </c>
      <c r="AL361" s="5">
        <f t="shared" si="50"/>
        <v>0.45423307436182025</v>
      </c>
    </row>
    <row r="362" spans="1:38" hidden="1" x14ac:dyDescent="0.2">
      <c r="A362" s="2">
        <v>2025</v>
      </c>
      <c r="B362" s="2">
        <v>2</v>
      </c>
      <c r="D362" s="2" t="s">
        <v>707</v>
      </c>
      <c r="E362" s="2" t="s">
        <v>184</v>
      </c>
      <c r="G362" s="2">
        <v>500038996</v>
      </c>
      <c r="H362" s="2" t="s">
        <v>110</v>
      </c>
      <c r="I362" s="2" t="s">
        <v>708</v>
      </c>
      <c r="J362" s="2" t="s">
        <v>709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710</v>
      </c>
      <c r="R362" s="2" t="s">
        <v>711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49"/>
        <v>0.22234718749999999</v>
      </c>
      <c r="Z362" s="2" t="s">
        <v>105</v>
      </c>
      <c r="AA362" s="2" t="s">
        <v>579</v>
      </c>
      <c r="AB362" s="2" t="s">
        <v>702</v>
      </c>
      <c r="AC362" s="2" t="s">
        <v>115</v>
      </c>
      <c r="AF362" s="2">
        <f t="shared" si="42"/>
        <v>0</v>
      </c>
      <c r="AJ362" s="2">
        <f t="shared" si="43"/>
        <v>0</v>
      </c>
      <c r="AK362" s="2">
        <f t="shared" si="44"/>
        <v>355.75549999999998</v>
      </c>
      <c r="AL362" s="5">
        <f t="shared" si="50"/>
        <v>0.22234718749999999</v>
      </c>
    </row>
    <row r="363" spans="1:38" hidden="1" x14ac:dyDescent="0.2">
      <c r="A363" s="2">
        <v>2025</v>
      </c>
      <c r="B363" s="2">
        <v>2</v>
      </c>
      <c r="D363" s="2" t="s">
        <v>707</v>
      </c>
      <c r="E363" s="2" t="s">
        <v>184</v>
      </c>
      <c r="G363" s="2">
        <v>500038996</v>
      </c>
      <c r="H363" s="2" t="s">
        <v>110</v>
      </c>
      <c r="I363" s="2" t="s">
        <v>708</v>
      </c>
      <c r="J363" s="2" t="s">
        <v>709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712</v>
      </c>
      <c r="R363" s="2" t="s">
        <v>713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9"/>
        <v>1</v>
      </c>
      <c r="Z363" s="2" t="s">
        <v>105</v>
      </c>
      <c r="AF363" s="2">
        <f t="shared" si="42"/>
        <v>0</v>
      </c>
      <c r="AJ363" s="2">
        <f t="shared" si="43"/>
        <v>0</v>
      </c>
      <c r="AK363" s="2">
        <f t="shared" si="44"/>
        <v>5500</v>
      </c>
      <c r="AL363" s="5">
        <f t="shared" si="50"/>
        <v>1</v>
      </c>
    </row>
    <row r="364" spans="1:38" hidden="1" x14ac:dyDescent="0.2">
      <c r="A364" s="2">
        <v>2025</v>
      </c>
      <c r="B364" s="2">
        <v>2</v>
      </c>
      <c r="D364" s="2" t="s">
        <v>707</v>
      </c>
      <c r="E364" s="2" t="s">
        <v>184</v>
      </c>
      <c r="G364" s="2">
        <v>500038996</v>
      </c>
      <c r="H364" s="2" t="s">
        <v>110</v>
      </c>
      <c r="I364" s="2" t="s">
        <v>708</v>
      </c>
      <c r="J364" s="2" t="s">
        <v>709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714</v>
      </c>
      <c r="R364" s="2" t="s">
        <v>715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9"/>
        <v>1</v>
      </c>
      <c r="Z364" s="2" t="s">
        <v>105</v>
      </c>
      <c r="AF364" s="2">
        <f t="shared" si="42"/>
        <v>0</v>
      </c>
      <c r="AJ364" s="2">
        <f t="shared" si="43"/>
        <v>0</v>
      </c>
      <c r="AK364" s="2">
        <f t="shared" si="44"/>
        <v>3400</v>
      </c>
      <c r="AL364" s="5">
        <f t="shared" si="50"/>
        <v>1</v>
      </c>
    </row>
    <row r="365" spans="1:38" hidden="1" x14ac:dyDescent="0.2">
      <c r="A365" s="2">
        <v>2025</v>
      </c>
      <c r="B365" s="2">
        <v>2</v>
      </c>
      <c r="D365" s="2" t="s">
        <v>716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9"/>
        <v>1</v>
      </c>
      <c r="Z365" s="2" t="s">
        <v>118</v>
      </c>
      <c r="AF365" s="2">
        <f t="shared" si="42"/>
        <v>0</v>
      </c>
      <c r="AJ365" s="2">
        <f t="shared" si="43"/>
        <v>0</v>
      </c>
      <c r="AK365" s="2">
        <f t="shared" si="44"/>
        <v>257.64999999999998</v>
      </c>
      <c r="AL365" s="5">
        <f t="shared" si="50"/>
        <v>1</v>
      </c>
    </row>
    <row r="366" spans="1:38" hidden="1" x14ac:dyDescent="0.2">
      <c r="A366" s="2">
        <v>2025</v>
      </c>
      <c r="B366" s="2">
        <v>2</v>
      </c>
      <c r="D366" s="2" t="s">
        <v>716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9"/>
        <v>0.5</v>
      </c>
      <c r="Z366" s="2" t="s">
        <v>118</v>
      </c>
      <c r="AA366" s="2" t="s">
        <v>191</v>
      </c>
      <c r="AB366" s="2" t="s">
        <v>191</v>
      </c>
      <c r="AC366" s="2" t="s">
        <v>40</v>
      </c>
      <c r="AF366" s="2">
        <f t="shared" si="42"/>
        <v>0</v>
      </c>
      <c r="AJ366" s="2">
        <f t="shared" si="43"/>
        <v>0</v>
      </c>
      <c r="AK366" s="2">
        <f t="shared" si="44"/>
        <v>18.75</v>
      </c>
      <c r="AL366" s="5">
        <f t="shared" si="50"/>
        <v>0.5</v>
      </c>
    </row>
    <row r="367" spans="1:38" hidden="1" x14ac:dyDescent="0.2">
      <c r="A367" s="2">
        <v>2025</v>
      </c>
      <c r="B367" s="2">
        <v>2</v>
      </c>
      <c r="D367" s="2" t="s">
        <v>717</v>
      </c>
      <c r="E367" s="2" t="s">
        <v>109</v>
      </c>
      <c r="F367" s="2" t="s">
        <v>718</v>
      </c>
      <c r="G367" s="2">
        <v>500042063</v>
      </c>
      <c r="H367" s="2" t="s">
        <v>110</v>
      </c>
      <c r="I367" s="2" t="s">
        <v>113</v>
      </c>
      <c r="J367" s="2" t="s">
        <v>719</v>
      </c>
      <c r="L367" s="2" t="s">
        <v>113</v>
      </c>
      <c r="M367" s="2" t="s">
        <v>40</v>
      </c>
      <c r="O367" s="2" t="s">
        <v>720</v>
      </c>
      <c r="P367" s="2" t="s">
        <v>115</v>
      </c>
      <c r="Q367" s="2" t="s">
        <v>721</v>
      </c>
      <c r="R367" s="2" t="s">
        <v>722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9"/>
        <v>1</v>
      </c>
      <c r="Z367" s="2" t="s">
        <v>118</v>
      </c>
      <c r="AF367" s="2">
        <f t="shared" si="42"/>
        <v>0</v>
      </c>
      <c r="AJ367" s="2">
        <f t="shared" si="43"/>
        <v>0</v>
      </c>
      <c r="AK367" s="2">
        <f t="shared" si="44"/>
        <v>309.86</v>
      </c>
      <c r="AL367" s="5">
        <f t="shared" si="50"/>
        <v>1</v>
      </c>
    </row>
    <row r="368" spans="1:38" hidden="1" x14ac:dyDescent="0.2">
      <c r="A368" s="2">
        <v>2025</v>
      </c>
      <c r="B368" s="2">
        <v>2</v>
      </c>
      <c r="D368" s="2" t="s">
        <v>717</v>
      </c>
      <c r="E368" s="2" t="s">
        <v>109</v>
      </c>
      <c r="F368" s="2" t="s">
        <v>718</v>
      </c>
      <c r="G368" s="2">
        <v>500042063</v>
      </c>
      <c r="H368" s="2" t="s">
        <v>110</v>
      </c>
      <c r="I368" s="2" t="s">
        <v>113</v>
      </c>
      <c r="J368" s="2" t="s">
        <v>719</v>
      </c>
      <c r="L368" s="2" t="s">
        <v>113</v>
      </c>
      <c r="M368" s="2" t="s">
        <v>40</v>
      </c>
      <c r="O368" s="2" t="s">
        <v>720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9"/>
        <v>0.6</v>
      </c>
      <c r="Z368" s="2" t="s">
        <v>118</v>
      </c>
      <c r="AA368" s="2" t="s">
        <v>191</v>
      </c>
      <c r="AB368" s="2" t="s">
        <v>190</v>
      </c>
      <c r="AC368" s="2" t="s">
        <v>40</v>
      </c>
      <c r="AF368" s="2">
        <f t="shared" si="42"/>
        <v>0</v>
      </c>
      <c r="AJ368" s="2">
        <f t="shared" si="43"/>
        <v>0</v>
      </c>
      <c r="AK368" s="2">
        <f t="shared" si="44"/>
        <v>58.949999999999996</v>
      </c>
      <c r="AL368" s="5">
        <f t="shared" si="50"/>
        <v>0.6</v>
      </c>
    </row>
    <row r="369" spans="1:38" hidden="1" x14ac:dyDescent="0.2">
      <c r="A369" s="2">
        <v>2025</v>
      </c>
      <c r="B369" s="2">
        <v>2</v>
      </c>
      <c r="D369" s="2" t="s">
        <v>717</v>
      </c>
      <c r="E369" s="2" t="s">
        <v>109</v>
      </c>
      <c r="F369" s="2" t="s">
        <v>718</v>
      </c>
      <c r="G369" s="2">
        <v>500042063</v>
      </c>
      <c r="H369" s="2" t="s">
        <v>110</v>
      </c>
      <c r="I369" s="2" t="s">
        <v>113</v>
      </c>
      <c r="J369" s="2" t="s">
        <v>719</v>
      </c>
      <c r="L369" s="2" t="s">
        <v>113</v>
      </c>
      <c r="M369" s="2" t="s">
        <v>40</v>
      </c>
      <c r="O369" s="2" t="s">
        <v>720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9"/>
        <v>0.5</v>
      </c>
      <c r="Z369" s="2" t="s">
        <v>118</v>
      </c>
      <c r="AA369" s="2" t="s">
        <v>191</v>
      </c>
      <c r="AB369" s="2" t="s">
        <v>191</v>
      </c>
      <c r="AC369" s="2" t="s">
        <v>40</v>
      </c>
      <c r="AF369" s="2">
        <f t="shared" si="42"/>
        <v>0</v>
      </c>
      <c r="AJ369" s="2">
        <f t="shared" si="43"/>
        <v>0</v>
      </c>
      <c r="AK369" s="2">
        <f t="shared" si="44"/>
        <v>45</v>
      </c>
      <c r="AL369" s="5">
        <f t="shared" si="50"/>
        <v>0.5</v>
      </c>
    </row>
    <row r="370" spans="1:38" hidden="1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723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9"/>
        <v>0.30000000000000004</v>
      </c>
      <c r="Z370" s="2" t="s">
        <v>3231</v>
      </c>
      <c r="AA370" s="2" t="s">
        <v>72</v>
      </c>
      <c r="AB370" s="2" t="s">
        <v>120</v>
      </c>
      <c r="AC370" s="2" t="s">
        <v>120</v>
      </c>
      <c r="AF370" s="2">
        <f t="shared" si="42"/>
        <v>0</v>
      </c>
      <c r="AJ370" s="2">
        <f t="shared" si="43"/>
        <v>0</v>
      </c>
      <c r="AK370" s="2">
        <f t="shared" si="44"/>
        <v>26.700000000000003</v>
      </c>
      <c r="AL370" s="5">
        <f t="shared" si="50"/>
        <v>0.30000000000000004</v>
      </c>
    </row>
    <row r="371" spans="1:38" hidden="1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723</v>
      </c>
      <c r="P371" s="2" t="s">
        <v>283</v>
      </c>
      <c r="Q371" s="2" t="s">
        <v>724</v>
      </c>
      <c r="R371" s="2" t="s">
        <v>725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9"/>
        <v>0.70815967523680645</v>
      </c>
      <c r="Z371" s="2" t="s">
        <v>3231</v>
      </c>
      <c r="AA371" s="2" t="s">
        <v>72</v>
      </c>
      <c r="AB371" s="2" t="s">
        <v>120</v>
      </c>
      <c r="AC371" s="2" t="s">
        <v>120</v>
      </c>
      <c r="AF371" s="2">
        <f t="shared" si="42"/>
        <v>0</v>
      </c>
      <c r="AJ371" s="2">
        <f t="shared" si="43"/>
        <v>0</v>
      </c>
      <c r="AK371" s="2">
        <f t="shared" si="44"/>
        <v>5.2332999999999998</v>
      </c>
      <c r="AL371" s="5">
        <f t="shared" si="50"/>
        <v>0.70815967523680645</v>
      </c>
    </row>
    <row r="372" spans="1:38" hidden="1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726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9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2"/>
        <v>0</v>
      </c>
      <c r="AJ372" s="2">
        <f t="shared" si="43"/>
        <v>0</v>
      </c>
      <c r="AK372" s="2">
        <f t="shared" si="44"/>
        <v>178</v>
      </c>
      <c r="AL372" s="5">
        <f t="shared" si="50"/>
        <v>0.29915966386554621</v>
      </c>
    </row>
    <row r="373" spans="1:38" hidden="1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727</v>
      </c>
      <c r="P373" s="2" t="s">
        <v>73</v>
      </c>
      <c r="Q373" s="2" t="s">
        <v>728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9"/>
        <v>0.43655999999999995</v>
      </c>
      <c r="Z373" s="2" t="s">
        <v>3231</v>
      </c>
      <c r="AA373" s="2" t="s">
        <v>76</v>
      </c>
      <c r="AB373" s="2" t="s">
        <v>77</v>
      </c>
      <c r="AC373" s="2" t="s">
        <v>78</v>
      </c>
      <c r="AF373" s="2">
        <f t="shared" si="42"/>
        <v>0</v>
      </c>
      <c r="AJ373" s="2">
        <f t="shared" si="43"/>
        <v>0</v>
      </c>
      <c r="AK373" s="2">
        <f t="shared" si="44"/>
        <v>109.13999999999999</v>
      </c>
      <c r="AL373" s="5">
        <f t="shared" si="50"/>
        <v>0.43655999999999995</v>
      </c>
    </row>
    <row r="374" spans="1:38" hidden="1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727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9"/>
        <v>0</v>
      </c>
      <c r="Z374" s="2" t="s">
        <v>3231</v>
      </c>
      <c r="AA374" s="2" t="s">
        <v>97</v>
      </c>
      <c r="AB374" s="2" t="s">
        <v>77</v>
      </c>
      <c r="AC374" s="2" t="s">
        <v>94</v>
      </c>
      <c r="AF374" s="2">
        <f t="shared" si="42"/>
        <v>0</v>
      </c>
      <c r="AJ374" s="2">
        <f t="shared" si="43"/>
        <v>0</v>
      </c>
      <c r="AK374" s="2">
        <f t="shared" si="44"/>
        <v>0</v>
      </c>
      <c r="AL374" s="5">
        <f t="shared" si="50"/>
        <v>0</v>
      </c>
    </row>
    <row r="375" spans="1:38" hidden="1" x14ac:dyDescent="0.2">
      <c r="A375" s="2">
        <v>2025</v>
      </c>
      <c r="B375" s="2">
        <v>2</v>
      </c>
      <c r="D375" s="2" t="s">
        <v>729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9"/>
        <v>0.39847826086956517</v>
      </c>
      <c r="Z375" s="2" t="s">
        <v>3231</v>
      </c>
      <c r="AA375" s="2" t="s">
        <v>76</v>
      </c>
      <c r="AB375" s="2" t="s">
        <v>77</v>
      </c>
      <c r="AC375" s="2" t="s">
        <v>78</v>
      </c>
      <c r="AF375" s="2">
        <f t="shared" si="42"/>
        <v>0</v>
      </c>
      <c r="AG375" s="2">
        <v>110.68</v>
      </c>
      <c r="AH375" s="2">
        <v>210</v>
      </c>
      <c r="AJ375" s="2">
        <f t="shared" si="43"/>
        <v>0</v>
      </c>
      <c r="AK375" s="2">
        <f t="shared" si="44"/>
        <v>73.319999999999993</v>
      </c>
      <c r="AL375" s="5">
        <f t="shared" si="50"/>
        <v>0.39847826086956517</v>
      </c>
    </row>
    <row r="376" spans="1:38" hidden="1" x14ac:dyDescent="0.2">
      <c r="A376" s="2">
        <v>2025</v>
      </c>
      <c r="B376" s="2">
        <v>2</v>
      </c>
      <c r="D376" s="2" t="s">
        <v>729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9"/>
        <v>0</v>
      </c>
      <c r="Z376" s="2" t="s">
        <v>3231</v>
      </c>
      <c r="AA376" s="2" t="s">
        <v>97</v>
      </c>
      <c r="AB376" s="2" t="s">
        <v>77</v>
      </c>
      <c r="AC376" s="2" t="s">
        <v>94</v>
      </c>
      <c r="AF376" s="2">
        <f t="shared" si="42"/>
        <v>0</v>
      </c>
      <c r="AJ376" s="2">
        <f t="shared" si="43"/>
        <v>0</v>
      </c>
      <c r="AK376" s="2">
        <f t="shared" si="44"/>
        <v>0</v>
      </c>
      <c r="AL376" s="5">
        <f t="shared" si="50"/>
        <v>0</v>
      </c>
    </row>
    <row r="377" spans="1:38" hidden="1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730</v>
      </c>
      <c r="R377" s="2" t="s">
        <v>731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9"/>
        <v>1</v>
      </c>
      <c r="Z377" s="2" t="s">
        <v>118</v>
      </c>
      <c r="AF377" s="2">
        <f t="shared" si="42"/>
        <v>0</v>
      </c>
      <c r="AJ377" s="2">
        <f t="shared" si="43"/>
        <v>0</v>
      </c>
      <c r="AK377" s="2">
        <f t="shared" si="44"/>
        <v>44.98</v>
      </c>
      <c r="AL377" s="5">
        <f t="shared" si="50"/>
        <v>1</v>
      </c>
    </row>
    <row r="378" spans="1:38" hidden="1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9"/>
        <v>1</v>
      </c>
      <c r="Z378" s="2" t="s">
        <v>3231</v>
      </c>
      <c r="AA378" s="2" t="s">
        <v>46</v>
      </c>
      <c r="AB378" s="2" t="s">
        <v>57</v>
      </c>
      <c r="AC378" s="2" t="s">
        <v>58</v>
      </c>
      <c r="AF378" s="2">
        <f t="shared" si="42"/>
        <v>0</v>
      </c>
      <c r="AJ378" s="2">
        <f t="shared" si="43"/>
        <v>0</v>
      </c>
      <c r="AK378" s="2">
        <f t="shared" si="44"/>
        <v>28.8</v>
      </c>
      <c r="AL378" s="5">
        <f t="shared" si="50"/>
        <v>1</v>
      </c>
    </row>
    <row r="379" spans="1:38" hidden="1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9"/>
        <v>0.2383333333333334</v>
      </c>
      <c r="Z379" s="2" t="s">
        <v>3231</v>
      </c>
      <c r="AA379" s="2" t="s">
        <v>46</v>
      </c>
      <c r="AB379" s="2" t="s">
        <v>61</v>
      </c>
      <c r="AC379" s="2" t="s">
        <v>58</v>
      </c>
      <c r="AF379" s="2">
        <f t="shared" si="42"/>
        <v>0</v>
      </c>
      <c r="AG379" s="2">
        <v>9.14</v>
      </c>
      <c r="AH379" s="2">
        <v>16</v>
      </c>
      <c r="AJ379" s="2">
        <f t="shared" si="43"/>
        <v>0</v>
      </c>
      <c r="AK379" s="2">
        <f t="shared" si="44"/>
        <v>14.300000000000004</v>
      </c>
      <c r="AL379" s="5">
        <f t="shared" si="50"/>
        <v>0.2383333333333334</v>
      </c>
    </row>
    <row r="380" spans="1:38" hidden="1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9"/>
        <v>0.29692307692307701</v>
      </c>
      <c r="Z380" s="2" t="s">
        <v>3231</v>
      </c>
      <c r="AA380" s="2" t="s">
        <v>46</v>
      </c>
      <c r="AB380" s="2" t="s">
        <v>61</v>
      </c>
      <c r="AC380" s="2" t="s">
        <v>58</v>
      </c>
      <c r="AF380" s="2">
        <f t="shared" si="42"/>
        <v>0</v>
      </c>
      <c r="AJ380" s="2">
        <f t="shared" si="43"/>
        <v>0</v>
      </c>
      <c r="AK380" s="2">
        <f t="shared" si="44"/>
        <v>19.300000000000004</v>
      </c>
      <c r="AL380" s="5">
        <f t="shared" si="50"/>
        <v>0.29692307692307701</v>
      </c>
    </row>
    <row r="381" spans="1:38" hidden="1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9"/>
        <v>0.30138139534883718</v>
      </c>
      <c r="Z381" s="2" t="s">
        <v>3231</v>
      </c>
      <c r="AA381" s="2" t="s">
        <v>46</v>
      </c>
      <c r="AB381" s="2" t="s">
        <v>68</v>
      </c>
      <c r="AC381" s="2" t="s">
        <v>58</v>
      </c>
      <c r="AF381" s="2">
        <f t="shared" si="42"/>
        <v>0</v>
      </c>
      <c r="AG381" s="2">
        <v>15.020300000000001</v>
      </c>
      <c r="AH381" s="2">
        <v>27.6</v>
      </c>
      <c r="AJ381" s="2">
        <f t="shared" si="43"/>
        <v>0</v>
      </c>
      <c r="AK381" s="2">
        <f t="shared" si="44"/>
        <v>19.439099999999996</v>
      </c>
      <c r="AL381" s="5">
        <f t="shared" si="50"/>
        <v>0.30138139534883718</v>
      </c>
    </row>
    <row r="382" spans="1:38" hidden="1" x14ac:dyDescent="0.2">
      <c r="A382" s="2">
        <v>2025</v>
      </c>
      <c r="B382" s="2">
        <v>2</v>
      </c>
      <c r="D382" s="2" t="s">
        <v>732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733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9"/>
        <v>0.6</v>
      </c>
      <c r="Z382" s="2" t="s">
        <v>118</v>
      </c>
      <c r="AA382" s="2" t="s">
        <v>191</v>
      </c>
      <c r="AB382" s="2" t="s">
        <v>190</v>
      </c>
      <c r="AC382" s="2" t="s">
        <v>40</v>
      </c>
      <c r="AF382" s="2">
        <f t="shared" si="42"/>
        <v>0</v>
      </c>
      <c r="AJ382" s="2">
        <f t="shared" si="43"/>
        <v>0</v>
      </c>
      <c r="AK382" s="2">
        <f t="shared" si="44"/>
        <v>30</v>
      </c>
      <c r="AL382" s="5">
        <f t="shared" si="50"/>
        <v>0.6</v>
      </c>
    </row>
    <row r="383" spans="1:38" hidden="1" x14ac:dyDescent="0.2">
      <c r="A383" s="2">
        <v>2025</v>
      </c>
      <c r="B383" s="2">
        <v>2</v>
      </c>
      <c r="D383" s="2" t="s">
        <v>732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733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9"/>
        <v>0.5</v>
      </c>
      <c r="Z383" s="2" t="s">
        <v>118</v>
      </c>
      <c r="AA383" s="2" t="s">
        <v>191</v>
      </c>
      <c r="AB383" s="2" t="s">
        <v>191</v>
      </c>
      <c r="AC383" s="2" t="s">
        <v>40</v>
      </c>
      <c r="AF383" s="2">
        <f t="shared" si="42"/>
        <v>0</v>
      </c>
      <c r="AJ383" s="2">
        <f t="shared" si="43"/>
        <v>0</v>
      </c>
      <c r="AK383" s="2">
        <f t="shared" si="44"/>
        <v>18.75</v>
      </c>
      <c r="AL383" s="5">
        <f t="shared" si="50"/>
        <v>0.5</v>
      </c>
    </row>
    <row r="384" spans="1:38" hidden="1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734</v>
      </c>
      <c r="R384" s="2" t="s">
        <v>735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9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2"/>
        <v>0</v>
      </c>
      <c r="AG384" s="2">
        <v>13.59</v>
      </c>
      <c r="AJ384" s="2">
        <f t="shared" si="43"/>
        <v>0</v>
      </c>
      <c r="AK384" s="2">
        <f t="shared" si="44"/>
        <v>14.649999999999999</v>
      </c>
      <c r="AL384" s="5">
        <f t="shared" si="50"/>
        <v>0.51876770538243622</v>
      </c>
    </row>
    <row r="385" spans="1:38" hidden="1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736</v>
      </c>
      <c r="R385" s="2" t="s">
        <v>737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9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2"/>
        <v>0</v>
      </c>
      <c r="AG385" s="2">
        <f>9.75+0.63</f>
        <v>10.38</v>
      </c>
      <c r="AJ385" s="2">
        <f t="shared" si="43"/>
        <v>0</v>
      </c>
      <c r="AK385" s="2">
        <f t="shared" si="44"/>
        <v>9.8899999999999988</v>
      </c>
      <c r="AL385" s="5">
        <f t="shared" si="50"/>
        <v>0.48791317217562896</v>
      </c>
    </row>
    <row r="386" spans="1:38" hidden="1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9"/>
        <v>0.45370697674418603</v>
      </c>
      <c r="Z386" s="2" t="s">
        <v>3231</v>
      </c>
      <c r="AA386" s="2" t="s">
        <v>76</v>
      </c>
      <c r="AB386" s="2" t="s">
        <v>77</v>
      </c>
      <c r="AC386" s="2" t="s">
        <v>78</v>
      </c>
      <c r="AF386" s="2">
        <f t="shared" ref="AF386:AF449" si="51">AJ386</f>
        <v>0</v>
      </c>
      <c r="AG386" s="2">
        <v>117.453</v>
      </c>
      <c r="AH386" s="2">
        <v>220</v>
      </c>
      <c r="AJ386" s="2">
        <f t="shared" ref="AJ386:AJ449" si="52">AI386*T386</f>
        <v>0</v>
      </c>
      <c r="AK386" s="2">
        <f t="shared" ref="AK386:AK449" si="53">T386-W386</f>
        <v>97.546999999999997</v>
      </c>
      <c r="AL386" s="5">
        <f t="shared" si="50"/>
        <v>0.45370697674418603</v>
      </c>
    </row>
    <row r="387" spans="1:38" hidden="1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9"/>
        <v>0</v>
      </c>
      <c r="Z387" s="2" t="s">
        <v>3231</v>
      </c>
      <c r="AA387" s="2" t="s">
        <v>97</v>
      </c>
      <c r="AB387" s="2" t="s">
        <v>77</v>
      </c>
      <c r="AC387" s="2" t="s">
        <v>94</v>
      </c>
      <c r="AF387" s="2">
        <f t="shared" si="51"/>
        <v>0</v>
      </c>
      <c r="AG387" s="2">
        <v>1.1399999999999999</v>
      </c>
      <c r="AH387" s="2">
        <v>1.1399999999999999</v>
      </c>
      <c r="AJ387" s="2">
        <f t="shared" si="52"/>
        <v>0</v>
      </c>
      <c r="AK387" s="2">
        <f t="shared" si="53"/>
        <v>0</v>
      </c>
      <c r="AL387" s="5">
        <f t="shared" si="50"/>
        <v>0</v>
      </c>
    </row>
    <row r="388" spans="1:38" hidden="1" x14ac:dyDescent="0.2">
      <c r="A388" s="2">
        <v>2025</v>
      </c>
      <c r="B388" s="2">
        <v>2</v>
      </c>
      <c r="D388" s="2" t="s">
        <v>738</v>
      </c>
      <c r="E388" s="2" t="s">
        <v>109</v>
      </c>
      <c r="F388" s="2" t="s">
        <v>718</v>
      </c>
      <c r="G388" s="2">
        <v>500331596</v>
      </c>
      <c r="H388" s="2" t="s">
        <v>40</v>
      </c>
      <c r="I388" s="2" t="s">
        <v>739</v>
      </c>
      <c r="J388" s="2" t="s">
        <v>740</v>
      </c>
      <c r="L388" s="2" t="s">
        <v>345</v>
      </c>
      <c r="M388" s="2" t="s">
        <v>40</v>
      </c>
      <c r="O388" s="2" t="s">
        <v>741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9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1"/>
        <v>0</v>
      </c>
      <c r="AJ388" s="2">
        <f t="shared" si="52"/>
        <v>0</v>
      </c>
      <c r="AK388" s="2">
        <f t="shared" si="53"/>
        <v>705.45999999999992</v>
      </c>
      <c r="AL388" s="5">
        <f t="shared" si="50"/>
        <v>0.50440440440440437</v>
      </c>
    </row>
    <row r="389" spans="1:38" hidden="1" x14ac:dyDescent="0.2">
      <c r="A389" s="2">
        <v>2025</v>
      </c>
      <c r="B389" s="2">
        <v>2</v>
      </c>
      <c r="D389" s="2" t="s">
        <v>738</v>
      </c>
      <c r="E389" s="2" t="s">
        <v>109</v>
      </c>
      <c r="F389" s="2" t="s">
        <v>718</v>
      </c>
      <c r="G389" s="2">
        <v>500331596</v>
      </c>
      <c r="H389" s="2" t="s">
        <v>40</v>
      </c>
      <c r="I389" s="2" t="s">
        <v>739</v>
      </c>
      <c r="J389" s="2" t="s">
        <v>740</v>
      </c>
      <c r="L389" s="2" t="s">
        <v>345</v>
      </c>
      <c r="M389" s="2" t="s">
        <v>40</v>
      </c>
      <c r="O389" s="2" t="s">
        <v>741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9"/>
        <v>0.60000000000000009</v>
      </c>
      <c r="Z389" s="2" t="s">
        <v>118</v>
      </c>
      <c r="AA389" s="2" t="s">
        <v>191</v>
      </c>
      <c r="AB389" s="2" t="s">
        <v>190</v>
      </c>
      <c r="AC389" s="2" t="s">
        <v>40</v>
      </c>
      <c r="AF389" s="2">
        <f t="shared" si="51"/>
        <v>0</v>
      </c>
      <c r="AJ389" s="2">
        <f t="shared" si="52"/>
        <v>0</v>
      </c>
      <c r="AK389" s="2">
        <f t="shared" si="53"/>
        <v>166.8</v>
      </c>
      <c r="AL389" s="5">
        <f t="shared" si="50"/>
        <v>0.60000000000000009</v>
      </c>
    </row>
    <row r="390" spans="1:38" hidden="1" x14ac:dyDescent="0.2">
      <c r="A390" s="2">
        <v>2025</v>
      </c>
      <c r="B390" s="2">
        <v>2</v>
      </c>
      <c r="D390" s="2" t="s">
        <v>738</v>
      </c>
      <c r="E390" s="2" t="s">
        <v>109</v>
      </c>
      <c r="F390" s="2" t="s">
        <v>718</v>
      </c>
      <c r="G390" s="2">
        <v>500331596</v>
      </c>
      <c r="H390" s="2" t="s">
        <v>40</v>
      </c>
      <c r="I390" s="2" t="s">
        <v>739</v>
      </c>
      <c r="J390" s="2" t="s">
        <v>740</v>
      </c>
      <c r="L390" s="2" t="s">
        <v>345</v>
      </c>
      <c r="M390" s="2" t="s">
        <v>40</v>
      </c>
      <c r="O390" s="2" t="s">
        <v>741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4">(T390-W390)/T390</f>
        <v>0.5</v>
      </c>
      <c r="Z390" s="2" t="s">
        <v>118</v>
      </c>
      <c r="AA390" s="2" t="s">
        <v>191</v>
      </c>
      <c r="AB390" s="2" t="s">
        <v>191</v>
      </c>
      <c r="AC390" s="2" t="s">
        <v>40</v>
      </c>
      <c r="AF390" s="2">
        <f t="shared" si="51"/>
        <v>0</v>
      </c>
      <c r="AJ390" s="2">
        <f t="shared" si="52"/>
        <v>0</v>
      </c>
      <c r="AK390" s="2">
        <f t="shared" si="53"/>
        <v>25</v>
      </c>
      <c r="AL390" s="5">
        <f t="shared" si="50"/>
        <v>0.5</v>
      </c>
    </row>
    <row r="391" spans="1:38" hidden="1" x14ac:dyDescent="0.2">
      <c r="A391" s="2">
        <v>2025</v>
      </c>
      <c r="B391" s="2">
        <v>2</v>
      </c>
      <c r="D391" s="2" t="s">
        <v>742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4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1"/>
        <v>0</v>
      </c>
      <c r="AJ391" s="2">
        <f t="shared" si="52"/>
        <v>0</v>
      </c>
      <c r="AK391" s="2">
        <f t="shared" si="53"/>
        <v>22.027999999999999</v>
      </c>
      <c r="AL391" s="5">
        <f t="shared" si="50"/>
        <v>0.48875083203905034</v>
      </c>
    </row>
    <row r="392" spans="1:38" hidden="1" x14ac:dyDescent="0.2">
      <c r="A392" s="2">
        <v>2025</v>
      </c>
      <c r="B392" s="2">
        <v>2</v>
      </c>
      <c r="D392" s="2" t="s">
        <v>742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4"/>
        <v>1</v>
      </c>
      <c r="Z392" s="2" t="s">
        <v>170</v>
      </c>
      <c r="AA392" s="2" t="s">
        <v>170</v>
      </c>
      <c r="AF392" s="2">
        <f t="shared" si="51"/>
        <v>0</v>
      </c>
      <c r="AJ392" s="2">
        <f t="shared" si="52"/>
        <v>0</v>
      </c>
      <c r="AK392" s="2">
        <f t="shared" si="53"/>
        <v>5</v>
      </c>
      <c r="AL392" s="5">
        <f t="shared" si="50"/>
        <v>1</v>
      </c>
    </row>
    <row r="393" spans="1:38" hidden="1" x14ac:dyDescent="0.2">
      <c r="A393" s="2">
        <v>2025</v>
      </c>
      <c r="B393" s="2">
        <v>2</v>
      </c>
      <c r="D393" s="2" t="s">
        <v>743</v>
      </c>
      <c r="P393" s="2" t="s">
        <v>73</v>
      </c>
      <c r="Q393" s="2" t="s">
        <v>744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4"/>
        <v>0.49305124223602487</v>
      </c>
      <c r="Z393" s="2" t="s">
        <v>3231</v>
      </c>
      <c r="AA393" s="2" t="s">
        <v>76</v>
      </c>
      <c r="AB393" s="2" t="s">
        <v>77</v>
      </c>
      <c r="AC393" s="2" t="s">
        <v>78</v>
      </c>
      <c r="AF393" s="2">
        <f t="shared" si="51"/>
        <v>0</v>
      </c>
      <c r="AJ393" s="2">
        <f t="shared" si="52"/>
        <v>0</v>
      </c>
      <c r="AK393" s="2">
        <f t="shared" si="53"/>
        <v>127.01000000000002</v>
      </c>
      <c r="AL393" s="5">
        <f t="shared" si="50"/>
        <v>0.49305124223602487</v>
      </c>
    </row>
    <row r="394" spans="1:38" hidden="1" x14ac:dyDescent="0.2">
      <c r="A394" s="2">
        <v>2025</v>
      </c>
      <c r="B394" s="2">
        <v>2</v>
      </c>
      <c r="D394" s="2" t="s">
        <v>743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4"/>
        <v>0</v>
      </c>
      <c r="Z394" s="2" t="s">
        <v>3231</v>
      </c>
      <c r="AA394" s="2" t="s">
        <v>97</v>
      </c>
      <c r="AB394" s="2" t="s">
        <v>77</v>
      </c>
      <c r="AC394" s="2" t="s">
        <v>94</v>
      </c>
      <c r="AF394" s="2">
        <f t="shared" si="51"/>
        <v>0</v>
      </c>
      <c r="AJ394" s="2">
        <f t="shared" si="52"/>
        <v>0</v>
      </c>
      <c r="AK394" s="2">
        <f t="shared" si="53"/>
        <v>0</v>
      </c>
      <c r="AL394" s="5">
        <f t="shared" si="50"/>
        <v>0</v>
      </c>
    </row>
    <row r="395" spans="1:38" hidden="1" x14ac:dyDescent="0.2">
      <c r="A395" s="2">
        <v>2025</v>
      </c>
      <c r="B395" s="2">
        <v>2</v>
      </c>
      <c r="D395" s="2" t="s">
        <v>745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746</v>
      </c>
      <c r="J395" s="2" t="s">
        <v>747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748</v>
      </c>
      <c r="R395" s="2" t="s">
        <v>749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4"/>
        <v>1</v>
      </c>
      <c r="Z395" s="2" t="s">
        <v>118</v>
      </c>
      <c r="AA395" s="2" t="s">
        <v>119</v>
      </c>
      <c r="AB395" s="2" t="s">
        <v>120</v>
      </c>
      <c r="AF395" s="2">
        <f t="shared" si="51"/>
        <v>0</v>
      </c>
      <c r="AJ395" s="2">
        <f t="shared" si="52"/>
        <v>0</v>
      </c>
      <c r="AK395" s="2">
        <f t="shared" si="53"/>
        <v>129.6</v>
      </c>
      <c r="AL395" s="5">
        <f t="shared" si="50"/>
        <v>1</v>
      </c>
    </row>
    <row r="396" spans="1:38" hidden="1" x14ac:dyDescent="0.2">
      <c r="A396" s="2">
        <v>2025</v>
      </c>
      <c r="B396" s="2">
        <v>2</v>
      </c>
      <c r="D396" s="2" t="s">
        <v>745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746</v>
      </c>
      <c r="J396" s="2" t="s">
        <v>747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4"/>
        <v>0.6</v>
      </c>
      <c r="Z396" s="2" t="s">
        <v>118</v>
      </c>
      <c r="AA396" s="2" t="s">
        <v>191</v>
      </c>
      <c r="AB396" s="2" t="s">
        <v>190</v>
      </c>
      <c r="AC396" s="2" t="s">
        <v>40</v>
      </c>
      <c r="AF396" s="2">
        <f t="shared" si="51"/>
        <v>0</v>
      </c>
      <c r="AJ396" s="2">
        <f t="shared" si="52"/>
        <v>0</v>
      </c>
      <c r="AK396" s="2">
        <f t="shared" si="53"/>
        <v>31.049999999999997</v>
      </c>
      <c r="AL396" s="5">
        <f t="shared" si="50"/>
        <v>0.6</v>
      </c>
    </row>
    <row r="397" spans="1:38" hidden="1" x14ac:dyDescent="0.2">
      <c r="A397" s="2">
        <v>2025</v>
      </c>
      <c r="B397" s="2">
        <v>2</v>
      </c>
      <c r="D397" s="2" t="s">
        <v>745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746</v>
      </c>
      <c r="J397" s="2" t="s">
        <v>747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4"/>
        <v>0.5</v>
      </c>
      <c r="Z397" s="2" t="s">
        <v>118</v>
      </c>
      <c r="AA397" s="2" t="s">
        <v>191</v>
      </c>
      <c r="AB397" s="2" t="s">
        <v>191</v>
      </c>
      <c r="AC397" s="2" t="s">
        <v>40</v>
      </c>
      <c r="AF397" s="2">
        <f t="shared" si="51"/>
        <v>0</v>
      </c>
      <c r="AJ397" s="2">
        <f t="shared" si="52"/>
        <v>0</v>
      </c>
      <c r="AK397" s="2">
        <f t="shared" si="53"/>
        <v>45</v>
      </c>
      <c r="AL397" s="5">
        <f t="shared" si="50"/>
        <v>0.5</v>
      </c>
    </row>
    <row r="398" spans="1:38" hidden="1" x14ac:dyDescent="0.2">
      <c r="A398" s="2">
        <v>2025</v>
      </c>
      <c r="B398" s="2">
        <v>2</v>
      </c>
      <c r="D398" s="2" t="s">
        <v>745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746</v>
      </c>
      <c r="J398" s="2" t="s">
        <v>747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4"/>
        <v>1</v>
      </c>
      <c r="Z398" s="2" t="s">
        <v>120</v>
      </c>
      <c r="AA398" s="2" t="s">
        <v>3385</v>
      </c>
      <c r="AF398" s="2">
        <f t="shared" si="51"/>
        <v>0</v>
      </c>
      <c r="AJ398" s="2">
        <f t="shared" si="52"/>
        <v>0</v>
      </c>
      <c r="AK398" s="2">
        <f t="shared" si="53"/>
        <v>135</v>
      </c>
      <c r="AL398" s="5">
        <f t="shared" si="50"/>
        <v>1</v>
      </c>
    </row>
    <row r="399" spans="1:38" hidden="1" x14ac:dyDescent="0.2">
      <c r="A399" s="2">
        <v>2025</v>
      </c>
      <c r="B399" s="2">
        <v>2</v>
      </c>
      <c r="D399" s="2" t="s">
        <v>750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751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4"/>
        <v>1</v>
      </c>
      <c r="Z399" s="2" t="s">
        <v>118</v>
      </c>
      <c r="AF399" s="2">
        <f t="shared" si="51"/>
        <v>0</v>
      </c>
      <c r="AJ399" s="2">
        <f t="shared" si="52"/>
        <v>0</v>
      </c>
      <c r="AK399" s="2">
        <f t="shared" si="53"/>
        <v>837.98</v>
      </c>
      <c r="AL399" s="5">
        <f t="shared" si="50"/>
        <v>1</v>
      </c>
    </row>
    <row r="400" spans="1:38" hidden="1" x14ac:dyDescent="0.2">
      <c r="A400" s="2">
        <v>2025</v>
      </c>
      <c r="B400" s="2">
        <v>2</v>
      </c>
      <c r="D400" s="2" t="s">
        <v>750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751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B400" s="2" t="s">
        <v>190</v>
      </c>
      <c r="AC400" s="2" t="s">
        <v>40</v>
      </c>
      <c r="AF400" s="2">
        <f t="shared" si="51"/>
        <v>0</v>
      </c>
      <c r="AJ400" s="2">
        <f t="shared" si="52"/>
        <v>0</v>
      </c>
      <c r="AK400" s="2">
        <f t="shared" si="53"/>
        <v>0</v>
      </c>
      <c r="AL400" s="5" t="e">
        <f t="shared" si="50"/>
        <v>#DIV/0!</v>
      </c>
    </row>
    <row r="401" spans="1:38" hidden="1" x14ac:dyDescent="0.2">
      <c r="A401" s="2">
        <v>2025</v>
      </c>
      <c r="B401" s="2">
        <v>2</v>
      </c>
      <c r="D401" s="2" t="s">
        <v>750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751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4"/>
        <v>0.5</v>
      </c>
      <c r="Z401" s="2" t="s">
        <v>118</v>
      </c>
      <c r="AA401" s="2" t="s">
        <v>191</v>
      </c>
      <c r="AB401" s="2" t="s">
        <v>191</v>
      </c>
      <c r="AC401" s="2" t="s">
        <v>40</v>
      </c>
      <c r="AF401" s="2">
        <f t="shared" si="51"/>
        <v>0</v>
      </c>
      <c r="AJ401" s="2">
        <f t="shared" si="52"/>
        <v>0</v>
      </c>
      <c r="AK401" s="2">
        <f t="shared" si="53"/>
        <v>45</v>
      </c>
      <c r="AL401" s="5">
        <f t="shared" si="50"/>
        <v>0.5</v>
      </c>
    </row>
    <row r="402" spans="1:38" hidden="1" x14ac:dyDescent="0.2">
      <c r="A402" s="2">
        <v>2025</v>
      </c>
      <c r="B402" s="2">
        <v>2</v>
      </c>
      <c r="D402" s="2" t="s">
        <v>752</v>
      </c>
      <c r="E402" s="2" t="s">
        <v>753</v>
      </c>
      <c r="F402" s="2" t="s">
        <v>39</v>
      </c>
      <c r="G402" s="2">
        <v>190948426</v>
      </c>
      <c r="H402" s="2" t="s">
        <v>40</v>
      </c>
      <c r="I402" s="2" t="s">
        <v>754</v>
      </c>
      <c r="J402" s="2" t="s">
        <v>755</v>
      </c>
      <c r="K402" s="2">
        <v>916288855</v>
      </c>
      <c r="L402" s="2" t="s">
        <v>202</v>
      </c>
      <c r="P402" s="2" t="s">
        <v>283</v>
      </c>
      <c r="Q402" s="2" t="s">
        <v>756</v>
      </c>
      <c r="R402" s="2" t="s">
        <v>757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4"/>
        <v>0.24897959183673471</v>
      </c>
      <c r="Z402" s="2" t="s">
        <v>3231</v>
      </c>
      <c r="AA402" s="2" t="s">
        <v>72</v>
      </c>
      <c r="AB402" s="2" t="s">
        <v>120</v>
      </c>
      <c r="AC402" s="2" t="s">
        <v>120</v>
      </c>
      <c r="AF402" s="2">
        <f t="shared" si="51"/>
        <v>0</v>
      </c>
      <c r="AJ402" s="2">
        <f t="shared" si="52"/>
        <v>0</v>
      </c>
      <c r="AK402" s="2">
        <f t="shared" si="53"/>
        <v>1.2200000000000002</v>
      </c>
      <c r="AL402" s="5">
        <f t="shared" si="50"/>
        <v>0.24897959183673471</v>
      </c>
    </row>
    <row r="403" spans="1:38" hidden="1" x14ac:dyDescent="0.2">
      <c r="A403" s="2">
        <v>2025</v>
      </c>
      <c r="B403" s="2">
        <v>2</v>
      </c>
      <c r="D403" s="2" t="s">
        <v>752</v>
      </c>
      <c r="E403" s="2" t="s">
        <v>753</v>
      </c>
      <c r="F403" s="2" t="s">
        <v>39</v>
      </c>
      <c r="G403" s="2">
        <v>190948426</v>
      </c>
      <c r="H403" s="2" t="s">
        <v>40</v>
      </c>
      <c r="I403" s="2" t="s">
        <v>754</v>
      </c>
      <c r="J403" s="2" t="s">
        <v>755</v>
      </c>
      <c r="K403" s="2">
        <v>916288855</v>
      </c>
      <c r="L403" s="2" t="s">
        <v>202</v>
      </c>
      <c r="P403" s="2" t="s">
        <v>283</v>
      </c>
      <c r="Q403" s="2" t="s">
        <v>758</v>
      </c>
      <c r="R403" s="2" t="s">
        <v>759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4"/>
        <v>0.24915254237288145</v>
      </c>
      <c r="Z403" s="2" t="s">
        <v>3231</v>
      </c>
      <c r="AA403" s="2" t="s">
        <v>72</v>
      </c>
      <c r="AB403" s="2" t="s">
        <v>120</v>
      </c>
      <c r="AC403" s="2" t="s">
        <v>120</v>
      </c>
      <c r="AF403" s="2">
        <f t="shared" si="51"/>
        <v>0</v>
      </c>
      <c r="AJ403" s="2">
        <f t="shared" si="52"/>
        <v>0</v>
      </c>
      <c r="AK403" s="2">
        <f t="shared" si="53"/>
        <v>1.4700000000000006</v>
      </c>
      <c r="AL403" s="5">
        <f t="shared" si="50"/>
        <v>0.24915254237288145</v>
      </c>
    </row>
    <row r="404" spans="1:38" hidden="1" x14ac:dyDescent="0.2">
      <c r="A404" s="2">
        <v>2025</v>
      </c>
      <c r="B404" s="2">
        <v>2</v>
      </c>
      <c r="D404" s="2" t="s">
        <v>752</v>
      </c>
      <c r="E404" s="2" t="s">
        <v>753</v>
      </c>
      <c r="F404" s="2" t="s">
        <v>39</v>
      </c>
      <c r="G404" s="2">
        <v>190948426</v>
      </c>
      <c r="H404" s="2" t="s">
        <v>40</v>
      </c>
      <c r="I404" s="2" t="s">
        <v>754</v>
      </c>
      <c r="J404" s="2" t="s">
        <v>755</v>
      </c>
      <c r="K404" s="2">
        <v>916288855</v>
      </c>
      <c r="L404" s="2" t="s">
        <v>202</v>
      </c>
      <c r="P404" s="2" t="s">
        <v>283</v>
      </c>
      <c r="Q404" s="2" t="s">
        <v>760</v>
      </c>
      <c r="R404" s="2" t="s">
        <v>761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4"/>
        <v>0.24915254237288145</v>
      </c>
      <c r="Z404" s="2" t="s">
        <v>3231</v>
      </c>
      <c r="AA404" s="2" t="s">
        <v>72</v>
      </c>
      <c r="AB404" s="2" t="s">
        <v>120</v>
      </c>
      <c r="AC404" s="2" t="s">
        <v>120</v>
      </c>
      <c r="AF404" s="2">
        <f t="shared" si="51"/>
        <v>0</v>
      </c>
      <c r="AJ404" s="2">
        <f t="shared" si="52"/>
        <v>0</v>
      </c>
      <c r="AK404" s="2">
        <f t="shared" si="53"/>
        <v>1.4700000000000006</v>
      </c>
      <c r="AL404" s="5">
        <f t="shared" si="50"/>
        <v>0.24915254237288145</v>
      </c>
    </row>
    <row r="405" spans="1:38" hidden="1" x14ac:dyDescent="0.2">
      <c r="A405" s="2">
        <v>2025</v>
      </c>
      <c r="B405" s="2">
        <v>2</v>
      </c>
      <c r="C405" s="2" t="s">
        <v>3312</v>
      </c>
      <c r="D405" s="2" t="s">
        <v>762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763</v>
      </c>
      <c r="J405" s="2" t="s">
        <v>764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4"/>
        <v>0.41111111111111115</v>
      </c>
      <c r="Z405" s="2" t="s">
        <v>3231</v>
      </c>
      <c r="AA405" s="2" t="s">
        <v>46</v>
      </c>
      <c r="AB405" s="2" t="s">
        <v>57</v>
      </c>
      <c r="AC405" s="2" t="s">
        <v>58</v>
      </c>
      <c r="AF405" s="2">
        <f t="shared" si="51"/>
        <v>0</v>
      </c>
      <c r="AG405" s="2">
        <v>10.6</v>
      </c>
      <c r="AH405" s="2">
        <v>18</v>
      </c>
      <c r="AJ405" s="2">
        <f t="shared" si="52"/>
        <v>0</v>
      </c>
      <c r="AK405" s="2">
        <f t="shared" si="53"/>
        <v>14.8</v>
      </c>
      <c r="AL405" s="5">
        <f t="shared" si="50"/>
        <v>0.41111111111111115</v>
      </c>
    </row>
    <row r="406" spans="1:38" hidden="1" x14ac:dyDescent="0.2">
      <c r="A406" s="2">
        <v>2025</v>
      </c>
      <c r="B406" s="2">
        <v>2</v>
      </c>
      <c r="C406" s="2" t="s">
        <v>3312</v>
      </c>
      <c r="D406" s="2" t="s">
        <v>762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763</v>
      </c>
      <c r="J406" s="2" t="s">
        <v>764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4"/>
        <v>0.36923076923076914</v>
      </c>
      <c r="Z406" s="2" t="s">
        <v>3231</v>
      </c>
      <c r="AA406" s="2" t="s">
        <v>46</v>
      </c>
      <c r="AB406" s="2" t="s">
        <v>61</v>
      </c>
      <c r="AC406" s="2" t="s">
        <v>58</v>
      </c>
      <c r="AF406" s="2">
        <f t="shared" si="51"/>
        <v>0</v>
      </c>
      <c r="AG406" s="2">
        <v>8.1999999999999993</v>
      </c>
      <c r="AH406" s="2">
        <v>13</v>
      </c>
      <c r="AJ406" s="2">
        <f t="shared" si="52"/>
        <v>0</v>
      </c>
      <c r="AK406" s="2">
        <f t="shared" si="53"/>
        <v>4.7999999999999989</v>
      </c>
      <c r="AL406" s="5">
        <f t="shared" si="50"/>
        <v>0.36923076923076914</v>
      </c>
    </row>
    <row r="407" spans="1:38" hidden="1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765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4"/>
        <v>0.44069999999999998</v>
      </c>
      <c r="Z407" s="2" t="s">
        <v>3231</v>
      </c>
      <c r="AA407" s="2" t="s">
        <v>76</v>
      </c>
      <c r="AB407" s="2" t="s">
        <v>77</v>
      </c>
      <c r="AC407" s="2" t="s">
        <v>78</v>
      </c>
      <c r="AF407" s="2">
        <f t="shared" si="51"/>
        <v>0</v>
      </c>
      <c r="AG407" s="2">
        <v>117.453</v>
      </c>
      <c r="AH407" s="2">
        <v>220</v>
      </c>
      <c r="AJ407" s="2">
        <f t="shared" si="52"/>
        <v>0</v>
      </c>
      <c r="AK407" s="2">
        <f t="shared" si="53"/>
        <v>92.546999999999997</v>
      </c>
      <c r="AL407" s="5">
        <f t="shared" si="50"/>
        <v>0.44069999999999998</v>
      </c>
    </row>
    <row r="408" spans="1:38" hidden="1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765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4"/>
        <v>0</v>
      </c>
      <c r="Z408" s="2" t="s">
        <v>3231</v>
      </c>
      <c r="AA408" s="2" t="s">
        <v>97</v>
      </c>
      <c r="AB408" s="2" t="s">
        <v>77</v>
      </c>
      <c r="AC408" s="2" t="s">
        <v>94</v>
      </c>
      <c r="AF408" s="2">
        <f t="shared" si="51"/>
        <v>0</v>
      </c>
      <c r="AJ408" s="2">
        <f t="shared" si="52"/>
        <v>0</v>
      </c>
      <c r="AK408" s="2">
        <f t="shared" si="53"/>
        <v>0</v>
      </c>
      <c r="AL408" s="5">
        <f t="shared" si="50"/>
        <v>0</v>
      </c>
    </row>
    <row r="409" spans="1:38" hidden="1" x14ac:dyDescent="0.2">
      <c r="A409" s="2">
        <v>2025</v>
      </c>
      <c r="B409" s="2">
        <v>2</v>
      </c>
      <c r="D409" s="2" t="s">
        <v>766</v>
      </c>
      <c r="E409" s="2" t="s">
        <v>38</v>
      </c>
      <c r="G409" s="2">
        <v>513686231</v>
      </c>
      <c r="H409" s="2" t="s">
        <v>291</v>
      </c>
      <c r="I409" s="2" t="s">
        <v>767</v>
      </c>
      <c r="J409" s="2" t="s">
        <v>768</v>
      </c>
      <c r="L409" s="2" t="s">
        <v>481</v>
      </c>
      <c r="M409" s="2" t="s">
        <v>81</v>
      </c>
      <c r="O409" s="2" t="s">
        <v>769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4"/>
        <v>0.45290151515151511</v>
      </c>
      <c r="Z409" s="2" t="s">
        <v>3231</v>
      </c>
      <c r="AA409" s="2" t="s">
        <v>46</v>
      </c>
      <c r="AB409" s="2" t="s">
        <v>57</v>
      </c>
      <c r="AC409" s="2" t="s">
        <v>58</v>
      </c>
      <c r="AF409" s="2">
        <f t="shared" si="51"/>
        <v>0</v>
      </c>
      <c r="AG409" s="2">
        <v>7.2217000000000002</v>
      </c>
      <c r="AH409" s="2">
        <v>14.4</v>
      </c>
      <c r="AJ409" s="2">
        <f t="shared" si="52"/>
        <v>0</v>
      </c>
      <c r="AK409" s="2">
        <f t="shared" si="53"/>
        <v>5.9782999999999991</v>
      </c>
      <c r="AL409" s="5">
        <f t="shared" si="50"/>
        <v>0.45290151515151511</v>
      </c>
    </row>
    <row r="410" spans="1:38" hidden="1" x14ac:dyDescent="0.2">
      <c r="A410" s="2">
        <v>2025</v>
      </c>
      <c r="B410" s="2">
        <v>2</v>
      </c>
      <c r="D410" s="2" t="s">
        <v>766</v>
      </c>
      <c r="E410" s="2" t="s">
        <v>38</v>
      </c>
      <c r="G410" s="2">
        <v>513686231</v>
      </c>
      <c r="H410" s="2" t="s">
        <v>291</v>
      </c>
      <c r="I410" s="2" t="s">
        <v>767</v>
      </c>
      <c r="J410" s="2" t="s">
        <v>768</v>
      </c>
      <c r="L410" s="2" t="s">
        <v>481</v>
      </c>
      <c r="M410" s="2" t="s">
        <v>81</v>
      </c>
      <c r="O410" s="2" t="s">
        <v>769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4"/>
        <v>0.43981481481481488</v>
      </c>
      <c r="Z410" s="2" t="s">
        <v>3231</v>
      </c>
      <c r="AA410" s="2" t="s">
        <v>46</v>
      </c>
      <c r="AB410" s="2" t="s">
        <v>57</v>
      </c>
      <c r="AC410" s="2" t="s">
        <v>58</v>
      </c>
      <c r="AF410" s="2">
        <f t="shared" si="51"/>
        <v>0</v>
      </c>
      <c r="AG410" s="2">
        <v>9.0749999999999993</v>
      </c>
      <c r="AJ410" s="2">
        <f t="shared" si="52"/>
        <v>0</v>
      </c>
      <c r="AK410" s="2">
        <f t="shared" si="53"/>
        <v>21.375000000000004</v>
      </c>
      <c r="AL410" s="5">
        <f t="shared" si="50"/>
        <v>0.43981481481481488</v>
      </c>
    </row>
    <row r="411" spans="1:38" hidden="1" x14ac:dyDescent="0.2">
      <c r="A411" s="2">
        <v>2025</v>
      </c>
      <c r="B411" s="2">
        <v>2</v>
      </c>
      <c r="D411" s="2" t="s">
        <v>766</v>
      </c>
      <c r="E411" s="2" t="s">
        <v>38</v>
      </c>
      <c r="G411" s="2">
        <v>513686231</v>
      </c>
      <c r="H411" s="2" t="s">
        <v>291</v>
      </c>
      <c r="I411" s="2" t="s">
        <v>767</v>
      </c>
      <c r="J411" s="2" t="s">
        <v>768</v>
      </c>
      <c r="L411" s="2" t="s">
        <v>481</v>
      </c>
      <c r="M411" s="2" t="s">
        <v>81</v>
      </c>
      <c r="O411" s="2" t="s">
        <v>769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4"/>
        <v>0.43663541666666661</v>
      </c>
      <c r="Z411" s="2" t="s">
        <v>3231</v>
      </c>
      <c r="AA411" s="2" t="s">
        <v>46</v>
      </c>
      <c r="AB411" s="2" t="s">
        <v>57</v>
      </c>
      <c r="AC411" s="2" t="s">
        <v>58</v>
      </c>
      <c r="AF411" s="2">
        <f t="shared" si="51"/>
        <v>0</v>
      </c>
      <c r="AG411" s="2">
        <v>16.224900000000002</v>
      </c>
      <c r="AJ411" s="2">
        <f t="shared" si="52"/>
        <v>0</v>
      </c>
      <c r="AK411" s="2">
        <f t="shared" si="53"/>
        <v>25.150199999999998</v>
      </c>
      <c r="AL411" s="5">
        <f t="shared" si="50"/>
        <v>0.43663541666666661</v>
      </c>
    </row>
    <row r="412" spans="1:38" hidden="1" x14ac:dyDescent="0.2">
      <c r="A412" s="2">
        <v>2025</v>
      </c>
      <c r="B412" s="2">
        <v>2</v>
      </c>
      <c r="D412" s="2" t="s">
        <v>770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771</v>
      </c>
      <c r="J412" s="2" t="s">
        <v>772</v>
      </c>
      <c r="L412" s="2" t="s">
        <v>340</v>
      </c>
      <c r="M412" s="2" t="s">
        <v>81</v>
      </c>
      <c r="O412" s="2" t="s">
        <v>773</v>
      </c>
      <c r="P412" s="2" t="s">
        <v>73</v>
      </c>
      <c r="Q412" s="2" t="s">
        <v>774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4"/>
        <v>0.41458839108364604</v>
      </c>
      <c r="Z412" s="2" t="s">
        <v>3231</v>
      </c>
      <c r="AA412" s="2" t="s">
        <v>76</v>
      </c>
      <c r="AB412" s="2" t="s">
        <v>77</v>
      </c>
      <c r="AC412" s="2" t="s">
        <v>78</v>
      </c>
      <c r="AF412" s="2">
        <f t="shared" si="51"/>
        <v>0</v>
      </c>
      <c r="AJ412" s="2">
        <f t="shared" si="52"/>
        <v>0</v>
      </c>
      <c r="AK412" s="2">
        <f t="shared" si="53"/>
        <v>75.140000000000015</v>
      </c>
      <c r="AL412" s="5">
        <f t="shared" si="50"/>
        <v>0.41458839108364604</v>
      </c>
    </row>
    <row r="413" spans="1:38" hidden="1" x14ac:dyDescent="0.2">
      <c r="A413" s="2">
        <v>2025</v>
      </c>
      <c r="B413" s="2">
        <v>2</v>
      </c>
      <c r="D413" s="2" t="s">
        <v>770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771</v>
      </c>
      <c r="J413" s="2" t="s">
        <v>772</v>
      </c>
      <c r="L413" s="2" t="s">
        <v>340</v>
      </c>
      <c r="M413" s="2" t="s">
        <v>81</v>
      </c>
      <c r="O413" s="2" t="s">
        <v>773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4"/>
        <v>0</v>
      </c>
      <c r="Z413" s="2" t="s">
        <v>3231</v>
      </c>
      <c r="AA413" s="2" t="s">
        <v>97</v>
      </c>
      <c r="AB413" s="2" t="s">
        <v>77</v>
      </c>
      <c r="AC413" s="2" t="s">
        <v>94</v>
      </c>
      <c r="AF413" s="2">
        <f t="shared" si="51"/>
        <v>0</v>
      </c>
      <c r="AG413" s="2">
        <v>1.1399999999999999</v>
      </c>
      <c r="AH413" s="2">
        <v>1.1399999999999999</v>
      </c>
      <c r="AJ413" s="2">
        <f t="shared" si="52"/>
        <v>0</v>
      </c>
      <c r="AK413" s="2">
        <f t="shared" si="53"/>
        <v>0</v>
      </c>
      <c r="AL413" s="5">
        <f t="shared" si="50"/>
        <v>0</v>
      </c>
    </row>
    <row r="414" spans="1:38" hidden="1" x14ac:dyDescent="0.2">
      <c r="A414" s="2">
        <v>2025</v>
      </c>
      <c r="B414" s="2">
        <v>2</v>
      </c>
      <c r="D414" s="2" t="s">
        <v>775</v>
      </c>
      <c r="P414" s="2" t="s">
        <v>73</v>
      </c>
      <c r="Q414" s="2" t="s">
        <v>774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4"/>
        <v>0.41458839108364604</v>
      </c>
      <c r="Z414" s="2" t="s">
        <v>3231</v>
      </c>
      <c r="AA414" s="2" t="s">
        <v>76</v>
      </c>
      <c r="AB414" s="2" t="s">
        <v>77</v>
      </c>
      <c r="AC414" s="2" t="s">
        <v>78</v>
      </c>
      <c r="AF414" s="2">
        <f t="shared" si="51"/>
        <v>0</v>
      </c>
      <c r="AJ414" s="2">
        <f t="shared" si="52"/>
        <v>0</v>
      </c>
      <c r="AK414" s="2">
        <f t="shared" si="53"/>
        <v>75.140000000000015</v>
      </c>
      <c r="AL414" s="5">
        <f t="shared" si="50"/>
        <v>0.41458839108364604</v>
      </c>
    </row>
    <row r="415" spans="1:38" hidden="1" x14ac:dyDescent="0.2">
      <c r="A415" s="2">
        <v>2025</v>
      </c>
      <c r="B415" s="2">
        <v>2</v>
      </c>
      <c r="D415" s="2" t="s">
        <v>775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4"/>
        <v>0</v>
      </c>
      <c r="Z415" s="2" t="s">
        <v>3231</v>
      </c>
      <c r="AA415" s="2" t="s">
        <v>97</v>
      </c>
      <c r="AB415" s="2" t="s">
        <v>77</v>
      </c>
      <c r="AC415" s="2" t="s">
        <v>94</v>
      </c>
      <c r="AF415" s="2">
        <f t="shared" si="51"/>
        <v>0</v>
      </c>
      <c r="AJ415" s="2">
        <f t="shared" si="52"/>
        <v>0</v>
      </c>
      <c r="AK415" s="2">
        <f t="shared" si="53"/>
        <v>0</v>
      </c>
      <c r="AL415" s="5">
        <f t="shared" si="50"/>
        <v>0</v>
      </c>
    </row>
    <row r="416" spans="1:38" hidden="1" x14ac:dyDescent="0.2">
      <c r="A416" s="2">
        <v>2025</v>
      </c>
      <c r="B416" s="2">
        <v>2</v>
      </c>
      <c r="D416" s="2" t="s">
        <v>776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777</v>
      </c>
      <c r="J416" s="2" t="s">
        <v>778</v>
      </c>
      <c r="L416" s="2" t="s">
        <v>340</v>
      </c>
      <c r="M416" s="2" t="s">
        <v>40</v>
      </c>
      <c r="O416" s="2" t="s">
        <v>779</v>
      </c>
      <c r="P416" s="2" t="s">
        <v>115</v>
      </c>
      <c r="Q416" s="2" t="s">
        <v>780</v>
      </c>
      <c r="R416" s="2" t="s">
        <v>781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4"/>
        <v>1</v>
      </c>
      <c r="Z416" s="2" t="s">
        <v>118</v>
      </c>
      <c r="AF416" s="2">
        <f t="shared" si="51"/>
        <v>0</v>
      </c>
      <c r="AJ416" s="2">
        <f t="shared" si="52"/>
        <v>0</v>
      </c>
      <c r="AK416" s="2">
        <f t="shared" si="53"/>
        <v>145.07</v>
      </c>
      <c r="AL416" s="5">
        <f t="shared" si="50"/>
        <v>1</v>
      </c>
    </row>
    <row r="417" spans="1:38" hidden="1" x14ac:dyDescent="0.2">
      <c r="A417" s="2">
        <v>2025</v>
      </c>
      <c r="B417" s="2">
        <v>2</v>
      </c>
      <c r="D417" s="2" t="s">
        <v>782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783</v>
      </c>
      <c r="J417" s="2" t="s">
        <v>784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4"/>
        <v>0.32745098039215681</v>
      </c>
      <c r="Z417" s="2" t="s">
        <v>3231</v>
      </c>
      <c r="AA417" s="2" t="s">
        <v>88</v>
      </c>
      <c r="AB417" s="2" t="s">
        <v>91</v>
      </c>
      <c r="AC417" s="2" t="s">
        <v>85</v>
      </c>
      <c r="AF417" s="2">
        <f t="shared" si="51"/>
        <v>0</v>
      </c>
      <c r="AJ417" s="2">
        <f t="shared" si="52"/>
        <v>0</v>
      </c>
      <c r="AK417" s="2">
        <f t="shared" si="53"/>
        <v>3.339999999999999</v>
      </c>
      <c r="AL417" s="5">
        <f t="shared" si="50"/>
        <v>0.32745098039215681</v>
      </c>
    </row>
    <row r="418" spans="1:38" hidden="1" x14ac:dyDescent="0.2">
      <c r="A418" s="2">
        <v>2025</v>
      </c>
      <c r="B418" s="2">
        <v>2</v>
      </c>
      <c r="D418" s="2" t="s">
        <v>785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786</v>
      </c>
      <c r="L418" s="2" t="s">
        <v>178</v>
      </c>
      <c r="M418" s="2" t="s">
        <v>41</v>
      </c>
      <c r="O418" s="2" t="s">
        <v>787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4"/>
        <v>0.40722222222222221</v>
      </c>
      <c r="Z418" s="2" t="s">
        <v>3231</v>
      </c>
      <c r="AA418" s="2" t="s">
        <v>46</v>
      </c>
      <c r="AB418" s="2" t="s">
        <v>47</v>
      </c>
      <c r="AC418" s="2" t="s">
        <v>48</v>
      </c>
      <c r="AF418" s="2">
        <f t="shared" si="51"/>
        <v>0</v>
      </c>
      <c r="AG418" s="2">
        <v>10.67</v>
      </c>
      <c r="AH418" s="2">
        <v>21</v>
      </c>
      <c r="AJ418" s="2">
        <f t="shared" si="52"/>
        <v>0</v>
      </c>
      <c r="AK418" s="2">
        <f t="shared" si="53"/>
        <v>7.33</v>
      </c>
      <c r="AL418" s="5">
        <f t="shared" si="50"/>
        <v>0.40722222222222221</v>
      </c>
    </row>
    <row r="419" spans="1:38" hidden="1" x14ac:dyDescent="0.2">
      <c r="A419" s="2">
        <v>2025</v>
      </c>
      <c r="B419" s="2">
        <v>2</v>
      </c>
      <c r="C419" s="2" t="s">
        <v>3308</v>
      </c>
      <c r="D419" s="2" t="s">
        <v>788</v>
      </c>
      <c r="E419" s="2" t="s">
        <v>38</v>
      </c>
      <c r="F419" s="2" t="s">
        <v>39</v>
      </c>
      <c r="H419" s="2" t="s">
        <v>41</v>
      </c>
      <c r="I419" s="2" t="s">
        <v>3376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4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1"/>
        <v>0</v>
      </c>
      <c r="AJ419" s="2">
        <f t="shared" si="52"/>
        <v>0</v>
      </c>
      <c r="AK419" s="2">
        <f t="shared" si="53"/>
        <v>22.027999999999999</v>
      </c>
      <c r="AL419" s="5">
        <f t="shared" si="50"/>
        <v>0.48875083203905034</v>
      </c>
    </row>
    <row r="420" spans="1:38" hidden="1" x14ac:dyDescent="0.2">
      <c r="A420" s="2">
        <v>2025</v>
      </c>
      <c r="B420" s="2">
        <v>2</v>
      </c>
      <c r="C420" s="2" t="s">
        <v>3308</v>
      </c>
      <c r="D420" s="2" t="s">
        <v>788</v>
      </c>
      <c r="E420" s="2" t="s">
        <v>38</v>
      </c>
      <c r="F420" s="2" t="s">
        <v>39</v>
      </c>
      <c r="H420" s="2" t="s">
        <v>41</v>
      </c>
      <c r="I420" s="2" t="s">
        <v>3376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4"/>
        <v>0.58173666666666668</v>
      </c>
      <c r="Z420" s="2" t="s">
        <v>3231</v>
      </c>
      <c r="AA420" s="2" t="s">
        <v>46</v>
      </c>
      <c r="AB420" s="2" t="s">
        <v>91</v>
      </c>
      <c r="AC420" s="2" t="s">
        <v>58</v>
      </c>
      <c r="AF420" s="2">
        <f t="shared" si="51"/>
        <v>0</v>
      </c>
      <c r="AJ420" s="2">
        <f t="shared" si="52"/>
        <v>0</v>
      </c>
      <c r="AK420" s="2">
        <f t="shared" si="53"/>
        <v>34.904200000000003</v>
      </c>
      <c r="AL420" s="5">
        <f t="shared" si="50"/>
        <v>0.58173666666666668</v>
      </c>
    </row>
    <row r="421" spans="1:38" hidden="1" x14ac:dyDescent="0.2">
      <c r="A421" s="2">
        <v>2025</v>
      </c>
      <c r="B421" s="2">
        <v>2</v>
      </c>
      <c r="D421" s="2" t="s">
        <v>789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790</v>
      </c>
      <c r="J421" s="2" t="s">
        <v>791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792</v>
      </c>
      <c r="R421" s="2" t="s">
        <v>793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4"/>
        <v>1</v>
      </c>
      <c r="Z421" s="2" t="s">
        <v>118</v>
      </c>
      <c r="AF421" s="2">
        <f t="shared" si="51"/>
        <v>0</v>
      </c>
      <c r="AJ421" s="2">
        <f t="shared" si="52"/>
        <v>0</v>
      </c>
      <c r="AK421" s="2">
        <f t="shared" si="53"/>
        <v>322.14</v>
      </c>
      <c r="AL421" s="5">
        <f t="shared" si="50"/>
        <v>1</v>
      </c>
    </row>
    <row r="422" spans="1:38" hidden="1" x14ac:dyDescent="0.2">
      <c r="A422" s="2">
        <v>2025</v>
      </c>
      <c r="B422" s="2">
        <v>2</v>
      </c>
      <c r="D422" s="2" t="s">
        <v>789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790</v>
      </c>
      <c r="J422" s="2" t="s">
        <v>791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794</v>
      </c>
      <c r="R422" s="2" t="s">
        <v>795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5">(T422-W422)/T422</f>
        <v>1</v>
      </c>
      <c r="Z422" s="2" t="s">
        <v>118</v>
      </c>
      <c r="AF422" s="2">
        <f t="shared" si="51"/>
        <v>0</v>
      </c>
      <c r="AJ422" s="2">
        <f t="shared" si="52"/>
        <v>0</v>
      </c>
      <c r="AK422" s="2">
        <f t="shared" si="53"/>
        <v>903.76</v>
      </c>
      <c r="AL422" s="5">
        <f t="shared" ref="AL422:AL485" si="56">(T422-W422)/T422</f>
        <v>1</v>
      </c>
    </row>
    <row r="423" spans="1:38" hidden="1" x14ac:dyDescent="0.2">
      <c r="A423" s="2">
        <v>2025</v>
      </c>
      <c r="B423" s="2">
        <v>2</v>
      </c>
      <c r="D423" s="2" t="s">
        <v>789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790</v>
      </c>
      <c r="J423" s="2" t="s">
        <v>791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796</v>
      </c>
      <c r="R423" s="2" t="s">
        <v>797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5"/>
        <v>1</v>
      </c>
      <c r="Z423" s="2" t="s">
        <v>118</v>
      </c>
      <c r="AF423" s="2">
        <f t="shared" si="51"/>
        <v>0</v>
      </c>
      <c r="AJ423" s="2">
        <f t="shared" si="52"/>
        <v>0</v>
      </c>
      <c r="AK423" s="2">
        <f t="shared" si="53"/>
        <v>46.76</v>
      </c>
      <c r="AL423" s="5">
        <f t="shared" si="56"/>
        <v>1</v>
      </c>
    </row>
    <row r="424" spans="1:38" hidden="1" x14ac:dyDescent="0.2">
      <c r="A424" s="2">
        <v>2025</v>
      </c>
      <c r="B424" s="2">
        <v>2</v>
      </c>
      <c r="D424" s="2" t="s">
        <v>789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790</v>
      </c>
      <c r="J424" s="2" t="s">
        <v>791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5"/>
        <v>0.5</v>
      </c>
      <c r="Z424" s="2" t="s">
        <v>118</v>
      </c>
      <c r="AA424" s="2" t="s">
        <v>191</v>
      </c>
      <c r="AB424" s="2" t="s">
        <v>191</v>
      </c>
      <c r="AC424" s="2" t="s">
        <v>40</v>
      </c>
      <c r="AF424" s="2">
        <f t="shared" si="51"/>
        <v>0</v>
      </c>
      <c r="AJ424" s="2">
        <f t="shared" si="52"/>
        <v>0</v>
      </c>
      <c r="AK424" s="2">
        <f t="shared" si="53"/>
        <v>50</v>
      </c>
      <c r="AL424" s="5">
        <f t="shared" si="56"/>
        <v>0.5</v>
      </c>
    </row>
    <row r="425" spans="1:38" hidden="1" x14ac:dyDescent="0.2">
      <c r="A425" s="2">
        <v>2025</v>
      </c>
      <c r="B425" s="2">
        <v>2</v>
      </c>
      <c r="D425" s="2" t="s">
        <v>798</v>
      </c>
      <c r="P425" s="2" t="s">
        <v>283</v>
      </c>
      <c r="Q425" s="2" t="s">
        <v>799</v>
      </c>
      <c r="R425" s="2" t="s">
        <v>800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5"/>
        <v>0.34982078853046589</v>
      </c>
      <c r="Z425" s="2" t="s">
        <v>3231</v>
      </c>
      <c r="AA425" s="2" t="s">
        <v>72</v>
      </c>
      <c r="AB425" s="2" t="s">
        <v>120</v>
      </c>
      <c r="AC425" s="2" t="s">
        <v>120</v>
      </c>
      <c r="AF425" s="2">
        <f t="shared" si="51"/>
        <v>0</v>
      </c>
      <c r="AJ425" s="2">
        <f t="shared" si="52"/>
        <v>0</v>
      </c>
      <c r="AK425" s="2">
        <f t="shared" si="53"/>
        <v>9.759999999999998</v>
      </c>
      <c r="AL425" s="5">
        <f t="shared" si="56"/>
        <v>0.34982078853046589</v>
      </c>
    </row>
    <row r="426" spans="1:38" hidden="1" x14ac:dyDescent="0.2">
      <c r="A426" s="2">
        <v>2025</v>
      </c>
      <c r="B426" s="2">
        <v>2</v>
      </c>
      <c r="D426" s="2" t="s">
        <v>798</v>
      </c>
      <c r="P426" s="2" t="s">
        <v>283</v>
      </c>
      <c r="Q426" s="2" t="s">
        <v>801</v>
      </c>
      <c r="R426" s="2" t="s">
        <v>802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5"/>
        <v>0.25989898989898996</v>
      </c>
      <c r="Z426" s="2" t="s">
        <v>3231</v>
      </c>
      <c r="AA426" s="2" t="s">
        <v>72</v>
      </c>
      <c r="AB426" s="2" t="s">
        <v>120</v>
      </c>
      <c r="AC426" s="2" t="s">
        <v>120</v>
      </c>
      <c r="AF426" s="2">
        <f t="shared" si="51"/>
        <v>0</v>
      </c>
      <c r="AJ426" s="2">
        <f t="shared" si="52"/>
        <v>0</v>
      </c>
      <c r="AK426" s="2">
        <f t="shared" si="53"/>
        <v>25.730000000000004</v>
      </c>
      <c r="AL426" s="5">
        <f t="shared" si="56"/>
        <v>0.25989898989898996</v>
      </c>
    </row>
    <row r="427" spans="1:38" hidden="1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5"/>
        <v>1</v>
      </c>
      <c r="Z427" s="2" t="s">
        <v>118</v>
      </c>
      <c r="AF427" s="2">
        <f t="shared" si="51"/>
        <v>0</v>
      </c>
      <c r="AJ427" s="2">
        <f t="shared" si="52"/>
        <v>0</v>
      </c>
      <c r="AK427" s="2">
        <f t="shared" si="53"/>
        <v>14.29</v>
      </c>
      <c r="AL427" s="5">
        <f t="shared" si="56"/>
        <v>1</v>
      </c>
    </row>
    <row r="428" spans="1:38" hidden="1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5"/>
        <v>0.36923076923076914</v>
      </c>
      <c r="Z428" s="2" t="s">
        <v>3231</v>
      </c>
      <c r="AA428" s="2" t="s">
        <v>46</v>
      </c>
      <c r="AB428" s="2" t="s">
        <v>61</v>
      </c>
      <c r="AC428" s="2" t="s">
        <v>58</v>
      </c>
      <c r="AF428" s="2">
        <f t="shared" si="51"/>
        <v>0</v>
      </c>
      <c r="AG428" s="2">
        <v>8.1999999999999993</v>
      </c>
      <c r="AH428" s="2">
        <v>13</v>
      </c>
      <c r="AJ428" s="2">
        <f t="shared" si="52"/>
        <v>0</v>
      </c>
      <c r="AK428" s="2">
        <f t="shared" si="53"/>
        <v>4.7999999999999989</v>
      </c>
      <c r="AL428" s="5">
        <f t="shared" si="56"/>
        <v>0.36923076923076914</v>
      </c>
    </row>
    <row r="429" spans="1:38" hidden="1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803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5"/>
        <v>0.54303655107778825</v>
      </c>
      <c r="Z429" s="2" t="s">
        <v>3231</v>
      </c>
      <c r="AA429" s="2" t="s">
        <v>76</v>
      </c>
      <c r="AB429" s="2" t="s">
        <v>77</v>
      </c>
      <c r="AC429" s="2" t="s">
        <v>78</v>
      </c>
      <c r="AF429" s="2">
        <f t="shared" si="51"/>
        <v>0</v>
      </c>
      <c r="AG429" s="2">
        <f>110.125+11.77</f>
        <v>121.895</v>
      </c>
      <c r="AJ429" s="2">
        <f t="shared" si="52"/>
        <v>0</v>
      </c>
      <c r="AK429" s="2">
        <f t="shared" si="53"/>
        <v>144.85500000000002</v>
      </c>
      <c r="AL429" s="5">
        <f t="shared" si="56"/>
        <v>0.54303655107778825</v>
      </c>
    </row>
    <row r="430" spans="1:38" hidden="1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803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5"/>
        <v>0</v>
      </c>
      <c r="Z430" s="2" t="s">
        <v>3231</v>
      </c>
      <c r="AA430" s="2" t="s">
        <v>97</v>
      </c>
      <c r="AB430" s="2" t="s">
        <v>77</v>
      </c>
      <c r="AC430" s="2" t="s">
        <v>94</v>
      </c>
      <c r="AF430" s="2">
        <f t="shared" si="51"/>
        <v>0</v>
      </c>
      <c r="AJ430" s="2">
        <f t="shared" si="52"/>
        <v>0</v>
      </c>
      <c r="AK430" s="2">
        <f t="shared" si="53"/>
        <v>0</v>
      </c>
      <c r="AL430" s="5">
        <f t="shared" si="56"/>
        <v>0</v>
      </c>
    </row>
    <row r="431" spans="1:38" hidden="1" x14ac:dyDescent="0.2">
      <c r="A431" s="2">
        <v>2025</v>
      </c>
      <c r="B431" s="2">
        <v>2</v>
      </c>
      <c r="D431" s="2" t="s">
        <v>804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805</v>
      </c>
      <c r="J431" s="2" t="s">
        <v>806</v>
      </c>
      <c r="K431" s="2">
        <v>936999380</v>
      </c>
      <c r="L431" s="2" t="s">
        <v>100</v>
      </c>
      <c r="M431" s="2" t="s">
        <v>40</v>
      </c>
      <c r="O431" s="2" t="s">
        <v>807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5"/>
        <v>1</v>
      </c>
      <c r="Z431" s="2" t="s">
        <v>118</v>
      </c>
      <c r="AF431" s="2">
        <f t="shared" si="51"/>
        <v>0</v>
      </c>
      <c r="AJ431" s="2">
        <f t="shared" si="52"/>
        <v>0</v>
      </c>
      <c r="AK431" s="2">
        <f t="shared" si="53"/>
        <v>49.81</v>
      </c>
      <c r="AL431" s="5">
        <f t="shared" si="56"/>
        <v>1</v>
      </c>
    </row>
    <row r="432" spans="1:38" hidden="1" x14ac:dyDescent="0.2">
      <c r="A432" s="2">
        <v>2025</v>
      </c>
      <c r="B432" s="2">
        <v>2</v>
      </c>
      <c r="D432" s="2" t="s">
        <v>804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805</v>
      </c>
      <c r="J432" s="2" t="s">
        <v>806</v>
      </c>
      <c r="K432" s="2">
        <v>936999380</v>
      </c>
      <c r="L432" s="2" t="s">
        <v>100</v>
      </c>
      <c r="M432" s="2" t="s">
        <v>40</v>
      </c>
      <c r="O432" s="2" t="s">
        <v>807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5"/>
        <v>0.6</v>
      </c>
      <c r="Z432" s="2" t="s">
        <v>118</v>
      </c>
      <c r="AA432" s="2" t="s">
        <v>191</v>
      </c>
      <c r="AB432" s="2" t="s">
        <v>190</v>
      </c>
      <c r="AC432" s="2" t="s">
        <v>40</v>
      </c>
      <c r="AF432" s="2">
        <f t="shared" si="51"/>
        <v>0</v>
      </c>
      <c r="AJ432" s="2">
        <f t="shared" si="52"/>
        <v>0</v>
      </c>
      <c r="AK432" s="2">
        <f t="shared" si="53"/>
        <v>30</v>
      </c>
      <c r="AL432" s="5">
        <f t="shared" si="56"/>
        <v>0.6</v>
      </c>
    </row>
    <row r="433" spans="1:38" hidden="1" x14ac:dyDescent="0.2">
      <c r="A433" s="2">
        <v>2025</v>
      </c>
      <c r="B433" s="2">
        <v>2</v>
      </c>
      <c r="D433" s="2" t="s">
        <v>804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805</v>
      </c>
      <c r="J433" s="2" t="s">
        <v>806</v>
      </c>
      <c r="K433" s="2">
        <v>936999380</v>
      </c>
      <c r="L433" s="2" t="s">
        <v>100</v>
      </c>
      <c r="M433" s="2" t="s">
        <v>40</v>
      </c>
      <c r="O433" s="2" t="s">
        <v>807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5"/>
        <v>0.5</v>
      </c>
      <c r="Z433" s="2" t="s">
        <v>118</v>
      </c>
      <c r="AA433" s="2" t="s">
        <v>191</v>
      </c>
      <c r="AB433" s="2" t="s">
        <v>191</v>
      </c>
      <c r="AC433" s="2" t="s">
        <v>40</v>
      </c>
      <c r="AF433" s="2">
        <f t="shared" si="51"/>
        <v>0</v>
      </c>
      <c r="AJ433" s="2">
        <f t="shared" si="52"/>
        <v>0</v>
      </c>
      <c r="AK433" s="2">
        <f t="shared" si="53"/>
        <v>25</v>
      </c>
      <c r="AL433" s="5">
        <f t="shared" si="56"/>
        <v>0.5</v>
      </c>
    </row>
    <row r="434" spans="1:38" hidden="1" x14ac:dyDescent="0.2">
      <c r="A434" s="2">
        <v>2025</v>
      </c>
      <c r="B434" s="2">
        <v>2</v>
      </c>
      <c r="D434" s="2" t="s">
        <v>808</v>
      </c>
      <c r="P434" s="2" t="s">
        <v>115</v>
      </c>
      <c r="Q434" s="2" t="s">
        <v>809</v>
      </c>
      <c r="R434" s="2" t="s">
        <v>810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5"/>
        <v>1</v>
      </c>
      <c r="Z434" s="2" t="s">
        <v>118</v>
      </c>
      <c r="AF434" s="2">
        <f t="shared" si="51"/>
        <v>0</v>
      </c>
      <c r="AJ434" s="2">
        <f t="shared" si="52"/>
        <v>0</v>
      </c>
      <c r="AK434" s="2">
        <f t="shared" si="53"/>
        <v>83.79</v>
      </c>
      <c r="AL434" s="5">
        <f t="shared" si="56"/>
        <v>1</v>
      </c>
    </row>
    <row r="435" spans="1:38" hidden="1" x14ac:dyDescent="0.2">
      <c r="A435" s="2">
        <v>2025</v>
      </c>
      <c r="B435" s="2">
        <v>2</v>
      </c>
      <c r="D435" s="2" t="s">
        <v>808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5"/>
        <v>0.6</v>
      </c>
      <c r="Z435" s="2" t="s">
        <v>118</v>
      </c>
      <c r="AA435" s="2" t="s">
        <v>191</v>
      </c>
      <c r="AB435" s="2" t="s">
        <v>190</v>
      </c>
      <c r="AC435" s="2" t="s">
        <v>40</v>
      </c>
      <c r="AF435" s="2">
        <f t="shared" si="51"/>
        <v>0</v>
      </c>
      <c r="AJ435" s="2">
        <f t="shared" si="52"/>
        <v>0</v>
      </c>
      <c r="AK435" s="2">
        <f t="shared" si="53"/>
        <v>45.599999999999994</v>
      </c>
      <c r="AL435" s="5">
        <f t="shared" si="56"/>
        <v>0.6</v>
      </c>
    </row>
    <row r="436" spans="1:38" hidden="1" x14ac:dyDescent="0.2">
      <c r="A436" s="2">
        <v>2025</v>
      </c>
      <c r="B436" s="2">
        <v>2</v>
      </c>
      <c r="D436" s="2" t="s">
        <v>808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5"/>
        <v>0.5</v>
      </c>
      <c r="Z436" s="2" t="s">
        <v>118</v>
      </c>
      <c r="AA436" s="2" t="s">
        <v>191</v>
      </c>
      <c r="AB436" s="2" t="s">
        <v>191</v>
      </c>
      <c r="AC436" s="2" t="s">
        <v>40</v>
      </c>
      <c r="AF436" s="2">
        <f t="shared" si="51"/>
        <v>0</v>
      </c>
      <c r="AJ436" s="2">
        <f t="shared" si="52"/>
        <v>0</v>
      </c>
      <c r="AK436" s="2">
        <f t="shared" si="53"/>
        <v>18.75</v>
      </c>
      <c r="AL436" s="5">
        <f t="shared" si="56"/>
        <v>0.5</v>
      </c>
    </row>
    <row r="437" spans="1:38" hidden="1" x14ac:dyDescent="0.2">
      <c r="A437" s="2">
        <v>2025</v>
      </c>
      <c r="B437" s="2">
        <v>2</v>
      </c>
      <c r="D437" s="2" t="s">
        <v>811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5"/>
        <v>0.44069999999999998</v>
      </c>
      <c r="Z437" s="2" t="s">
        <v>3231</v>
      </c>
      <c r="AA437" s="2" t="s">
        <v>76</v>
      </c>
      <c r="AB437" s="2" t="s">
        <v>77</v>
      </c>
      <c r="AC437" s="2" t="s">
        <v>78</v>
      </c>
      <c r="AF437" s="2">
        <f t="shared" si="51"/>
        <v>0</v>
      </c>
      <c r="AG437" s="2">
        <v>117.453</v>
      </c>
      <c r="AH437" s="2">
        <v>220</v>
      </c>
      <c r="AJ437" s="2">
        <f t="shared" si="52"/>
        <v>0</v>
      </c>
      <c r="AK437" s="2">
        <f t="shared" si="53"/>
        <v>92.546999999999997</v>
      </c>
      <c r="AL437" s="5">
        <f t="shared" si="56"/>
        <v>0.44069999999999998</v>
      </c>
    </row>
    <row r="438" spans="1:38" hidden="1" x14ac:dyDescent="0.2">
      <c r="A438" s="2">
        <v>2025</v>
      </c>
      <c r="B438" s="2">
        <v>2</v>
      </c>
      <c r="D438" s="2" t="s">
        <v>811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5"/>
        <v>0</v>
      </c>
      <c r="Z438" s="2" t="s">
        <v>3231</v>
      </c>
      <c r="AA438" s="2" t="s">
        <v>97</v>
      </c>
      <c r="AB438" s="2" t="s">
        <v>77</v>
      </c>
      <c r="AC438" s="2" t="s">
        <v>94</v>
      </c>
      <c r="AF438" s="2">
        <f t="shared" si="51"/>
        <v>0</v>
      </c>
      <c r="AJ438" s="2">
        <f t="shared" si="52"/>
        <v>0</v>
      </c>
      <c r="AK438" s="2">
        <f t="shared" si="53"/>
        <v>0</v>
      </c>
      <c r="AL438" s="5">
        <f t="shared" si="56"/>
        <v>0</v>
      </c>
    </row>
    <row r="439" spans="1:38" hidden="1" x14ac:dyDescent="0.2">
      <c r="A439" s="2">
        <v>2025</v>
      </c>
      <c r="B439" s="2">
        <v>2</v>
      </c>
      <c r="D439" s="2" t="s">
        <v>812</v>
      </c>
      <c r="M439" s="2" t="s">
        <v>81</v>
      </c>
      <c r="O439" s="2" t="s">
        <v>813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5"/>
        <v>0.44790909090909092</v>
      </c>
      <c r="Z439" s="2" t="s">
        <v>3231</v>
      </c>
      <c r="AA439" s="2" t="s">
        <v>76</v>
      </c>
      <c r="AB439" s="2" t="s">
        <v>77</v>
      </c>
      <c r="AC439" s="2" t="s">
        <v>78</v>
      </c>
      <c r="AF439" s="2">
        <f t="shared" si="51"/>
        <v>0</v>
      </c>
      <c r="AG439" s="2">
        <v>121.46</v>
      </c>
      <c r="AH439" s="2">
        <v>210</v>
      </c>
      <c r="AJ439" s="2">
        <f t="shared" si="52"/>
        <v>0</v>
      </c>
      <c r="AK439" s="2">
        <f t="shared" si="53"/>
        <v>98.54</v>
      </c>
      <c r="AL439" s="5">
        <f t="shared" si="56"/>
        <v>0.44790909090909092</v>
      </c>
    </row>
    <row r="440" spans="1:38" hidden="1" x14ac:dyDescent="0.2">
      <c r="A440" s="2">
        <v>2025</v>
      </c>
      <c r="B440" s="2">
        <v>2</v>
      </c>
      <c r="D440" s="2" t="s">
        <v>812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5"/>
        <v>0</v>
      </c>
      <c r="Z440" s="2" t="s">
        <v>3231</v>
      </c>
      <c r="AA440" s="2" t="s">
        <v>97</v>
      </c>
      <c r="AB440" s="2" t="s">
        <v>77</v>
      </c>
      <c r="AC440" s="2" t="s">
        <v>94</v>
      </c>
      <c r="AF440" s="2">
        <f t="shared" si="51"/>
        <v>0</v>
      </c>
      <c r="AJ440" s="2">
        <f t="shared" si="52"/>
        <v>0</v>
      </c>
      <c r="AK440" s="2">
        <f t="shared" si="53"/>
        <v>0</v>
      </c>
      <c r="AL440" s="5">
        <f t="shared" si="56"/>
        <v>0</v>
      </c>
    </row>
    <row r="441" spans="1:38" hidden="1" x14ac:dyDescent="0.2">
      <c r="A441" s="2">
        <v>2025</v>
      </c>
      <c r="B441" s="2">
        <v>2</v>
      </c>
      <c r="D441" s="2" t="s">
        <v>814</v>
      </c>
      <c r="E441" s="2" t="s">
        <v>38</v>
      </c>
      <c r="F441" s="2" t="s">
        <v>39</v>
      </c>
      <c r="G441" s="2" t="s">
        <v>815</v>
      </c>
      <c r="H441" s="2" t="s">
        <v>41</v>
      </c>
      <c r="I441" s="2" t="s">
        <v>627</v>
      </c>
      <c r="L441" s="2" t="s">
        <v>627</v>
      </c>
      <c r="M441" s="2" t="s">
        <v>41</v>
      </c>
      <c r="O441" s="2" t="s">
        <v>816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55"/>
        <v>0.14285714285714288</v>
      </c>
      <c r="Z441" s="2" t="s">
        <v>3231</v>
      </c>
      <c r="AA441" s="2" t="s">
        <v>46</v>
      </c>
      <c r="AB441" s="2" t="s">
        <v>47</v>
      </c>
      <c r="AC441" s="2" t="s">
        <v>48</v>
      </c>
      <c r="AF441" s="2">
        <f t="shared" si="51"/>
        <v>0</v>
      </c>
      <c r="AG441" s="2">
        <v>10.2346</v>
      </c>
      <c r="AH441" s="2">
        <v>18</v>
      </c>
      <c r="AJ441" s="2">
        <f t="shared" si="52"/>
        <v>0</v>
      </c>
      <c r="AK441" s="2">
        <f t="shared" si="53"/>
        <v>2.4000000000000004</v>
      </c>
      <c r="AL441" s="5">
        <f t="shared" si="56"/>
        <v>0.14285714285714288</v>
      </c>
    </row>
    <row r="442" spans="1:38" hidden="1" x14ac:dyDescent="0.2">
      <c r="A442" s="2">
        <v>2025</v>
      </c>
      <c r="B442" s="2">
        <v>2</v>
      </c>
      <c r="D442" s="2" t="s">
        <v>814</v>
      </c>
      <c r="E442" s="2" t="s">
        <v>38</v>
      </c>
      <c r="F442" s="2" t="s">
        <v>39</v>
      </c>
      <c r="G442" s="2" t="s">
        <v>815</v>
      </c>
      <c r="H442" s="2" t="s">
        <v>41</v>
      </c>
      <c r="I442" s="2" t="s">
        <v>627</v>
      </c>
      <c r="L442" s="2" t="s">
        <v>627</v>
      </c>
      <c r="M442" s="2" t="s">
        <v>41</v>
      </c>
      <c r="O442" s="2" t="s">
        <v>816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5"/>
        <v>0.52105128205128204</v>
      </c>
      <c r="Z442" s="2" t="s">
        <v>3231</v>
      </c>
      <c r="AA442" s="2" t="s">
        <v>46</v>
      </c>
      <c r="AB442" s="2" t="s">
        <v>47</v>
      </c>
      <c r="AC442" s="2" t="s">
        <v>48</v>
      </c>
      <c r="AF442" s="2">
        <f t="shared" si="51"/>
        <v>0</v>
      </c>
      <c r="AG442" s="2">
        <v>3.7357999999999998</v>
      </c>
      <c r="AH442" s="2">
        <v>9</v>
      </c>
      <c r="AJ442" s="2">
        <f t="shared" si="52"/>
        <v>0</v>
      </c>
      <c r="AK442" s="2">
        <f t="shared" si="53"/>
        <v>4.0641999999999996</v>
      </c>
      <c r="AL442" s="5">
        <f t="shared" si="56"/>
        <v>0.52105128205128204</v>
      </c>
    </row>
    <row r="443" spans="1:38" hidden="1" x14ac:dyDescent="0.2">
      <c r="A443" s="2">
        <v>2025</v>
      </c>
      <c r="B443" s="2">
        <v>2</v>
      </c>
      <c r="D443" s="2" t="s">
        <v>814</v>
      </c>
      <c r="E443" s="2" t="s">
        <v>38</v>
      </c>
      <c r="F443" s="2" t="s">
        <v>39</v>
      </c>
      <c r="G443" s="2" t="s">
        <v>815</v>
      </c>
      <c r="H443" s="2" t="s">
        <v>41</v>
      </c>
      <c r="I443" s="2" t="s">
        <v>627</v>
      </c>
      <c r="L443" s="2" t="s">
        <v>627</v>
      </c>
      <c r="M443" s="2" t="s">
        <v>41</v>
      </c>
      <c r="O443" s="2" t="s">
        <v>816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5"/>
        <v>0.36923076923076914</v>
      </c>
      <c r="Z443" s="2" t="s">
        <v>3231</v>
      </c>
      <c r="AA443" s="2" t="s">
        <v>46</v>
      </c>
      <c r="AB443" s="2" t="s">
        <v>61</v>
      </c>
      <c r="AC443" s="2" t="s">
        <v>58</v>
      </c>
      <c r="AF443" s="2">
        <f t="shared" si="51"/>
        <v>0</v>
      </c>
      <c r="AG443" s="2">
        <v>8.1999999999999993</v>
      </c>
      <c r="AH443" s="2">
        <v>13</v>
      </c>
      <c r="AJ443" s="2">
        <f t="shared" si="52"/>
        <v>0</v>
      </c>
      <c r="AK443" s="2">
        <f t="shared" si="53"/>
        <v>9.5999999999999979</v>
      </c>
      <c r="AL443" s="5">
        <f t="shared" si="56"/>
        <v>0.36923076923076914</v>
      </c>
    </row>
    <row r="444" spans="1:38" hidden="1" x14ac:dyDescent="0.2">
      <c r="A444" s="2">
        <v>2025</v>
      </c>
      <c r="B444" s="2">
        <v>2</v>
      </c>
      <c r="D444" s="2" t="s">
        <v>814</v>
      </c>
      <c r="E444" s="2" t="s">
        <v>38</v>
      </c>
      <c r="F444" s="2" t="s">
        <v>39</v>
      </c>
      <c r="G444" s="2" t="s">
        <v>815</v>
      </c>
      <c r="H444" s="2" t="s">
        <v>41</v>
      </c>
      <c r="I444" s="2" t="s">
        <v>627</v>
      </c>
      <c r="L444" s="2" t="s">
        <v>627</v>
      </c>
      <c r="M444" s="2" t="s">
        <v>41</v>
      </c>
      <c r="O444" s="2" t="s">
        <v>816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5"/>
        <v>0.28474761904761903</v>
      </c>
      <c r="Z444" s="2" t="s">
        <v>3231</v>
      </c>
      <c r="AA444" s="2" t="s">
        <v>46</v>
      </c>
      <c r="AB444" s="2" t="s">
        <v>68</v>
      </c>
      <c r="AC444" s="2" t="s">
        <v>58</v>
      </c>
      <c r="AF444" s="2">
        <f t="shared" si="51"/>
        <v>0</v>
      </c>
      <c r="AG444" s="2">
        <v>15.020300000000001</v>
      </c>
      <c r="AH444" s="2">
        <v>27.6</v>
      </c>
      <c r="AJ444" s="2">
        <f t="shared" si="52"/>
        <v>0</v>
      </c>
      <c r="AK444" s="2">
        <f t="shared" si="53"/>
        <v>5.9796999999999993</v>
      </c>
      <c r="AL444" s="5">
        <f t="shared" si="56"/>
        <v>0.28474761904761903</v>
      </c>
    </row>
    <row r="445" spans="1:38" hidden="1" x14ac:dyDescent="0.2">
      <c r="A445" s="2">
        <v>2025</v>
      </c>
      <c r="B445" s="2">
        <v>2</v>
      </c>
      <c r="D445" s="2" t="s">
        <v>817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818</v>
      </c>
      <c r="R445" s="2" t="s">
        <v>819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5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1"/>
        <v>0</v>
      </c>
      <c r="AJ445" s="2">
        <f t="shared" si="52"/>
        <v>0</v>
      </c>
      <c r="AK445" s="2">
        <f t="shared" si="53"/>
        <v>16.29</v>
      </c>
      <c r="AL445" s="5">
        <f t="shared" si="56"/>
        <v>1</v>
      </c>
    </row>
    <row r="446" spans="1:38" hidden="1" x14ac:dyDescent="0.2">
      <c r="A446" s="2">
        <v>2025</v>
      </c>
      <c r="B446" s="2">
        <v>2</v>
      </c>
      <c r="D446" s="2" t="s">
        <v>817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5"/>
        <v>0.6</v>
      </c>
      <c r="Z446" s="2" t="s">
        <v>118</v>
      </c>
      <c r="AA446" s="2" t="s">
        <v>191</v>
      </c>
      <c r="AB446" s="2" t="s">
        <v>190</v>
      </c>
      <c r="AC446" s="2" t="s">
        <v>40</v>
      </c>
      <c r="AF446" s="2">
        <f t="shared" si="51"/>
        <v>0</v>
      </c>
      <c r="AJ446" s="2">
        <f t="shared" si="52"/>
        <v>0</v>
      </c>
      <c r="AK446" s="2">
        <f t="shared" si="53"/>
        <v>63.9</v>
      </c>
      <c r="AL446" s="5">
        <f t="shared" si="56"/>
        <v>0.6</v>
      </c>
    </row>
    <row r="447" spans="1:38" hidden="1" x14ac:dyDescent="0.2">
      <c r="A447" s="2">
        <v>2025</v>
      </c>
      <c r="B447" s="2">
        <v>2</v>
      </c>
      <c r="D447" s="2" t="s">
        <v>817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5"/>
        <v>0.5</v>
      </c>
      <c r="Z447" s="2" t="s">
        <v>118</v>
      </c>
      <c r="AA447" s="2" t="s">
        <v>191</v>
      </c>
      <c r="AB447" s="2" t="s">
        <v>191</v>
      </c>
      <c r="AC447" s="2" t="s">
        <v>40</v>
      </c>
      <c r="AF447" s="2">
        <f t="shared" si="51"/>
        <v>0</v>
      </c>
      <c r="AJ447" s="2">
        <f t="shared" si="52"/>
        <v>0</v>
      </c>
      <c r="AK447" s="2">
        <f t="shared" si="53"/>
        <v>22.5</v>
      </c>
      <c r="AL447" s="5">
        <f t="shared" si="56"/>
        <v>0.5</v>
      </c>
    </row>
    <row r="448" spans="1:38" hidden="1" x14ac:dyDescent="0.2">
      <c r="A448" s="2">
        <v>2025</v>
      </c>
      <c r="B448" s="2">
        <v>2</v>
      </c>
      <c r="D448" s="2" t="s">
        <v>820</v>
      </c>
      <c r="P448" s="2" t="s">
        <v>40</v>
      </c>
      <c r="Q448" s="2" t="s">
        <v>821</v>
      </c>
      <c r="R448" s="2" t="s">
        <v>822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55"/>
        <v>0.25000000000000006</v>
      </c>
      <c r="Z448" s="2" t="s">
        <v>105</v>
      </c>
      <c r="AA448" s="2" t="s">
        <v>617</v>
      </c>
      <c r="AB448" s="2" t="s">
        <v>476</v>
      </c>
      <c r="AC448" s="2" t="s">
        <v>476</v>
      </c>
      <c r="AF448" s="2">
        <f t="shared" si="51"/>
        <v>0</v>
      </c>
      <c r="AJ448" s="2">
        <f t="shared" si="52"/>
        <v>0</v>
      </c>
      <c r="AK448" s="2">
        <f t="shared" si="53"/>
        <v>813.00750000000016</v>
      </c>
      <c r="AL448" s="5">
        <f t="shared" si="56"/>
        <v>0.25000000000000006</v>
      </c>
    </row>
    <row r="449" spans="1:38" hidden="1" x14ac:dyDescent="0.2">
      <c r="A449" s="2">
        <v>2025</v>
      </c>
      <c r="B449" s="2">
        <v>2</v>
      </c>
      <c r="D449" s="2" t="s">
        <v>823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826</v>
      </c>
      <c r="J449" s="2" t="s">
        <v>827</v>
      </c>
      <c r="L449" s="2" t="s">
        <v>419</v>
      </c>
      <c r="P449" s="2" t="s">
        <v>115</v>
      </c>
      <c r="Q449" s="2" t="s">
        <v>824</v>
      </c>
      <c r="R449" s="2" t="s">
        <v>825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5"/>
        <v>1</v>
      </c>
      <c r="Z449" s="2" t="s">
        <v>118</v>
      </c>
      <c r="AF449" s="2">
        <f t="shared" si="51"/>
        <v>0</v>
      </c>
      <c r="AJ449" s="2">
        <f t="shared" si="52"/>
        <v>0</v>
      </c>
      <c r="AK449" s="2">
        <f t="shared" si="53"/>
        <v>218.59</v>
      </c>
      <c r="AL449" s="5">
        <f t="shared" si="56"/>
        <v>1</v>
      </c>
    </row>
    <row r="450" spans="1:38" hidden="1" x14ac:dyDescent="0.2">
      <c r="A450" s="2">
        <v>2025</v>
      </c>
      <c r="B450" s="2">
        <v>2</v>
      </c>
      <c r="D450" s="2" t="s">
        <v>823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826</v>
      </c>
      <c r="J450" s="2" t="s">
        <v>827</v>
      </c>
      <c r="L450" s="2" t="s">
        <v>419</v>
      </c>
      <c r="M450" s="2" t="s">
        <v>41</v>
      </c>
      <c r="O450" s="2" t="s">
        <v>828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5"/>
        <v>0.44342727272727273</v>
      </c>
      <c r="Z450" s="2" t="s">
        <v>3231</v>
      </c>
      <c r="AA450" s="2" t="s">
        <v>76</v>
      </c>
      <c r="AB450" s="2" t="s">
        <v>77</v>
      </c>
      <c r="AC450" s="2" t="s">
        <v>78</v>
      </c>
      <c r="AF450" s="2">
        <f t="shared" ref="AF450:AF513" si="57">AJ450</f>
        <v>0</v>
      </c>
      <c r="AG450" s="2">
        <v>122.446</v>
      </c>
      <c r="AH450" s="2">
        <v>230</v>
      </c>
      <c r="AJ450" s="2">
        <f t="shared" ref="AJ450:AJ513" si="58">AI450*T450</f>
        <v>0</v>
      </c>
      <c r="AK450" s="2">
        <f t="shared" ref="AK450:AK513" si="59">T450-W450</f>
        <v>97.554000000000002</v>
      </c>
      <c r="AL450" s="5">
        <f t="shared" si="56"/>
        <v>0.44342727272727273</v>
      </c>
    </row>
    <row r="451" spans="1:38" hidden="1" x14ac:dyDescent="0.2">
      <c r="A451" s="2">
        <v>2025</v>
      </c>
      <c r="B451" s="2">
        <v>2</v>
      </c>
      <c r="D451" s="2" t="s">
        <v>823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826</v>
      </c>
      <c r="J451" s="2" t="s">
        <v>827</v>
      </c>
      <c r="L451" s="2" t="s">
        <v>419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5"/>
        <v>0</v>
      </c>
      <c r="Z451" s="2" t="s">
        <v>3231</v>
      </c>
      <c r="AA451" s="2" t="s">
        <v>97</v>
      </c>
      <c r="AB451" s="2" t="s">
        <v>77</v>
      </c>
      <c r="AC451" s="2" t="s">
        <v>94</v>
      </c>
      <c r="AF451" s="2">
        <f t="shared" si="57"/>
        <v>0</v>
      </c>
      <c r="AJ451" s="2">
        <f t="shared" si="58"/>
        <v>0</v>
      </c>
      <c r="AK451" s="2">
        <f t="shared" si="59"/>
        <v>0</v>
      </c>
      <c r="AL451" s="5">
        <f t="shared" si="56"/>
        <v>0</v>
      </c>
    </row>
    <row r="452" spans="1:38" hidden="1" x14ac:dyDescent="0.2">
      <c r="A452" s="2">
        <v>2025</v>
      </c>
      <c r="B452" s="2">
        <v>2</v>
      </c>
      <c r="D452" s="2" t="s">
        <v>829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830</v>
      </c>
      <c r="J452" s="2" t="s">
        <v>831</v>
      </c>
      <c r="L452" s="2" t="s">
        <v>100</v>
      </c>
      <c r="M452" s="2" t="s">
        <v>81</v>
      </c>
      <c r="O452" s="2" t="s">
        <v>832</v>
      </c>
      <c r="P452" s="2" t="s">
        <v>73</v>
      </c>
      <c r="Q452" s="2" t="s">
        <v>833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5"/>
        <v>0.39682000000000001</v>
      </c>
      <c r="Z452" s="2" t="s">
        <v>3231</v>
      </c>
      <c r="AA452" s="2" t="s">
        <v>76</v>
      </c>
      <c r="AB452" s="2" t="s">
        <v>77</v>
      </c>
      <c r="AC452" s="2" t="s">
        <v>78</v>
      </c>
      <c r="AF452" s="2">
        <f t="shared" si="57"/>
        <v>0</v>
      </c>
      <c r="AG452" s="2">
        <v>120.636</v>
      </c>
      <c r="AH452" s="2">
        <v>220</v>
      </c>
      <c r="AJ452" s="2">
        <f t="shared" si="58"/>
        <v>0</v>
      </c>
      <c r="AK452" s="2">
        <f t="shared" si="59"/>
        <v>79.364000000000004</v>
      </c>
      <c r="AL452" s="5">
        <f t="shared" si="56"/>
        <v>0.39682000000000001</v>
      </c>
    </row>
    <row r="453" spans="1:38" hidden="1" x14ac:dyDescent="0.2">
      <c r="A453" s="2">
        <v>2025</v>
      </c>
      <c r="B453" s="2">
        <v>2</v>
      </c>
      <c r="D453" s="2" t="s">
        <v>829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830</v>
      </c>
      <c r="J453" s="2" t="s">
        <v>831</v>
      </c>
      <c r="L453" s="2" t="s">
        <v>100</v>
      </c>
      <c r="M453" s="2" t="s">
        <v>81</v>
      </c>
      <c r="O453" s="2" t="s">
        <v>832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5"/>
        <v>0</v>
      </c>
      <c r="Z453" s="2" t="s">
        <v>3231</v>
      </c>
      <c r="AA453" s="2" t="s">
        <v>97</v>
      </c>
      <c r="AB453" s="2" t="s">
        <v>77</v>
      </c>
      <c r="AC453" s="2" t="s">
        <v>94</v>
      </c>
      <c r="AF453" s="2">
        <f t="shared" si="57"/>
        <v>0</v>
      </c>
      <c r="AG453" s="2">
        <v>1.1399999999999999</v>
      </c>
      <c r="AH453" s="2">
        <v>1.1399999999999999</v>
      </c>
      <c r="AJ453" s="2">
        <f t="shared" si="58"/>
        <v>0</v>
      </c>
      <c r="AK453" s="2">
        <f t="shared" si="59"/>
        <v>0</v>
      </c>
      <c r="AL453" s="5">
        <f t="shared" si="56"/>
        <v>0</v>
      </c>
    </row>
    <row r="454" spans="1:38" hidden="1" x14ac:dyDescent="0.2">
      <c r="A454" s="2">
        <v>2025</v>
      </c>
      <c r="B454" s="2">
        <v>2</v>
      </c>
      <c r="D454" s="2" t="s">
        <v>834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7"/>
        <v>0</v>
      </c>
      <c r="AJ454" s="2">
        <f t="shared" si="58"/>
        <v>0</v>
      </c>
      <c r="AK454" s="2">
        <f t="shared" si="59"/>
        <v>22.027999999999999</v>
      </c>
      <c r="AL454" s="5">
        <f t="shared" si="56"/>
        <v>0.48875083203905034</v>
      </c>
    </row>
    <row r="455" spans="1:38" hidden="1" x14ac:dyDescent="0.2">
      <c r="A455" s="2">
        <v>2025</v>
      </c>
      <c r="B455" s="2">
        <v>2</v>
      </c>
      <c r="C455" s="2" t="s">
        <v>3312</v>
      </c>
      <c r="D455" s="2" t="s">
        <v>3310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3309</v>
      </c>
      <c r="P455" s="2" t="s">
        <v>115</v>
      </c>
      <c r="Q455" s="2" t="s">
        <v>835</v>
      </c>
      <c r="R455" s="2" t="s">
        <v>836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7"/>
        <v>0</v>
      </c>
      <c r="AJ455" s="2">
        <f t="shared" si="58"/>
        <v>0</v>
      </c>
      <c r="AK455" s="2">
        <f t="shared" si="59"/>
        <v>0</v>
      </c>
      <c r="AL455" s="5">
        <v>0</v>
      </c>
    </row>
    <row r="456" spans="1:38" hidden="1" x14ac:dyDescent="0.2">
      <c r="A456" s="2">
        <v>2025</v>
      </c>
      <c r="B456" s="2">
        <v>2</v>
      </c>
      <c r="C456" s="2" t="s">
        <v>3308</v>
      </c>
      <c r="D456" s="2" t="s">
        <v>3307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3306</v>
      </c>
      <c r="P456" s="2" t="s">
        <v>115</v>
      </c>
      <c r="Q456" s="16" t="s">
        <v>710</v>
      </c>
      <c r="R456" s="2" t="s">
        <v>711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60">(T456-W456)/T456</f>
        <v>0.17050366666666666</v>
      </c>
      <c r="Z456" s="2" t="s">
        <v>105</v>
      </c>
      <c r="AA456" s="2" t="s">
        <v>579</v>
      </c>
      <c r="AB456" s="2" t="s">
        <v>702</v>
      </c>
      <c r="AC456" s="2" t="s">
        <v>115</v>
      </c>
      <c r="AF456" s="2">
        <f t="shared" si="57"/>
        <v>0</v>
      </c>
      <c r="AG456" s="2">
        <v>1244.2445</v>
      </c>
      <c r="AJ456" s="2">
        <f t="shared" si="58"/>
        <v>0</v>
      </c>
      <c r="AK456" s="2">
        <f t="shared" si="59"/>
        <v>255.75549999999998</v>
      </c>
      <c r="AL456" s="5">
        <f t="shared" si="56"/>
        <v>0.17050366666666666</v>
      </c>
    </row>
    <row r="457" spans="1:38" hidden="1" x14ac:dyDescent="0.2">
      <c r="A457" s="2">
        <v>2025</v>
      </c>
      <c r="B457" s="2">
        <v>2</v>
      </c>
      <c r="C457" s="2" t="s">
        <v>3312</v>
      </c>
      <c r="D457" s="2" t="s">
        <v>3310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3309</v>
      </c>
      <c r="P457" s="2" t="s">
        <v>115</v>
      </c>
      <c r="Q457" s="2" t="s">
        <v>837</v>
      </c>
      <c r="R457" s="2" t="s">
        <v>838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60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7"/>
        <v>0</v>
      </c>
      <c r="AJ457" s="2">
        <f t="shared" si="58"/>
        <v>0</v>
      </c>
      <c r="AK457" s="2">
        <f t="shared" si="59"/>
        <v>6660.1200000000008</v>
      </c>
      <c r="AL457" s="5">
        <f t="shared" si="56"/>
        <v>0.40985353846153849</v>
      </c>
    </row>
    <row r="458" spans="1:38" hidden="1" x14ac:dyDescent="0.2">
      <c r="A458" s="2">
        <v>2025</v>
      </c>
      <c r="B458" s="2">
        <v>2</v>
      </c>
      <c r="C458" s="2" t="s">
        <v>3312</v>
      </c>
      <c r="D458" s="2" t="s">
        <v>3313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60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7"/>
        <v>0</v>
      </c>
      <c r="AJ458" s="2">
        <f t="shared" si="58"/>
        <v>0</v>
      </c>
      <c r="AK458" s="2">
        <f t="shared" si="59"/>
        <v>5320.6</v>
      </c>
      <c r="AL458" s="5">
        <f t="shared" si="56"/>
        <v>0.33274546591619764</v>
      </c>
    </row>
    <row r="459" spans="1:38" hidden="1" x14ac:dyDescent="0.2">
      <c r="A459" s="2">
        <v>2025</v>
      </c>
      <c r="B459" s="2">
        <v>2</v>
      </c>
      <c r="C459" s="2" t="s">
        <v>3308</v>
      </c>
      <c r="D459" s="2" t="s">
        <v>3307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3306</v>
      </c>
      <c r="P459" s="2" t="s">
        <v>115</v>
      </c>
      <c r="Q459" s="2" t="s">
        <v>839</v>
      </c>
      <c r="R459" s="2" t="s">
        <v>840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60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7"/>
        <v>0</v>
      </c>
      <c r="AJ459" s="2">
        <f t="shared" si="58"/>
        <v>0</v>
      </c>
      <c r="AK459" s="2">
        <f t="shared" si="59"/>
        <v>1157.3699999999999</v>
      </c>
      <c r="AL459" s="5">
        <f t="shared" si="56"/>
        <v>0.25719333333333333</v>
      </c>
    </row>
    <row r="460" spans="1:38" hidden="1" x14ac:dyDescent="0.2">
      <c r="A460" s="2">
        <v>2025</v>
      </c>
      <c r="B460" s="2">
        <v>2</v>
      </c>
      <c r="D460" s="2" t="s">
        <v>841</v>
      </c>
      <c r="E460" s="2" t="s">
        <v>109</v>
      </c>
      <c r="F460" s="2" t="s">
        <v>842</v>
      </c>
      <c r="G460" s="2">
        <v>504981285</v>
      </c>
      <c r="H460" s="2" t="s">
        <v>291</v>
      </c>
      <c r="I460" s="2" t="s">
        <v>843</v>
      </c>
      <c r="J460" s="2" t="s">
        <v>844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60"/>
        <v>0.6</v>
      </c>
      <c r="Z460" s="2" t="s">
        <v>118</v>
      </c>
      <c r="AA460" s="2" t="s">
        <v>191</v>
      </c>
      <c r="AB460" s="2" t="s">
        <v>190</v>
      </c>
      <c r="AC460" s="2" t="s">
        <v>40</v>
      </c>
      <c r="AF460" s="2">
        <f t="shared" si="57"/>
        <v>0</v>
      </c>
      <c r="AJ460" s="2">
        <f t="shared" si="58"/>
        <v>0</v>
      </c>
      <c r="AK460" s="2">
        <f t="shared" si="59"/>
        <v>60</v>
      </c>
      <c r="AL460" s="5">
        <f t="shared" si="56"/>
        <v>0.6</v>
      </c>
    </row>
    <row r="461" spans="1:38" hidden="1" x14ac:dyDescent="0.2">
      <c r="A461" s="2">
        <v>2025</v>
      </c>
      <c r="B461" s="2">
        <v>2</v>
      </c>
      <c r="D461" s="2" t="s">
        <v>841</v>
      </c>
      <c r="E461" s="2" t="s">
        <v>109</v>
      </c>
      <c r="F461" s="2" t="s">
        <v>842</v>
      </c>
      <c r="G461" s="2">
        <v>504981285</v>
      </c>
      <c r="H461" s="2" t="s">
        <v>291</v>
      </c>
      <c r="I461" s="2" t="s">
        <v>843</v>
      </c>
      <c r="J461" s="2" t="s">
        <v>844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60"/>
        <v>0.5</v>
      </c>
      <c r="Z461" s="2" t="s">
        <v>118</v>
      </c>
      <c r="AA461" s="2" t="s">
        <v>191</v>
      </c>
      <c r="AB461" s="2" t="s">
        <v>191</v>
      </c>
      <c r="AC461" s="2" t="s">
        <v>40</v>
      </c>
      <c r="AF461" s="2">
        <f t="shared" si="57"/>
        <v>0</v>
      </c>
      <c r="AJ461" s="2">
        <f t="shared" si="58"/>
        <v>0</v>
      </c>
      <c r="AK461" s="2">
        <f t="shared" si="59"/>
        <v>68.75</v>
      </c>
      <c r="AL461" s="5">
        <f t="shared" si="56"/>
        <v>0.5</v>
      </c>
    </row>
    <row r="462" spans="1:38" hidden="1" x14ac:dyDescent="0.2">
      <c r="A462" s="2">
        <v>2025</v>
      </c>
      <c r="B462" s="2">
        <v>2</v>
      </c>
      <c r="D462" s="2" t="s">
        <v>841</v>
      </c>
      <c r="E462" s="2" t="s">
        <v>109</v>
      </c>
      <c r="F462" s="2" t="s">
        <v>842</v>
      </c>
      <c r="G462" s="2">
        <v>504981285</v>
      </c>
      <c r="H462" s="2" t="s">
        <v>291</v>
      </c>
      <c r="I462" s="2" t="s">
        <v>843</v>
      </c>
      <c r="J462" s="2" t="s">
        <v>844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60"/>
        <v>1</v>
      </c>
      <c r="Z462" s="2" t="s">
        <v>120</v>
      </c>
      <c r="AA462" s="2" t="s">
        <v>3385</v>
      </c>
      <c r="AF462" s="2">
        <f t="shared" si="57"/>
        <v>0</v>
      </c>
      <c r="AJ462" s="2">
        <f t="shared" si="58"/>
        <v>0</v>
      </c>
      <c r="AK462" s="2">
        <f t="shared" si="59"/>
        <v>105.73</v>
      </c>
      <c r="AL462" s="5">
        <f t="shared" si="56"/>
        <v>1</v>
      </c>
    </row>
    <row r="463" spans="1:38" hidden="1" x14ac:dyDescent="0.2">
      <c r="A463" s="2">
        <v>2025</v>
      </c>
      <c r="B463" s="2">
        <v>2</v>
      </c>
      <c r="D463" s="2" t="s">
        <v>845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846</v>
      </c>
      <c r="L463" s="2" t="s">
        <v>419</v>
      </c>
      <c r="M463" s="2" t="s">
        <v>41</v>
      </c>
      <c r="O463" s="2" t="s">
        <v>847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60"/>
        <v>0.44777500000000003</v>
      </c>
      <c r="Z463" s="2" t="s">
        <v>3231</v>
      </c>
      <c r="AA463" s="2" t="s">
        <v>46</v>
      </c>
      <c r="AB463" s="2" t="s">
        <v>47</v>
      </c>
      <c r="AC463" s="2" t="s">
        <v>48</v>
      </c>
      <c r="AF463" s="2">
        <f t="shared" si="57"/>
        <v>0</v>
      </c>
      <c r="AG463" s="2">
        <v>6.6266999999999996</v>
      </c>
      <c r="AH463" s="2">
        <v>12</v>
      </c>
      <c r="AJ463" s="2">
        <f t="shared" si="58"/>
        <v>0</v>
      </c>
      <c r="AK463" s="2">
        <f t="shared" si="59"/>
        <v>5.3733000000000004</v>
      </c>
      <c r="AL463" s="5">
        <f t="shared" si="56"/>
        <v>0.44777500000000003</v>
      </c>
    </row>
    <row r="464" spans="1:38" hidden="1" x14ac:dyDescent="0.2">
      <c r="A464" s="2">
        <v>2025</v>
      </c>
      <c r="B464" s="2">
        <v>2</v>
      </c>
      <c r="D464" s="2" t="s">
        <v>845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846</v>
      </c>
      <c r="L464" s="2" t="s">
        <v>419</v>
      </c>
      <c r="M464" s="2" t="s">
        <v>41</v>
      </c>
      <c r="O464" s="2" t="s">
        <v>847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60"/>
        <v>0.41111111111111115</v>
      </c>
      <c r="Z464" s="2" t="s">
        <v>3231</v>
      </c>
      <c r="AA464" s="2" t="s">
        <v>46</v>
      </c>
      <c r="AB464" s="2" t="s">
        <v>57</v>
      </c>
      <c r="AC464" s="2" t="s">
        <v>58</v>
      </c>
      <c r="AF464" s="2">
        <f t="shared" si="57"/>
        <v>0</v>
      </c>
      <c r="AG464" s="2">
        <v>10.6</v>
      </c>
      <c r="AH464" s="2">
        <v>18</v>
      </c>
      <c r="AJ464" s="2">
        <f t="shared" si="58"/>
        <v>0</v>
      </c>
      <c r="AK464" s="2">
        <f t="shared" si="59"/>
        <v>14.8</v>
      </c>
      <c r="AL464" s="5">
        <f t="shared" si="56"/>
        <v>0.41111111111111115</v>
      </c>
    </row>
    <row r="465" spans="1:38" hidden="1" x14ac:dyDescent="0.2">
      <c r="A465" s="2">
        <v>2025</v>
      </c>
      <c r="B465" s="2">
        <v>2</v>
      </c>
      <c r="D465" s="2" t="s">
        <v>845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846</v>
      </c>
      <c r="L465" s="2" t="s">
        <v>419</v>
      </c>
      <c r="M465" s="2" t="s">
        <v>41</v>
      </c>
      <c r="O465" s="2" t="s">
        <v>847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60"/>
        <v>0.29692307692307701</v>
      </c>
      <c r="Z465" s="2" t="s">
        <v>3231</v>
      </c>
      <c r="AA465" s="2" t="s">
        <v>46</v>
      </c>
      <c r="AB465" s="2" t="s">
        <v>61</v>
      </c>
      <c r="AC465" s="2" t="s">
        <v>58</v>
      </c>
      <c r="AF465" s="2">
        <f t="shared" si="57"/>
        <v>0</v>
      </c>
      <c r="AG465" s="2">
        <v>9.14</v>
      </c>
      <c r="AH465" s="2">
        <v>16</v>
      </c>
      <c r="AJ465" s="2">
        <f t="shared" si="58"/>
        <v>0</v>
      </c>
      <c r="AK465" s="2">
        <f t="shared" si="59"/>
        <v>3.8600000000000012</v>
      </c>
      <c r="AL465" s="5">
        <f t="shared" si="56"/>
        <v>0.29692307692307701</v>
      </c>
    </row>
    <row r="466" spans="1:38" hidden="1" x14ac:dyDescent="0.2">
      <c r="A466" s="2">
        <v>2025</v>
      </c>
      <c r="B466" s="2">
        <v>2</v>
      </c>
      <c r="D466" s="2" t="s">
        <v>848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60"/>
        <v>0.41273499999999996</v>
      </c>
      <c r="Z466" s="2" t="s">
        <v>3231</v>
      </c>
      <c r="AA466" s="2" t="s">
        <v>76</v>
      </c>
      <c r="AB466" s="2" t="s">
        <v>77</v>
      </c>
      <c r="AC466" s="2" t="s">
        <v>78</v>
      </c>
      <c r="AF466" s="2">
        <f t="shared" si="57"/>
        <v>0</v>
      </c>
      <c r="AG466" s="2">
        <v>117.453</v>
      </c>
      <c r="AH466" s="2">
        <v>220</v>
      </c>
      <c r="AJ466" s="2">
        <f t="shared" si="58"/>
        <v>0</v>
      </c>
      <c r="AK466" s="2">
        <f t="shared" si="59"/>
        <v>82.546999999999997</v>
      </c>
      <c r="AL466" s="5">
        <f t="shared" si="56"/>
        <v>0.41273499999999996</v>
      </c>
    </row>
    <row r="467" spans="1:38" hidden="1" x14ac:dyDescent="0.2">
      <c r="A467" s="2">
        <v>2025</v>
      </c>
      <c r="B467" s="2">
        <v>2</v>
      </c>
      <c r="D467" s="2" t="s">
        <v>848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60"/>
        <v>0</v>
      </c>
      <c r="Z467" s="2" t="s">
        <v>3231</v>
      </c>
      <c r="AA467" s="2" t="s">
        <v>97</v>
      </c>
      <c r="AB467" s="2" t="s">
        <v>77</v>
      </c>
      <c r="AC467" s="2" t="s">
        <v>94</v>
      </c>
      <c r="AF467" s="2">
        <f t="shared" si="57"/>
        <v>0</v>
      </c>
      <c r="AJ467" s="2">
        <f t="shared" si="58"/>
        <v>0</v>
      </c>
      <c r="AK467" s="2">
        <f t="shared" si="59"/>
        <v>0</v>
      </c>
      <c r="AL467" s="5">
        <f t="shared" si="56"/>
        <v>0</v>
      </c>
    </row>
    <row r="468" spans="1:38" hidden="1" x14ac:dyDescent="0.2">
      <c r="A468" s="2">
        <v>2025</v>
      </c>
      <c r="B468" s="2">
        <v>2</v>
      </c>
      <c r="D468" s="2" t="s">
        <v>849</v>
      </c>
      <c r="P468" s="2" t="s">
        <v>115</v>
      </c>
      <c r="Q468" s="2" t="s">
        <v>850</v>
      </c>
      <c r="R468" s="2" t="s">
        <v>851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7"/>
        <v>0</v>
      </c>
      <c r="AJ468" s="2">
        <f t="shared" si="58"/>
        <v>0</v>
      </c>
      <c r="AK468" s="2">
        <f t="shared" si="59"/>
        <v>0</v>
      </c>
      <c r="AL468" s="5" t="e">
        <f t="shared" si="56"/>
        <v>#DIV/0!</v>
      </c>
    </row>
    <row r="469" spans="1:38" hidden="1" x14ac:dyDescent="0.2">
      <c r="A469" s="2">
        <v>2025</v>
      </c>
      <c r="B469" s="2">
        <v>2</v>
      </c>
      <c r="D469" s="2" t="s">
        <v>849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7"/>
        <v>0</v>
      </c>
      <c r="AJ469" s="2">
        <f t="shared" si="58"/>
        <v>0</v>
      </c>
      <c r="AK469" s="2">
        <f t="shared" si="59"/>
        <v>0</v>
      </c>
      <c r="AL469" s="5" t="e">
        <f t="shared" si="56"/>
        <v>#DIV/0!</v>
      </c>
    </row>
    <row r="470" spans="1:38" hidden="1" x14ac:dyDescent="0.2">
      <c r="A470" s="2">
        <v>2025</v>
      </c>
      <c r="B470" s="2">
        <v>2</v>
      </c>
      <c r="D470" s="2" t="s">
        <v>849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1">(T470-W470)/T470</f>
        <v>1</v>
      </c>
      <c r="Z470" s="2" t="s">
        <v>120</v>
      </c>
      <c r="AA470" s="2" t="s">
        <v>3385</v>
      </c>
      <c r="AF470" s="2">
        <f t="shared" si="57"/>
        <v>0</v>
      </c>
      <c r="AJ470" s="2">
        <f t="shared" si="58"/>
        <v>0</v>
      </c>
      <c r="AK470" s="2">
        <f t="shared" si="59"/>
        <v>17.47</v>
      </c>
      <c r="AL470" s="5">
        <f t="shared" si="56"/>
        <v>1</v>
      </c>
    </row>
    <row r="471" spans="1:38" hidden="1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1"/>
        <v>1</v>
      </c>
      <c r="Z471" s="2" t="s">
        <v>120</v>
      </c>
      <c r="AA471" s="2" t="s">
        <v>493</v>
      </c>
      <c r="AF471" s="2">
        <f t="shared" si="57"/>
        <v>0</v>
      </c>
      <c r="AJ471" s="2">
        <f t="shared" si="58"/>
        <v>0</v>
      </c>
      <c r="AK471" s="2">
        <f t="shared" si="59"/>
        <v>650</v>
      </c>
      <c r="AL471" s="5">
        <f t="shared" si="56"/>
        <v>1</v>
      </c>
    </row>
    <row r="472" spans="1:38" hidden="1" x14ac:dyDescent="0.2">
      <c r="A472" s="2">
        <v>2025</v>
      </c>
      <c r="B472" s="2">
        <v>2</v>
      </c>
      <c r="D472" s="2" t="s">
        <v>852</v>
      </c>
      <c r="P472" s="2" t="s">
        <v>153</v>
      </c>
      <c r="Q472" s="2" t="s">
        <v>853</v>
      </c>
      <c r="R472" s="2" t="s">
        <v>854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1"/>
        <v>0.85955555555555563</v>
      </c>
      <c r="Z472" s="2" t="s">
        <v>3231</v>
      </c>
      <c r="AA472" s="2" t="s">
        <v>156</v>
      </c>
      <c r="AB472" s="2" t="s">
        <v>3387</v>
      </c>
      <c r="AC472" s="2" t="s">
        <v>78</v>
      </c>
      <c r="AF472" s="2">
        <f t="shared" si="57"/>
        <v>0</v>
      </c>
      <c r="AJ472" s="2">
        <f t="shared" si="58"/>
        <v>0</v>
      </c>
      <c r="AK472" s="2">
        <f t="shared" si="59"/>
        <v>193.4</v>
      </c>
      <c r="AL472" s="5">
        <f t="shared" si="56"/>
        <v>0.85955555555555563</v>
      </c>
    </row>
    <row r="473" spans="1:38" hidden="1" x14ac:dyDescent="0.2">
      <c r="A473" s="2">
        <v>2025</v>
      </c>
      <c r="B473" s="2">
        <v>2</v>
      </c>
      <c r="D473" s="2" t="s">
        <v>855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856</v>
      </c>
      <c r="J473" s="2" t="s">
        <v>857</v>
      </c>
      <c r="K473" s="2">
        <v>917665950</v>
      </c>
      <c r="L473" s="2" t="s">
        <v>100</v>
      </c>
      <c r="M473" s="2" t="s">
        <v>41</v>
      </c>
      <c r="O473" s="2" t="s">
        <v>858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1"/>
        <v>0.48333333333333328</v>
      </c>
      <c r="Z473" s="2" t="s">
        <v>3231</v>
      </c>
      <c r="AA473" s="2" t="s">
        <v>46</v>
      </c>
      <c r="AB473" s="2" t="s">
        <v>47</v>
      </c>
      <c r="AC473" s="2" t="s">
        <v>48</v>
      </c>
      <c r="AF473" s="2">
        <f t="shared" si="57"/>
        <v>0</v>
      </c>
      <c r="AG473" s="2">
        <v>9.3000000000000007</v>
      </c>
      <c r="AH473" s="2">
        <v>21</v>
      </c>
      <c r="AJ473" s="2">
        <f t="shared" si="58"/>
        <v>0</v>
      </c>
      <c r="AK473" s="2">
        <f t="shared" si="59"/>
        <v>8.6999999999999993</v>
      </c>
      <c r="AL473" s="5">
        <f t="shared" si="56"/>
        <v>0.48333333333333328</v>
      </c>
    </row>
    <row r="474" spans="1:38" hidden="1" x14ac:dyDescent="0.2">
      <c r="A474" s="2">
        <v>2025</v>
      </c>
      <c r="B474" s="2">
        <v>2</v>
      </c>
      <c r="D474" s="2" t="s">
        <v>855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856</v>
      </c>
      <c r="J474" s="2" t="s">
        <v>857</v>
      </c>
      <c r="K474" s="2">
        <v>917665950</v>
      </c>
      <c r="L474" s="2" t="s">
        <v>100</v>
      </c>
      <c r="M474" s="2" t="s">
        <v>41</v>
      </c>
      <c r="O474" s="2" t="s">
        <v>858</v>
      </c>
      <c r="P474" s="2" t="s">
        <v>43</v>
      </c>
      <c r="Q474" s="2" t="s">
        <v>859</v>
      </c>
      <c r="R474" s="2" t="s">
        <v>860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1"/>
        <v>0.5147222222222223</v>
      </c>
      <c r="Z474" s="2" t="s">
        <v>3231</v>
      </c>
      <c r="AA474" s="2" t="s">
        <v>46</v>
      </c>
      <c r="AB474" s="2" t="s">
        <v>47</v>
      </c>
      <c r="AC474" s="2" t="s">
        <v>48</v>
      </c>
      <c r="AF474" s="2">
        <f t="shared" si="57"/>
        <v>0</v>
      </c>
      <c r="AJ474" s="2">
        <f t="shared" si="58"/>
        <v>0</v>
      </c>
      <c r="AK474" s="2">
        <f t="shared" si="59"/>
        <v>9.2650000000000006</v>
      </c>
      <c r="AL474" s="5">
        <f t="shared" si="56"/>
        <v>0.5147222222222223</v>
      </c>
    </row>
    <row r="475" spans="1:38" hidden="1" x14ac:dyDescent="0.2">
      <c r="A475" s="2">
        <v>2025</v>
      </c>
      <c r="B475" s="2">
        <v>2</v>
      </c>
      <c r="D475" s="2" t="s">
        <v>855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856</v>
      </c>
      <c r="J475" s="2" t="s">
        <v>857</v>
      </c>
      <c r="K475" s="2">
        <v>917665950</v>
      </c>
      <c r="L475" s="2" t="s">
        <v>100</v>
      </c>
      <c r="M475" s="2" t="s">
        <v>41</v>
      </c>
      <c r="O475" s="2" t="s">
        <v>858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1"/>
        <v>0.14285714285714288</v>
      </c>
      <c r="Z475" s="2" t="s">
        <v>3231</v>
      </c>
      <c r="AA475" s="2" t="s">
        <v>46</v>
      </c>
      <c r="AB475" s="2" t="s">
        <v>47</v>
      </c>
      <c r="AC475" s="2" t="s">
        <v>48</v>
      </c>
      <c r="AF475" s="2">
        <f t="shared" si="57"/>
        <v>0</v>
      </c>
      <c r="AG475" s="2">
        <v>10.2346</v>
      </c>
      <c r="AH475" s="2">
        <v>18</v>
      </c>
      <c r="AJ475" s="2">
        <f t="shared" si="58"/>
        <v>0</v>
      </c>
      <c r="AK475" s="2">
        <f t="shared" si="59"/>
        <v>2.4000000000000004</v>
      </c>
      <c r="AL475" s="5">
        <f t="shared" si="56"/>
        <v>0.14285714285714288</v>
      </c>
    </row>
    <row r="476" spans="1:38" hidden="1" x14ac:dyDescent="0.2">
      <c r="A476" s="2">
        <v>2025</v>
      </c>
      <c r="B476" s="2">
        <v>2</v>
      </c>
      <c r="D476" s="2" t="s">
        <v>855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856</v>
      </c>
      <c r="J476" s="2" t="s">
        <v>857</v>
      </c>
      <c r="K476" s="2">
        <v>917665950</v>
      </c>
      <c r="L476" s="2" t="s">
        <v>100</v>
      </c>
      <c r="M476" s="2" t="s">
        <v>41</v>
      </c>
      <c r="O476" s="2" t="s">
        <v>858</v>
      </c>
      <c r="P476" s="2" t="s">
        <v>43</v>
      </c>
      <c r="Q476" s="2" t="s">
        <v>861</v>
      </c>
      <c r="R476" s="2" t="s">
        <v>862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1"/>
        <v>0.52380952380952384</v>
      </c>
      <c r="Z476" s="2" t="s">
        <v>3231</v>
      </c>
      <c r="AA476" s="2" t="s">
        <v>46</v>
      </c>
      <c r="AB476" s="2" t="s">
        <v>47</v>
      </c>
      <c r="AC476" s="2" t="s">
        <v>48</v>
      </c>
      <c r="AF476" s="2">
        <f t="shared" si="57"/>
        <v>0</v>
      </c>
      <c r="AJ476" s="2">
        <f t="shared" si="58"/>
        <v>0</v>
      </c>
      <c r="AK476" s="2">
        <f t="shared" si="59"/>
        <v>8.8000000000000007</v>
      </c>
      <c r="AL476" s="5">
        <f t="shared" si="56"/>
        <v>0.52380952380952384</v>
      </c>
    </row>
    <row r="477" spans="1:38" hidden="1" x14ac:dyDescent="0.2">
      <c r="A477" s="2">
        <v>2025</v>
      </c>
      <c r="B477" s="2">
        <v>2</v>
      </c>
      <c r="D477" s="2" t="s">
        <v>863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1"/>
        <v>0.25</v>
      </c>
      <c r="Z477" s="2" t="s">
        <v>3231</v>
      </c>
      <c r="AA477" s="2" t="s">
        <v>72</v>
      </c>
      <c r="AB477" s="2" t="s">
        <v>120</v>
      </c>
      <c r="AC477" s="2" t="s">
        <v>120</v>
      </c>
      <c r="AF477" s="2">
        <f t="shared" si="57"/>
        <v>0</v>
      </c>
      <c r="AJ477" s="2">
        <f t="shared" si="58"/>
        <v>0</v>
      </c>
      <c r="AK477" s="2">
        <f t="shared" si="59"/>
        <v>99.75</v>
      </c>
      <c r="AL477" s="5">
        <f t="shared" si="56"/>
        <v>0.25</v>
      </c>
    </row>
    <row r="478" spans="1:38" hidden="1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864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1"/>
        <v>1</v>
      </c>
      <c r="Z478" s="2" t="s">
        <v>118</v>
      </c>
      <c r="AF478" s="2">
        <f t="shared" si="57"/>
        <v>0</v>
      </c>
      <c r="AJ478" s="2">
        <f t="shared" si="58"/>
        <v>0</v>
      </c>
      <c r="AK478" s="2">
        <f t="shared" si="59"/>
        <v>-80.349999999999994</v>
      </c>
      <c r="AL478" s="5">
        <f t="shared" si="56"/>
        <v>1</v>
      </c>
    </row>
    <row r="479" spans="1:38" hidden="1" x14ac:dyDescent="0.2">
      <c r="A479" s="2">
        <v>2025</v>
      </c>
      <c r="B479" s="2">
        <v>2</v>
      </c>
      <c r="D479" s="2" t="s">
        <v>865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1"/>
        <v>0.41111111111111115</v>
      </c>
      <c r="Z479" s="2" t="s">
        <v>3231</v>
      </c>
      <c r="AA479" s="2" t="s">
        <v>46</v>
      </c>
      <c r="AB479" s="2" t="s">
        <v>57</v>
      </c>
      <c r="AC479" s="2" t="s">
        <v>58</v>
      </c>
      <c r="AF479" s="2">
        <f t="shared" si="57"/>
        <v>0</v>
      </c>
      <c r="AG479" s="2">
        <v>10.6</v>
      </c>
      <c r="AH479" s="2">
        <v>18</v>
      </c>
      <c r="AJ479" s="2">
        <f t="shared" si="58"/>
        <v>0</v>
      </c>
      <c r="AK479" s="2">
        <f t="shared" si="59"/>
        <v>14.8</v>
      </c>
      <c r="AL479" s="5">
        <f t="shared" si="56"/>
        <v>0.41111111111111115</v>
      </c>
    </row>
    <row r="480" spans="1:38" hidden="1" x14ac:dyDescent="0.2">
      <c r="A480" s="2">
        <v>2025</v>
      </c>
      <c r="B480" s="2">
        <v>2</v>
      </c>
      <c r="D480" s="2" t="s">
        <v>865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1"/>
        <v>0.67333333333333334</v>
      </c>
      <c r="Z480" s="2" t="s">
        <v>3231</v>
      </c>
      <c r="AA480" s="2" t="s">
        <v>46</v>
      </c>
      <c r="AB480" s="2" t="s">
        <v>91</v>
      </c>
      <c r="AC480" s="2" t="s">
        <v>58</v>
      </c>
      <c r="AF480" s="2">
        <f t="shared" si="57"/>
        <v>0</v>
      </c>
      <c r="AJ480" s="2">
        <f t="shared" si="58"/>
        <v>0</v>
      </c>
      <c r="AK480" s="2">
        <f t="shared" si="59"/>
        <v>4.04</v>
      </c>
      <c r="AL480" s="5">
        <f t="shared" si="56"/>
        <v>0.67333333333333334</v>
      </c>
    </row>
    <row r="481" spans="1:38" hidden="1" x14ac:dyDescent="0.2">
      <c r="A481" s="2">
        <v>2025</v>
      </c>
      <c r="B481" s="2">
        <v>2</v>
      </c>
      <c r="D481" s="2" t="s">
        <v>866</v>
      </c>
      <c r="P481" s="2" t="s">
        <v>283</v>
      </c>
      <c r="Q481" s="2" t="s">
        <v>867</v>
      </c>
      <c r="R481" s="2" t="s">
        <v>868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1"/>
        <v>0.28999999999999992</v>
      </c>
      <c r="Z481" s="2" t="s">
        <v>3231</v>
      </c>
      <c r="AA481" s="2" t="s">
        <v>72</v>
      </c>
      <c r="AB481" s="2" t="s">
        <v>120</v>
      </c>
      <c r="AC481" s="2" t="s">
        <v>120</v>
      </c>
      <c r="AF481" s="2">
        <f t="shared" si="57"/>
        <v>0</v>
      </c>
      <c r="AJ481" s="2">
        <f t="shared" si="58"/>
        <v>0</v>
      </c>
      <c r="AK481" s="2">
        <f t="shared" si="59"/>
        <v>28.709999999999994</v>
      </c>
      <c r="AL481" s="5">
        <f t="shared" si="56"/>
        <v>0.28999999999999992</v>
      </c>
    </row>
    <row r="482" spans="1:38" hidden="1" x14ac:dyDescent="0.2">
      <c r="A482" s="2">
        <v>2025</v>
      </c>
      <c r="B482" s="2">
        <v>2</v>
      </c>
      <c r="D482" s="2" t="s">
        <v>869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870</v>
      </c>
      <c r="J482" s="2" t="s">
        <v>871</v>
      </c>
      <c r="K482" s="2">
        <v>933599817</v>
      </c>
      <c r="L482" s="2" t="s">
        <v>100</v>
      </c>
      <c r="M482" s="2" t="s">
        <v>41</v>
      </c>
      <c r="O482" s="2" t="s">
        <v>872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1"/>
        <v>0.40722222222222221</v>
      </c>
      <c r="Z482" s="2" t="s">
        <v>3231</v>
      </c>
      <c r="AA482" s="2" t="s">
        <v>46</v>
      </c>
      <c r="AB482" s="2" t="s">
        <v>47</v>
      </c>
      <c r="AC482" s="2" t="s">
        <v>48</v>
      </c>
      <c r="AF482" s="2">
        <f t="shared" si="57"/>
        <v>0</v>
      </c>
      <c r="AG482" s="2">
        <v>10.67</v>
      </c>
      <c r="AH482" s="2">
        <v>21</v>
      </c>
      <c r="AJ482" s="2">
        <f t="shared" si="58"/>
        <v>0</v>
      </c>
      <c r="AK482" s="2">
        <f t="shared" si="59"/>
        <v>7.33</v>
      </c>
      <c r="AL482" s="5">
        <f t="shared" si="56"/>
        <v>0.40722222222222221</v>
      </c>
    </row>
    <row r="483" spans="1:38" hidden="1" x14ac:dyDescent="0.2">
      <c r="A483" s="2">
        <v>2025</v>
      </c>
      <c r="B483" s="2">
        <v>2</v>
      </c>
      <c r="D483" s="2" t="s">
        <v>869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870</v>
      </c>
      <c r="J483" s="2" t="s">
        <v>871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1"/>
        <v>0.3975727272727273</v>
      </c>
      <c r="Z483" s="2" t="s">
        <v>3231</v>
      </c>
      <c r="AA483" s="2" t="s">
        <v>46</v>
      </c>
      <c r="AB483" s="2" t="s">
        <v>47</v>
      </c>
      <c r="AC483" s="2" t="s">
        <v>48</v>
      </c>
      <c r="AF483" s="2">
        <f t="shared" si="57"/>
        <v>0</v>
      </c>
      <c r="AG483" s="2">
        <v>6.6266999999999996</v>
      </c>
      <c r="AH483" s="2">
        <v>12</v>
      </c>
      <c r="AJ483" s="2">
        <f t="shared" si="58"/>
        <v>0</v>
      </c>
      <c r="AK483" s="2">
        <f t="shared" si="59"/>
        <v>43.733000000000004</v>
      </c>
      <c r="AL483" s="5">
        <f t="shared" si="56"/>
        <v>0.3975727272727273</v>
      </c>
    </row>
    <row r="484" spans="1:38" hidden="1" x14ac:dyDescent="0.2">
      <c r="A484" s="2">
        <v>2025</v>
      </c>
      <c r="B484" s="2">
        <v>2</v>
      </c>
      <c r="D484" s="2" t="s">
        <v>869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870</v>
      </c>
      <c r="J484" s="2" t="s">
        <v>871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1"/>
        <v>0.14285714285714288</v>
      </c>
      <c r="Z484" s="2" t="s">
        <v>3231</v>
      </c>
      <c r="AA484" s="2" t="s">
        <v>46</v>
      </c>
      <c r="AB484" s="2" t="s">
        <v>47</v>
      </c>
      <c r="AC484" s="2" t="s">
        <v>48</v>
      </c>
      <c r="AF484" s="2">
        <f t="shared" si="57"/>
        <v>0</v>
      </c>
      <c r="AG484" s="2">
        <v>10.2346</v>
      </c>
      <c r="AH484" s="2">
        <v>18</v>
      </c>
      <c r="AJ484" s="2">
        <f t="shared" si="58"/>
        <v>0</v>
      </c>
      <c r="AK484" s="2">
        <f t="shared" si="59"/>
        <v>2.4000000000000004</v>
      </c>
      <c r="AL484" s="5">
        <f t="shared" si="56"/>
        <v>0.14285714285714288</v>
      </c>
    </row>
    <row r="485" spans="1:38" hidden="1" x14ac:dyDescent="0.2">
      <c r="A485" s="2">
        <v>2025</v>
      </c>
      <c r="B485" s="2">
        <v>2</v>
      </c>
      <c r="D485" s="2" t="s">
        <v>869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870</v>
      </c>
      <c r="J485" s="2" t="s">
        <v>871</v>
      </c>
      <c r="K485" s="2">
        <v>933599817</v>
      </c>
      <c r="L485" s="2" t="s">
        <v>100</v>
      </c>
      <c r="M485" s="2" t="s">
        <v>41</v>
      </c>
      <c r="O485" s="2" t="s">
        <v>872</v>
      </c>
      <c r="P485" s="2" t="s">
        <v>43</v>
      </c>
      <c r="Q485" s="2" t="s">
        <v>873</v>
      </c>
      <c r="R485" s="2" t="s">
        <v>874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1"/>
        <v>0.46515151515151515</v>
      </c>
      <c r="Z485" s="2" t="s">
        <v>3231</v>
      </c>
      <c r="AA485" s="2" t="s">
        <v>46</v>
      </c>
      <c r="AB485" s="2" t="s">
        <v>47</v>
      </c>
      <c r="AC485" s="2" t="s">
        <v>48</v>
      </c>
      <c r="AF485" s="2">
        <f t="shared" si="57"/>
        <v>0</v>
      </c>
      <c r="AG485" s="2">
        <v>14.12</v>
      </c>
      <c r="AH485" s="2">
        <v>28.8</v>
      </c>
      <c r="AJ485" s="2">
        <f t="shared" si="58"/>
        <v>0</v>
      </c>
      <c r="AK485" s="2">
        <f t="shared" si="59"/>
        <v>12.28</v>
      </c>
      <c r="AL485" s="5">
        <f t="shared" si="56"/>
        <v>0.46515151515151515</v>
      </c>
    </row>
    <row r="486" spans="1:38" hidden="1" x14ac:dyDescent="0.2">
      <c r="A486" s="2">
        <v>2025</v>
      </c>
      <c r="B486" s="2">
        <v>2</v>
      </c>
      <c r="D486" s="2" t="s">
        <v>875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1"/>
        <v>0.6</v>
      </c>
      <c r="Z486" s="2" t="s">
        <v>118</v>
      </c>
      <c r="AA486" s="2" t="s">
        <v>191</v>
      </c>
      <c r="AB486" s="2" t="s">
        <v>190</v>
      </c>
      <c r="AC486" s="2" t="s">
        <v>40</v>
      </c>
      <c r="AF486" s="2">
        <f t="shared" si="57"/>
        <v>0</v>
      </c>
      <c r="AJ486" s="2">
        <f t="shared" si="58"/>
        <v>0</v>
      </c>
      <c r="AK486" s="2">
        <f t="shared" si="59"/>
        <v>30</v>
      </c>
      <c r="AL486" s="5">
        <f t="shared" ref="AL486:AL528" si="62">(T486-W486)/T486</f>
        <v>0.6</v>
      </c>
    </row>
    <row r="487" spans="1:38" hidden="1" x14ac:dyDescent="0.2">
      <c r="A487" s="2">
        <v>2025</v>
      </c>
      <c r="B487" s="2">
        <v>2</v>
      </c>
      <c r="D487" s="2" t="s">
        <v>875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1"/>
        <v>0.5</v>
      </c>
      <c r="Z487" s="2" t="s">
        <v>118</v>
      </c>
      <c r="AA487" s="2" t="s">
        <v>191</v>
      </c>
      <c r="AB487" s="2" t="s">
        <v>191</v>
      </c>
      <c r="AC487" s="2" t="s">
        <v>40</v>
      </c>
      <c r="AF487" s="2">
        <f t="shared" si="57"/>
        <v>0</v>
      </c>
      <c r="AJ487" s="2">
        <f t="shared" si="58"/>
        <v>0</v>
      </c>
      <c r="AK487" s="2">
        <f t="shared" si="59"/>
        <v>25</v>
      </c>
      <c r="AL487" s="5">
        <f t="shared" si="62"/>
        <v>0.5</v>
      </c>
    </row>
    <row r="488" spans="1:38" hidden="1" x14ac:dyDescent="0.2">
      <c r="A488" s="2">
        <v>2025</v>
      </c>
      <c r="B488" s="2">
        <v>2</v>
      </c>
      <c r="D488" s="2" t="s">
        <v>876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877</v>
      </c>
      <c r="K488" s="2">
        <v>964065954</v>
      </c>
      <c r="L488" s="2" t="s">
        <v>134</v>
      </c>
      <c r="M488" s="2" t="s">
        <v>40</v>
      </c>
      <c r="O488" s="2" t="s">
        <v>878</v>
      </c>
      <c r="P488" s="2" t="s">
        <v>115</v>
      </c>
      <c r="Q488" s="2" t="s">
        <v>879</v>
      </c>
      <c r="R488" s="2" t="s">
        <v>880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7"/>
        <v>0</v>
      </c>
      <c r="AJ488" s="2">
        <f t="shared" si="58"/>
        <v>0</v>
      </c>
      <c r="AK488" s="2">
        <f t="shared" si="59"/>
        <v>0</v>
      </c>
      <c r="AL488" s="5" t="e">
        <f t="shared" si="62"/>
        <v>#DIV/0!</v>
      </c>
    </row>
    <row r="489" spans="1:38" hidden="1" x14ac:dyDescent="0.2">
      <c r="A489" s="2">
        <v>2025</v>
      </c>
      <c r="B489" s="2">
        <v>2</v>
      </c>
      <c r="D489" s="2" t="s">
        <v>876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877</v>
      </c>
      <c r="K489" s="2">
        <v>964065954</v>
      </c>
      <c r="L489" s="2" t="s">
        <v>134</v>
      </c>
      <c r="M489" s="2" t="s">
        <v>40</v>
      </c>
      <c r="O489" s="2" t="s">
        <v>878</v>
      </c>
      <c r="P489" s="2" t="s">
        <v>115</v>
      </c>
      <c r="Q489" s="2" t="s">
        <v>881</v>
      </c>
      <c r="R489" s="2" t="s">
        <v>882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3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7"/>
        <v>0</v>
      </c>
      <c r="AJ489" s="2">
        <f t="shared" si="58"/>
        <v>0</v>
      </c>
      <c r="AK489" s="2">
        <f t="shared" si="59"/>
        <v>4750</v>
      </c>
      <c r="AL489" s="5">
        <f t="shared" si="62"/>
        <v>1</v>
      </c>
    </row>
    <row r="490" spans="1:38" hidden="1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7"/>
        <v>0</v>
      </c>
      <c r="AJ490" s="2">
        <f t="shared" si="58"/>
        <v>0</v>
      </c>
    </row>
    <row r="491" spans="1:38" hidden="1" x14ac:dyDescent="0.2">
      <c r="A491" s="2">
        <v>2025</v>
      </c>
      <c r="B491" s="2">
        <v>2</v>
      </c>
      <c r="D491" s="2" t="s">
        <v>883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884</v>
      </c>
      <c r="J491" s="2" t="s">
        <v>885</v>
      </c>
      <c r="L491" s="2" t="s">
        <v>178</v>
      </c>
      <c r="M491" s="2" t="s">
        <v>41</v>
      </c>
      <c r="O491" s="2" t="s">
        <v>886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si="63"/>
        <v>0.14285714285714288</v>
      </c>
      <c r="Z491" s="2" t="s">
        <v>3231</v>
      </c>
      <c r="AA491" s="2" t="s">
        <v>46</v>
      </c>
      <c r="AB491" s="2" t="s">
        <v>47</v>
      </c>
      <c r="AC491" s="2" t="s">
        <v>48</v>
      </c>
      <c r="AF491" s="2">
        <f t="shared" si="57"/>
        <v>0</v>
      </c>
      <c r="AG491" s="2">
        <v>10.2346</v>
      </c>
      <c r="AH491" s="2">
        <v>18</v>
      </c>
      <c r="AJ491" s="2">
        <f t="shared" si="58"/>
        <v>0</v>
      </c>
      <c r="AK491" s="2">
        <f t="shared" si="59"/>
        <v>2.4000000000000004</v>
      </c>
      <c r="AL491" s="5">
        <f t="shared" si="62"/>
        <v>0.14285714285714288</v>
      </c>
    </row>
    <row r="492" spans="1:38" hidden="1" x14ac:dyDescent="0.2">
      <c r="A492" s="2">
        <v>2025</v>
      </c>
      <c r="B492" s="2">
        <v>2</v>
      </c>
      <c r="D492" s="2" t="s">
        <v>883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884</v>
      </c>
      <c r="J492" s="2" t="s">
        <v>885</v>
      </c>
      <c r="L492" s="2" t="s">
        <v>178</v>
      </c>
      <c r="M492" s="2" t="s">
        <v>41</v>
      </c>
      <c r="O492" s="2" t="s">
        <v>886</v>
      </c>
      <c r="P492" s="2" t="s">
        <v>43</v>
      </c>
      <c r="Q492" s="2" t="s">
        <v>861</v>
      </c>
      <c r="R492" s="2" t="s">
        <v>862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3"/>
        <v>0.52380952380952384</v>
      </c>
      <c r="Z492" s="2" t="s">
        <v>3231</v>
      </c>
      <c r="AA492" s="2" t="s">
        <v>46</v>
      </c>
      <c r="AB492" s="2" t="s">
        <v>47</v>
      </c>
      <c r="AC492" s="2" t="s">
        <v>48</v>
      </c>
      <c r="AF492" s="2">
        <f t="shared" si="57"/>
        <v>0</v>
      </c>
      <c r="AJ492" s="2">
        <f t="shared" si="58"/>
        <v>0</v>
      </c>
      <c r="AK492" s="2">
        <f t="shared" si="59"/>
        <v>8.8000000000000007</v>
      </c>
      <c r="AL492" s="5">
        <f t="shared" si="62"/>
        <v>0.52380952380952384</v>
      </c>
    </row>
    <row r="493" spans="1:38" hidden="1" x14ac:dyDescent="0.2">
      <c r="A493" s="2">
        <v>2025</v>
      </c>
      <c r="B493" s="2">
        <v>2</v>
      </c>
      <c r="D493" s="2" t="s">
        <v>883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884</v>
      </c>
      <c r="J493" s="2" t="s">
        <v>885</v>
      </c>
      <c r="L493" s="2" t="s">
        <v>178</v>
      </c>
      <c r="M493" s="2" t="s">
        <v>41</v>
      </c>
      <c r="O493" s="2" t="s">
        <v>886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3"/>
        <v>0.5180980392156862</v>
      </c>
      <c r="Z493" s="2" t="s">
        <v>3231</v>
      </c>
      <c r="AA493" s="2" t="s">
        <v>46</v>
      </c>
      <c r="AB493" s="2" t="s">
        <v>47</v>
      </c>
      <c r="AC493" s="2" t="s">
        <v>48</v>
      </c>
      <c r="AF493" s="2">
        <f t="shared" si="57"/>
        <v>0</v>
      </c>
      <c r="AJ493" s="2">
        <f t="shared" si="58"/>
        <v>0</v>
      </c>
      <c r="AK493" s="2">
        <f t="shared" si="59"/>
        <v>10.569199999999999</v>
      </c>
      <c r="AL493" s="5">
        <f t="shared" si="62"/>
        <v>0.5180980392156862</v>
      </c>
    </row>
    <row r="494" spans="1:38" hidden="1" x14ac:dyDescent="0.2">
      <c r="A494" s="2">
        <v>2025</v>
      </c>
      <c r="B494" s="2">
        <v>2</v>
      </c>
      <c r="D494" s="2" t="s">
        <v>883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884</v>
      </c>
      <c r="J494" s="2" t="s">
        <v>885</v>
      </c>
      <c r="L494" s="2" t="s">
        <v>178</v>
      </c>
      <c r="M494" s="2" t="s">
        <v>41</v>
      </c>
      <c r="O494" s="2" t="s">
        <v>886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3"/>
        <v>0.41111111111111115</v>
      </c>
      <c r="Z494" s="2" t="s">
        <v>3231</v>
      </c>
      <c r="AA494" s="2" t="s">
        <v>46</v>
      </c>
      <c r="AB494" s="2" t="s">
        <v>57</v>
      </c>
      <c r="AC494" s="2" t="s">
        <v>58</v>
      </c>
      <c r="AF494" s="2">
        <f t="shared" si="57"/>
        <v>0</v>
      </c>
      <c r="AG494" s="2">
        <v>10.6</v>
      </c>
      <c r="AH494" s="2">
        <v>18</v>
      </c>
      <c r="AJ494" s="2">
        <f t="shared" si="58"/>
        <v>0</v>
      </c>
      <c r="AK494" s="2">
        <f t="shared" si="59"/>
        <v>14.8</v>
      </c>
      <c r="AL494" s="5">
        <f t="shared" si="62"/>
        <v>0.41111111111111115</v>
      </c>
    </row>
    <row r="495" spans="1:38" hidden="1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887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3"/>
        <v>0.38156592249368149</v>
      </c>
      <c r="Z495" s="2" t="s">
        <v>3231</v>
      </c>
      <c r="AA495" s="2" t="s">
        <v>76</v>
      </c>
      <c r="AB495" s="2" t="s">
        <v>77</v>
      </c>
      <c r="AC495" s="2" t="s">
        <v>78</v>
      </c>
      <c r="AF495" s="2">
        <f t="shared" si="57"/>
        <v>0</v>
      </c>
      <c r="AG495" s="2">
        <v>117.453</v>
      </c>
      <c r="AH495" s="2">
        <v>220</v>
      </c>
      <c r="AJ495" s="2">
        <f t="shared" si="58"/>
        <v>0</v>
      </c>
      <c r="AK495" s="2">
        <f t="shared" si="59"/>
        <v>72.466999999999985</v>
      </c>
      <c r="AL495" s="5">
        <f t="shared" si="62"/>
        <v>0.38156592249368149</v>
      </c>
    </row>
    <row r="496" spans="1:38" hidden="1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887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3"/>
        <v>0</v>
      </c>
      <c r="Z496" s="2" t="s">
        <v>3231</v>
      </c>
      <c r="AA496" s="2" t="s">
        <v>97</v>
      </c>
      <c r="AB496" s="2" t="s">
        <v>77</v>
      </c>
      <c r="AC496" s="2" t="s">
        <v>94</v>
      </c>
      <c r="AF496" s="2">
        <f t="shared" si="57"/>
        <v>0</v>
      </c>
      <c r="AG496" s="2">
        <v>1.1399999999999999</v>
      </c>
      <c r="AH496" s="2">
        <v>1.1399999999999999</v>
      </c>
      <c r="AJ496" s="2">
        <f t="shared" si="58"/>
        <v>0</v>
      </c>
      <c r="AK496" s="2">
        <f t="shared" si="59"/>
        <v>0</v>
      </c>
      <c r="AL496" s="5">
        <f t="shared" si="62"/>
        <v>0</v>
      </c>
    </row>
    <row r="497" spans="1:38" hidden="1" x14ac:dyDescent="0.2">
      <c r="A497" s="2">
        <v>2025</v>
      </c>
      <c r="B497" s="2">
        <v>2</v>
      </c>
      <c r="D497" s="2" t="s">
        <v>888</v>
      </c>
      <c r="P497" s="2" t="s">
        <v>115</v>
      </c>
      <c r="Q497" s="2" t="s">
        <v>889</v>
      </c>
      <c r="R497" s="2" t="s">
        <v>890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3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7"/>
        <v>0</v>
      </c>
      <c r="AJ497" s="2">
        <f t="shared" si="58"/>
        <v>0</v>
      </c>
      <c r="AK497" s="2">
        <f t="shared" si="59"/>
        <v>2459.4300000000003</v>
      </c>
      <c r="AL497" s="5">
        <f t="shared" si="62"/>
        <v>0.12944368421052632</v>
      </c>
    </row>
    <row r="498" spans="1:38" hidden="1" x14ac:dyDescent="0.2">
      <c r="A498" s="2">
        <v>2025</v>
      </c>
      <c r="B498" s="2">
        <v>2</v>
      </c>
      <c r="D498" s="2" t="s">
        <v>891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892</v>
      </c>
      <c r="J498" s="2" t="s">
        <v>893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3"/>
        <v>0.33750000000000002</v>
      </c>
      <c r="Z498" s="2" t="s">
        <v>3231</v>
      </c>
      <c r="AA498" s="2" t="s">
        <v>46</v>
      </c>
      <c r="AB498" s="2" t="s">
        <v>57</v>
      </c>
      <c r="AC498" s="2" t="s">
        <v>58</v>
      </c>
      <c r="AF498" s="2">
        <f t="shared" si="57"/>
        <v>0</v>
      </c>
      <c r="AG498" s="2">
        <v>10.6</v>
      </c>
      <c r="AH498" s="2">
        <v>18</v>
      </c>
      <c r="AJ498" s="2">
        <f t="shared" si="58"/>
        <v>0</v>
      </c>
      <c r="AK498" s="2">
        <f t="shared" si="59"/>
        <v>108</v>
      </c>
      <c r="AL498" s="5">
        <f t="shared" si="62"/>
        <v>0.33750000000000002</v>
      </c>
    </row>
    <row r="499" spans="1:38" hidden="1" x14ac:dyDescent="0.2">
      <c r="A499" s="2">
        <v>2025</v>
      </c>
      <c r="B499" s="2">
        <v>2</v>
      </c>
      <c r="D499" s="2" t="s">
        <v>891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892</v>
      </c>
      <c r="J499" s="2" t="s">
        <v>893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3"/>
        <v>0.21904761904761905</v>
      </c>
      <c r="Z499" s="2" t="s">
        <v>3231</v>
      </c>
      <c r="AA499" s="2" t="s">
        <v>46</v>
      </c>
      <c r="AB499" s="2" t="s">
        <v>61</v>
      </c>
      <c r="AC499" s="2" t="s">
        <v>58</v>
      </c>
      <c r="AF499" s="2">
        <f t="shared" si="57"/>
        <v>0</v>
      </c>
      <c r="AG499" s="2">
        <v>8.1999999999999993</v>
      </c>
      <c r="AH499" s="2">
        <v>13</v>
      </c>
      <c r="AJ499" s="2">
        <f t="shared" si="58"/>
        <v>0</v>
      </c>
      <c r="AK499" s="2">
        <f t="shared" si="59"/>
        <v>46</v>
      </c>
      <c r="AL499" s="5">
        <f t="shared" si="62"/>
        <v>0.21904761904761905</v>
      </c>
    </row>
    <row r="500" spans="1:38" hidden="1" x14ac:dyDescent="0.2">
      <c r="A500" s="2">
        <v>2025</v>
      </c>
      <c r="B500" s="2">
        <v>2</v>
      </c>
      <c r="D500" s="2" t="s">
        <v>894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3"/>
        <v>0.38182631578947368</v>
      </c>
      <c r="Z500" s="2" t="s">
        <v>3231</v>
      </c>
      <c r="AA500" s="2" t="s">
        <v>76</v>
      </c>
      <c r="AB500" s="2" t="s">
        <v>77</v>
      </c>
      <c r="AC500" s="2" t="s">
        <v>78</v>
      </c>
      <c r="AF500" s="2">
        <f t="shared" si="57"/>
        <v>0</v>
      </c>
      <c r="AG500" s="2">
        <v>117.453</v>
      </c>
      <c r="AH500" s="2">
        <v>220</v>
      </c>
      <c r="AJ500" s="2">
        <f t="shared" si="58"/>
        <v>0</v>
      </c>
      <c r="AK500" s="2">
        <f t="shared" si="59"/>
        <v>72.546999999999997</v>
      </c>
      <c r="AL500" s="5">
        <f t="shared" si="62"/>
        <v>0.38182631578947368</v>
      </c>
    </row>
    <row r="501" spans="1:38" hidden="1" x14ac:dyDescent="0.2">
      <c r="A501" s="2">
        <v>2025</v>
      </c>
      <c r="B501" s="2">
        <v>2</v>
      </c>
      <c r="D501" s="2" t="s">
        <v>894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3"/>
        <v>0</v>
      </c>
      <c r="Z501" s="2" t="s">
        <v>3231</v>
      </c>
      <c r="AA501" s="2" t="s">
        <v>97</v>
      </c>
      <c r="AB501" s="2" t="s">
        <v>77</v>
      </c>
      <c r="AC501" s="2" t="s">
        <v>94</v>
      </c>
      <c r="AF501" s="2">
        <f t="shared" si="57"/>
        <v>0</v>
      </c>
      <c r="AJ501" s="2">
        <f t="shared" si="58"/>
        <v>0</v>
      </c>
      <c r="AK501" s="2">
        <f t="shared" si="59"/>
        <v>0</v>
      </c>
      <c r="AL501" s="5">
        <f t="shared" si="62"/>
        <v>0</v>
      </c>
    </row>
    <row r="502" spans="1:38" hidden="1" x14ac:dyDescent="0.2">
      <c r="A502" s="2">
        <v>2025</v>
      </c>
      <c r="B502" s="2">
        <v>2</v>
      </c>
      <c r="D502" s="2" t="s">
        <v>895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3"/>
        <v>0.45370697674418603</v>
      </c>
      <c r="Z502" s="2" t="s">
        <v>3231</v>
      </c>
      <c r="AA502" s="2" t="s">
        <v>76</v>
      </c>
      <c r="AB502" s="2" t="s">
        <v>77</v>
      </c>
      <c r="AC502" s="2" t="s">
        <v>78</v>
      </c>
      <c r="AF502" s="2">
        <f t="shared" si="57"/>
        <v>0</v>
      </c>
      <c r="AG502" s="2">
        <v>117.453</v>
      </c>
      <c r="AH502" s="2">
        <v>220</v>
      </c>
      <c r="AJ502" s="2">
        <f t="shared" si="58"/>
        <v>0</v>
      </c>
      <c r="AK502" s="2">
        <f t="shared" si="59"/>
        <v>97.546999999999997</v>
      </c>
      <c r="AL502" s="5">
        <f t="shared" si="62"/>
        <v>0.45370697674418603</v>
      </c>
    </row>
    <row r="503" spans="1:38" hidden="1" x14ac:dyDescent="0.2">
      <c r="A503" s="2">
        <v>2025</v>
      </c>
      <c r="B503" s="2">
        <v>2</v>
      </c>
      <c r="D503" s="2" t="s">
        <v>895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3"/>
        <v>0</v>
      </c>
      <c r="Z503" s="2" t="s">
        <v>3231</v>
      </c>
      <c r="AA503" s="2" t="s">
        <v>97</v>
      </c>
      <c r="AB503" s="2" t="s">
        <v>77</v>
      </c>
      <c r="AC503" s="2" t="s">
        <v>94</v>
      </c>
      <c r="AF503" s="2">
        <f t="shared" si="57"/>
        <v>0</v>
      </c>
      <c r="AJ503" s="2">
        <f t="shared" si="58"/>
        <v>0</v>
      </c>
      <c r="AK503" s="2">
        <f t="shared" si="59"/>
        <v>0</v>
      </c>
      <c r="AL503" s="5">
        <f t="shared" si="62"/>
        <v>0</v>
      </c>
    </row>
    <row r="504" spans="1:38" hidden="1" x14ac:dyDescent="0.2">
      <c r="A504" s="2">
        <v>2025</v>
      </c>
      <c r="B504" s="2">
        <v>2</v>
      </c>
      <c r="D504" s="2" t="s">
        <v>896</v>
      </c>
      <c r="P504" s="2" t="s">
        <v>73</v>
      </c>
      <c r="Q504" s="2" t="s">
        <v>897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3"/>
        <v>0.48559090909090907</v>
      </c>
      <c r="Z504" s="2" t="s">
        <v>3231</v>
      </c>
      <c r="AA504" s="2" t="s">
        <v>76</v>
      </c>
      <c r="AB504" s="2" t="s">
        <v>77</v>
      </c>
      <c r="AC504" s="2" t="s">
        <v>78</v>
      </c>
      <c r="AF504" s="2">
        <f t="shared" si="57"/>
        <v>0</v>
      </c>
      <c r="AJ504" s="2">
        <f t="shared" si="58"/>
        <v>0</v>
      </c>
      <c r="AK504" s="2">
        <f t="shared" si="59"/>
        <v>106.83</v>
      </c>
      <c r="AL504" s="5">
        <f t="shared" si="62"/>
        <v>0.48559090909090907</v>
      </c>
    </row>
    <row r="505" spans="1:38" hidden="1" x14ac:dyDescent="0.2">
      <c r="A505" s="2">
        <v>2025</v>
      </c>
      <c r="B505" s="2">
        <v>2</v>
      </c>
      <c r="D505" s="2" t="s">
        <v>896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3"/>
        <v>0</v>
      </c>
      <c r="Z505" s="2" t="s">
        <v>3231</v>
      </c>
      <c r="AA505" s="2" t="s">
        <v>97</v>
      </c>
      <c r="AB505" s="2" t="s">
        <v>77</v>
      </c>
      <c r="AC505" s="2" t="s">
        <v>94</v>
      </c>
      <c r="AF505" s="2">
        <f t="shared" si="57"/>
        <v>0</v>
      </c>
      <c r="AJ505" s="2">
        <f t="shared" si="58"/>
        <v>0</v>
      </c>
      <c r="AK505" s="2">
        <f t="shared" si="59"/>
        <v>0</v>
      </c>
      <c r="AL505" s="5">
        <f t="shared" si="62"/>
        <v>0</v>
      </c>
    </row>
    <row r="506" spans="1:38" hidden="1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3"/>
        <v>0.41191666666666665</v>
      </c>
      <c r="Z506" s="2" t="s">
        <v>3231</v>
      </c>
      <c r="AA506" s="2" t="s">
        <v>46</v>
      </c>
      <c r="AB506" s="2" t="s">
        <v>61</v>
      </c>
      <c r="AC506" s="2" t="s">
        <v>58</v>
      </c>
      <c r="AF506" s="2">
        <f t="shared" si="57"/>
        <v>0</v>
      </c>
      <c r="AG506" s="2">
        <v>1.4114</v>
      </c>
      <c r="AH506" s="2">
        <v>3</v>
      </c>
      <c r="AJ506" s="2">
        <f t="shared" si="58"/>
        <v>0</v>
      </c>
      <c r="AK506" s="2">
        <f t="shared" si="59"/>
        <v>19.771999999999998</v>
      </c>
      <c r="AL506" s="5">
        <f t="shared" si="62"/>
        <v>0.41191666666666665</v>
      </c>
    </row>
    <row r="507" spans="1:38" hidden="1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3"/>
        <v>0.52105128205128204</v>
      </c>
      <c r="Z507" s="2" t="s">
        <v>3231</v>
      </c>
      <c r="AA507" s="2" t="s">
        <v>46</v>
      </c>
      <c r="AB507" s="2" t="s">
        <v>47</v>
      </c>
      <c r="AC507" s="2" t="s">
        <v>48</v>
      </c>
      <c r="AF507" s="2">
        <f t="shared" si="57"/>
        <v>0</v>
      </c>
      <c r="AG507" s="2">
        <v>3.7357999999999998</v>
      </c>
      <c r="AH507" s="2">
        <v>9</v>
      </c>
      <c r="AJ507" s="2">
        <f t="shared" si="58"/>
        <v>0</v>
      </c>
      <c r="AK507" s="2">
        <f t="shared" si="59"/>
        <v>4.0641999999999996</v>
      </c>
      <c r="AL507" s="5">
        <f t="shared" si="62"/>
        <v>0.52105128205128204</v>
      </c>
    </row>
    <row r="508" spans="1:38" hidden="1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3"/>
        <v>0.54371272727272724</v>
      </c>
      <c r="Z508" s="2" t="s">
        <v>3231</v>
      </c>
      <c r="AA508" s="2" t="s">
        <v>46</v>
      </c>
      <c r="AB508" s="2" t="s">
        <v>91</v>
      </c>
      <c r="AC508" s="2" t="s">
        <v>58</v>
      </c>
      <c r="AF508" s="2">
        <f t="shared" si="57"/>
        <v>0</v>
      </c>
      <c r="AJ508" s="2">
        <f t="shared" si="58"/>
        <v>0</v>
      </c>
      <c r="AK508" s="2">
        <f t="shared" si="59"/>
        <v>59.808399999999999</v>
      </c>
      <c r="AL508" s="5">
        <f t="shared" si="62"/>
        <v>0.54371272727272724</v>
      </c>
    </row>
    <row r="509" spans="1:38" hidden="1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898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7"/>
        <v>0</v>
      </c>
      <c r="AJ509" s="2">
        <f t="shared" si="58"/>
        <v>0</v>
      </c>
      <c r="AK509" s="2">
        <f t="shared" si="59"/>
        <v>-15.12</v>
      </c>
      <c r="AL509" s="5">
        <f t="shared" si="62"/>
        <v>1</v>
      </c>
    </row>
    <row r="510" spans="1:38" hidden="1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833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3"/>
        <v>0.36507368421052633</v>
      </c>
      <c r="Z510" s="2" t="s">
        <v>3231</v>
      </c>
      <c r="AA510" s="2" t="s">
        <v>76</v>
      </c>
      <c r="AB510" s="2" t="s">
        <v>77</v>
      </c>
      <c r="AC510" s="2" t="s">
        <v>78</v>
      </c>
      <c r="AF510" s="2">
        <f t="shared" si="57"/>
        <v>0</v>
      </c>
      <c r="AG510" s="2">
        <v>120.636</v>
      </c>
      <c r="AH510" s="2">
        <v>220</v>
      </c>
      <c r="AJ510" s="2">
        <f t="shared" si="58"/>
        <v>0</v>
      </c>
      <c r="AK510" s="2">
        <f t="shared" si="59"/>
        <v>69.364000000000004</v>
      </c>
      <c r="AL510" s="5">
        <f t="shared" si="62"/>
        <v>0.36507368421052633</v>
      </c>
    </row>
    <row r="511" spans="1:38" hidden="1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3"/>
        <v>0</v>
      </c>
      <c r="Z511" s="2" t="s">
        <v>3231</v>
      </c>
      <c r="AA511" s="2" t="s">
        <v>97</v>
      </c>
      <c r="AB511" s="2" t="s">
        <v>77</v>
      </c>
      <c r="AC511" s="2" t="s">
        <v>94</v>
      </c>
      <c r="AF511" s="2">
        <f t="shared" si="57"/>
        <v>0</v>
      </c>
      <c r="AJ511" s="2">
        <f t="shared" si="58"/>
        <v>0</v>
      </c>
      <c r="AK511" s="2">
        <f t="shared" si="59"/>
        <v>0</v>
      </c>
      <c r="AL511" s="5">
        <f t="shared" si="62"/>
        <v>0</v>
      </c>
    </row>
    <row r="512" spans="1:38" hidden="1" x14ac:dyDescent="0.2">
      <c r="A512" s="2">
        <v>2025</v>
      </c>
      <c r="B512" s="2">
        <v>2</v>
      </c>
      <c r="D512" s="2" t="s">
        <v>899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3"/>
        <v>0.1295238095238096</v>
      </c>
      <c r="Z512" s="2" t="s">
        <v>3231</v>
      </c>
      <c r="AA512" s="2" t="s">
        <v>46</v>
      </c>
      <c r="AB512" s="2" t="s">
        <v>61</v>
      </c>
      <c r="AC512" s="2" t="s">
        <v>58</v>
      </c>
      <c r="AF512" s="2">
        <f t="shared" si="57"/>
        <v>0</v>
      </c>
      <c r="AG512" s="2">
        <v>9.14</v>
      </c>
      <c r="AH512" s="2">
        <v>16</v>
      </c>
      <c r="AJ512" s="2">
        <f t="shared" si="58"/>
        <v>0</v>
      </c>
      <c r="AK512" s="2">
        <f t="shared" si="59"/>
        <v>13.600000000000009</v>
      </c>
      <c r="AL512" s="5">
        <f t="shared" si="62"/>
        <v>0.1295238095238096</v>
      </c>
    </row>
    <row r="513" spans="1:38" hidden="1" x14ac:dyDescent="0.2">
      <c r="A513" s="2">
        <v>2025</v>
      </c>
      <c r="B513" s="2">
        <v>2</v>
      </c>
      <c r="D513" s="2" t="s">
        <v>899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3"/>
        <v>0.21904761904761905</v>
      </c>
      <c r="Z513" s="2" t="s">
        <v>3231</v>
      </c>
      <c r="AA513" s="2" t="s">
        <v>46</v>
      </c>
      <c r="AB513" s="2" t="s">
        <v>61</v>
      </c>
      <c r="AC513" s="2" t="s">
        <v>58</v>
      </c>
      <c r="AF513" s="2">
        <f t="shared" si="57"/>
        <v>0</v>
      </c>
      <c r="AG513" s="2">
        <v>8.1999999999999993</v>
      </c>
      <c r="AH513" s="2">
        <v>13</v>
      </c>
      <c r="AJ513" s="2">
        <f t="shared" si="58"/>
        <v>0</v>
      </c>
      <c r="AK513" s="2">
        <f t="shared" si="59"/>
        <v>23</v>
      </c>
      <c r="AL513" s="5">
        <f t="shared" si="62"/>
        <v>0.21904761904761905</v>
      </c>
    </row>
    <row r="514" spans="1:38" hidden="1" x14ac:dyDescent="0.2">
      <c r="A514" s="2">
        <v>2025</v>
      </c>
      <c r="B514" s="2">
        <v>2</v>
      </c>
      <c r="D514" s="2" t="s">
        <v>900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901</v>
      </c>
      <c r="K514" s="2">
        <v>912047019</v>
      </c>
      <c r="L514" s="2" t="s">
        <v>100</v>
      </c>
      <c r="M514" s="2" t="s">
        <v>40</v>
      </c>
      <c r="O514" s="2" t="s">
        <v>902</v>
      </c>
      <c r="P514" s="2" t="s">
        <v>115</v>
      </c>
      <c r="Q514" s="2" t="s">
        <v>903</v>
      </c>
      <c r="R514" s="2" t="s">
        <v>904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3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4">AJ514</f>
        <v>0</v>
      </c>
      <c r="AG514" s="2">
        <v>42.36</v>
      </c>
      <c r="AJ514" s="2">
        <f t="shared" ref="AJ514:AJ577" si="65">AI514*T514</f>
        <v>0</v>
      </c>
      <c r="AK514" s="2">
        <f t="shared" ref="AK514:AK577" si="66">T514-W514</f>
        <v>38.340000000000003</v>
      </c>
      <c r="AL514" s="5">
        <f t="shared" si="62"/>
        <v>0.47509293680297399</v>
      </c>
    </row>
    <row r="515" spans="1:38" hidden="1" x14ac:dyDescent="0.2">
      <c r="A515" s="2">
        <v>2025</v>
      </c>
      <c r="B515" s="2">
        <v>2</v>
      </c>
      <c r="D515" s="2" t="s">
        <v>900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901</v>
      </c>
      <c r="K515" s="2">
        <v>912047019</v>
      </c>
      <c r="L515" s="2" t="s">
        <v>100</v>
      </c>
      <c r="M515" s="2" t="s">
        <v>40</v>
      </c>
      <c r="O515" s="2" t="s">
        <v>905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3"/>
        <v>1</v>
      </c>
      <c r="Z515" s="2" t="s">
        <v>120</v>
      </c>
      <c r="AA515" s="2" t="s">
        <v>3385</v>
      </c>
      <c r="AF515" s="2">
        <f t="shared" si="64"/>
        <v>0</v>
      </c>
      <c r="AJ515" s="2">
        <f t="shared" si="65"/>
        <v>0</v>
      </c>
      <c r="AK515" s="2">
        <f t="shared" si="66"/>
        <v>135</v>
      </c>
      <c r="AL515" s="5">
        <f t="shared" si="62"/>
        <v>1</v>
      </c>
    </row>
    <row r="516" spans="1:38" hidden="1" x14ac:dyDescent="0.2">
      <c r="A516" s="2">
        <v>2025</v>
      </c>
      <c r="B516" s="2">
        <v>2</v>
      </c>
      <c r="D516" s="2" t="s">
        <v>618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619</v>
      </c>
      <c r="J516" s="2" t="s">
        <v>620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3"/>
        <v>0.29692307692307696</v>
      </c>
      <c r="Z516" s="2" t="s">
        <v>3231</v>
      </c>
      <c r="AA516" s="2" t="s">
        <v>46</v>
      </c>
      <c r="AB516" s="2" t="s">
        <v>61</v>
      </c>
      <c r="AC516" s="2" t="s">
        <v>58</v>
      </c>
      <c r="AF516" s="2">
        <f t="shared" si="64"/>
        <v>0</v>
      </c>
      <c r="AG516" s="2">
        <v>9.14</v>
      </c>
      <c r="AH516" s="2">
        <v>16</v>
      </c>
      <c r="AJ516" s="2">
        <f t="shared" si="65"/>
        <v>0</v>
      </c>
      <c r="AK516" s="2">
        <f t="shared" si="66"/>
        <v>11.580000000000002</v>
      </c>
      <c r="AL516" s="5">
        <f t="shared" si="62"/>
        <v>0.29692307692307696</v>
      </c>
    </row>
    <row r="517" spans="1:38" hidden="1" x14ac:dyDescent="0.2">
      <c r="A517" s="2">
        <v>2025</v>
      </c>
      <c r="B517" s="2">
        <v>2</v>
      </c>
      <c r="D517" s="2" t="s">
        <v>618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619</v>
      </c>
      <c r="J517" s="2" t="s">
        <v>620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3"/>
        <v>0.31666666666666665</v>
      </c>
      <c r="Z517" s="2" t="s">
        <v>3231</v>
      </c>
      <c r="AA517" s="2" t="s">
        <v>46</v>
      </c>
      <c r="AB517" s="2" t="s">
        <v>61</v>
      </c>
      <c r="AC517" s="2" t="s">
        <v>58</v>
      </c>
      <c r="AF517" s="2">
        <f t="shared" si="64"/>
        <v>0</v>
      </c>
      <c r="AG517" s="2">
        <v>8.1999999999999993</v>
      </c>
      <c r="AH517" s="2">
        <v>13</v>
      </c>
      <c r="AJ517" s="2">
        <f t="shared" si="65"/>
        <v>0</v>
      </c>
      <c r="AK517" s="2">
        <f t="shared" si="66"/>
        <v>11.399999999999999</v>
      </c>
      <c r="AL517" s="5">
        <f t="shared" si="62"/>
        <v>0.31666666666666665</v>
      </c>
    </row>
    <row r="518" spans="1:38" hidden="1" x14ac:dyDescent="0.2">
      <c r="A518" s="2">
        <v>2025</v>
      </c>
      <c r="B518" s="2">
        <v>2</v>
      </c>
      <c r="D518" s="2" t="s">
        <v>618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619</v>
      </c>
      <c r="J518" s="2" t="s">
        <v>620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3"/>
        <v>0.28474761904761903</v>
      </c>
      <c r="Z518" s="2" t="s">
        <v>3231</v>
      </c>
      <c r="AA518" s="2" t="s">
        <v>46</v>
      </c>
      <c r="AB518" s="2" t="s">
        <v>68</v>
      </c>
      <c r="AC518" s="2" t="s">
        <v>58</v>
      </c>
      <c r="AF518" s="2">
        <f t="shared" si="64"/>
        <v>0</v>
      </c>
      <c r="AG518" s="2">
        <v>15.020300000000001</v>
      </c>
      <c r="AH518" s="2">
        <v>27.6</v>
      </c>
      <c r="AJ518" s="2">
        <f t="shared" si="65"/>
        <v>0</v>
      </c>
      <c r="AK518" s="2">
        <f t="shared" si="66"/>
        <v>5.9796999999999993</v>
      </c>
      <c r="AL518" s="5">
        <f t="shared" si="62"/>
        <v>0.28474761904761903</v>
      </c>
    </row>
    <row r="519" spans="1:38" hidden="1" x14ac:dyDescent="0.2">
      <c r="A519" s="2">
        <v>2025</v>
      </c>
      <c r="B519" s="2">
        <v>2</v>
      </c>
      <c r="D519" s="2" t="s">
        <v>625</v>
      </c>
      <c r="E519" s="2" t="s">
        <v>38</v>
      </c>
      <c r="F519" s="2" t="s">
        <v>39</v>
      </c>
      <c r="G519" s="2" t="s">
        <v>626</v>
      </c>
      <c r="H519" s="2" t="s">
        <v>40</v>
      </c>
      <c r="I519" s="2" t="s">
        <v>627</v>
      </c>
      <c r="J519" s="2" t="s">
        <v>628</v>
      </c>
      <c r="L519" s="2" t="s">
        <v>627</v>
      </c>
      <c r="M519" s="2" t="s">
        <v>40</v>
      </c>
      <c r="P519" s="2" t="s">
        <v>115</v>
      </c>
      <c r="Q519" s="2" t="s">
        <v>906</v>
      </c>
      <c r="R519" s="2" t="s">
        <v>907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63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4"/>
        <v>0</v>
      </c>
      <c r="AJ519" s="2">
        <f t="shared" si="65"/>
        <v>0</v>
      </c>
      <c r="AK519" s="2">
        <f t="shared" si="66"/>
        <v>88.953200000000038</v>
      </c>
      <c r="AL519" s="5">
        <f t="shared" si="62"/>
        <v>0.11413621432970647</v>
      </c>
    </row>
    <row r="520" spans="1:38" hidden="1" x14ac:dyDescent="0.2">
      <c r="A520" s="2">
        <v>2025</v>
      </c>
      <c r="B520" s="2">
        <v>2</v>
      </c>
      <c r="D520" s="2" t="s">
        <v>908</v>
      </c>
      <c r="P520" s="2" t="s">
        <v>40</v>
      </c>
      <c r="Q520" s="2" t="s">
        <v>909</v>
      </c>
      <c r="R520" s="2" t="s">
        <v>910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63"/>
        <v>0.25</v>
      </c>
      <c r="Z520" s="2" t="s">
        <v>105</v>
      </c>
      <c r="AA520" s="2" t="s">
        <v>151</v>
      </c>
      <c r="AB520" s="2" t="s">
        <v>476</v>
      </c>
      <c r="AC520" s="2" t="s">
        <v>476</v>
      </c>
      <c r="AF520" s="2">
        <f t="shared" si="64"/>
        <v>0</v>
      </c>
      <c r="AJ520" s="2">
        <f t="shared" si="65"/>
        <v>0</v>
      </c>
      <c r="AK520" s="2">
        <f t="shared" si="66"/>
        <v>225</v>
      </c>
      <c r="AL520" s="5">
        <f t="shared" si="62"/>
        <v>0.25</v>
      </c>
    </row>
    <row r="521" spans="1:38" hidden="1" x14ac:dyDescent="0.2">
      <c r="A521" s="2">
        <v>2025</v>
      </c>
      <c r="B521" s="2">
        <v>2</v>
      </c>
      <c r="C521" s="2" t="s">
        <v>3407</v>
      </c>
      <c r="D521" s="2" t="s">
        <v>911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912</v>
      </c>
      <c r="K521" s="2">
        <v>914878988</v>
      </c>
      <c r="L521" s="2" t="s">
        <v>134</v>
      </c>
      <c r="M521" s="2" t="s">
        <v>81</v>
      </c>
      <c r="O521" s="2" t="s">
        <v>913</v>
      </c>
      <c r="P521" s="2" t="s">
        <v>73</v>
      </c>
      <c r="Q521" s="2" t="s">
        <v>914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3"/>
        <v>0.53084615384615375</v>
      </c>
      <c r="Z521" s="2" t="s">
        <v>3231</v>
      </c>
      <c r="AA521" s="2" t="s">
        <v>76</v>
      </c>
      <c r="AB521" s="2" t="s">
        <v>77</v>
      </c>
      <c r="AC521" s="2" t="s">
        <v>78</v>
      </c>
      <c r="AF521" s="2">
        <f t="shared" si="64"/>
        <v>0</v>
      </c>
      <c r="AJ521" s="2">
        <f t="shared" si="65"/>
        <v>0</v>
      </c>
      <c r="AK521" s="2">
        <f t="shared" si="66"/>
        <v>138.01999999999998</v>
      </c>
      <c r="AL521" s="5">
        <f t="shared" si="62"/>
        <v>0.53084615384615375</v>
      </c>
    </row>
    <row r="522" spans="1:38" hidden="1" x14ac:dyDescent="0.2">
      <c r="A522" s="2">
        <v>2025</v>
      </c>
      <c r="B522" s="2">
        <v>2</v>
      </c>
      <c r="C522" s="2" t="s">
        <v>3407</v>
      </c>
      <c r="D522" s="2" t="s">
        <v>911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912</v>
      </c>
      <c r="K522" s="2">
        <v>914878988</v>
      </c>
      <c r="L522" s="2" t="s">
        <v>134</v>
      </c>
      <c r="M522" s="2" t="s">
        <v>81</v>
      </c>
      <c r="O522" s="2" t="s">
        <v>913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3"/>
        <v>0</v>
      </c>
      <c r="Z522" s="2" t="s">
        <v>3231</v>
      </c>
      <c r="AA522" s="2" t="s">
        <v>97</v>
      </c>
      <c r="AB522" s="2" t="s">
        <v>77</v>
      </c>
      <c r="AC522" s="2" t="s">
        <v>94</v>
      </c>
      <c r="AF522" s="2">
        <f t="shared" si="64"/>
        <v>0</v>
      </c>
      <c r="AG522" s="2">
        <v>1.1399999999999999</v>
      </c>
      <c r="AH522" s="2">
        <v>1.1399999999999999</v>
      </c>
      <c r="AJ522" s="2">
        <f t="shared" si="65"/>
        <v>0</v>
      </c>
      <c r="AK522" s="2">
        <f t="shared" si="66"/>
        <v>0</v>
      </c>
      <c r="AL522" s="5">
        <f t="shared" si="62"/>
        <v>0</v>
      </c>
    </row>
    <row r="523" spans="1:38" hidden="1" x14ac:dyDescent="0.2">
      <c r="A523" s="2">
        <v>2025</v>
      </c>
      <c r="B523" s="2">
        <v>2</v>
      </c>
      <c r="D523" s="2" t="s">
        <v>915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916</v>
      </c>
      <c r="J523" s="2" t="s">
        <v>917</v>
      </c>
      <c r="L523" s="2" t="s">
        <v>481</v>
      </c>
      <c r="M523" s="2" t="s">
        <v>40</v>
      </c>
      <c r="O523" s="2" t="s">
        <v>918</v>
      </c>
      <c r="P523" s="2" t="s">
        <v>115</v>
      </c>
      <c r="Q523" s="2" t="s">
        <v>906</v>
      </c>
      <c r="R523" s="2" t="s">
        <v>907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3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4"/>
        <v>0</v>
      </c>
      <c r="AJ523" s="2">
        <f t="shared" si="65"/>
        <v>0</v>
      </c>
      <c r="AK523" s="2">
        <f t="shared" si="66"/>
        <v>354.09659999999997</v>
      </c>
      <c r="AL523" s="5">
        <f t="shared" si="62"/>
        <v>0.50635864435864431</v>
      </c>
    </row>
    <row r="524" spans="1:38" hidden="1" x14ac:dyDescent="0.2">
      <c r="A524" s="2">
        <v>2025</v>
      </c>
      <c r="B524" s="2">
        <v>2</v>
      </c>
      <c r="D524" s="2" t="s">
        <v>915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916</v>
      </c>
      <c r="J524" s="2" t="s">
        <v>917</v>
      </c>
      <c r="L524" s="2" t="s">
        <v>481</v>
      </c>
      <c r="M524" s="2" t="s">
        <v>40</v>
      </c>
      <c r="O524" s="2" t="s">
        <v>918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3"/>
        <v>0.59999999999999987</v>
      </c>
      <c r="Z524" s="2" t="s">
        <v>118</v>
      </c>
      <c r="AA524" s="2" t="s">
        <v>191</v>
      </c>
      <c r="AB524" s="2" t="s">
        <v>190</v>
      </c>
      <c r="AC524" s="2" t="s">
        <v>40</v>
      </c>
      <c r="AF524" s="2">
        <f t="shared" si="64"/>
        <v>0</v>
      </c>
      <c r="AJ524" s="2">
        <f t="shared" si="65"/>
        <v>0</v>
      </c>
      <c r="AK524" s="2">
        <f t="shared" si="66"/>
        <v>70.199999999999989</v>
      </c>
      <c r="AL524" s="5">
        <f t="shared" si="62"/>
        <v>0.59999999999999987</v>
      </c>
    </row>
    <row r="525" spans="1:38" hidden="1" x14ac:dyDescent="0.2">
      <c r="A525" s="2">
        <v>2025</v>
      </c>
      <c r="B525" s="2">
        <v>2</v>
      </c>
      <c r="D525" s="2" t="s">
        <v>915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916</v>
      </c>
      <c r="J525" s="2" t="s">
        <v>917</v>
      </c>
      <c r="L525" s="2" t="s">
        <v>481</v>
      </c>
      <c r="M525" s="2" t="s">
        <v>40</v>
      </c>
      <c r="O525" s="2" t="s">
        <v>918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3"/>
        <v>0.5</v>
      </c>
      <c r="Z525" s="2" t="s">
        <v>118</v>
      </c>
      <c r="AA525" s="2" t="s">
        <v>191</v>
      </c>
      <c r="AB525" s="2" t="s">
        <v>191</v>
      </c>
      <c r="AC525" s="2" t="s">
        <v>40</v>
      </c>
      <c r="AF525" s="2">
        <f t="shared" si="64"/>
        <v>0</v>
      </c>
      <c r="AJ525" s="2">
        <f t="shared" si="65"/>
        <v>0</v>
      </c>
      <c r="AK525" s="2">
        <f t="shared" si="66"/>
        <v>50</v>
      </c>
      <c r="AL525" s="5">
        <f t="shared" si="62"/>
        <v>0.5</v>
      </c>
    </row>
    <row r="526" spans="1:38" hidden="1" x14ac:dyDescent="0.2">
      <c r="A526" s="2">
        <v>2025</v>
      </c>
      <c r="B526" s="2">
        <v>2</v>
      </c>
      <c r="D526" s="2" t="s">
        <v>919</v>
      </c>
      <c r="E526" s="2" t="s">
        <v>753</v>
      </c>
      <c r="F526" s="2" t="s">
        <v>920</v>
      </c>
      <c r="G526" s="2">
        <v>505973960</v>
      </c>
      <c r="H526" s="2" t="s">
        <v>40</v>
      </c>
      <c r="I526" s="2" t="s">
        <v>157</v>
      </c>
      <c r="J526" s="2" t="s">
        <v>921</v>
      </c>
      <c r="L526" s="2" t="s">
        <v>100</v>
      </c>
      <c r="M526" s="2" t="s">
        <v>81</v>
      </c>
      <c r="O526" s="2" t="s">
        <v>922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3"/>
        <v>0.41111111111111115</v>
      </c>
      <c r="Z526" s="2" t="s">
        <v>3231</v>
      </c>
      <c r="AA526" s="2" t="s">
        <v>46</v>
      </c>
      <c r="AB526" s="2" t="s">
        <v>57</v>
      </c>
      <c r="AC526" s="2" t="s">
        <v>58</v>
      </c>
      <c r="AF526" s="2">
        <f t="shared" si="64"/>
        <v>0</v>
      </c>
      <c r="AG526" s="2">
        <v>10.6</v>
      </c>
      <c r="AH526" s="2">
        <v>18</v>
      </c>
      <c r="AJ526" s="2">
        <f t="shared" si="65"/>
        <v>0</v>
      </c>
      <c r="AK526" s="2">
        <f t="shared" si="66"/>
        <v>7.4</v>
      </c>
      <c r="AL526" s="5">
        <f t="shared" si="62"/>
        <v>0.41111111111111115</v>
      </c>
    </row>
    <row r="527" spans="1:38" hidden="1" x14ac:dyDescent="0.2">
      <c r="A527" s="2">
        <v>2025</v>
      </c>
      <c r="B527" s="2">
        <v>2</v>
      </c>
      <c r="C527" s="2" t="s">
        <v>3407</v>
      </c>
      <c r="D527" s="2" t="s">
        <v>656</v>
      </c>
      <c r="E527" s="2" t="s">
        <v>38</v>
      </c>
      <c r="G527" s="2">
        <v>509116590</v>
      </c>
      <c r="H527" s="2" t="s">
        <v>291</v>
      </c>
      <c r="I527" s="2" t="s">
        <v>657</v>
      </c>
      <c r="J527" s="2" t="s">
        <v>658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3"/>
        <v>0.42705853658536586</v>
      </c>
      <c r="Z527" s="2" t="s">
        <v>3231</v>
      </c>
      <c r="AA527" s="2" t="s">
        <v>76</v>
      </c>
      <c r="AB527" s="2" t="s">
        <v>77</v>
      </c>
      <c r="AC527" s="2" t="s">
        <v>78</v>
      </c>
      <c r="AF527" s="2">
        <f t="shared" si="64"/>
        <v>0</v>
      </c>
      <c r="AG527" s="2">
        <v>117.453</v>
      </c>
      <c r="AH527" s="2">
        <v>220</v>
      </c>
      <c r="AJ527" s="2">
        <f t="shared" si="65"/>
        <v>0</v>
      </c>
      <c r="AK527" s="2">
        <f t="shared" si="66"/>
        <v>87.546999999999997</v>
      </c>
      <c r="AL527" s="5">
        <f t="shared" si="62"/>
        <v>0.42705853658536586</v>
      </c>
    </row>
    <row r="528" spans="1:38" hidden="1" x14ac:dyDescent="0.2">
      <c r="A528" s="2">
        <v>2025</v>
      </c>
      <c r="B528" s="2">
        <v>2</v>
      </c>
      <c r="C528" s="2" t="s">
        <v>3407</v>
      </c>
      <c r="D528" s="2" t="s">
        <v>656</v>
      </c>
      <c r="E528" s="2" t="s">
        <v>38</v>
      </c>
      <c r="G528" s="2">
        <v>509116590</v>
      </c>
      <c r="H528" s="2" t="s">
        <v>291</v>
      </c>
      <c r="I528" s="2" t="s">
        <v>657</v>
      </c>
      <c r="J528" s="2" t="s">
        <v>658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3"/>
        <v>0</v>
      </c>
      <c r="Z528" s="2" t="s">
        <v>3231</v>
      </c>
      <c r="AA528" s="2" t="s">
        <v>97</v>
      </c>
      <c r="AB528" s="2" t="s">
        <v>77</v>
      </c>
      <c r="AC528" s="2" t="s">
        <v>94</v>
      </c>
      <c r="AF528" s="2">
        <f t="shared" si="64"/>
        <v>0</v>
      </c>
      <c r="AJ528" s="2">
        <f t="shared" si="65"/>
        <v>0</v>
      </c>
      <c r="AK528" s="2">
        <f t="shared" si="66"/>
        <v>0</v>
      </c>
      <c r="AL528" s="5">
        <f t="shared" si="62"/>
        <v>0</v>
      </c>
    </row>
    <row r="529" spans="1:38" hidden="1" x14ac:dyDescent="0.2">
      <c r="A529" s="2">
        <v>2025</v>
      </c>
      <c r="B529" s="2">
        <v>2</v>
      </c>
      <c r="D529" s="2" t="s">
        <v>661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662</v>
      </c>
      <c r="J529" s="2" t="s">
        <v>663</v>
      </c>
      <c r="L529" s="2" t="s">
        <v>345</v>
      </c>
      <c r="M529" s="2" t="s">
        <v>40</v>
      </c>
      <c r="O529" s="2" t="s">
        <v>898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7">SIGN(T529)*((ABS(T529)-W529)/ABS(T529))</f>
        <v>-0.42599243856332702</v>
      </c>
      <c r="Z529" s="2" t="s">
        <v>3231</v>
      </c>
      <c r="AA529" s="2" t="s">
        <v>76</v>
      </c>
      <c r="AB529" s="2" t="s">
        <v>77</v>
      </c>
      <c r="AC529" s="2" t="s">
        <v>78</v>
      </c>
      <c r="AF529" s="2">
        <f t="shared" si="64"/>
        <v>0</v>
      </c>
      <c r="AG529" s="2">
        <v>121.46</v>
      </c>
      <c r="AH529" s="2">
        <v>210</v>
      </c>
      <c r="AJ529" s="2">
        <f t="shared" si="65"/>
        <v>0</v>
      </c>
      <c r="AK529" s="2">
        <f t="shared" ref="AK529:AK530" si="68">T529+(W529)</f>
        <v>-90.14</v>
      </c>
      <c r="AL529" s="18">
        <f t="shared" ref="AL529:AL530" si="69">SIGN(T529)*((ABS(T529)-W529)/ABS(T529))</f>
        <v>-0.42599243856332702</v>
      </c>
    </row>
    <row r="530" spans="1:38" hidden="1" x14ac:dyDescent="0.2">
      <c r="A530" s="2">
        <v>2025</v>
      </c>
      <c r="B530" s="2">
        <v>2</v>
      </c>
      <c r="D530" s="2" t="s">
        <v>661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662</v>
      </c>
      <c r="J530" s="2" t="s">
        <v>663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7"/>
        <v>0</v>
      </c>
      <c r="Z530" s="2" t="s">
        <v>3231</v>
      </c>
      <c r="AA530" s="2" t="s">
        <v>97</v>
      </c>
      <c r="AB530" s="2" t="s">
        <v>77</v>
      </c>
      <c r="AC530" s="2" t="s">
        <v>94</v>
      </c>
      <c r="AF530" s="2">
        <f t="shared" si="64"/>
        <v>0</v>
      </c>
      <c r="AJ530" s="2">
        <f t="shared" si="65"/>
        <v>0</v>
      </c>
      <c r="AK530" s="2">
        <f t="shared" si="68"/>
        <v>0</v>
      </c>
      <c r="AL530" s="18">
        <f t="shared" si="69"/>
        <v>0</v>
      </c>
    </row>
    <row r="531" spans="1:38" hidden="1" x14ac:dyDescent="0.2">
      <c r="A531" s="2">
        <v>2025</v>
      </c>
      <c r="B531" s="2">
        <v>2</v>
      </c>
      <c r="D531" s="2" t="s">
        <v>923</v>
      </c>
      <c r="M531" s="2" t="s">
        <v>40</v>
      </c>
      <c r="P531" s="2" t="s">
        <v>115</v>
      </c>
      <c r="Q531" s="2" t="s">
        <v>906</v>
      </c>
      <c r="R531" s="2" t="s">
        <v>907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70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4"/>
        <v>0</v>
      </c>
      <c r="AJ531" s="2">
        <f t="shared" si="65"/>
        <v>0</v>
      </c>
      <c r="AK531" s="2">
        <f t="shared" si="66"/>
        <v>483.69659999999999</v>
      </c>
      <c r="AL531" s="5">
        <f t="shared" ref="AL531:AL593" si="71">(T531-W531)/T531</f>
        <v>0.58354035468693455</v>
      </c>
    </row>
    <row r="532" spans="1:38" hidden="1" x14ac:dyDescent="0.2">
      <c r="A532" s="2">
        <v>2025</v>
      </c>
      <c r="B532" s="2">
        <v>2</v>
      </c>
      <c r="D532" s="2" t="s">
        <v>924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925</v>
      </c>
      <c r="J532" s="2" t="s">
        <v>926</v>
      </c>
      <c r="L532" s="2" t="s">
        <v>178</v>
      </c>
      <c r="M532" s="2" t="s">
        <v>40</v>
      </c>
      <c r="O532" s="2" t="s">
        <v>927</v>
      </c>
      <c r="P532" s="2" t="s">
        <v>115</v>
      </c>
      <c r="Q532" s="2" t="s">
        <v>928</v>
      </c>
      <c r="R532" s="2" t="s">
        <v>929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70"/>
        <v>1</v>
      </c>
      <c r="Z532" s="2" t="s">
        <v>118</v>
      </c>
      <c r="AF532" s="2">
        <f t="shared" si="64"/>
        <v>0</v>
      </c>
      <c r="AJ532" s="2">
        <f t="shared" si="65"/>
        <v>0</v>
      </c>
      <c r="AK532" s="2">
        <f t="shared" si="66"/>
        <v>374</v>
      </c>
      <c r="AL532" s="5">
        <f t="shared" si="71"/>
        <v>1</v>
      </c>
    </row>
    <row r="533" spans="1:38" hidden="1" x14ac:dyDescent="0.2">
      <c r="A533" s="2">
        <v>2025</v>
      </c>
      <c r="B533" s="2">
        <v>2</v>
      </c>
      <c r="D533" s="2" t="s">
        <v>924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925</v>
      </c>
      <c r="J533" s="2" t="s">
        <v>926</v>
      </c>
      <c r="L533" s="2" t="s">
        <v>178</v>
      </c>
      <c r="M533" s="2" t="s">
        <v>40</v>
      </c>
      <c r="O533" s="2" t="s">
        <v>927</v>
      </c>
      <c r="P533" s="2" t="s">
        <v>115</v>
      </c>
      <c r="Q533" s="2" t="s">
        <v>879</v>
      </c>
      <c r="R533" s="2" t="s">
        <v>880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70"/>
        <v>1</v>
      </c>
      <c r="Z533" s="2" t="s">
        <v>118</v>
      </c>
      <c r="AF533" s="2">
        <f t="shared" si="64"/>
        <v>0</v>
      </c>
      <c r="AJ533" s="2">
        <f t="shared" si="65"/>
        <v>0</v>
      </c>
      <c r="AK533" s="2">
        <f t="shared" si="66"/>
        <v>773</v>
      </c>
      <c r="AL533" s="5">
        <f t="shared" si="71"/>
        <v>1</v>
      </c>
    </row>
    <row r="534" spans="1:38" hidden="1" x14ac:dyDescent="0.2">
      <c r="A534" s="2">
        <v>2025</v>
      </c>
      <c r="B534" s="2">
        <v>2</v>
      </c>
      <c r="D534" s="2" t="s">
        <v>930</v>
      </c>
      <c r="E534" s="2" t="s">
        <v>38</v>
      </c>
      <c r="F534" s="2" t="s">
        <v>39</v>
      </c>
      <c r="G534" s="2" t="s">
        <v>931</v>
      </c>
      <c r="H534" s="2" t="s">
        <v>41</v>
      </c>
      <c r="I534" s="2" t="s">
        <v>627</v>
      </c>
      <c r="J534" s="2" t="s">
        <v>932</v>
      </c>
      <c r="L534" s="2" t="s">
        <v>627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V534" s="2">
        <f>T534</f>
        <v>16.8</v>
      </c>
      <c r="X534" s="5">
        <f t="shared" si="70"/>
        <v>1</v>
      </c>
      <c r="Z534" s="2" t="s">
        <v>3231</v>
      </c>
      <c r="AA534" s="2" t="s">
        <v>46</v>
      </c>
      <c r="AB534" s="2" t="s">
        <v>57</v>
      </c>
      <c r="AC534" s="2" t="s">
        <v>58</v>
      </c>
      <c r="AF534" s="2">
        <f t="shared" si="64"/>
        <v>0</v>
      </c>
      <c r="AJ534" s="2">
        <f t="shared" si="65"/>
        <v>0</v>
      </c>
      <c r="AK534" s="2">
        <f t="shared" si="66"/>
        <v>16.8</v>
      </c>
      <c r="AL534" s="5">
        <f t="shared" si="71"/>
        <v>1</v>
      </c>
    </row>
    <row r="535" spans="1:38" hidden="1" x14ac:dyDescent="0.2">
      <c r="A535" s="2">
        <v>2025</v>
      </c>
      <c r="B535" s="2">
        <v>2</v>
      </c>
      <c r="D535" s="2" t="s">
        <v>930</v>
      </c>
      <c r="E535" s="2" t="s">
        <v>38</v>
      </c>
      <c r="F535" s="2" t="s">
        <v>39</v>
      </c>
      <c r="G535" s="2" t="s">
        <v>931</v>
      </c>
      <c r="H535" s="2" t="s">
        <v>41</v>
      </c>
      <c r="I535" s="2" t="s">
        <v>627</v>
      </c>
      <c r="J535" s="2" t="s">
        <v>932</v>
      </c>
      <c r="L535" s="2" t="s">
        <v>627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V535" s="2">
        <f t="shared" ref="V535:V540" si="72">T535</f>
        <v>19.2</v>
      </c>
      <c r="X535" s="5">
        <f t="shared" si="70"/>
        <v>1</v>
      </c>
      <c r="Z535" s="2" t="s">
        <v>3231</v>
      </c>
      <c r="AA535" s="2" t="s">
        <v>46</v>
      </c>
      <c r="AB535" s="2" t="s">
        <v>57</v>
      </c>
      <c r="AC535" s="2" t="s">
        <v>58</v>
      </c>
      <c r="AF535" s="2">
        <f t="shared" si="64"/>
        <v>0</v>
      </c>
      <c r="AJ535" s="2">
        <f t="shared" si="65"/>
        <v>0</v>
      </c>
      <c r="AK535" s="2">
        <f t="shared" si="66"/>
        <v>19.2</v>
      </c>
      <c r="AL535" s="5">
        <f t="shared" si="71"/>
        <v>1</v>
      </c>
    </row>
    <row r="536" spans="1:38" hidden="1" x14ac:dyDescent="0.2">
      <c r="A536" s="2">
        <v>2025</v>
      </c>
      <c r="B536" s="2">
        <v>2</v>
      </c>
      <c r="D536" s="2" t="s">
        <v>930</v>
      </c>
      <c r="E536" s="2" t="s">
        <v>38</v>
      </c>
      <c r="F536" s="2" t="s">
        <v>39</v>
      </c>
      <c r="G536" s="2" t="s">
        <v>931</v>
      </c>
      <c r="H536" s="2" t="s">
        <v>41</v>
      </c>
      <c r="I536" s="2" t="s">
        <v>627</v>
      </c>
      <c r="J536" s="2" t="s">
        <v>932</v>
      </c>
      <c r="L536" s="2" t="s">
        <v>627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V536" s="2">
        <f t="shared" si="72"/>
        <v>110</v>
      </c>
      <c r="W536" s="2">
        <f>0.082*S536</f>
        <v>82</v>
      </c>
      <c r="X536" s="5">
        <f t="shared" si="70"/>
        <v>0.25454545454545452</v>
      </c>
      <c r="Z536" s="2" t="s">
        <v>3231</v>
      </c>
      <c r="AA536" s="2" t="s">
        <v>46</v>
      </c>
      <c r="AB536" s="2" t="s">
        <v>61</v>
      </c>
      <c r="AC536" s="2" t="s">
        <v>58</v>
      </c>
      <c r="AF536" s="2">
        <f t="shared" si="64"/>
        <v>0</v>
      </c>
      <c r="AG536" s="2">
        <v>8.1999999999999993</v>
      </c>
      <c r="AH536" s="2">
        <v>13</v>
      </c>
      <c r="AJ536" s="2">
        <f t="shared" si="65"/>
        <v>0</v>
      </c>
      <c r="AK536" s="2">
        <f t="shared" si="66"/>
        <v>28</v>
      </c>
      <c r="AL536" s="5">
        <f t="shared" si="71"/>
        <v>0.25454545454545452</v>
      </c>
    </row>
    <row r="537" spans="1:38" hidden="1" x14ac:dyDescent="0.2">
      <c r="A537" s="2">
        <v>2025</v>
      </c>
      <c r="B537" s="2">
        <v>2</v>
      </c>
      <c r="D537" s="2" t="s">
        <v>930</v>
      </c>
      <c r="E537" s="2" t="s">
        <v>38</v>
      </c>
      <c r="F537" s="2" t="s">
        <v>39</v>
      </c>
      <c r="G537" s="2" t="s">
        <v>931</v>
      </c>
      <c r="H537" s="2" t="s">
        <v>41</v>
      </c>
      <c r="I537" s="2" t="s">
        <v>627</v>
      </c>
      <c r="J537" s="2" t="s">
        <v>932</v>
      </c>
      <c r="L537" s="2" t="s">
        <v>627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V537" s="2">
        <f t="shared" si="72"/>
        <v>21</v>
      </c>
      <c r="W537" s="2">
        <f>7.9612*S537</f>
        <v>7.9611999999999998</v>
      </c>
      <c r="X537" s="5">
        <f t="shared" si="70"/>
        <v>0.62089523809523806</v>
      </c>
      <c r="Z537" s="2" t="s">
        <v>3231</v>
      </c>
      <c r="AA537" s="2" t="s">
        <v>46</v>
      </c>
      <c r="AB537" s="2" t="s">
        <v>68</v>
      </c>
      <c r="AC537" s="2" t="s">
        <v>58</v>
      </c>
      <c r="AF537" s="2">
        <f t="shared" si="64"/>
        <v>0</v>
      </c>
      <c r="AG537" s="2">
        <v>7.9611999999999998</v>
      </c>
      <c r="AH537" s="2">
        <v>14.4</v>
      </c>
      <c r="AJ537" s="2">
        <f t="shared" si="65"/>
        <v>0</v>
      </c>
      <c r="AK537" s="2">
        <f t="shared" si="66"/>
        <v>13.0388</v>
      </c>
      <c r="AL537" s="5">
        <f t="shared" si="71"/>
        <v>0.62089523809523806</v>
      </c>
    </row>
    <row r="538" spans="1:38" hidden="1" x14ac:dyDescent="0.2">
      <c r="A538" s="2">
        <v>2025</v>
      </c>
      <c r="B538" s="2">
        <v>2</v>
      </c>
      <c r="D538" s="2" t="s">
        <v>930</v>
      </c>
      <c r="E538" s="2" t="s">
        <v>38</v>
      </c>
      <c r="F538" s="2" t="s">
        <v>39</v>
      </c>
      <c r="G538" s="2" t="s">
        <v>931</v>
      </c>
      <c r="H538" s="2" t="s">
        <v>41</v>
      </c>
      <c r="I538" s="2" t="s">
        <v>627</v>
      </c>
      <c r="J538" s="2" t="s">
        <v>932</v>
      </c>
      <c r="L538" s="2" t="s">
        <v>627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V538" s="2">
        <f t="shared" si="72"/>
        <v>21</v>
      </c>
      <c r="W538" s="2">
        <f>15.0203*S538</f>
        <v>15.020300000000001</v>
      </c>
      <c r="X538" s="5">
        <f t="shared" si="70"/>
        <v>0.28474761904761903</v>
      </c>
      <c r="Z538" s="2" t="s">
        <v>3231</v>
      </c>
      <c r="AA538" s="2" t="s">
        <v>46</v>
      </c>
      <c r="AB538" s="2" t="s">
        <v>68</v>
      </c>
      <c r="AC538" s="2" t="s">
        <v>58</v>
      </c>
      <c r="AF538" s="2">
        <f t="shared" si="64"/>
        <v>0</v>
      </c>
      <c r="AG538" s="2">
        <v>15.020300000000001</v>
      </c>
      <c r="AH538" s="2">
        <v>27.6</v>
      </c>
      <c r="AJ538" s="2">
        <f t="shared" si="65"/>
        <v>0</v>
      </c>
      <c r="AK538" s="2">
        <f t="shared" si="66"/>
        <v>5.9796999999999993</v>
      </c>
      <c r="AL538" s="5">
        <f t="shared" si="71"/>
        <v>0.28474761904761903</v>
      </c>
    </row>
    <row r="539" spans="1:38" hidden="1" x14ac:dyDescent="0.2">
      <c r="A539" s="2">
        <v>2025</v>
      </c>
      <c r="B539" s="2">
        <v>2</v>
      </c>
      <c r="D539" s="2" t="s">
        <v>930</v>
      </c>
      <c r="E539" s="2" t="s">
        <v>38</v>
      </c>
      <c r="F539" s="2" t="s">
        <v>39</v>
      </c>
      <c r="G539" s="2" t="s">
        <v>931</v>
      </c>
      <c r="H539" s="2" t="s">
        <v>41</v>
      </c>
      <c r="I539" s="2" t="s">
        <v>627</v>
      </c>
      <c r="J539" s="2" t="s">
        <v>932</v>
      </c>
      <c r="L539" s="2" t="s">
        <v>627</v>
      </c>
      <c r="M539" s="2" t="s">
        <v>41</v>
      </c>
      <c r="P539" s="2" t="s">
        <v>85</v>
      </c>
      <c r="Q539" s="2" t="s">
        <v>933</v>
      </c>
      <c r="R539" s="2" t="s">
        <v>934</v>
      </c>
      <c r="S539" s="2">
        <v>100</v>
      </c>
      <c r="T539" s="2">
        <v>3.6</v>
      </c>
      <c r="V539" s="2">
        <f t="shared" si="72"/>
        <v>3.6</v>
      </c>
      <c r="X539" s="5">
        <f t="shared" si="70"/>
        <v>1</v>
      </c>
      <c r="Z539" s="2" t="s">
        <v>3231</v>
      </c>
      <c r="AA539" s="2" t="s">
        <v>88</v>
      </c>
      <c r="AB539" s="2" t="s">
        <v>91</v>
      </c>
      <c r="AC539" s="2" t="s">
        <v>85</v>
      </c>
      <c r="AF539" s="2">
        <f t="shared" si="64"/>
        <v>0</v>
      </c>
      <c r="AJ539" s="2">
        <f t="shared" si="65"/>
        <v>0</v>
      </c>
      <c r="AK539" s="2">
        <f t="shared" si="66"/>
        <v>3.6</v>
      </c>
      <c r="AL539" s="5">
        <f t="shared" si="71"/>
        <v>1</v>
      </c>
    </row>
    <row r="540" spans="1:38" hidden="1" x14ac:dyDescent="0.2">
      <c r="A540" s="2">
        <v>2025</v>
      </c>
      <c r="B540" s="2">
        <v>2</v>
      </c>
      <c r="D540" s="2" t="s">
        <v>930</v>
      </c>
      <c r="E540" s="2" t="s">
        <v>38</v>
      </c>
      <c r="F540" s="2" t="s">
        <v>39</v>
      </c>
      <c r="G540" s="2" t="s">
        <v>931</v>
      </c>
      <c r="H540" s="2" t="s">
        <v>41</v>
      </c>
      <c r="I540" s="2" t="s">
        <v>627</v>
      </c>
      <c r="J540" s="2" t="s">
        <v>932</v>
      </c>
      <c r="L540" s="2" t="s">
        <v>627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V540" s="2">
        <f t="shared" si="72"/>
        <v>6</v>
      </c>
      <c r="W540" s="2">
        <v>2.94</v>
      </c>
      <c r="X540" s="5">
        <f t="shared" si="70"/>
        <v>0.51</v>
      </c>
      <c r="Z540" s="2" t="s">
        <v>3231</v>
      </c>
      <c r="AA540" s="2" t="s">
        <v>88</v>
      </c>
      <c r="AB540" s="2" t="s">
        <v>91</v>
      </c>
      <c r="AC540" s="2" t="s">
        <v>85</v>
      </c>
      <c r="AF540" s="2">
        <f t="shared" si="64"/>
        <v>0</v>
      </c>
      <c r="AJ540" s="2">
        <f t="shared" si="65"/>
        <v>0</v>
      </c>
      <c r="AK540" s="2">
        <f t="shared" si="66"/>
        <v>3.06</v>
      </c>
      <c r="AL540" s="5">
        <f t="shared" si="71"/>
        <v>0.51</v>
      </c>
    </row>
    <row r="541" spans="1:38" hidden="1" x14ac:dyDescent="0.2">
      <c r="A541" s="2">
        <v>2025</v>
      </c>
      <c r="B541" s="2">
        <v>3</v>
      </c>
      <c r="D541" s="2" t="s">
        <v>935</v>
      </c>
      <c r="Q541" s="2" t="s">
        <v>936</v>
      </c>
      <c r="R541" s="2" t="s">
        <v>937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70"/>
        <v>1</v>
      </c>
      <c r="AF541" s="2">
        <f t="shared" si="64"/>
        <v>0</v>
      </c>
      <c r="AJ541" s="2">
        <f t="shared" si="65"/>
        <v>0</v>
      </c>
      <c r="AK541" s="2">
        <f t="shared" si="66"/>
        <v>129.94999999999999</v>
      </c>
      <c r="AL541" s="5">
        <f t="shared" si="71"/>
        <v>1</v>
      </c>
    </row>
    <row r="542" spans="1:38" hidden="1" x14ac:dyDescent="0.2">
      <c r="A542" s="2">
        <v>2025</v>
      </c>
      <c r="B542" s="2">
        <v>3</v>
      </c>
      <c r="D542" s="2" t="s">
        <v>938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939</v>
      </c>
      <c r="J542" s="2" t="s">
        <v>940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70"/>
        <v>0.44069999999999998</v>
      </c>
      <c r="Z542" s="2" t="s">
        <v>3231</v>
      </c>
      <c r="AA542" s="2" t="s">
        <v>76</v>
      </c>
      <c r="AB542" s="2" t="s">
        <v>77</v>
      </c>
      <c r="AC542" s="2" t="s">
        <v>78</v>
      </c>
      <c r="AF542" s="2">
        <f t="shared" si="64"/>
        <v>0</v>
      </c>
      <c r="AG542" s="2">
        <v>117.453</v>
      </c>
      <c r="AH542" s="2">
        <v>220</v>
      </c>
      <c r="AJ542" s="2">
        <f t="shared" si="65"/>
        <v>0</v>
      </c>
      <c r="AK542" s="2">
        <f t="shared" si="66"/>
        <v>185.09399999999999</v>
      </c>
      <c r="AL542" s="5">
        <f t="shared" si="71"/>
        <v>0.44069999999999998</v>
      </c>
    </row>
    <row r="543" spans="1:38" hidden="1" x14ac:dyDescent="0.2">
      <c r="A543" s="2">
        <v>2025</v>
      </c>
      <c r="B543" s="2">
        <v>3</v>
      </c>
      <c r="D543" s="2" t="s">
        <v>938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939</v>
      </c>
      <c r="J543" s="2" t="s">
        <v>940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70"/>
        <v>0</v>
      </c>
      <c r="Z543" s="2" t="s">
        <v>3231</v>
      </c>
      <c r="AA543" s="2" t="s">
        <v>97</v>
      </c>
      <c r="AB543" s="2" t="s">
        <v>77</v>
      </c>
      <c r="AC543" s="2" t="s">
        <v>94</v>
      </c>
      <c r="AF543" s="2">
        <f t="shared" si="64"/>
        <v>0</v>
      </c>
      <c r="AJ543" s="2">
        <f t="shared" si="65"/>
        <v>0</v>
      </c>
      <c r="AK543" s="2">
        <f t="shared" si="66"/>
        <v>0</v>
      </c>
      <c r="AL543" s="5">
        <f t="shared" si="71"/>
        <v>0</v>
      </c>
    </row>
    <row r="544" spans="1:38" hidden="1" x14ac:dyDescent="0.2">
      <c r="A544" s="2">
        <v>2025</v>
      </c>
      <c r="B544" s="2">
        <v>3</v>
      </c>
      <c r="D544" s="2" t="s">
        <v>941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70"/>
        <v>0.41111111111111115</v>
      </c>
      <c r="Z544" s="2" t="s">
        <v>3231</v>
      </c>
      <c r="AA544" s="2" t="s">
        <v>46</v>
      </c>
      <c r="AB544" s="2" t="s">
        <v>57</v>
      </c>
      <c r="AC544" s="2" t="s">
        <v>58</v>
      </c>
      <c r="AF544" s="2">
        <f t="shared" si="64"/>
        <v>0</v>
      </c>
      <c r="AG544" s="2">
        <v>10.6</v>
      </c>
      <c r="AH544" s="2">
        <v>18</v>
      </c>
      <c r="AJ544" s="2">
        <f t="shared" si="65"/>
        <v>0</v>
      </c>
      <c r="AK544" s="2">
        <f t="shared" si="66"/>
        <v>7.4</v>
      </c>
      <c r="AL544" s="5">
        <f t="shared" si="71"/>
        <v>0.41111111111111115</v>
      </c>
    </row>
    <row r="545" spans="1:38" hidden="1" x14ac:dyDescent="0.2">
      <c r="A545" s="2">
        <v>2025</v>
      </c>
      <c r="B545" s="2">
        <v>3</v>
      </c>
      <c r="D545" s="2" t="s">
        <v>942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70"/>
        <v>0.36054824561403515</v>
      </c>
      <c r="Z545" s="2" t="s">
        <v>3231</v>
      </c>
      <c r="AA545" s="2" t="s">
        <v>76</v>
      </c>
      <c r="AB545" s="2" t="s">
        <v>77</v>
      </c>
      <c r="AC545" s="2" t="s">
        <v>78</v>
      </c>
      <c r="AF545" s="2">
        <f t="shared" si="64"/>
        <v>0</v>
      </c>
      <c r="AG545" s="2">
        <v>291.58999999999997</v>
      </c>
      <c r="AH545" s="2">
        <v>450</v>
      </c>
      <c r="AJ545" s="2">
        <f t="shared" si="65"/>
        <v>0</v>
      </c>
      <c r="AK545" s="2">
        <f t="shared" si="66"/>
        <v>328.82000000000005</v>
      </c>
      <c r="AL545" s="5">
        <f t="shared" si="71"/>
        <v>0.36054824561403515</v>
      </c>
    </row>
    <row r="546" spans="1:38" hidden="1" x14ac:dyDescent="0.2">
      <c r="A546" s="2">
        <v>2025</v>
      </c>
      <c r="B546" s="2">
        <v>3</v>
      </c>
      <c r="D546" s="2" t="s">
        <v>942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70"/>
        <v>0</v>
      </c>
      <c r="Z546" s="2" t="s">
        <v>3231</v>
      </c>
      <c r="AA546" s="2" t="s">
        <v>97</v>
      </c>
      <c r="AB546" s="2" t="s">
        <v>77</v>
      </c>
      <c r="AC546" s="2" t="s">
        <v>94</v>
      </c>
      <c r="AF546" s="2">
        <f t="shared" si="64"/>
        <v>0</v>
      </c>
      <c r="AJ546" s="2">
        <f t="shared" si="65"/>
        <v>0</v>
      </c>
      <c r="AK546" s="2">
        <f t="shared" si="66"/>
        <v>0</v>
      </c>
      <c r="AL546" s="5">
        <f t="shared" si="71"/>
        <v>0</v>
      </c>
    </row>
    <row r="547" spans="1:38" hidden="1" x14ac:dyDescent="0.2">
      <c r="A547" s="2">
        <v>2025</v>
      </c>
      <c r="B547" s="2">
        <v>3</v>
      </c>
      <c r="D547" s="2" t="s">
        <v>943</v>
      </c>
      <c r="E547" s="2" t="s">
        <v>38</v>
      </c>
      <c r="F547" s="2" t="s">
        <v>39</v>
      </c>
      <c r="L547" s="2" t="s">
        <v>178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70"/>
        <v>0.42327586206896545</v>
      </c>
      <c r="Z547" s="2" t="s">
        <v>3231</v>
      </c>
      <c r="AA547" s="2" t="s">
        <v>46</v>
      </c>
      <c r="AB547" s="2" t="s">
        <v>57</v>
      </c>
      <c r="AC547" s="2" t="s">
        <v>58</v>
      </c>
      <c r="AF547" s="2">
        <f t="shared" si="64"/>
        <v>0</v>
      </c>
      <c r="AJ547" s="2">
        <f t="shared" si="65"/>
        <v>0</v>
      </c>
      <c r="AK547" s="2">
        <f t="shared" si="66"/>
        <v>7.3649999999999984</v>
      </c>
      <c r="AL547" s="5">
        <f t="shared" si="71"/>
        <v>0.42327586206896545</v>
      </c>
    </row>
    <row r="548" spans="1:38" hidden="1" x14ac:dyDescent="0.2">
      <c r="A548" s="2">
        <v>2025</v>
      </c>
      <c r="B548" s="2">
        <v>3</v>
      </c>
      <c r="D548" s="2" t="s">
        <v>943</v>
      </c>
      <c r="E548" s="2" t="s">
        <v>38</v>
      </c>
      <c r="F548" s="2" t="s">
        <v>39</v>
      </c>
      <c r="L548" s="2" t="s">
        <v>178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70"/>
        <v>0.41111111111111115</v>
      </c>
      <c r="Z548" s="2" t="s">
        <v>3231</v>
      </c>
      <c r="AA548" s="2" t="s">
        <v>46</v>
      </c>
      <c r="AB548" s="2" t="s">
        <v>57</v>
      </c>
      <c r="AC548" s="2" t="s">
        <v>58</v>
      </c>
      <c r="AF548" s="2">
        <f t="shared" si="64"/>
        <v>0</v>
      </c>
      <c r="AG548" s="2">
        <v>10.6</v>
      </c>
      <c r="AH548" s="2">
        <v>18</v>
      </c>
      <c r="AJ548" s="2">
        <f t="shared" si="65"/>
        <v>0</v>
      </c>
      <c r="AK548" s="2">
        <f t="shared" si="66"/>
        <v>14.8</v>
      </c>
      <c r="AL548" s="5">
        <f t="shared" si="71"/>
        <v>0.41111111111111115</v>
      </c>
    </row>
    <row r="549" spans="1:38" hidden="1" x14ac:dyDescent="0.2">
      <c r="A549" s="2">
        <v>2025</v>
      </c>
      <c r="B549" s="2">
        <v>3</v>
      </c>
      <c r="D549" s="2" t="s">
        <v>943</v>
      </c>
      <c r="E549" s="2" t="s">
        <v>38</v>
      </c>
      <c r="F549" s="2" t="s">
        <v>39</v>
      </c>
      <c r="L549" s="2" t="s">
        <v>178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70"/>
        <v>0.36923076923076914</v>
      </c>
      <c r="Z549" s="2" t="s">
        <v>3231</v>
      </c>
      <c r="AA549" s="2" t="s">
        <v>46</v>
      </c>
      <c r="AB549" s="2" t="s">
        <v>61</v>
      </c>
      <c r="AC549" s="2" t="s">
        <v>58</v>
      </c>
      <c r="AF549" s="2">
        <f t="shared" si="64"/>
        <v>0</v>
      </c>
      <c r="AG549" s="2">
        <v>8.1999999999999993</v>
      </c>
      <c r="AH549" s="2">
        <v>13</v>
      </c>
      <c r="AJ549" s="2">
        <f t="shared" si="65"/>
        <v>0</v>
      </c>
      <c r="AK549" s="2">
        <f t="shared" si="66"/>
        <v>9.5999999999999979</v>
      </c>
      <c r="AL549" s="5">
        <f t="shared" si="71"/>
        <v>0.36923076923076914</v>
      </c>
    </row>
    <row r="550" spans="1:38" hidden="1" x14ac:dyDescent="0.2">
      <c r="A550" s="2">
        <v>2025</v>
      </c>
      <c r="B550" s="2">
        <v>3</v>
      </c>
      <c r="D550" s="2" t="s">
        <v>943</v>
      </c>
      <c r="E550" s="2" t="s">
        <v>38</v>
      </c>
      <c r="F550" s="2" t="s">
        <v>39</v>
      </c>
      <c r="L550" s="2" t="s">
        <v>178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70"/>
        <v>0.3125</v>
      </c>
      <c r="Z550" s="2" t="s">
        <v>3231</v>
      </c>
      <c r="AA550" s="2" t="s">
        <v>88</v>
      </c>
      <c r="AB550" s="2" t="s">
        <v>91</v>
      </c>
      <c r="AC550" s="2" t="s">
        <v>85</v>
      </c>
      <c r="AF550" s="2">
        <f t="shared" si="64"/>
        <v>0</v>
      </c>
      <c r="AJ550" s="2">
        <f t="shared" si="65"/>
        <v>0</v>
      </c>
      <c r="AK550" s="2">
        <f t="shared" si="66"/>
        <v>2.25</v>
      </c>
      <c r="AL550" s="5">
        <f t="shared" si="71"/>
        <v>0.3125</v>
      </c>
    </row>
    <row r="551" spans="1:38" hidden="1" x14ac:dyDescent="0.2">
      <c r="A551" s="2">
        <v>2025</v>
      </c>
      <c r="B551" s="2">
        <v>3</v>
      </c>
      <c r="D551" s="2" t="s">
        <v>944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945</v>
      </c>
      <c r="J551" s="2" t="s">
        <v>946</v>
      </c>
      <c r="K551" s="2">
        <v>918832449</v>
      </c>
      <c r="L551" s="2" t="s">
        <v>345</v>
      </c>
      <c r="M551" s="2" t="s">
        <v>81</v>
      </c>
      <c r="O551" s="2" t="s">
        <v>947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70"/>
        <v>0.42644927536231886</v>
      </c>
      <c r="Z551" s="2" t="s">
        <v>3231</v>
      </c>
      <c r="AA551" s="2" t="s">
        <v>46</v>
      </c>
      <c r="AB551" s="2" t="s">
        <v>57</v>
      </c>
      <c r="AC551" s="2" t="s">
        <v>58</v>
      </c>
      <c r="AF551" s="2">
        <f t="shared" si="64"/>
        <v>0</v>
      </c>
      <c r="AJ551" s="2">
        <f t="shared" si="65"/>
        <v>0</v>
      </c>
      <c r="AK551" s="2">
        <f t="shared" si="66"/>
        <v>11.770000000000001</v>
      </c>
      <c r="AL551" s="5">
        <f t="shared" si="71"/>
        <v>0.42644927536231886</v>
      </c>
    </row>
    <row r="552" spans="1:38" hidden="1" x14ac:dyDescent="0.2">
      <c r="A552" s="2">
        <v>2025</v>
      </c>
      <c r="B552" s="2">
        <v>3</v>
      </c>
      <c r="D552" s="2" t="s">
        <v>944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945</v>
      </c>
      <c r="J552" s="2" t="s">
        <v>946</v>
      </c>
      <c r="K552" s="2">
        <v>918832449</v>
      </c>
      <c r="L552" s="2" t="s">
        <v>345</v>
      </c>
      <c r="M552" s="2" t="s">
        <v>81</v>
      </c>
      <c r="O552" s="2" t="s">
        <v>947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70"/>
        <v>0.42327586206896545</v>
      </c>
      <c r="Z552" s="2" t="s">
        <v>3231</v>
      </c>
      <c r="AA552" s="2" t="s">
        <v>46</v>
      </c>
      <c r="AB552" s="2" t="s">
        <v>57</v>
      </c>
      <c r="AC552" s="2" t="s">
        <v>58</v>
      </c>
      <c r="AF552" s="2">
        <f t="shared" si="64"/>
        <v>0</v>
      </c>
      <c r="AJ552" s="2">
        <f t="shared" si="65"/>
        <v>0</v>
      </c>
      <c r="AK552" s="2">
        <f t="shared" si="66"/>
        <v>7.3649999999999984</v>
      </c>
      <c r="AL552" s="5">
        <f t="shared" si="71"/>
        <v>0.42327586206896545</v>
      </c>
    </row>
    <row r="553" spans="1:38" hidden="1" x14ac:dyDescent="0.2">
      <c r="A553" s="2">
        <v>2025</v>
      </c>
      <c r="B553" s="2">
        <v>3</v>
      </c>
      <c r="D553" s="2" t="s">
        <v>944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945</v>
      </c>
      <c r="J553" s="2" t="s">
        <v>946</v>
      </c>
      <c r="K553" s="2">
        <v>918832449</v>
      </c>
      <c r="L553" s="2" t="s">
        <v>345</v>
      </c>
      <c r="M553" s="2" t="s">
        <v>81</v>
      </c>
      <c r="O553" s="2" t="s">
        <v>947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70"/>
        <v>0.43981481481481483</v>
      </c>
      <c r="Z553" s="2" t="s">
        <v>3231</v>
      </c>
      <c r="AA553" s="2" t="s">
        <v>46</v>
      </c>
      <c r="AB553" s="2" t="s">
        <v>57</v>
      </c>
      <c r="AC553" s="2" t="s">
        <v>58</v>
      </c>
      <c r="AF553" s="2">
        <f t="shared" si="64"/>
        <v>0</v>
      </c>
      <c r="AJ553" s="2">
        <f t="shared" si="65"/>
        <v>0</v>
      </c>
      <c r="AK553" s="2">
        <f t="shared" si="66"/>
        <v>7.125</v>
      </c>
      <c r="AL553" s="5">
        <f t="shared" si="71"/>
        <v>0.43981481481481483</v>
      </c>
    </row>
    <row r="554" spans="1:38" hidden="1" x14ac:dyDescent="0.2">
      <c r="A554" s="2">
        <v>2025</v>
      </c>
      <c r="B554" s="2">
        <v>3</v>
      </c>
      <c r="D554" s="2" t="s">
        <v>944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945</v>
      </c>
      <c r="J554" s="2" t="s">
        <v>946</v>
      </c>
      <c r="K554" s="2">
        <v>918832449</v>
      </c>
      <c r="L554" s="2" t="s">
        <v>345</v>
      </c>
      <c r="M554" s="2" t="s">
        <v>81</v>
      </c>
      <c r="O554" s="2" t="s">
        <v>947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70"/>
        <v>1</v>
      </c>
      <c r="Z554" s="2" t="s">
        <v>3231</v>
      </c>
      <c r="AA554" s="2" t="s">
        <v>46</v>
      </c>
      <c r="AB554" s="2" t="s">
        <v>57</v>
      </c>
      <c r="AC554" s="2" t="s">
        <v>58</v>
      </c>
      <c r="AF554" s="2">
        <f t="shared" si="64"/>
        <v>0</v>
      </c>
      <c r="AJ554" s="2">
        <f t="shared" si="65"/>
        <v>0</v>
      </c>
      <c r="AK554" s="2">
        <f t="shared" si="66"/>
        <v>39.6</v>
      </c>
      <c r="AL554" s="5">
        <f t="shared" si="71"/>
        <v>1</v>
      </c>
    </row>
    <row r="555" spans="1:38" hidden="1" x14ac:dyDescent="0.2">
      <c r="A555" s="2">
        <v>2025</v>
      </c>
      <c r="B555" s="2">
        <v>3</v>
      </c>
      <c r="D555" s="2" t="s">
        <v>944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945</v>
      </c>
      <c r="J555" s="2" t="s">
        <v>946</v>
      </c>
      <c r="K555" s="2">
        <v>918832449</v>
      </c>
      <c r="L555" s="2" t="s">
        <v>345</v>
      </c>
      <c r="M555" s="2" t="s">
        <v>81</v>
      </c>
      <c r="O555" s="2" t="s">
        <v>947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70"/>
        <v>0.36923076923076914</v>
      </c>
      <c r="Z555" s="2" t="s">
        <v>3231</v>
      </c>
      <c r="AA555" s="2" t="s">
        <v>46</v>
      </c>
      <c r="AB555" s="2" t="s">
        <v>61</v>
      </c>
      <c r="AC555" s="2" t="s">
        <v>58</v>
      </c>
      <c r="AF555" s="2">
        <f t="shared" si="64"/>
        <v>0</v>
      </c>
      <c r="AG555" s="2">
        <v>8.1999999999999993</v>
      </c>
      <c r="AH555" s="2">
        <v>13</v>
      </c>
      <c r="AJ555" s="2">
        <f t="shared" si="65"/>
        <v>0</v>
      </c>
      <c r="AK555" s="2">
        <f t="shared" si="66"/>
        <v>4.7999999999999989</v>
      </c>
      <c r="AL555" s="5">
        <f t="shared" si="71"/>
        <v>0.36923076923076914</v>
      </c>
    </row>
    <row r="556" spans="1:38" hidden="1" x14ac:dyDescent="0.2">
      <c r="A556" s="2">
        <v>2025</v>
      </c>
      <c r="B556" s="2">
        <v>3</v>
      </c>
      <c r="D556" s="2" t="s">
        <v>944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945</v>
      </c>
      <c r="J556" s="2" t="s">
        <v>946</v>
      </c>
      <c r="K556" s="2">
        <v>918832449</v>
      </c>
      <c r="L556" s="2" t="s">
        <v>345</v>
      </c>
      <c r="M556" s="2" t="s">
        <v>81</v>
      </c>
      <c r="O556" s="2" t="s">
        <v>947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70"/>
        <v>0.42875000000000008</v>
      </c>
      <c r="Z556" s="2" t="s">
        <v>3231</v>
      </c>
      <c r="AA556" s="2" t="s">
        <v>46</v>
      </c>
      <c r="AB556" s="2" t="s">
        <v>61</v>
      </c>
      <c r="AC556" s="2" t="s">
        <v>58</v>
      </c>
      <c r="AF556" s="2">
        <f t="shared" si="64"/>
        <v>0</v>
      </c>
      <c r="AJ556" s="2">
        <f t="shared" si="65"/>
        <v>0</v>
      </c>
      <c r="AK556" s="2">
        <f t="shared" si="66"/>
        <v>13.720000000000002</v>
      </c>
      <c r="AL556" s="5">
        <f t="shared" si="71"/>
        <v>0.42875000000000008</v>
      </c>
    </row>
    <row r="557" spans="1:38" hidden="1" x14ac:dyDescent="0.2">
      <c r="A557" s="2">
        <v>2025</v>
      </c>
      <c r="B557" s="2">
        <v>3</v>
      </c>
      <c r="D557" s="2" t="s">
        <v>948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949</v>
      </c>
      <c r="L557" s="2" t="s">
        <v>340</v>
      </c>
      <c r="M557" s="2" t="s">
        <v>40</v>
      </c>
      <c r="O557" s="2" t="s">
        <v>950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70"/>
        <v>0.6</v>
      </c>
      <c r="Z557" s="2" t="s">
        <v>118</v>
      </c>
      <c r="AA557" s="2" t="s">
        <v>191</v>
      </c>
      <c r="AB557" s="2" t="s">
        <v>190</v>
      </c>
      <c r="AC557" s="2" t="s">
        <v>40</v>
      </c>
      <c r="AF557" s="2">
        <f t="shared" si="64"/>
        <v>0</v>
      </c>
      <c r="AJ557" s="2">
        <f t="shared" si="65"/>
        <v>0</v>
      </c>
      <c r="AK557" s="2">
        <f t="shared" si="66"/>
        <v>30</v>
      </c>
      <c r="AL557" s="5">
        <f t="shared" si="71"/>
        <v>0.6</v>
      </c>
    </row>
    <row r="558" spans="1:38" hidden="1" x14ac:dyDescent="0.2">
      <c r="A558" s="2">
        <v>2025</v>
      </c>
      <c r="B558" s="2">
        <v>3</v>
      </c>
      <c r="D558" s="2" t="s">
        <v>948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949</v>
      </c>
      <c r="L558" s="2" t="s">
        <v>340</v>
      </c>
      <c r="M558" s="2" t="s">
        <v>40</v>
      </c>
      <c r="O558" s="2" t="s">
        <v>950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70"/>
        <v>0.5</v>
      </c>
      <c r="Z558" s="2" t="s">
        <v>118</v>
      </c>
      <c r="AA558" s="2" t="s">
        <v>191</v>
      </c>
      <c r="AB558" s="2" t="s">
        <v>191</v>
      </c>
      <c r="AC558" s="2" t="s">
        <v>40</v>
      </c>
      <c r="AF558" s="2">
        <f t="shared" si="64"/>
        <v>0</v>
      </c>
      <c r="AJ558" s="2">
        <f t="shared" si="65"/>
        <v>0</v>
      </c>
      <c r="AK558" s="2">
        <f t="shared" si="66"/>
        <v>37.5</v>
      </c>
      <c r="AL558" s="5">
        <f t="shared" si="71"/>
        <v>0.5</v>
      </c>
    </row>
    <row r="559" spans="1:38" hidden="1" x14ac:dyDescent="0.2">
      <c r="A559" s="2">
        <v>2025</v>
      </c>
      <c r="B559" s="2">
        <v>3</v>
      </c>
      <c r="D559" s="2" t="s">
        <v>690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691</v>
      </c>
      <c r="K559" s="2">
        <v>913036545</v>
      </c>
      <c r="L559" s="2" t="s">
        <v>178</v>
      </c>
      <c r="M559" s="2" t="s">
        <v>41</v>
      </c>
      <c r="O559" s="2" t="s">
        <v>951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70"/>
        <v>0.44777500000000003</v>
      </c>
      <c r="Z559" s="2" t="s">
        <v>3231</v>
      </c>
      <c r="AA559" s="2" t="s">
        <v>46</v>
      </c>
      <c r="AB559" s="2" t="s">
        <v>47</v>
      </c>
      <c r="AC559" s="2" t="s">
        <v>48</v>
      </c>
      <c r="AF559" s="2">
        <f t="shared" si="64"/>
        <v>0</v>
      </c>
      <c r="AG559" s="2">
        <v>6.6266999999999996</v>
      </c>
      <c r="AH559" s="2">
        <v>12</v>
      </c>
      <c r="AJ559" s="2">
        <f t="shared" si="65"/>
        <v>0</v>
      </c>
      <c r="AK559" s="2">
        <f t="shared" si="66"/>
        <v>5.3733000000000004</v>
      </c>
      <c r="AL559" s="5">
        <f t="shared" si="71"/>
        <v>0.44777500000000003</v>
      </c>
    </row>
    <row r="560" spans="1:38" hidden="1" x14ac:dyDescent="0.2">
      <c r="A560" s="2">
        <v>2025</v>
      </c>
      <c r="B560" s="2">
        <v>3</v>
      </c>
      <c r="D560" s="2" t="s">
        <v>690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691</v>
      </c>
      <c r="K560" s="2">
        <v>913036545</v>
      </c>
      <c r="L560" s="2" t="s">
        <v>178</v>
      </c>
      <c r="M560" s="2" t="s">
        <v>41</v>
      </c>
      <c r="O560" s="2" t="s">
        <v>951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70"/>
        <v>0.51</v>
      </c>
      <c r="Z560" s="2" t="s">
        <v>3231</v>
      </c>
      <c r="AA560" s="2" t="s">
        <v>88</v>
      </c>
      <c r="AB560" s="2" t="s">
        <v>91</v>
      </c>
      <c r="AC560" s="2" t="s">
        <v>85</v>
      </c>
      <c r="AF560" s="2">
        <f t="shared" si="64"/>
        <v>0</v>
      </c>
      <c r="AJ560" s="2">
        <f t="shared" si="65"/>
        <v>0</v>
      </c>
      <c r="AK560" s="2">
        <f t="shared" si="66"/>
        <v>3.06</v>
      </c>
      <c r="AL560" s="5">
        <f t="shared" si="71"/>
        <v>0.51</v>
      </c>
    </row>
    <row r="561" spans="1:38" hidden="1" x14ac:dyDescent="0.2">
      <c r="A561" s="2">
        <v>2025</v>
      </c>
      <c r="B561" s="2">
        <v>3</v>
      </c>
      <c r="D561" s="2" t="s">
        <v>690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691</v>
      </c>
      <c r="K561" s="2">
        <v>913036545</v>
      </c>
      <c r="L561" s="2" t="s">
        <v>178</v>
      </c>
      <c r="M561" s="2" t="s">
        <v>41</v>
      </c>
      <c r="O561" s="2" t="s">
        <v>951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70"/>
        <v>0.58248333333333335</v>
      </c>
      <c r="Z561" s="2" t="s">
        <v>3231</v>
      </c>
      <c r="AA561" s="2" t="s">
        <v>88</v>
      </c>
      <c r="AB561" s="2" t="s">
        <v>91</v>
      </c>
      <c r="AC561" s="2" t="s">
        <v>85</v>
      </c>
      <c r="AF561" s="2">
        <f t="shared" si="64"/>
        <v>0</v>
      </c>
      <c r="AJ561" s="2">
        <f t="shared" si="65"/>
        <v>0</v>
      </c>
      <c r="AK561" s="2">
        <f t="shared" si="66"/>
        <v>3.4948999999999999</v>
      </c>
      <c r="AL561" s="5">
        <f t="shared" si="71"/>
        <v>0.58248333333333335</v>
      </c>
    </row>
    <row r="562" spans="1:38" hidden="1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952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3">SIGN(T562)*((ABS(T562)-W562)/ABS(T562))</f>
        <v>-0.45510144927536228</v>
      </c>
      <c r="Z562" s="2" t="s">
        <v>3231</v>
      </c>
      <c r="AA562" s="2" t="s">
        <v>76</v>
      </c>
      <c r="AB562" s="2" t="s">
        <v>77</v>
      </c>
      <c r="AC562" s="2" t="s">
        <v>78</v>
      </c>
      <c r="AF562" s="2">
        <f t="shared" si="64"/>
        <v>0</v>
      </c>
      <c r="AG562" s="2">
        <v>187.99</v>
      </c>
      <c r="AJ562" s="2">
        <f t="shared" si="65"/>
        <v>0</v>
      </c>
      <c r="AK562" s="2">
        <f t="shared" ref="AK562:AK563" si="74">T562+(W562)</f>
        <v>-157.01</v>
      </c>
      <c r="AL562" s="18">
        <f t="shared" ref="AL562:AL563" si="75">SIGN(T562)*((ABS(T562)-W562)/ABS(T562))</f>
        <v>-0.45510144927536228</v>
      </c>
    </row>
    <row r="563" spans="1:38" hidden="1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952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3"/>
        <v>0</v>
      </c>
      <c r="Z563" s="2" t="s">
        <v>3231</v>
      </c>
      <c r="AA563" s="2" t="s">
        <v>97</v>
      </c>
      <c r="AB563" s="2" t="s">
        <v>77</v>
      </c>
      <c r="AC563" s="2" t="s">
        <v>94</v>
      </c>
      <c r="AF563" s="2">
        <f t="shared" si="64"/>
        <v>0</v>
      </c>
      <c r="AJ563" s="2">
        <f t="shared" si="65"/>
        <v>0</v>
      </c>
      <c r="AK563" s="2">
        <f t="shared" si="74"/>
        <v>0</v>
      </c>
      <c r="AL563" s="18">
        <f t="shared" si="75"/>
        <v>0</v>
      </c>
    </row>
    <row r="564" spans="1:38" hidden="1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953</v>
      </c>
      <c r="P564" s="2" t="s">
        <v>115</v>
      </c>
      <c r="Q564" s="2" t="s">
        <v>736</v>
      </c>
      <c r="R564" s="2" t="s">
        <v>737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6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4"/>
        <v>0</v>
      </c>
      <c r="AG564" s="2">
        <v>10.38</v>
      </c>
      <c r="AJ564" s="2">
        <f t="shared" si="65"/>
        <v>0</v>
      </c>
      <c r="AK564" s="2">
        <f t="shared" si="66"/>
        <v>6.99</v>
      </c>
      <c r="AL564" s="5">
        <f t="shared" si="71"/>
        <v>0.4024179620034542</v>
      </c>
    </row>
    <row r="565" spans="1:38" hidden="1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954</v>
      </c>
      <c r="P565" s="2" t="s">
        <v>115</v>
      </c>
      <c r="Q565" s="2" t="s">
        <v>955</v>
      </c>
      <c r="R565" s="2" t="s">
        <v>956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6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4"/>
        <v>0</v>
      </c>
      <c r="AG565" s="2">
        <v>14.4</v>
      </c>
      <c r="AJ565" s="2">
        <f t="shared" si="65"/>
        <v>0</v>
      </c>
      <c r="AK565" s="2">
        <f t="shared" si="66"/>
        <v>16.920000000000002</v>
      </c>
      <c r="AL565" s="5">
        <f t="shared" si="71"/>
        <v>0.54022988505747127</v>
      </c>
    </row>
    <row r="566" spans="1:38" hidden="1" x14ac:dyDescent="0.2">
      <c r="A566" s="2">
        <v>2025</v>
      </c>
      <c r="B566" s="2">
        <v>3</v>
      </c>
      <c r="D566" s="2" t="s">
        <v>707</v>
      </c>
      <c r="E566" s="2" t="s">
        <v>184</v>
      </c>
      <c r="G566" s="2">
        <v>500038996</v>
      </c>
      <c r="H566" s="2" t="s">
        <v>110</v>
      </c>
      <c r="I566" s="2" t="s">
        <v>708</v>
      </c>
      <c r="J566" s="2" t="s">
        <v>709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710</v>
      </c>
      <c r="R566" s="2" t="s">
        <v>711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6"/>
        <v>0.22234718749999999</v>
      </c>
      <c r="Z566" s="2" t="s">
        <v>105</v>
      </c>
      <c r="AA566" s="2" t="s">
        <v>579</v>
      </c>
      <c r="AB566" s="2" t="s">
        <v>702</v>
      </c>
      <c r="AC566" s="2" t="s">
        <v>115</v>
      </c>
      <c r="AF566" s="2">
        <f t="shared" si="64"/>
        <v>0</v>
      </c>
      <c r="AJ566" s="2">
        <f t="shared" si="65"/>
        <v>0</v>
      </c>
      <c r="AK566" s="2">
        <f t="shared" si="66"/>
        <v>711.51099999999997</v>
      </c>
      <c r="AL566" s="5">
        <f t="shared" si="71"/>
        <v>0.22234718749999999</v>
      </c>
    </row>
    <row r="567" spans="1:38" hidden="1" x14ac:dyDescent="0.2">
      <c r="A567" s="2">
        <v>2025</v>
      </c>
      <c r="B567" s="2">
        <v>3</v>
      </c>
      <c r="D567" s="2" t="s">
        <v>707</v>
      </c>
      <c r="E567" s="2" t="s">
        <v>184</v>
      </c>
      <c r="G567" s="2">
        <v>500038996</v>
      </c>
      <c r="H567" s="2" t="s">
        <v>110</v>
      </c>
      <c r="I567" s="2" t="s">
        <v>708</v>
      </c>
      <c r="J567" s="2" t="s">
        <v>709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6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4"/>
        <v>0</v>
      </c>
      <c r="AJ567" s="2">
        <f t="shared" si="65"/>
        <v>0</v>
      </c>
      <c r="AK567" s="2">
        <f t="shared" si="66"/>
        <v>4230.6000000000004</v>
      </c>
      <c r="AL567" s="5">
        <f t="shared" si="71"/>
        <v>0.28393288590604027</v>
      </c>
    </row>
    <row r="568" spans="1:38" hidden="1" x14ac:dyDescent="0.2">
      <c r="A568" s="2">
        <v>2025</v>
      </c>
      <c r="B568" s="2">
        <v>3</v>
      </c>
      <c r="D568" s="2" t="s">
        <v>707</v>
      </c>
      <c r="E568" s="2" t="s">
        <v>184</v>
      </c>
      <c r="G568" s="2">
        <v>500038996</v>
      </c>
      <c r="H568" s="2" t="s">
        <v>110</v>
      </c>
      <c r="I568" s="2" t="s">
        <v>708</v>
      </c>
      <c r="J568" s="2" t="s">
        <v>709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712</v>
      </c>
      <c r="R568" s="2" t="s">
        <v>713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6"/>
        <v>1</v>
      </c>
      <c r="Z568" s="2" t="s">
        <v>105</v>
      </c>
      <c r="AF568" s="2">
        <f t="shared" si="64"/>
        <v>0</v>
      </c>
      <c r="AJ568" s="2">
        <f t="shared" si="65"/>
        <v>0</v>
      </c>
      <c r="AK568" s="2">
        <f t="shared" si="66"/>
        <v>5500</v>
      </c>
      <c r="AL568" s="5">
        <f t="shared" si="71"/>
        <v>1</v>
      </c>
    </row>
    <row r="569" spans="1:38" hidden="1" x14ac:dyDescent="0.2">
      <c r="A569" s="2">
        <v>2025</v>
      </c>
      <c r="B569" s="2">
        <v>3</v>
      </c>
      <c r="D569" s="2" t="s">
        <v>707</v>
      </c>
      <c r="E569" s="2" t="s">
        <v>184</v>
      </c>
      <c r="G569" s="2">
        <v>500038996</v>
      </c>
      <c r="H569" s="2" t="s">
        <v>110</v>
      </c>
      <c r="I569" s="2" t="s">
        <v>708</v>
      </c>
      <c r="J569" s="2" t="s">
        <v>709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957</v>
      </c>
      <c r="R569" s="2" t="s">
        <v>958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6"/>
        <v>0.34659292929292934</v>
      </c>
      <c r="Z569" s="2" t="s">
        <v>105</v>
      </c>
      <c r="AA569" s="2" t="s">
        <v>617</v>
      </c>
      <c r="AB569" s="2" t="s">
        <v>959</v>
      </c>
      <c r="AC569" s="2" t="s">
        <v>115</v>
      </c>
      <c r="AF569" s="2">
        <f t="shared" si="64"/>
        <v>0</v>
      </c>
      <c r="AG569" s="2">
        <v>6468.73</v>
      </c>
      <c r="AJ569" s="2">
        <f t="shared" si="65"/>
        <v>0</v>
      </c>
      <c r="AK569" s="2">
        <f t="shared" si="66"/>
        <v>3431.2700000000004</v>
      </c>
      <c r="AL569" s="5">
        <f t="shared" si="71"/>
        <v>0.34659292929292934</v>
      </c>
    </row>
    <row r="570" spans="1:38" hidden="1" x14ac:dyDescent="0.2">
      <c r="A570" s="2">
        <v>2025</v>
      </c>
      <c r="B570" s="2">
        <v>3</v>
      </c>
      <c r="D570" s="2" t="s">
        <v>707</v>
      </c>
      <c r="E570" s="2" t="s">
        <v>184</v>
      </c>
      <c r="G570" s="2">
        <v>500038996</v>
      </c>
      <c r="H570" s="2" t="s">
        <v>110</v>
      </c>
      <c r="I570" s="2" t="s">
        <v>708</v>
      </c>
      <c r="J570" s="2" t="s">
        <v>709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714</v>
      </c>
      <c r="R570" s="2" t="s">
        <v>715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6"/>
        <v>1</v>
      </c>
      <c r="Z570" s="2" t="s">
        <v>105</v>
      </c>
      <c r="AF570" s="2">
        <f t="shared" si="64"/>
        <v>0</v>
      </c>
      <c r="AJ570" s="2">
        <f t="shared" si="65"/>
        <v>0</v>
      </c>
      <c r="AK570" s="2">
        <f t="shared" si="66"/>
        <v>3400</v>
      </c>
      <c r="AL570" s="5">
        <f t="shared" si="71"/>
        <v>1</v>
      </c>
    </row>
    <row r="571" spans="1:38" hidden="1" x14ac:dyDescent="0.2">
      <c r="A571" s="2">
        <v>2025</v>
      </c>
      <c r="B571" s="2">
        <v>3</v>
      </c>
      <c r="D571" s="2" t="s">
        <v>707</v>
      </c>
      <c r="E571" s="2" t="s">
        <v>184</v>
      </c>
      <c r="G571" s="2">
        <v>500038996</v>
      </c>
      <c r="H571" s="2" t="s">
        <v>110</v>
      </c>
      <c r="I571" s="2" t="s">
        <v>708</v>
      </c>
      <c r="J571" s="2" t="s">
        <v>709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839</v>
      </c>
      <c r="R571" s="2" t="s">
        <v>840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6"/>
        <v>1</v>
      </c>
      <c r="Z571" s="2" t="s">
        <v>105</v>
      </c>
      <c r="AF571" s="2">
        <f t="shared" si="64"/>
        <v>0</v>
      </c>
      <c r="AJ571" s="2">
        <f t="shared" si="65"/>
        <v>0</v>
      </c>
      <c r="AK571" s="2">
        <f t="shared" si="66"/>
        <v>3600</v>
      </c>
      <c r="AL571" s="5">
        <f t="shared" si="71"/>
        <v>1</v>
      </c>
    </row>
    <row r="572" spans="1:38" hidden="1" x14ac:dyDescent="0.2">
      <c r="A572" s="2">
        <v>2025</v>
      </c>
      <c r="B572" s="2">
        <v>3</v>
      </c>
      <c r="D572" s="2" t="s">
        <v>960</v>
      </c>
      <c r="M572" s="2" t="s">
        <v>40</v>
      </c>
      <c r="P572" s="2" t="s">
        <v>115</v>
      </c>
      <c r="Q572" s="2" t="s">
        <v>906</v>
      </c>
      <c r="R572" s="2" t="s">
        <v>907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6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4"/>
        <v>0</v>
      </c>
      <c r="AJ572" s="2">
        <f t="shared" si="65"/>
        <v>0</v>
      </c>
      <c r="AK572" s="2">
        <f t="shared" si="66"/>
        <v>354.09659999999997</v>
      </c>
      <c r="AL572" s="5">
        <f t="shared" si="71"/>
        <v>0.50635864435864431</v>
      </c>
    </row>
    <row r="573" spans="1:38" hidden="1" x14ac:dyDescent="0.2">
      <c r="A573" s="2">
        <v>2025</v>
      </c>
      <c r="B573" s="2">
        <v>3</v>
      </c>
      <c r="D573" s="2" t="s">
        <v>960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6"/>
        <v>0.6</v>
      </c>
      <c r="Z573" s="2" t="s">
        <v>118</v>
      </c>
      <c r="AA573" s="2" t="s">
        <v>191</v>
      </c>
      <c r="AB573" s="2" t="s">
        <v>190</v>
      </c>
      <c r="AC573" s="2" t="s">
        <v>40</v>
      </c>
      <c r="AF573" s="2">
        <f t="shared" si="64"/>
        <v>0</v>
      </c>
      <c r="AJ573" s="2">
        <f t="shared" si="65"/>
        <v>0</v>
      </c>
      <c r="AK573" s="2">
        <f t="shared" si="66"/>
        <v>45</v>
      </c>
      <c r="AL573" s="5">
        <f t="shared" si="71"/>
        <v>0.6</v>
      </c>
    </row>
    <row r="574" spans="1:38" hidden="1" x14ac:dyDescent="0.2">
      <c r="A574" s="2">
        <v>2025</v>
      </c>
      <c r="B574" s="2">
        <v>3</v>
      </c>
      <c r="D574" s="2" t="s">
        <v>960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6"/>
        <v>0.5</v>
      </c>
      <c r="Z574" s="2" t="s">
        <v>118</v>
      </c>
      <c r="AA574" s="2" t="s">
        <v>191</v>
      </c>
      <c r="AB574" s="2" t="s">
        <v>191</v>
      </c>
      <c r="AC574" s="2" t="s">
        <v>40</v>
      </c>
      <c r="AF574" s="2">
        <f t="shared" si="64"/>
        <v>0</v>
      </c>
      <c r="AJ574" s="2">
        <f t="shared" si="65"/>
        <v>0</v>
      </c>
      <c r="AK574" s="2">
        <f t="shared" si="66"/>
        <v>25</v>
      </c>
      <c r="AL574" s="5">
        <f t="shared" si="71"/>
        <v>0.5</v>
      </c>
    </row>
    <row r="575" spans="1:38" hidden="1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961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6"/>
        <v>0.2383333333333334</v>
      </c>
      <c r="Z575" s="2" t="s">
        <v>3231</v>
      </c>
      <c r="AA575" s="2" t="s">
        <v>46</v>
      </c>
      <c r="AB575" s="2" t="s">
        <v>61</v>
      </c>
      <c r="AC575" s="2" t="s">
        <v>58</v>
      </c>
      <c r="AF575" s="2">
        <f t="shared" si="64"/>
        <v>0</v>
      </c>
      <c r="AG575" s="2">
        <v>9.14</v>
      </c>
      <c r="AH575" s="2">
        <v>16</v>
      </c>
      <c r="AJ575" s="2">
        <f t="shared" si="65"/>
        <v>0</v>
      </c>
      <c r="AK575" s="2">
        <f t="shared" si="66"/>
        <v>28.600000000000009</v>
      </c>
      <c r="AL575" s="5">
        <f t="shared" si="71"/>
        <v>0.2383333333333334</v>
      </c>
    </row>
    <row r="576" spans="1:38" hidden="1" x14ac:dyDescent="0.2">
      <c r="A576" s="2">
        <v>2025</v>
      </c>
      <c r="B576" s="2">
        <v>3</v>
      </c>
      <c r="D576" s="2" t="s">
        <v>962</v>
      </c>
      <c r="P576" s="2" t="s">
        <v>73</v>
      </c>
      <c r="Q576" s="2" t="s">
        <v>963</v>
      </c>
      <c r="R576" s="2" t="s">
        <v>964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6"/>
        <v>0.48838202247191015</v>
      </c>
      <c r="Z576" s="2" t="s">
        <v>3231</v>
      </c>
      <c r="AA576" s="2" t="s">
        <v>76</v>
      </c>
      <c r="AB576" s="2" t="s">
        <v>77</v>
      </c>
      <c r="AC576" s="2" t="s">
        <v>78</v>
      </c>
      <c r="AF576" s="2">
        <f t="shared" si="64"/>
        <v>0</v>
      </c>
      <c r="AJ576" s="2">
        <f t="shared" si="65"/>
        <v>0</v>
      </c>
      <c r="AK576" s="2">
        <f t="shared" si="66"/>
        <v>217.33</v>
      </c>
      <c r="AL576" s="5">
        <f t="shared" si="71"/>
        <v>0.48838202247191015</v>
      </c>
    </row>
    <row r="577" spans="1:38" hidden="1" x14ac:dyDescent="0.2">
      <c r="A577" s="2">
        <v>2025</v>
      </c>
      <c r="B577" s="2">
        <v>3</v>
      </c>
      <c r="D577" s="2" t="s">
        <v>962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6"/>
        <v>0</v>
      </c>
      <c r="Z577" s="2" t="s">
        <v>3231</v>
      </c>
      <c r="AA577" s="2" t="s">
        <v>97</v>
      </c>
      <c r="AB577" s="2" t="s">
        <v>77</v>
      </c>
      <c r="AC577" s="2" t="s">
        <v>94</v>
      </c>
      <c r="AF577" s="2">
        <f t="shared" si="64"/>
        <v>0</v>
      </c>
      <c r="AJ577" s="2">
        <f t="shared" si="65"/>
        <v>0</v>
      </c>
      <c r="AK577" s="2">
        <f t="shared" si="66"/>
        <v>0</v>
      </c>
      <c r="AL577" s="5">
        <f t="shared" si="71"/>
        <v>0</v>
      </c>
    </row>
    <row r="578" spans="1:38" hidden="1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965</v>
      </c>
      <c r="P578" s="2" t="s">
        <v>43</v>
      </c>
      <c r="Q578" s="2" t="s">
        <v>966</v>
      </c>
      <c r="R578" s="2" t="s">
        <v>967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6"/>
        <v>0.5575</v>
      </c>
      <c r="Z578" s="2" t="s">
        <v>3231</v>
      </c>
      <c r="AA578" s="2" t="s">
        <v>46</v>
      </c>
      <c r="AB578" s="2" t="s">
        <v>61</v>
      </c>
      <c r="AC578" s="2" t="s">
        <v>58</v>
      </c>
      <c r="AF578" s="2">
        <f t="shared" ref="AF578:AF641" si="77">AJ578</f>
        <v>0</v>
      </c>
      <c r="AG578" s="2">
        <v>1.77</v>
      </c>
      <c r="AH578" s="2">
        <v>5</v>
      </c>
      <c r="AJ578" s="2">
        <f t="shared" ref="AJ578:AJ641" si="78">AI578*T578</f>
        <v>0</v>
      </c>
      <c r="AK578" s="2">
        <f t="shared" ref="AK578:AK641" si="79">T578-W578</f>
        <v>22.3</v>
      </c>
      <c r="AL578" s="5">
        <f t="shared" si="71"/>
        <v>0.5575</v>
      </c>
    </row>
    <row r="579" spans="1:38" hidden="1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968</v>
      </c>
      <c r="P579" s="2" t="s">
        <v>43</v>
      </c>
      <c r="Q579" s="2" t="s">
        <v>969</v>
      </c>
      <c r="R579" s="2" t="s">
        <v>970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6"/>
        <v>1</v>
      </c>
      <c r="Z579" s="2" t="s">
        <v>3231</v>
      </c>
      <c r="AA579" s="2" t="s">
        <v>46</v>
      </c>
      <c r="AB579" s="2" t="s">
        <v>61</v>
      </c>
      <c r="AC579" s="2" t="s">
        <v>58</v>
      </c>
      <c r="AF579" s="2">
        <f t="shared" si="77"/>
        <v>0</v>
      </c>
      <c r="AJ579" s="2">
        <f t="shared" si="78"/>
        <v>0</v>
      </c>
      <c r="AK579" s="2">
        <f t="shared" si="79"/>
        <v>150</v>
      </c>
      <c r="AL579" s="5">
        <f t="shared" si="71"/>
        <v>1</v>
      </c>
    </row>
    <row r="580" spans="1:38" hidden="1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968</v>
      </c>
      <c r="P580" s="2" t="s">
        <v>43</v>
      </c>
      <c r="Q580" s="2" t="s">
        <v>971</v>
      </c>
      <c r="R580" s="2" t="s">
        <v>972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76"/>
        <v>0.3664862068965517</v>
      </c>
      <c r="Z580" s="2" t="s">
        <v>3231</v>
      </c>
      <c r="AA580" s="2" t="s">
        <v>46</v>
      </c>
      <c r="AB580" s="2" t="s">
        <v>61</v>
      </c>
      <c r="AC580" s="2" t="s">
        <v>58</v>
      </c>
      <c r="AF580" s="2">
        <f t="shared" si="77"/>
        <v>0</v>
      </c>
      <c r="AJ580" s="2">
        <f t="shared" si="78"/>
        <v>0</v>
      </c>
      <c r="AK580" s="2">
        <f t="shared" si="79"/>
        <v>127.53719999999998</v>
      </c>
      <c r="AL580" s="5">
        <f t="shared" si="71"/>
        <v>0.3664862068965517</v>
      </c>
    </row>
    <row r="581" spans="1:38" hidden="1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968</v>
      </c>
      <c r="P581" s="2" t="s">
        <v>43</v>
      </c>
      <c r="Q581" s="2" t="s">
        <v>973</v>
      </c>
      <c r="R581" s="2" t="s">
        <v>974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6"/>
        <v>1</v>
      </c>
      <c r="Z581" s="2" t="s">
        <v>3231</v>
      </c>
      <c r="AA581" s="2" t="s">
        <v>46</v>
      </c>
      <c r="AB581" s="2" t="s">
        <v>61</v>
      </c>
      <c r="AC581" s="2" t="s">
        <v>58</v>
      </c>
      <c r="AF581" s="2">
        <f t="shared" si="77"/>
        <v>0</v>
      </c>
      <c r="AJ581" s="2">
        <f t="shared" si="78"/>
        <v>0</v>
      </c>
      <c r="AK581" s="2">
        <f t="shared" si="79"/>
        <v>580</v>
      </c>
      <c r="AL581" s="5">
        <f t="shared" si="71"/>
        <v>1</v>
      </c>
    </row>
    <row r="582" spans="1:38" hidden="1" x14ac:dyDescent="0.2">
      <c r="A582" s="2">
        <v>2025</v>
      </c>
      <c r="B582" s="2">
        <v>3</v>
      </c>
      <c r="D582" s="2" t="s">
        <v>975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6"/>
        <v>0.6</v>
      </c>
      <c r="Z582" s="2" t="s">
        <v>118</v>
      </c>
      <c r="AA582" s="2" t="s">
        <v>191</v>
      </c>
      <c r="AB582" s="2" t="s">
        <v>190</v>
      </c>
      <c r="AC582" s="2" t="s">
        <v>40</v>
      </c>
      <c r="AF582" s="2">
        <f t="shared" si="77"/>
        <v>0</v>
      </c>
      <c r="AJ582" s="2">
        <f t="shared" si="78"/>
        <v>0</v>
      </c>
      <c r="AK582" s="2">
        <f t="shared" si="79"/>
        <v>30</v>
      </c>
      <c r="AL582" s="5">
        <f t="shared" si="71"/>
        <v>0.6</v>
      </c>
    </row>
    <row r="583" spans="1:38" hidden="1" x14ac:dyDescent="0.2">
      <c r="A583" s="2">
        <v>2025</v>
      </c>
      <c r="B583" s="2">
        <v>3</v>
      </c>
      <c r="D583" s="2" t="s">
        <v>975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6"/>
        <v>0.5</v>
      </c>
      <c r="Z583" s="2" t="s">
        <v>118</v>
      </c>
      <c r="AA583" s="2" t="s">
        <v>191</v>
      </c>
      <c r="AB583" s="2" t="s">
        <v>191</v>
      </c>
      <c r="AC583" s="2" t="s">
        <v>40</v>
      </c>
      <c r="AF583" s="2">
        <f t="shared" si="77"/>
        <v>0</v>
      </c>
      <c r="AJ583" s="2">
        <f t="shared" si="78"/>
        <v>0</v>
      </c>
      <c r="AK583" s="2">
        <f t="shared" si="79"/>
        <v>25</v>
      </c>
      <c r="AL583" s="5">
        <f t="shared" si="71"/>
        <v>0.5</v>
      </c>
    </row>
    <row r="584" spans="1:38" hidden="1" x14ac:dyDescent="0.2">
      <c r="A584" s="2">
        <v>2025</v>
      </c>
      <c r="B584" s="2">
        <v>3</v>
      </c>
      <c r="D584" s="2" t="s">
        <v>976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977</v>
      </c>
      <c r="J584" s="2" t="s">
        <v>978</v>
      </c>
      <c r="L584" s="2" t="s">
        <v>601</v>
      </c>
      <c r="M584" s="2" t="s">
        <v>40</v>
      </c>
      <c r="O584" s="2" t="s">
        <v>979</v>
      </c>
      <c r="P584" s="2" t="s">
        <v>115</v>
      </c>
      <c r="Q584" s="2" t="s">
        <v>980</v>
      </c>
      <c r="R584" s="2" t="s">
        <v>981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6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7"/>
        <v>0</v>
      </c>
      <c r="AG584" s="2">
        <f>37.85+0.16</f>
        <v>38.01</v>
      </c>
      <c r="AJ584" s="2">
        <f t="shared" si="78"/>
        <v>0</v>
      </c>
      <c r="AK584" s="2">
        <f t="shared" si="79"/>
        <v>38.920000000000009</v>
      </c>
      <c r="AL584" s="5">
        <f t="shared" si="71"/>
        <v>0.50591446769790727</v>
      </c>
    </row>
    <row r="585" spans="1:38" hidden="1" x14ac:dyDescent="0.2">
      <c r="A585" s="2">
        <v>2025</v>
      </c>
      <c r="B585" s="2">
        <v>3</v>
      </c>
      <c r="D585" s="2" t="s">
        <v>976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977</v>
      </c>
      <c r="J585" s="2" t="s">
        <v>978</v>
      </c>
      <c r="L585" s="2" t="s">
        <v>601</v>
      </c>
      <c r="M585" s="2" t="s">
        <v>40</v>
      </c>
      <c r="O585" s="2" t="s">
        <v>979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6"/>
        <v>0.6</v>
      </c>
      <c r="Z585" s="2" t="s">
        <v>118</v>
      </c>
      <c r="AA585" s="2" t="s">
        <v>191</v>
      </c>
      <c r="AB585" s="2" t="s">
        <v>190</v>
      </c>
      <c r="AC585" s="2" t="s">
        <v>40</v>
      </c>
      <c r="AF585" s="2">
        <f t="shared" si="77"/>
        <v>0</v>
      </c>
      <c r="AJ585" s="2">
        <f t="shared" si="78"/>
        <v>0</v>
      </c>
      <c r="AK585" s="2">
        <f t="shared" si="79"/>
        <v>117</v>
      </c>
      <c r="AL585" s="5">
        <f t="shared" si="71"/>
        <v>0.6</v>
      </c>
    </row>
    <row r="586" spans="1:38" hidden="1" x14ac:dyDescent="0.2">
      <c r="A586" s="2">
        <v>2025</v>
      </c>
      <c r="B586" s="2">
        <v>3</v>
      </c>
      <c r="D586" s="2" t="s">
        <v>976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977</v>
      </c>
      <c r="J586" s="2" t="s">
        <v>978</v>
      </c>
      <c r="L586" s="2" t="s">
        <v>601</v>
      </c>
      <c r="M586" s="2" t="s">
        <v>40</v>
      </c>
      <c r="O586" s="2" t="s">
        <v>979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6"/>
        <v>0.5</v>
      </c>
      <c r="Z586" s="2" t="s">
        <v>118</v>
      </c>
      <c r="AA586" s="2" t="s">
        <v>191</v>
      </c>
      <c r="AB586" s="2" t="s">
        <v>191</v>
      </c>
      <c r="AC586" s="2" t="s">
        <v>40</v>
      </c>
      <c r="AF586" s="2">
        <f t="shared" si="77"/>
        <v>0</v>
      </c>
      <c r="AJ586" s="2">
        <f t="shared" si="78"/>
        <v>0</v>
      </c>
      <c r="AK586" s="2">
        <f t="shared" si="79"/>
        <v>50</v>
      </c>
      <c r="AL586" s="5">
        <f t="shared" si="71"/>
        <v>0.5</v>
      </c>
    </row>
    <row r="587" spans="1:38" hidden="1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6"/>
        <v>0.28474761904761903</v>
      </c>
      <c r="Z587" s="2" t="s">
        <v>3231</v>
      </c>
      <c r="AA587" s="2" t="s">
        <v>46</v>
      </c>
      <c r="AB587" s="2" t="s">
        <v>68</v>
      </c>
      <c r="AC587" s="2" t="s">
        <v>58</v>
      </c>
      <c r="AF587" s="2">
        <f t="shared" si="77"/>
        <v>0</v>
      </c>
      <c r="AG587" s="2">
        <v>15.020300000000001</v>
      </c>
      <c r="AH587" s="2">
        <v>27.6</v>
      </c>
      <c r="AJ587" s="2">
        <f t="shared" si="78"/>
        <v>0</v>
      </c>
      <c r="AK587" s="2">
        <f t="shared" si="79"/>
        <v>23.918799999999997</v>
      </c>
      <c r="AL587" s="5">
        <f t="shared" si="71"/>
        <v>0.28474761904761903</v>
      </c>
    </row>
    <row r="588" spans="1:38" hidden="1" x14ac:dyDescent="0.2">
      <c r="A588" s="2">
        <v>2025</v>
      </c>
      <c r="B588" s="2">
        <v>3</v>
      </c>
      <c r="D588" s="2" t="s">
        <v>982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6"/>
        <v>0.44777500000000003</v>
      </c>
      <c r="Z588" s="2" t="s">
        <v>3231</v>
      </c>
      <c r="AA588" s="2" t="s">
        <v>46</v>
      </c>
      <c r="AB588" s="2" t="s">
        <v>47</v>
      </c>
      <c r="AC588" s="2" t="s">
        <v>48</v>
      </c>
      <c r="AF588" s="2">
        <f t="shared" si="77"/>
        <v>0</v>
      </c>
      <c r="AG588" s="2">
        <v>6.6266999999999996</v>
      </c>
      <c r="AH588" s="2">
        <v>12</v>
      </c>
      <c r="AJ588" s="2">
        <f t="shared" si="78"/>
        <v>0</v>
      </c>
      <c r="AK588" s="2">
        <f t="shared" si="79"/>
        <v>10.746600000000001</v>
      </c>
      <c r="AL588" s="5">
        <f t="shared" si="71"/>
        <v>0.44777500000000003</v>
      </c>
    </row>
    <row r="589" spans="1:38" hidden="1" x14ac:dyDescent="0.2">
      <c r="A589" s="2">
        <v>2025</v>
      </c>
      <c r="B589" s="2">
        <v>3</v>
      </c>
      <c r="D589" s="2" t="s">
        <v>982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6"/>
        <v>0.29692307692307701</v>
      </c>
      <c r="Z589" s="2" t="s">
        <v>3231</v>
      </c>
      <c r="AA589" s="2" t="s">
        <v>46</v>
      </c>
      <c r="AB589" s="2" t="s">
        <v>61</v>
      </c>
      <c r="AC589" s="2" t="s">
        <v>58</v>
      </c>
      <c r="AF589" s="2">
        <f t="shared" si="77"/>
        <v>0</v>
      </c>
      <c r="AG589" s="2">
        <v>9.14</v>
      </c>
      <c r="AH589" s="2">
        <v>16</v>
      </c>
      <c r="AJ589" s="2">
        <f t="shared" si="78"/>
        <v>0</v>
      </c>
      <c r="AK589" s="2">
        <f t="shared" si="79"/>
        <v>3.8600000000000012</v>
      </c>
      <c r="AL589" s="5">
        <f t="shared" si="71"/>
        <v>0.29692307692307701</v>
      </c>
    </row>
    <row r="590" spans="1:38" hidden="1" x14ac:dyDescent="0.2">
      <c r="A590" s="2">
        <v>2025</v>
      </c>
      <c r="B590" s="2">
        <v>3</v>
      </c>
      <c r="D590" s="2" t="s">
        <v>982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6"/>
        <v>0.42352941176470588</v>
      </c>
      <c r="Z590" s="2" t="s">
        <v>3231</v>
      </c>
      <c r="AA590" s="2" t="s">
        <v>88</v>
      </c>
      <c r="AB590" s="2" t="s">
        <v>91</v>
      </c>
      <c r="AC590" s="2" t="s">
        <v>85</v>
      </c>
      <c r="AF590" s="2">
        <f t="shared" si="77"/>
        <v>0</v>
      </c>
      <c r="AJ590" s="2">
        <f t="shared" si="78"/>
        <v>0</v>
      </c>
      <c r="AK590" s="2">
        <f t="shared" si="79"/>
        <v>5.04</v>
      </c>
      <c r="AL590" s="5">
        <f t="shared" si="71"/>
        <v>0.42352941176470588</v>
      </c>
    </row>
    <row r="591" spans="1:38" hidden="1" x14ac:dyDescent="0.2">
      <c r="A591" s="2">
        <v>2025</v>
      </c>
      <c r="B591" s="2">
        <v>3</v>
      </c>
      <c r="D591" s="2" t="s">
        <v>983</v>
      </c>
      <c r="E591" s="2" t="s">
        <v>109</v>
      </c>
      <c r="F591" s="2" t="s">
        <v>718</v>
      </c>
      <c r="G591" s="2">
        <v>500594309</v>
      </c>
      <c r="H591" s="2" t="s">
        <v>291</v>
      </c>
      <c r="I591" s="2" t="s">
        <v>984</v>
      </c>
      <c r="J591" s="2" t="s">
        <v>985</v>
      </c>
      <c r="L591" s="2" t="s">
        <v>294</v>
      </c>
      <c r="M591" s="2" t="s">
        <v>81</v>
      </c>
      <c r="O591" s="2" t="s">
        <v>986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6"/>
        <v>0.44069999999999998</v>
      </c>
      <c r="Z591" s="2" t="s">
        <v>3231</v>
      </c>
      <c r="AA591" s="2" t="s">
        <v>76</v>
      </c>
      <c r="AB591" s="2" t="s">
        <v>77</v>
      </c>
      <c r="AC591" s="2" t="s">
        <v>78</v>
      </c>
      <c r="AF591" s="2">
        <f t="shared" si="77"/>
        <v>0</v>
      </c>
      <c r="AG591" s="2">
        <v>117.453</v>
      </c>
      <c r="AH591" s="2">
        <v>220</v>
      </c>
      <c r="AJ591" s="2">
        <f t="shared" si="78"/>
        <v>0</v>
      </c>
      <c r="AK591" s="2">
        <f t="shared" si="79"/>
        <v>92.546999999999997</v>
      </c>
      <c r="AL591" s="5">
        <f t="shared" si="71"/>
        <v>0.44069999999999998</v>
      </c>
    </row>
    <row r="592" spans="1:38" hidden="1" x14ac:dyDescent="0.2">
      <c r="A592" s="2">
        <v>2025</v>
      </c>
      <c r="B592" s="2">
        <v>3</v>
      </c>
      <c r="D592" s="2" t="s">
        <v>983</v>
      </c>
      <c r="E592" s="2" t="s">
        <v>109</v>
      </c>
      <c r="F592" s="2" t="s">
        <v>718</v>
      </c>
      <c r="G592" s="2">
        <v>500594309</v>
      </c>
      <c r="H592" s="2" t="s">
        <v>291</v>
      </c>
      <c r="I592" s="2" t="s">
        <v>984</v>
      </c>
      <c r="J592" s="2" t="s">
        <v>985</v>
      </c>
      <c r="L592" s="2" t="s">
        <v>294</v>
      </c>
      <c r="M592" s="2" t="s">
        <v>81</v>
      </c>
      <c r="O592" s="2" t="s">
        <v>986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6"/>
        <v>0</v>
      </c>
      <c r="Z592" s="2" t="s">
        <v>3231</v>
      </c>
      <c r="AA592" s="2" t="s">
        <v>97</v>
      </c>
      <c r="AB592" s="2" t="s">
        <v>77</v>
      </c>
      <c r="AC592" s="2" t="s">
        <v>94</v>
      </c>
      <c r="AF592" s="2">
        <f t="shared" si="77"/>
        <v>0</v>
      </c>
      <c r="AG592" s="2">
        <v>1.1399999999999999</v>
      </c>
      <c r="AH592" s="2">
        <v>1.1399999999999999</v>
      </c>
      <c r="AJ592" s="2">
        <f t="shared" si="78"/>
        <v>0</v>
      </c>
      <c r="AK592" s="2">
        <f t="shared" si="79"/>
        <v>0</v>
      </c>
      <c r="AL592" s="5">
        <f t="shared" si="71"/>
        <v>0</v>
      </c>
    </row>
    <row r="593" spans="1:38" hidden="1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6"/>
        <v>0.72</v>
      </c>
      <c r="Z593" s="2" t="s">
        <v>3231</v>
      </c>
      <c r="AA593" s="2" t="s">
        <v>156</v>
      </c>
      <c r="AB593" s="2" t="s">
        <v>155</v>
      </c>
      <c r="AC593" s="2" t="s">
        <v>153</v>
      </c>
      <c r="AF593" s="2">
        <f t="shared" si="77"/>
        <v>0</v>
      </c>
      <c r="AG593" s="2">
        <v>0.7</v>
      </c>
      <c r="AJ593" s="2">
        <f t="shared" si="78"/>
        <v>0</v>
      </c>
      <c r="AK593" s="2">
        <f t="shared" si="79"/>
        <v>28.8</v>
      </c>
      <c r="AL593" s="5">
        <f t="shared" si="71"/>
        <v>0.72</v>
      </c>
    </row>
    <row r="594" spans="1:38" hidden="1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80">(T594-W594)/T594</f>
        <v>1</v>
      </c>
      <c r="Z594" s="2" t="s">
        <v>170</v>
      </c>
      <c r="AA594" s="2" t="s">
        <v>170</v>
      </c>
      <c r="AF594" s="2">
        <f t="shared" si="77"/>
        <v>0</v>
      </c>
      <c r="AJ594" s="2">
        <f t="shared" si="78"/>
        <v>0</v>
      </c>
      <c r="AK594" s="2">
        <f t="shared" si="79"/>
        <v>5.5</v>
      </c>
      <c r="AL594" s="5">
        <f t="shared" ref="AL594:AL657" si="81">(T594-W594)/T594</f>
        <v>1</v>
      </c>
    </row>
    <row r="595" spans="1:38" hidden="1" x14ac:dyDescent="0.2">
      <c r="A595" s="2">
        <v>2025</v>
      </c>
      <c r="B595" s="2">
        <v>3</v>
      </c>
      <c r="D595" s="2" t="s">
        <v>987</v>
      </c>
      <c r="P595" s="2" t="s">
        <v>40</v>
      </c>
      <c r="Q595" s="2" t="s">
        <v>988</v>
      </c>
      <c r="R595" s="2" t="s">
        <v>989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0"/>
        <v>0.25</v>
      </c>
      <c r="Z595" s="2" t="s">
        <v>105</v>
      </c>
      <c r="AA595" s="2" t="s">
        <v>265</v>
      </c>
      <c r="AB595" s="2" t="s">
        <v>476</v>
      </c>
      <c r="AC595" s="2" t="s">
        <v>476</v>
      </c>
      <c r="AF595" s="2">
        <f t="shared" si="77"/>
        <v>0</v>
      </c>
      <c r="AJ595" s="2">
        <f t="shared" si="78"/>
        <v>0</v>
      </c>
      <c r="AK595" s="2">
        <f t="shared" si="79"/>
        <v>1224.5</v>
      </c>
      <c r="AL595" s="5">
        <f t="shared" si="81"/>
        <v>0.25</v>
      </c>
    </row>
    <row r="596" spans="1:38" hidden="1" x14ac:dyDescent="0.2">
      <c r="A596" s="2">
        <v>2025</v>
      </c>
      <c r="B596" s="2">
        <v>3</v>
      </c>
      <c r="D596" s="2" t="s">
        <v>745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746</v>
      </c>
      <c r="J596" s="2" t="s">
        <v>747</v>
      </c>
      <c r="K596" s="2">
        <v>962372760</v>
      </c>
      <c r="L596" s="2" t="s">
        <v>202</v>
      </c>
      <c r="P596" s="2" t="s">
        <v>115</v>
      </c>
      <c r="Q596" s="2" t="s">
        <v>990</v>
      </c>
      <c r="R596" s="2" t="s">
        <v>991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80"/>
        <v>1</v>
      </c>
      <c r="Z596" s="2" t="s">
        <v>118</v>
      </c>
      <c r="AF596" s="2">
        <f t="shared" si="77"/>
        <v>0</v>
      </c>
      <c r="AJ596" s="2">
        <f t="shared" si="78"/>
        <v>0</v>
      </c>
      <c r="AK596" s="2">
        <f t="shared" si="79"/>
        <v>363.6</v>
      </c>
      <c r="AL596" s="5">
        <f t="shared" si="81"/>
        <v>1</v>
      </c>
    </row>
    <row r="597" spans="1:38" hidden="1" x14ac:dyDescent="0.2">
      <c r="A597" s="2">
        <v>2025</v>
      </c>
      <c r="B597" s="2">
        <v>3</v>
      </c>
      <c r="D597" s="2" t="s">
        <v>745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746</v>
      </c>
      <c r="J597" s="2" t="s">
        <v>747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80"/>
        <v>0.6</v>
      </c>
      <c r="Z597" s="2" t="s">
        <v>118</v>
      </c>
      <c r="AA597" s="2" t="s">
        <v>191</v>
      </c>
      <c r="AB597" s="2" t="s">
        <v>190</v>
      </c>
      <c r="AC597" s="2" t="s">
        <v>40</v>
      </c>
      <c r="AF597" s="2">
        <f t="shared" si="77"/>
        <v>0</v>
      </c>
      <c r="AJ597" s="2">
        <f t="shared" si="78"/>
        <v>0</v>
      </c>
      <c r="AK597" s="2">
        <f t="shared" si="79"/>
        <v>78.599999999999994</v>
      </c>
      <c r="AL597" s="5">
        <f t="shared" si="81"/>
        <v>0.6</v>
      </c>
    </row>
    <row r="598" spans="1:38" hidden="1" x14ac:dyDescent="0.2">
      <c r="A598" s="2">
        <v>2025</v>
      </c>
      <c r="B598" s="2">
        <v>3</v>
      </c>
      <c r="D598" s="2" t="s">
        <v>745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746</v>
      </c>
      <c r="J598" s="2" t="s">
        <v>747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80"/>
        <v>0.5</v>
      </c>
      <c r="Z598" s="2" t="s">
        <v>118</v>
      </c>
      <c r="AA598" s="2" t="s">
        <v>191</v>
      </c>
      <c r="AB598" s="2" t="s">
        <v>191</v>
      </c>
      <c r="AC598" s="2" t="s">
        <v>40</v>
      </c>
      <c r="AF598" s="2">
        <f t="shared" si="77"/>
        <v>0</v>
      </c>
      <c r="AJ598" s="2">
        <f t="shared" si="78"/>
        <v>0</v>
      </c>
      <c r="AK598" s="2">
        <f t="shared" si="79"/>
        <v>100</v>
      </c>
      <c r="AL598" s="5">
        <f t="shared" si="81"/>
        <v>0.5</v>
      </c>
    </row>
    <row r="599" spans="1:38" hidden="1" x14ac:dyDescent="0.2">
      <c r="A599" s="2">
        <v>2025</v>
      </c>
      <c r="B599" s="2">
        <v>3</v>
      </c>
      <c r="D599" s="2" t="s">
        <v>745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746</v>
      </c>
      <c r="J599" s="2" t="s">
        <v>747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80"/>
        <v>1</v>
      </c>
      <c r="Z599" s="2" t="s">
        <v>120</v>
      </c>
      <c r="AA599" s="2" t="s">
        <v>3385</v>
      </c>
      <c r="AF599" s="2">
        <f t="shared" si="77"/>
        <v>0</v>
      </c>
      <c r="AJ599" s="2">
        <f t="shared" si="78"/>
        <v>0</v>
      </c>
      <c r="AK599" s="2">
        <f t="shared" si="79"/>
        <v>194.29</v>
      </c>
      <c r="AL599" s="5">
        <f t="shared" si="81"/>
        <v>1</v>
      </c>
    </row>
    <row r="600" spans="1:38" hidden="1" x14ac:dyDescent="0.2">
      <c r="A600" s="2">
        <v>2025</v>
      </c>
      <c r="B600" s="2">
        <v>3</v>
      </c>
      <c r="D600" s="2" t="s">
        <v>992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993</v>
      </c>
      <c r="J600" s="2" t="s">
        <v>994</v>
      </c>
      <c r="K600" s="2">
        <v>964159861</v>
      </c>
      <c r="L600" s="2" t="s">
        <v>202</v>
      </c>
      <c r="M600" s="2" t="s">
        <v>81</v>
      </c>
      <c r="O600" s="2" t="s">
        <v>995</v>
      </c>
      <c r="P600" s="2" t="s">
        <v>73</v>
      </c>
      <c r="Q600" s="2" t="s">
        <v>996</v>
      </c>
      <c r="R600" s="2" t="s">
        <v>997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80"/>
        <v>0.37560869565217386</v>
      </c>
      <c r="Z600" s="2" t="s">
        <v>3231</v>
      </c>
      <c r="AA600" s="2" t="s">
        <v>76</v>
      </c>
      <c r="AB600" s="2" t="s">
        <v>77</v>
      </c>
      <c r="AC600" s="2" t="s">
        <v>78</v>
      </c>
      <c r="AF600" s="2">
        <f t="shared" si="77"/>
        <v>0</v>
      </c>
      <c r="AJ600" s="2">
        <f t="shared" si="78"/>
        <v>0</v>
      </c>
      <c r="AK600" s="2">
        <f t="shared" si="79"/>
        <v>86.389999999999986</v>
      </c>
      <c r="AL600" s="5">
        <f t="shared" si="81"/>
        <v>0.37560869565217386</v>
      </c>
    </row>
    <row r="601" spans="1:38" hidden="1" x14ac:dyDescent="0.2">
      <c r="A601" s="2">
        <v>2025</v>
      </c>
      <c r="B601" s="2">
        <v>3</v>
      </c>
      <c r="D601" s="2" t="s">
        <v>992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993</v>
      </c>
      <c r="J601" s="2" t="s">
        <v>994</v>
      </c>
      <c r="K601" s="2">
        <v>964159861</v>
      </c>
      <c r="L601" s="2" t="s">
        <v>202</v>
      </c>
      <c r="M601" s="2" t="s">
        <v>81</v>
      </c>
      <c r="O601" s="2" t="s">
        <v>995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80"/>
        <v>0</v>
      </c>
      <c r="Z601" s="2" t="s">
        <v>3231</v>
      </c>
      <c r="AA601" s="2" t="s">
        <v>97</v>
      </c>
      <c r="AB601" s="2" t="s">
        <v>77</v>
      </c>
      <c r="AC601" s="2" t="s">
        <v>94</v>
      </c>
      <c r="AF601" s="2">
        <f t="shared" si="77"/>
        <v>0</v>
      </c>
      <c r="AG601" s="2">
        <v>1.1399999999999999</v>
      </c>
      <c r="AH601" s="2">
        <v>1.1399999999999999</v>
      </c>
      <c r="AJ601" s="2">
        <f t="shared" si="78"/>
        <v>0</v>
      </c>
      <c r="AK601" s="2">
        <f t="shared" si="79"/>
        <v>0</v>
      </c>
      <c r="AL601" s="5">
        <f t="shared" si="81"/>
        <v>0</v>
      </c>
    </row>
    <row r="602" spans="1:38" hidden="1" x14ac:dyDescent="0.2">
      <c r="A602" s="2">
        <v>2025</v>
      </c>
      <c r="B602" s="2">
        <v>3</v>
      </c>
      <c r="D602" s="2" t="s">
        <v>998</v>
      </c>
      <c r="P602" s="2" t="s">
        <v>283</v>
      </c>
      <c r="Q602" s="2" t="s">
        <v>999</v>
      </c>
      <c r="R602" s="2" t="s">
        <v>1000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80"/>
        <v>1</v>
      </c>
      <c r="Z602" s="2" t="s">
        <v>3231</v>
      </c>
      <c r="AA602" s="2" t="s">
        <v>72</v>
      </c>
      <c r="AF602" s="2">
        <f t="shared" si="77"/>
        <v>0</v>
      </c>
      <c r="AJ602" s="2">
        <f t="shared" si="78"/>
        <v>0</v>
      </c>
      <c r="AK602" s="2">
        <f t="shared" si="79"/>
        <v>99</v>
      </c>
      <c r="AL602" s="5">
        <f t="shared" si="81"/>
        <v>1</v>
      </c>
    </row>
    <row r="603" spans="1:38" hidden="1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1001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80"/>
        <v>0.44069999999999998</v>
      </c>
      <c r="Z603" s="2" t="s">
        <v>3231</v>
      </c>
      <c r="AA603" s="2" t="s">
        <v>76</v>
      </c>
      <c r="AB603" s="2" t="s">
        <v>77</v>
      </c>
      <c r="AC603" s="2" t="s">
        <v>78</v>
      </c>
      <c r="AF603" s="2">
        <f t="shared" si="77"/>
        <v>0</v>
      </c>
      <c r="AG603" s="2">
        <v>117.453</v>
      </c>
      <c r="AH603" s="2">
        <v>220</v>
      </c>
      <c r="AJ603" s="2">
        <f t="shared" si="78"/>
        <v>0</v>
      </c>
      <c r="AK603" s="2">
        <f t="shared" si="79"/>
        <v>92.546999999999997</v>
      </c>
      <c r="AL603" s="5">
        <f t="shared" si="81"/>
        <v>0.44069999999999998</v>
      </c>
    </row>
    <row r="604" spans="1:38" hidden="1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1001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80"/>
        <v>0</v>
      </c>
      <c r="Z604" s="2" t="s">
        <v>3231</v>
      </c>
      <c r="AA604" s="2" t="s">
        <v>97</v>
      </c>
      <c r="AB604" s="2" t="s">
        <v>77</v>
      </c>
      <c r="AC604" s="2" t="s">
        <v>94</v>
      </c>
      <c r="AF604" s="2">
        <f t="shared" si="77"/>
        <v>0</v>
      </c>
      <c r="AJ604" s="2">
        <f t="shared" si="78"/>
        <v>0</v>
      </c>
      <c r="AK604" s="2">
        <f t="shared" si="79"/>
        <v>0</v>
      </c>
      <c r="AL604" s="5">
        <f t="shared" si="81"/>
        <v>0</v>
      </c>
    </row>
    <row r="605" spans="1:38" hidden="1" x14ac:dyDescent="0.2">
      <c r="A605" s="2">
        <v>2025</v>
      </c>
      <c r="B605" s="2">
        <v>3</v>
      </c>
      <c r="D605" s="2" t="s">
        <v>1002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1003</v>
      </c>
      <c r="J605" s="2" t="s">
        <v>1004</v>
      </c>
      <c r="K605" s="2">
        <v>917233128</v>
      </c>
      <c r="L605" s="2" t="s">
        <v>100</v>
      </c>
      <c r="M605" s="2" t="s">
        <v>40</v>
      </c>
      <c r="O605" s="2" t="s">
        <v>1005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80"/>
        <v>0.6</v>
      </c>
      <c r="Z605" s="2" t="s">
        <v>118</v>
      </c>
      <c r="AA605" s="2" t="s">
        <v>191</v>
      </c>
      <c r="AB605" s="2" t="s">
        <v>190</v>
      </c>
      <c r="AC605" s="2" t="s">
        <v>40</v>
      </c>
      <c r="AF605" s="2">
        <f t="shared" si="77"/>
        <v>0</v>
      </c>
      <c r="AJ605" s="2">
        <f t="shared" si="78"/>
        <v>0</v>
      </c>
      <c r="AK605" s="2">
        <f t="shared" si="79"/>
        <v>30</v>
      </c>
      <c r="AL605" s="5">
        <f t="shared" si="81"/>
        <v>0.6</v>
      </c>
    </row>
    <row r="606" spans="1:38" hidden="1" x14ac:dyDescent="0.2">
      <c r="A606" s="2">
        <v>2025</v>
      </c>
      <c r="B606" s="2">
        <v>3</v>
      </c>
      <c r="D606" s="2" t="s">
        <v>1002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1003</v>
      </c>
      <c r="J606" s="2" t="s">
        <v>1004</v>
      </c>
      <c r="K606" s="2">
        <v>917233128</v>
      </c>
      <c r="L606" s="2" t="s">
        <v>100</v>
      </c>
      <c r="M606" s="2" t="s">
        <v>40</v>
      </c>
      <c r="O606" s="2" t="s">
        <v>1005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80"/>
        <v>0.5</v>
      </c>
      <c r="Z606" s="2" t="s">
        <v>118</v>
      </c>
      <c r="AA606" s="2" t="s">
        <v>191</v>
      </c>
      <c r="AB606" s="2" t="s">
        <v>191</v>
      </c>
      <c r="AC606" s="2" t="s">
        <v>40</v>
      </c>
      <c r="AF606" s="2">
        <f t="shared" si="77"/>
        <v>0</v>
      </c>
      <c r="AJ606" s="2">
        <f t="shared" si="78"/>
        <v>0</v>
      </c>
      <c r="AK606" s="2">
        <f t="shared" si="79"/>
        <v>50</v>
      </c>
      <c r="AL606" s="5">
        <f t="shared" si="81"/>
        <v>0.5</v>
      </c>
    </row>
    <row r="607" spans="1:38" hidden="1" x14ac:dyDescent="0.2">
      <c r="A607" s="2">
        <v>2025</v>
      </c>
      <c r="B607" s="2">
        <v>3</v>
      </c>
      <c r="D607" s="2" t="s">
        <v>1002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1003</v>
      </c>
      <c r="J607" s="2" t="s">
        <v>1004</v>
      </c>
      <c r="K607" s="2">
        <v>917233128</v>
      </c>
      <c r="L607" s="2" t="s">
        <v>100</v>
      </c>
      <c r="M607" s="2" t="s">
        <v>40</v>
      </c>
      <c r="O607" s="2" t="s">
        <v>1005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80"/>
        <v>1</v>
      </c>
      <c r="Z607" s="2" t="s">
        <v>118</v>
      </c>
      <c r="AA607" s="2" t="s">
        <v>119</v>
      </c>
      <c r="AB607" s="2" t="s">
        <v>1006</v>
      </c>
      <c r="AF607" s="2">
        <f t="shared" si="77"/>
        <v>0</v>
      </c>
      <c r="AJ607" s="2">
        <f t="shared" si="78"/>
        <v>0</v>
      </c>
      <c r="AK607" s="2">
        <f t="shared" si="79"/>
        <v>141.47</v>
      </c>
      <c r="AL607" s="5">
        <f t="shared" si="81"/>
        <v>1</v>
      </c>
    </row>
    <row r="608" spans="1:38" hidden="1" x14ac:dyDescent="0.2">
      <c r="A608" s="2">
        <v>2025</v>
      </c>
      <c r="B608" s="2">
        <v>3</v>
      </c>
      <c r="D608" s="2" t="s">
        <v>766</v>
      </c>
      <c r="E608" s="2" t="s">
        <v>38</v>
      </c>
      <c r="G608" s="2">
        <v>513686231</v>
      </c>
      <c r="H608" s="2" t="s">
        <v>291</v>
      </c>
      <c r="I608" s="2" t="s">
        <v>767</v>
      </c>
      <c r="J608" s="2" t="s">
        <v>768</v>
      </c>
      <c r="L608" s="2" t="s">
        <v>481</v>
      </c>
      <c r="M608" s="2" t="s">
        <v>81</v>
      </c>
      <c r="O608" s="2" t="s">
        <v>1007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80"/>
        <v>0.45290151515151522</v>
      </c>
      <c r="Z608" s="2" t="s">
        <v>3231</v>
      </c>
      <c r="AA608" s="2" t="s">
        <v>46</v>
      </c>
      <c r="AB608" s="2" t="s">
        <v>57</v>
      </c>
      <c r="AC608" s="2" t="s">
        <v>58</v>
      </c>
      <c r="AF608" s="2">
        <f t="shared" si="77"/>
        <v>0</v>
      </c>
      <c r="AG608" s="2">
        <v>7.2217000000000002</v>
      </c>
      <c r="AH608" s="2">
        <v>14.4</v>
      </c>
      <c r="AJ608" s="2">
        <f t="shared" si="78"/>
        <v>0</v>
      </c>
      <c r="AK608" s="2">
        <f t="shared" si="79"/>
        <v>17.934900000000003</v>
      </c>
      <c r="AL608" s="5">
        <f t="shared" si="81"/>
        <v>0.45290151515151522</v>
      </c>
    </row>
    <row r="609" spans="1:38" hidden="1" x14ac:dyDescent="0.2">
      <c r="A609" s="2">
        <v>2025</v>
      </c>
      <c r="B609" s="2">
        <v>3</v>
      </c>
      <c r="D609" s="2" t="s">
        <v>766</v>
      </c>
      <c r="E609" s="2" t="s">
        <v>38</v>
      </c>
      <c r="G609" s="2">
        <v>513686231</v>
      </c>
      <c r="H609" s="2" t="s">
        <v>291</v>
      </c>
      <c r="I609" s="2" t="s">
        <v>767</v>
      </c>
      <c r="J609" s="2" t="s">
        <v>768</v>
      </c>
      <c r="L609" s="2" t="s">
        <v>481</v>
      </c>
      <c r="M609" s="2" t="s">
        <v>81</v>
      </c>
      <c r="O609" s="2" t="s">
        <v>1007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80"/>
        <v>0.43981481481481483</v>
      </c>
      <c r="Z609" s="2" t="s">
        <v>3231</v>
      </c>
      <c r="AA609" s="2" t="s">
        <v>46</v>
      </c>
      <c r="AB609" s="2" t="s">
        <v>57</v>
      </c>
      <c r="AC609" s="2" t="s">
        <v>58</v>
      </c>
      <c r="AF609" s="2">
        <f t="shared" si="77"/>
        <v>0</v>
      </c>
      <c r="AG609" s="2">
        <v>9.0749999999999993</v>
      </c>
      <c r="AJ609" s="2">
        <f t="shared" si="78"/>
        <v>0</v>
      </c>
      <c r="AK609" s="2">
        <f t="shared" si="79"/>
        <v>7.125</v>
      </c>
      <c r="AL609" s="5">
        <f t="shared" si="81"/>
        <v>0.43981481481481483</v>
      </c>
    </row>
    <row r="610" spans="1:38" hidden="1" x14ac:dyDescent="0.2">
      <c r="A610" s="2">
        <v>2025</v>
      </c>
      <c r="B610" s="2">
        <v>3</v>
      </c>
      <c r="D610" s="2" t="s">
        <v>766</v>
      </c>
      <c r="E610" s="2" t="s">
        <v>38</v>
      </c>
      <c r="G610" s="2">
        <v>513686231</v>
      </c>
      <c r="H610" s="2" t="s">
        <v>291</v>
      </c>
      <c r="I610" s="2" t="s">
        <v>767</v>
      </c>
      <c r="J610" s="2" t="s">
        <v>768</v>
      </c>
      <c r="L610" s="2" t="s">
        <v>481</v>
      </c>
      <c r="M610" s="2" t="s">
        <v>81</v>
      </c>
      <c r="O610" s="2" t="s">
        <v>1007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80"/>
        <v>0.43663541666666666</v>
      </c>
      <c r="Z610" s="2" t="s">
        <v>3231</v>
      </c>
      <c r="AA610" s="2" t="s">
        <v>46</v>
      </c>
      <c r="AB610" s="2" t="s">
        <v>57</v>
      </c>
      <c r="AC610" s="2" t="s">
        <v>58</v>
      </c>
      <c r="AF610" s="2">
        <f t="shared" si="77"/>
        <v>0</v>
      </c>
      <c r="AG610" s="2">
        <v>16.224900000000002</v>
      </c>
      <c r="AJ610" s="2">
        <f t="shared" si="78"/>
        <v>0</v>
      </c>
      <c r="AK610" s="2">
        <f t="shared" si="79"/>
        <v>37.725300000000004</v>
      </c>
      <c r="AL610" s="5">
        <f t="shared" si="81"/>
        <v>0.43663541666666666</v>
      </c>
    </row>
    <row r="611" spans="1:38" hidden="1" x14ac:dyDescent="0.2">
      <c r="A611" s="2">
        <v>2025</v>
      </c>
      <c r="B611" s="2">
        <v>3</v>
      </c>
      <c r="D611" s="2" t="s">
        <v>1008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80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7"/>
        <v>0</v>
      </c>
      <c r="AJ611" s="2">
        <f t="shared" si="78"/>
        <v>0</v>
      </c>
      <c r="AK611" s="2">
        <f t="shared" si="79"/>
        <v>178</v>
      </c>
      <c r="AL611" s="5">
        <f t="shared" si="81"/>
        <v>0.29915966386554621</v>
      </c>
    </row>
    <row r="612" spans="1:38" hidden="1" x14ac:dyDescent="0.2">
      <c r="A612" s="2">
        <v>2025</v>
      </c>
      <c r="B612" s="2">
        <v>3</v>
      </c>
      <c r="D612" s="2" t="s">
        <v>1008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80"/>
        <v>0.4</v>
      </c>
      <c r="Z612" s="2" t="s">
        <v>3231</v>
      </c>
      <c r="AA612" s="2" t="s">
        <v>46</v>
      </c>
      <c r="AB612" s="2" t="s">
        <v>61</v>
      </c>
      <c r="AC612" s="2" t="s">
        <v>3336</v>
      </c>
      <c r="AF612" s="2">
        <f t="shared" si="77"/>
        <v>0</v>
      </c>
      <c r="AJ612" s="2">
        <f t="shared" si="78"/>
        <v>0</v>
      </c>
      <c r="AK612" s="2">
        <f t="shared" si="79"/>
        <v>46.400000000000006</v>
      </c>
      <c r="AL612" s="5">
        <f t="shared" si="81"/>
        <v>0.4</v>
      </c>
    </row>
    <row r="613" spans="1:38" hidden="1" x14ac:dyDescent="0.2">
      <c r="A613" s="2">
        <v>2025</v>
      </c>
      <c r="B613" s="2">
        <v>3</v>
      </c>
      <c r="D613" s="2" t="s">
        <v>776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777</v>
      </c>
      <c r="J613" s="2" t="s">
        <v>778</v>
      </c>
      <c r="L613" s="2" t="s">
        <v>340</v>
      </c>
      <c r="M613" s="2" t="s">
        <v>40</v>
      </c>
      <c r="O613" s="2" t="s">
        <v>1009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80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7"/>
        <v>0</v>
      </c>
      <c r="AG613" s="2">
        <v>246.77</v>
      </c>
      <c r="AJ613" s="2">
        <f t="shared" si="78"/>
        <v>0</v>
      </c>
      <c r="AK613" s="2">
        <f t="shared" si="79"/>
        <v>271.52</v>
      </c>
      <c r="AL613" s="5">
        <f t="shared" si="81"/>
        <v>0.52387659418472288</v>
      </c>
    </row>
    <row r="614" spans="1:38" hidden="1" x14ac:dyDescent="0.2">
      <c r="A614" s="2">
        <v>2025</v>
      </c>
      <c r="B614" s="2">
        <v>3</v>
      </c>
      <c r="D614" s="2" t="s">
        <v>776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777</v>
      </c>
      <c r="J614" s="2" t="s">
        <v>778</v>
      </c>
      <c r="L614" s="2" t="s">
        <v>340</v>
      </c>
      <c r="M614" s="2" t="s">
        <v>40</v>
      </c>
      <c r="O614" s="2" t="s">
        <v>1009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80"/>
        <v>0.6</v>
      </c>
      <c r="Z614" s="2" t="s">
        <v>118</v>
      </c>
      <c r="AA614" s="2" t="s">
        <v>191</v>
      </c>
      <c r="AB614" s="2" t="s">
        <v>190</v>
      </c>
      <c r="AC614" s="2" t="s">
        <v>40</v>
      </c>
      <c r="AF614" s="2">
        <f t="shared" si="77"/>
        <v>0</v>
      </c>
      <c r="AJ614" s="2">
        <f t="shared" si="78"/>
        <v>0</v>
      </c>
      <c r="AK614" s="2">
        <f t="shared" si="79"/>
        <v>30</v>
      </c>
      <c r="AL614" s="5">
        <f t="shared" si="81"/>
        <v>0.6</v>
      </c>
    </row>
    <row r="615" spans="1:38" hidden="1" x14ac:dyDescent="0.2">
      <c r="A615" s="2">
        <v>2025</v>
      </c>
      <c r="B615" s="2">
        <v>3</v>
      </c>
      <c r="D615" s="2" t="s">
        <v>776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777</v>
      </c>
      <c r="J615" s="2" t="s">
        <v>778</v>
      </c>
      <c r="L615" s="2" t="s">
        <v>340</v>
      </c>
      <c r="M615" s="2" t="s">
        <v>40</v>
      </c>
      <c r="O615" s="2" t="s">
        <v>1009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80"/>
        <v>0.5</v>
      </c>
      <c r="Z615" s="2" t="s">
        <v>118</v>
      </c>
      <c r="AA615" s="2" t="s">
        <v>191</v>
      </c>
      <c r="AB615" s="2" t="s">
        <v>191</v>
      </c>
      <c r="AC615" s="2" t="s">
        <v>40</v>
      </c>
      <c r="AF615" s="2">
        <f t="shared" si="77"/>
        <v>0</v>
      </c>
      <c r="AJ615" s="2">
        <f t="shared" si="78"/>
        <v>0</v>
      </c>
      <c r="AK615" s="2">
        <f t="shared" si="79"/>
        <v>50</v>
      </c>
      <c r="AL615" s="5">
        <f t="shared" si="81"/>
        <v>0.5</v>
      </c>
    </row>
    <row r="616" spans="1:38" hidden="1" x14ac:dyDescent="0.2">
      <c r="A616" s="2">
        <v>2025</v>
      </c>
      <c r="B616" s="2">
        <v>3</v>
      </c>
      <c r="D616" s="2" t="s">
        <v>1010</v>
      </c>
      <c r="E616" s="2" t="s">
        <v>109</v>
      </c>
      <c r="F616" s="2" t="s">
        <v>39</v>
      </c>
      <c r="L616" s="2" t="s">
        <v>419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80"/>
        <v>0.41111111111111115</v>
      </c>
      <c r="Z616" s="2" t="s">
        <v>3231</v>
      </c>
      <c r="AA616" s="2" t="s">
        <v>46</v>
      </c>
      <c r="AB616" s="2" t="s">
        <v>57</v>
      </c>
      <c r="AC616" s="2" t="s">
        <v>58</v>
      </c>
      <c r="AF616" s="2">
        <f t="shared" si="77"/>
        <v>0</v>
      </c>
      <c r="AG616" s="2">
        <v>10.6</v>
      </c>
      <c r="AH616" s="2">
        <v>18</v>
      </c>
      <c r="AJ616" s="2">
        <f t="shared" si="78"/>
        <v>0</v>
      </c>
      <c r="AK616" s="2">
        <f t="shared" si="79"/>
        <v>22.200000000000003</v>
      </c>
      <c r="AL616" s="5">
        <f t="shared" si="81"/>
        <v>0.41111111111111115</v>
      </c>
    </row>
    <row r="617" spans="1:38" hidden="1" x14ac:dyDescent="0.2">
      <c r="A617" s="2">
        <v>2025</v>
      </c>
      <c r="B617" s="2">
        <v>3</v>
      </c>
      <c r="D617" s="2" t="s">
        <v>1010</v>
      </c>
      <c r="E617" s="2" t="s">
        <v>109</v>
      </c>
      <c r="F617" s="2" t="s">
        <v>39</v>
      </c>
      <c r="L617" s="2" t="s">
        <v>419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80"/>
        <v>0.3166666666666666</v>
      </c>
      <c r="Z617" s="2" t="s">
        <v>3231</v>
      </c>
      <c r="AA617" s="2" t="s">
        <v>46</v>
      </c>
      <c r="AB617" s="2" t="s">
        <v>61</v>
      </c>
      <c r="AC617" s="2" t="s">
        <v>58</v>
      </c>
      <c r="AF617" s="2">
        <f t="shared" si="77"/>
        <v>0</v>
      </c>
      <c r="AG617" s="2">
        <v>8.1999999999999993</v>
      </c>
      <c r="AH617" s="2">
        <v>13</v>
      </c>
      <c r="AJ617" s="2">
        <f t="shared" si="78"/>
        <v>0</v>
      </c>
      <c r="AK617" s="2">
        <f t="shared" si="79"/>
        <v>3.7999999999999989</v>
      </c>
      <c r="AL617" s="5">
        <f t="shared" si="81"/>
        <v>0.3166666666666666</v>
      </c>
    </row>
    <row r="618" spans="1:38" hidden="1" x14ac:dyDescent="0.2">
      <c r="A618" s="2">
        <v>2025</v>
      </c>
      <c r="B618" s="2">
        <v>3</v>
      </c>
      <c r="D618" s="2" t="s">
        <v>1010</v>
      </c>
      <c r="E618" s="2" t="s">
        <v>109</v>
      </c>
      <c r="F618" s="2" t="s">
        <v>39</v>
      </c>
      <c r="L618" s="2" t="s">
        <v>419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80"/>
        <v>1</v>
      </c>
      <c r="Z618" s="2" t="s">
        <v>170</v>
      </c>
      <c r="AA618" s="2" t="s">
        <v>170</v>
      </c>
      <c r="AF618" s="2">
        <f t="shared" si="77"/>
        <v>0</v>
      </c>
      <c r="AJ618" s="2">
        <f t="shared" si="78"/>
        <v>0</v>
      </c>
      <c r="AK618" s="2">
        <f t="shared" si="79"/>
        <v>8</v>
      </c>
      <c r="AL618" s="5">
        <f t="shared" si="81"/>
        <v>1</v>
      </c>
    </row>
    <row r="619" spans="1:38" hidden="1" x14ac:dyDescent="0.2">
      <c r="A619" s="2">
        <v>2025</v>
      </c>
      <c r="B619" s="2">
        <v>3</v>
      </c>
      <c r="D619" s="2" t="s">
        <v>1011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1012</v>
      </c>
      <c r="J619" s="2" t="s">
        <v>1013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80"/>
        <v>0.6</v>
      </c>
      <c r="Z619" s="2" t="s">
        <v>118</v>
      </c>
      <c r="AA619" s="2" t="s">
        <v>191</v>
      </c>
      <c r="AB619" s="2" t="s">
        <v>190</v>
      </c>
      <c r="AC619" s="2" t="s">
        <v>40</v>
      </c>
      <c r="AF619" s="2">
        <f t="shared" si="77"/>
        <v>0</v>
      </c>
      <c r="AJ619" s="2">
        <f t="shared" si="78"/>
        <v>0</v>
      </c>
      <c r="AK619" s="2">
        <f t="shared" si="79"/>
        <v>24.75</v>
      </c>
      <c r="AL619" s="5">
        <f t="shared" si="81"/>
        <v>0.6</v>
      </c>
    </row>
    <row r="620" spans="1:38" hidden="1" x14ac:dyDescent="0.2">
      <c r="A620" s="2">
        <v>2025</v>
      </c>
      <c r="B620" s="2">
        <v>3</v>
      </c>
      <c r="D620" s="2" t="s">
        <v>1011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1012</v>
      </c>
      <c r="J620" s="2" t="s">
        <v>1013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80"/>
        <v>0.5</v>
      </c>
      <c r="Z620" s="2" t="s">
        <v>118</v>
      </c>
      <c r="AA620" s="2" t="s">
        <v>191</v>
      </c>
      <c r="AB620" s="2" t="s">
        <v>191</v>
      </c>
      <c r="AC620" s="2" t="s">
        <v>40</v>
      </c>
      <c r="AF620" s="2">
        <f t="shared" si="77"/>
        <v>0</v>
      </c>
      <c r="AJ620" s="2">
        <f t="shared" si="78"/>
        <v>0</v>
      </c>
      <c r="AK620" s="2">
        <f t="shared" si="79"/>
        <v>22.5</v>
      </c>
      <c r="AL620" s="5">
        <f t="shared" si="81"/>
        <v>0.5</v>
      </c>
    </row>
    <row r="621" spans="1:38" hidden="1" x14ac:dyDescent="0.2">
      <c r="A621" s="2">
        <v>2025</v>
      </c>
      <c r="B621" s="2">
        <v>3</v>
      </c>
      <c r="D621" s="2" t="s">
        <v>1011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1012</v>
      </c>
      <c r="J621" s="2" t="s">
        <v>1013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80"/>
        <v>1</v>
      </c>
      <c r="Z621" s="2" t="s">
        <v>120</v>
      </c>
      <c r="AA621" s="2" t="s">
        <v>3385</v>
      </c>
      <c r="AF621" s="2">
        <f t="shared" si="77"/>
        <v>0</v>
      </c>
      <c r="AJ621" s="2">
        <f t="shared" si="78"/>
        <v>0</v>
      </c>
      <c r="AK621" s="2">
        <f t="shared" si="79"/>
        <v>10.8</v>
      </c>
      <c r="AL621" s="5">
        <f t="shared" si="81"/>
        <v>1</v>
      </c>
    </row>
    <row r="622" spans="1:38" hidden="1" x14ac:dyDescent="0.2">
      <c r="A622" s="2">
        <v>2025</v>
      </c>
      <c r="B622" s="2">
        <v>3</v>
      </c>
      <c r="D622" s="2" t="s">
        <v>1014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80"/>
        <v>0.6</v>
      </c>
      <c r="Z622" s="2" t="s">
        <v>118</v>
      </c>
      <c r="AA622" s="2" t="s">
        <v>191</v>
      </c>
      <c r="AB622" s="2" t="s">
        <v>190</v>
      </c>
      <c r="AC622" s="2" t="s">
        <v>40</v>
      </c>
      <c r="AF622" s="2">
        <f t="shared" si="77"/>
        <v>0</v>
      </c>
      <c r="AJ622" s="2">
        <f t="shared" si="78"/>
        <v>0</v>
      </c>
      <c r="AK622" s="2">
        <f t="shared" si="79"/>
        <v>30</v>
      </c>
      <c r="AL622" s="5">
        <f t="shared" si="81"/>
        <v>0.6</v>
      </c>
    </row>
    <row r="623" spans="1:38" hidden="1" x14ac:dyDescent="0.2">
      <c r="A623" s="2">
        <v>2025</v>
      </c>
      <c r="B623" s="2">
        <v>3</v>
      </c>
      <c r="D623" s="2" t="s">
        <v>1014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80"/>
        <v>0.5</v>
      </c>
      <c r="Z623" s="2" t="s">
        <v>118</v>
      </c>
      <c r="AA623" s="2" t="s">
        <v>191</v>
      </c>
      <c r="AB623" s="2" t="s">
        <v>191</v>
      </c>
      <c r="AC623" s="2" t="s">
        <v>40</v>
      </c>
      <c r="AF623" s="2">
        <f t="shared" si="77"/>
        <v>0</v>
      </c>
      <c r="AJ623" s="2">
        <f t="shared" si="78"/>
        <v>0</v>
      </c>
      <c r="AK623" s="2">
        <f t="shared" si="79"/>
        <v>25</v>
      </c>
      <c r="AL623" s="5">
        <f t="shared" si="81"/>
        <v>0.5</v>
      </c>
    </row>
    <row r="624" spans="1:38" hidden="1" x14ac:dyDescent="0.2">
      <c r="A624" s="2">
        <v>2025</v>
      </c>
      <c r="B624" s="2">
        <v>3</v>
      </c>
      <c r="D624" s="2" t="s">
        <v>789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790</v>
      </c>
      <c r="J624" s="2" t="s">
        <v>791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1015</v>
      </c>
      <c r="R624" s="2" t="s">
        <v>1016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80"/>
        <v>1</v>
      </c>
      <c r="Z624" s="2" t="s">
        <v>118</v>
      </c>
      <c r="AF624" s="2">
        <f t="shared" si="77"/>
        <v>0</v>
      </c>
      <c r="AJ624" s="2">
        <f t="shared" si="78"/>
        <v>0</v>
      </c>
      <c r="AK624" s="2">
        <f t="shared" si="79"/>
        <v>83.75</v>
      </c>
      <c r="AL624" s="5">
        <f t="shared" si="81"/>
        <v>1</v>
      </c>
    </row>
    <row r="625" spans="1:38" hidden="1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80"/>
        <v>0.62926666666666664</v>
      </c>
      <c r="Z625" s="2" t="s">
        <v>3231</v>
      </c>
      <c r="AA625" s="2" t="s">
        <v>46</v>
      </c>
      <c r="AB625" s="2" t="s">
        <v>61</v>
      </c>
      <c r="AC625" s="2" t="s">
        <v>58</v>
      </c>
      <c r="AF625" s="2">
        <f t="shared" si="77"/>
        <v>0</v>
      </c>
      <c r="AG625" s="2">
        <v>1.1122000000000001</v>
      </c>
      <c r="AH625" s="2">
        <v>3</v>
      </c>
      <c r="AJ625" s="2">
        <f t="shared" si="78"/>
        <v>0</v>
      </c>
      <c r="AK625" s="2">
        <f t="shared" si="79"/>
        <v>15.102399999999999</v>
      </c>
      <c r="AL625" s="5">
        <f t="shared" si="81"/>
        <v>0.62926666666666664</v>
      </c>
    </row>
    <row r="626" spans="1:38" hidden="1" x14ac:dyDescent="0.2">
      <c r="A626" s="2">
        <v>2025</v>
      </c>
      <c r="B626" s="2">
        <v>3</v>
      </c>
      <c r="D626" s="2" t="s">
        <v>1017</v>
      </c>
      <c r="E626" s="2" t="s">
        <v>109</v>
      </c>
      <c r="F626" s="2" t="s">
        <v>478</v>
      </c>
      <c r="G626" s="2">
        <v>503815284</v>
      </c>
      <c r="H626" s="2" t="s">
        <v>40</v>
      </c>
      <c r="I626" s="2" t="s">
        <v>157</v>
      </c>
      <c r="J626" s="2" t="s">
        <v>2542</v>
      </c>
      <c r="L626" s="2" t="s">
        <v>100</v>
      </c>
      <c r="M626" s="2" t="s">
        <v>81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2">(T626-W626)/T626</f>
        <v>0.46925333333333336</v>
      </c>
      <c r="Z626" s="2" t="s">
        <v>3231</v>
      </c>
      <c r="AA626" s="2" t="s">
        <v>46</v>
      </c>
      <c r="AB626" s="2" t="s">
        <v>68</v>
      </c>
      <c r="AC626" s="2" t="s">
        <v>58</v>
      </c>
      <c r="AF626" s="2">
        <f t="shared" si="77"/>
        <v>0</v>
      </c>
      <c r="AG626" s="2">
        <v>7.9611999999999998</v>
      </c>
      <c r="AH626" s="2">
        <v>14.4</v>
      </c>
      <c r="AJ626" s="2">
        <f t="shared" si="78"/>
        <v>0</v>
      </c>
      <c r="AK626" s="2">
        <f t="shared" si="79"/>
        <v>14.0776</v>
      </c>
      <c r="AL626" s="5">
        <f t="shared" si="81"/>
        <v>0.46925333333333336</v>
      </c>
    </row>
    <row r="627" spans="1:38" hidden="1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2"/>
        <v>0.41111111111111115</v>
      </c>
      <c r="Z627" s="2" t="s">
        <v>3231</v>
      </c>
      <c r="AA627" s="2" t="s">
        <v>46</v>
      </c>
      <c r="AB627" s="2" t="s">
        <v>57</v>
      </c>
      <c r="AC627" s="2" t="s">
        <v>58</v>
      </c>
      <c r="AF627" s="2">
        <f t="shared" si="77"/>
        <v>0</v>
      </c>
      <c r="AG627" s="2">
        <v>10.6</v>
      </c>
      <c r="AH627" s="2">
        <v>18</v>
      </c>
      <c r="AJ627" s="2">
        <f t="shared" si="78"/>
        <v>0</v>
      </c>
      <c r="AK627" s="2">
        <f t="shared" si="79"/>
        <v>7.4</v>
      </c>
      <c r="AL627" s="5">
        <f t="shared" si="81"/>
        <v>0.41111111111111115</v>
      </c>
    </row>
    <row r="628" spans="1:38" hidden="1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2"/>
        <v>0.31725909090909088</v>
      </c>
      <c r="Z628" s="2" t="s">
        <v>3231</v>
      </c>
      <c r="AA628" s="2" t="s">
        <v>46</v>
      </c>
      <c r="AB628" s="2" t="s">
        <v>68</v>
      </c>
      <c r="AC628" s="2" t="s">
        <v>58</v>
      </c>
      <c r="AF628" s="2">
        <f t="shared" si="77"/>
        <v>0</v>
      </c>
      <c r="AG628" s="2">
        <v>15.020300000000001</v>
      </c>
      <c r="AH628" s="2">
        <v>27.6</v>
      </c>
      <c r="AJ628" s="2">
        <f t="shared" si="78"/>
        <v>0</v>
      </c>
      <c r="AK628" s="2">
        <f t="shared" si="79"/>
        <v>6.9796999999999993</v>
      </c>
      <c r="AL628" s="5">
        <f t="shared" si="81"/>
        <v>0.31725909090909088</v>
      </c>
    </row>
    <row r="629" spans="1:38" hidden="1" x14ac:dyDescent="0.2">
      <c r="A629" s="2">
        <v>2025</v>
      </c>
      <c r="B629" s="2">
        <v>3</v>
      </c>
      <c r="D629" s="2" t="s">
        <v>814</v>
      </c>
      <c r="E629" s="2" t="s">
        <v>38</v>
      </c>
      <c r="F629" s="2" t="s">
        <v>39</v>
      </c>
      <c r="G629" s="2" t="s">
        <v>815</v>
      </c>
      <c r="H629" s="2" t="s">
        <v>41</v>
      </c>
      <c r="I629" s="2" t="s">
        <v>627</v>
      </c>
      <c r="L629" s="2" t="s">
        <v>627</v>
      </c>
      <c r="M629" s="2" t="s">
        <v>41</v>
      </c>
      <c r="O629" s="2" t="s">
        <v>1018</v>
      </c>
      <c r="P629" s="2" t="s">
        <v>43</v>
      </c>
      <c r="Q629" s="2" t="s">
        <v>861</v>
      </c>
      <c r="R629" s="2" t="s">
        <v>862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2"/>
        <v>0.52380952380952384</v>
      </c>
      <c r="Z629" s="2" t="s">
        <v>3231</v>
      </c>
      <c r="AA629" s="2" t="s">
        <v>46</v>
      </c>
      <c r="AB629" s="2" t="s">
        <v>47</v>
      </c>
      <c r="AC629" s="2" t="s">
        <v>48</v>
      </c>
      <c r="AF629" s="2">
        <f t="shared" si="77"/>
        <v>0</v>
      </c>
      <c r="AJ629" s="2">
        <f t="shared" si="78"/>
        <v>0</v>
      </c>
      <c r="AK629" s="2">
        <f t="shared" si="79"/>
        <v>8.8000000000000007</v>
      </c>
      <c r="AL629" s="5">
        <f t="shared" si="81"/>
        <v>0.52380952380952384</v>
      </c>
    </row>
    <row r="630" spans="1:38" hidden="1" x14ac:dyDescent="0.2">
      <c r="A630" s="2">
        <v>2025</v>
      </c>
      <c r="B630" s="2">
        <v>3</v>
      </c>
      <c r="D630" s="2" t="s">
        <v>814</v>
      </c>
      <c r="E630" s="2" t="s">
        <v>38</v>
      </c>
      <c r="F630" s="2" t="s">
        <v>39</v>
      </c>
      <c r="G630" s="2" t="s">
        <v>815</v>
      </c>
      <c r="H630" s="2" t="s">
        <v>41</v>
      </c>
      <c r="I630" s="2" t="s">
        <v>627</v>
      </c>
      <c r="L630" s="2" t="s">
        <v>627</v>
      </c>
      <c r="M630" s="2" t="s">
        <v>41</v>
      </c>
      <c r="O630" s="2" t="s">
        <v>1018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2"/>
        <v>0.30138139534883718</v>
      </c>
      <c r="Z630" s="2" t="s">
        <v>3231</v>
      </c>
      <c r="AA630" s="2" t="s">
        <v>46</v>
      </c>
      <c r="AB630" s="2" t="s">
        <v>68</v>
      </c>
      <c r="AC630" s="2" t="s">
        <v>58</v>
      </c>
      <c r="AF630" s="2">
        <f t="shared" si="77"/>
        <v>0</v>
      </c>
      <c r="AG630" s="2">
        <v>15.020300000000001</v>
      </c>
      <c r="AH630" s="2">
        <v>27.6</v>
      </c>
      <c r="AJ630" s="2">
        <f t="shared" si="78"/>
        <v>0</v>
      </c>
      <c r="AK630" s="2">
        <f t="shared" si="79"/>
        <v>6.4796999999999993</v>
      </c>
      <c r="AL630" s="5">
        <f t="shared" si="81"/>
        <v>0.30138139534883718</v>
      </c>
    </row>
    <row r="631" spans="1:38" hidden="1" x14ac:dyDescent="0.2">
      <c r="A631" s="2">
        <v>2025</v>
      </c>
      <c r="B631" s="2">
        <v>3</v>
      </c>
      <c r="D631" s="2" t="s">
        <v>1019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1020</v>
      </c>
      <c r="J631" s="2" t="s">
        <v>1021</v>
      </c>
      <c r="L631" s="2" t="s">
        <v>294</v>
      </c>
      <c r="M631" s="2" t="s">
        <v>81</v>
      </c>
      <c r="O631" s="2" t="s">
        <v>1022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2"/>
        <v>0.44069999999999998</v>
      </c>
      <c r="Z631" s="2" t="s">
        <v>3231</v>
      </c>
      <c r="AA631" s="2" t="s">
        <v>76</v>
      </c>
      <c r="AB631" s="2" t="s">
        <v>77</v>
      </c>
      <c r="AC631" s="2" t="s">
        <v>78</v>
      </c>
      <c r="AF631" s="2">
        <f t="shared" si="77"/>
        <v>0</v>
      </c>
      <c r="AG631" s="2">
        <v>117.453</v>
      </c>
      <c r="AH631" s="2">
        <v>220</v>
      </c>
      <c r="AJ631" s="2">
        <f t="shared" si="78"/>
        <v>0</v>
      </c>
      <c r="AK631" s="2">
        <f t="shared" si="79"/>
        <v>185.09399999999999</v>
      </c>
      <c r="AL631" s="5">
        <f t="shared" si="81"/>
        <v>0.44069999999999998</v>
      </c>
    </row>
    <row r="632" spans="1:38" hidden="1" x14ac:dyDescent="0.2">
      <c r="A632" s="2">
        <v>2025</v>
      </c>
      <c r="B632" s="2">
        <v>3</v>
      </c>
      <c r="D632" s="2" t="s">
        <v>1019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1020</v>
      </c>
      <c r="J632" s="2" t="s">
        <v>1021</v>
      </c>
      <c r="L632" s="2" t="s">
        <v>294</v>
      </c>
      <c r="M632" s="2" t="s">
        <v>81</v>
      </c>
      <c r="O632" s="2" t="s">
        <v>1022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2"/>
        <v>0</v>
      </c>
      <c r="Z632" s="2" t="s">
        <v>3231</v>
      </c>
      <c r="AA632" s="2" t="s">
        <v>97</v>
      </c>
      <c r="AB632" s="2" t="s">
        <v>77</v>
      </c>
      <c r="AC632" s="2" t="s">
        <v>94</v>
      </c>
      <c r="AF632" s="2">
        <f t="shared" si="77"/>
        <v>0</v>
      </c>
      <c r="AG632" s="2">
        <v>1.1399999999999999</v>
      </c>
      <c r="AH632" s="2">
        <v>1.1399999999999999</v>
      </c>
      <c r="AJ632" s="2">
        <f t="shared" si="78"/>
        <v>0</v>
      </c>
      <c r="AK632" s="2">
        <f t="shared" si="79"/>
        <v>0</v>
      </c>
      <c r="AL632" s="5">
        <f t="shared" si="81"/>
        <v>0</v>
      </c>
    </row>
    <row r="633" spans="1:38" hidden="1" x14ac:dyDescent="0.2">
      <c r="A633" s="2">
        <v>2025</v>
      </c>
      <c r="B633" s="2">
        <v>3</v>
      </c>
      <c r="D633" s="2" t="s">
        <v>1023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2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7"/>
        <v>0</v>
      </c>
      <c r="AJ633" s="2">
        <f t="shared" si="78"/>
        <v>0</v>
      </c>
      <c r="AK633" s="2">
        <f t="shared" si="79"/>
        <v>344.04</v>
      </c>
      <c r="AL633" s="5">
        <f t="shared" si="81"/>
        <v>0.49816828600802193</v>
      </c>
    </row>
    <row r="634" spans="1:38" hidden="1" x14ac:dyDescent="0.2">
      <c r="A634" s="2">
        <v>2025</v>
      </c>
      <c r="B634" s="2">
        <v>3</v>
      </c>
      <c r="D634" s="2" t="s">
        <v>1023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2"/>
        <v>0.6</v>
      </c>
      <c r="Z634" s="2" t="s">
        <v>118</v>
      </c>
      <c r="AA634" s="2" t="s">
        <v>191</v>
      </c>
      <c r="AB634" s="2" t="s">
        <v>190</v>
      </c>
      <c r="AC634" s="2" t="s">
        <v>40</v>
      </c>
      <c r="AF634" s="2">
        <f t="shared" si="77"/>
        <v>0</v>
      </c>
      <c r="AJ634" s="2">
        <f t="shared" si="78"/>
        <v>0</v>
      </c>
      <c r="AK634" s="2">
        <f t="shared" si="79"/>
        <v>44.4</v>
      </c>
      <c r="AL634" s="5">
        <f t="shared" si="81"/>
        <v>0.6</v>
      </c>
    </row>
    <row r="635" spans="1:38" hidden="1" x14ac:dyDescent="0.2">
      <c r="A635" s="2">
        <v>2025</v>
      </c>
      <c r="B635" s="2">
        <v>3</v>
      </c>
      <c r="D635" s="2" t="s">
        <v>1023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B635" s="2" t="s">
        <v>191</v>
      </c>
      <c r="AC635" s="2" t="s">
        <v>40</v>
      </c>
      <c r="AF635" s="2">
        <f t="shared" si="77"/>
        <v>0</v>
      </c>
      <c r="AJ635" s="2">
        <f t="shared" si="78"/>
        <v>0</v>
      </c>
      <c r="AK635" s="2">
        <f t="shared" si="79"/>
        <v>0</v>
      </c>
      <c r="AL635" s="5">
        <v>0</v>
      </c>
    </row>
    <row r="636" spans="1:38" hidden="1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1024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3">(T636-W636)/T636</f>
        <v>0.37414634146341458</v>
      </c>
      <c r="Z636" s="2" t="s">
        <v>3231</v>
      </c>
      <c r="AA636" s="2" t="s">
        <v>76</v>
      </c>
      <c r="AB636" s="2" t="s">
        <v>77</v>
      </c>
      <c r="AC636" s="2" t="s">
        <v>78</v>
      </c>
      <c r="AF636" s="2">
        <f t="shared" si="77"/>
        <v>0</v>
      </c>
      <c r="AJ636" s="2">
        <f t="shared" si="78"/>
        <v>0</v>
      </c>
      <c r="AK636" s="2">
        <f t="shared" si="79"/>
        <v>76.699999999999989</v>
      </c>
      <c r="AL636" s="5">
        <f t="shared" si="81"/>
        <v>0.37414634146341458</v>
      </c>
    </row>
    <row r="637" spans="1:38" hidden="1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3"/>
        <v>0</v>
      </c>
      <c r="Z637" s="2" t="s">
        <v>3231</v>
      </c>
      <c r="AA637" s="2" t="s">
        <v>97</v>
      </c>
      <c r="AB637" s="2" t="s">
        <v>77</v>
      </c>
      <c r="AC637" s="2" t="s">
        <v>94</v>
      </c>
      <c r="AF637" s="2">
        <f t="shared" si="77"/>
        <v>0</v>
      </c>
      <c r="AG637" s="2">
        <v>1.1399999999999999</v>
      </c>
      <c r="AH637" s="2">
        <v>1.1399999999999999</v>
      </c>
      <c r="AJ637" s="2">
        <f t="shared" si="78"/>
        <v>0</v>
      </c>
      <c r="AK637" s="2">
        <f t="shared" si="79"/>
        <v>0</v>
      </c>
      <c r="AL637" s="5">
        <f t="shared" si="81"/>
        <v>0</v>
      </c>
    </row>
    <row r="638" spans="1:38" hidden="1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1025</v>
      </c>
      <c r="R638" s="2" t="s">
        <v>1026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3"/>
        <v>1</v>
      </c>
      <c r="AF638" s="2">
        <f t="shared" si="77"/>
        <v>0</v>
      </c>
      <c r="AJ638" s="2">
        <f t="shared" si="78"/>
        <v>0</v>
      </c>
      <c r="AK638" s="2">
        <f t="shared" si="79"/>
        <v>276.45</v>
      </c>
      <c r="AL638" s="5">
        <f t="shared" si="81"/>
        <v>1</v>
      </c>
    </row>
    <row r="639" spans="1:38" hidden="1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3"/>
        <v>0.42705853658536586</v>
      </c>
      <c r="Z639" s="2" t="s">
        <v>3231</v>
      </c>
      <c r="AA639" s="2" t="s">
        <v>76</v>
      </c>
      <c r="AB639" s="2" t="s">
        <v>77</v>
      </c>
      <c r="AC639" s="2" t="s">
        <v>78</v>
      </c>
      <c r="AF639" s="2">
        <f t="shared" si="77"/>
        <v>0</v>
      </c>
      <c r="AG639" s="2">
        <v>117.453</v>
      </c>
      <c r="AH639" s="2">
        <v>220</v>
      </c>
      <c r="AJ639" s="2">
        <f t="shared" si="78"/>
        <v>0</v>
      </c>
      <c r="AK639" s="2">
        <f t="shared" si="79"/>
        <v>87.546999999999997</v>
      </c>
      <c r="AL639" s="5">
        <f t="shared" si="81"/>
        <v>0.42705853658536586</v>
      </c>
    </row>
    <row r="640" spans="1:38" hidden="1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3"/>
        <v>0.6</v>
      </c>
      <c r="Z640" s="2" t="s">
        <v>118</v>
      </c>
      <c r="AA640" s="2" t="s">
        <v>191</v>
      </c>
      <c r="AB640" s="2" t="s">
        <v>190</v>
      </c>
      <c r="AC640" s="2" t="s">
        <v>40</v>
      </c>
      <c r="AF640" s="2">
        <f t="shared" si="77"/>
        <v>0</v>
      </c>
      <c r="AJ640" s="2">
        <f t="shared" si="78"/>
        <v>0</v>
      </c>
      <c r="AK640" s="2">
        <f t="shared" si="79"/>
        <v>86.85</v>
      </c>
      <c r="AL640" s="5">
        <f t="shared" si="81"/>
        <v>0.6</v>
      </c>
    </row>
    <row r="641" spans="1:38" hidden="1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3"/>
        <v>0.5</v>
      </c>
      <c r="Z641" s="2" t="s">
        <v>118</v>
      </c>
      <c r="AA641" s="2" t="s">
        <v>191</v>
      </c>
      <c r="AB641" s="2" t="s">
        <v>191</v>
      </c>
      <c r="AC641" s="2" t="s">
        <v>40</v>
      </c>
      <c r="AF641" s="2">
        <f t="shared" si="77"/>
        <v>0</v>
      </c>
      <c r="AJ641" s="2">
        <f t="shared" si="78"/>
        <v>0</v>
      </c>
      <c r="AK641" s="2">
        <f t="shared" si="79"/>
        <v>112.5</v>
      </c>
      <c r="AL641" s="5">
        <f t="shared" si="81"/>
        <v>0.5</v>
      </c>
    </row>
    <row r="642" spans="1:38" hidden="1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3"/>
        <v>0</v>
      </c>
      <c r="Z642" s="2" t="s">
        <v>3231</v>
      </c>
      <c r="AA642" s="2" t="s">
        <v>97</v>
      </c>
      <c r="AB642" s="2" t="s">
        <v>77</v>
      </c>
      <c r="AC642" s="2" t="s">
        <v>94</v>
      </c>
      <c r="AF642" s="2">
        <f t="shared" ref="AF642:AF705" si="84">AJ642</f>
        <v>0</v>
      </c>
      <c r="AJ642" s="2">
        <f t="shared" ref="AJ642:AJ705" si="85">AI642*T642</f>
        <v>0</v>
      </c>
      <c r="AK642" s="2">
        <f t="shared" ref="AK642:AK705" si="86">T642-W642</f>
        <v>0</v>
      </c>
      <c r="AL642" s="5">
        <f t="shared" si="81"/>
        <v>0</v>
      </c>
    </row>
    <row r="643" spans="1:38" hidden="1" x14ac:dyDescent="0.2">
      <c r="A643" s="2">
        <v>2025</v>
      </c>
      <c r="B643" s="2">
        <v>3</v>
      </c>
      <c r="D643" s="2" t="s">
        <v>823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826</v>
      </c>
      <c r="J643" s="2" t="s">
        <v>827</v>
      </c>
      <c r="L643" s="2" t="s">
        <v>419</v>
      </c>
      <c r="P643" s="2" t="s">
        <v>73</v>
      </c>
      <c r="Q643" s="2" t="s">
        <v>1027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3"/>
        <v>0.37612244897959185</v>
      </c>
      <c r="Z643" s="2" t="s">
        <v>3231</v>
      </c>
      <c r="AA643" s="2" t="s">
        <v>76</v>
      </c>
      <c r="AB643" s="2" t="s">
        <v>77</v>
      </c>
      <c r="AC643" s="2" t="s">
        <v>78</v>
      </c>
      <c r="AF643" s="2">
        <f t="shared" si="84"/>
        <v>0</v>
      </c>
      <c r="AJ643" s="2">
        <f t="shared" si="85"/>
        <v>0</v>
      </c>
      <c r="AK643" s="2">
        <f t="shared" si="86"/>
        <v>92.15</v>
      </c>
      <c r="AL643" s="5">
        <f t="shared" si="81"/>
        <v>0.37612244897959185</v>
      </c>
    </row>
    <row r="644" spans="1:38" hidden="1" x14ac:dyDescent="0.2">
      <c r="A644" s="2">
        <v>2025</v>
      </c>
      <c r="B644" s="2">
        <v>3</v>
      </c>
      <c r="D644" s="2" t="s">
        <v>823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826</v>
      </c>
      <c r="J644" s="2" t="s">
        <v>827</v>
      </c>
      <c r="L644" s="2" t="s">
        <v>419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3"/>
        <v>0</v>
      </c>
      <c r="Z644" s="2" t="s">
        <v>3231</v>
      </c>
      <c r="AA644" s="2" t="s">
        <v>97</v>
      </c>
      <c r="AB644" s="2" t="s">
        <v>77</v>
      </c>
      <c r="AC644" s="2" t="s">
        <v>94</v>
      </c>
      <c r="AF644" s="2">
        <f t="shared" si="84"/>
        <v>0</v>
      </c>
      <c r="AJ644" s="2">
        <f t="shared" si="85"/>
        <v>0</v>
      </c>
      <c r="AK644" s="2">
        <f t="shared" si="86"/>
        <v>0</v>
      </c>
      <c r="AL644" s="5">
        <f t="shared" si="81"/>
        <v>0</v>
      </c>
    </row>
    <row r="645" spans="1:38" hidden="1" x14ac:dyDescent="0.2">
      <c r="A645" s="2">
        <v>2025</v>
      </c>
      <c r="B645" s="2">
        <v>3</v>
      </c>
      <c r="D645" s="2" t="s">
        <v>1028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1029</v>
      </c>
      <c r="J645" s="2" t="s">
        <v>1030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1031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3"/>
        <v>1</v>
      </c>
      <c r="Z645" s="2" t="s">
        <v>118</v>
      </c>
      <c r="AF645" s="2">
        <f t="shared" si="84"/>
        <v>0</v>
      </c>
      <c r="AJ645" s="2">
        <f t="shared" si="85"/>
        <v>0</v>
      </c>
      <c r="AK645" s="2">
        <f t="shared" si="86"/>
        <v>2852.95</v>
      </c>
      <c r="AL645" s="5">
        <f t="shared" si="81"/>
        <v>1</v>
      </c>
    </row>
    <row r="646" spans="1:38" hidden="1" x14ac:dyDescent="0.2">
      <c r="A646" s="2">
        <v>2025</v>
      </c>
      <c r="B646" s="2">
        <v>3</v>
      </c>
      <c r="D646" s="2" t="s">
        <v>1028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1029</v>
      </c>
      <c r="J646" s="2" t="s">
        <v>1030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3"/>
        <v>0.6</v>
      </c>
      <c r="Z646" s="2" t="s">
        <v>118</v>
      </c>
      <c r="AA646" s="2" t="s">
        <v>191</v>
      </c>
      <c r="AB646" s="2" t="s">
        <v>190</v>
      </c>
      <c r="AC646" s="2" t="s">
        <v>40</v>
      </c>
      <c r="AF646" s="2">
        <f t="shared" si="84"/>
        <v>0</v>
      </c>
      <c r="AJ646" s="2">
        <f t="shared" si="85"/>
        <v>0</v>
      </c>
      <c r="AK646" s="2">
        <f t="shared" si="86"/>
        <v>30</v>
      </c>
      <c r="AL646" s="5">
        <f t="shared" si="81"/>
        <v>0.6</v>
      </c>
    </row>
    <row r="647" spans="1:38" hidden="1" x14ac:dyDescent="0.2">
      <c r="A647" s="2">
        <v>2025</v>
      </c>
      <c r="B647" s="2">
        <v>3</v>
      </c>
      <c r="D647" s="2" t="s">
        <v>1028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1029</v>
      </c>
      <c r="J647" s="2" t="s">
        <v>1030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3"/>
        <v>0.5</v>
      </c>
      <c r="Z647" s="2" t="s">
        <v>118</v>
      </c>
      <c r="AA647" s="2" t="s">
        <v>191</v>
      </c>
      <c r="AB647" s="2" t="s">
        <v>191</v>
      </c>
      <c r="AC647" s="2" t="s">
        <v>40</v>
      </c>
      <c r="AF647" s="2">
        <f t="shared" si="84"/>
        <v>0</v>
      </c>
      <c r="AJ647" s="2">
        <f t="shared" si="85"/>
        <v>0</v>
      </c>
      <c r="AK647" s="2">
        <f t="shared" si="86"/>
        <v>50</v>
      </c>
      <c r="AL647" s="5">
        <f t="shared" si="81"/>
        <v>0.5</v>
      </c>
    </row>
    <row r="648" spans="1:38" hidden="1" x14ac:dyDescent="0.2">
      <c r="A648" s="2">
        <v>2025</v>
      </c>
      <c r="B648" s="2">
        <v>3</v>
      </c>
      <c r="D648" s="2" t="s">
        <v>834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3"/>
        <v>0.59999999999999987</v>
      </c>
      <c r="Z648" s="2" t="s">
        <v>118</v>
      </c>
      <c r="AA648" s="2" t="s">
        <v>191</v>
      </c>
      <c r="AB648" s="2" t="s">
        <v>190</v>
      </c>
      <c r="AC648" s="2" t="s">
        <v>40</v>
      </c>
      <c r="AF648" s="2">
        <f t="shared" si="84"/>
        <v>0</v>
      </c>
      <c r="AJ648" s="2">
        <f t="shared" si="85"/>
        <v>0</v>
      </c>
      <c r="AK648" s="2">
        <f t="shared" si="86"/>
        <v>42.599999999999994</v>
      </c>
      <c r="AL648" s="5">
        <f t="shared" si="81"/>
        <v>0.59999999999999987</v>
      </c>
    </row>
    <row r="649" spans="1:38" hidden="1" x14ac:dyDescent="0.2">
      <c r="A649" s="2">
        <v>2025</v>
      </c>
      <c r="B649" s="2">
        <v>3</v>
      </c>
      <c r="D649" s="2" t="s">
        <v>834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3"/>
        <v>0.5</v>
      </c>
      <c r="Z649" s="2" t="s">
        <v>118</v>
      </c>
      <c r="AA649" s="2" t="s">
        <v>191</v>
      </c>
      <c r="AB649" s="2" t="s">
        <v>191</v>
      </c>
      <c r="AC649" s="2" t="s">
        <v>40</v>
      </c>
      <c r="AF649" s="2">
        <f t="shared" si="84"/>
        <v>0</v>
      </c>
      <c r="AJ649" s="2">
        <f t="shared" si="85"/>
        <v>0</v>
      </c>
      <c r="AK649" s="2">
        <f t="shared" si="86"/>
        <v>37.5</v>
      </c>
      <c r="AL649" s="5">
        <f t="shared" si="81"/>
        <v>0.5</v>
      </c>
    </row>
    <row r="650" spans="1:38" hidden="1" x14ac:dyDescent="0.2">
      <c r="A650" s="2">
        <v>2025</v>
      </c>
      <c r="B650" s="2">
        <v>3</v>
      </c>
      <c r="D650" s="2" t="s">
        <v>1032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1033</v>
      </c>
      <c r="J650" s="2" t="s">
        <v>1034</v>
      </c>
      <c r="K650" s="2">
        <v>917611946</v>
      </c>
      <c r="L650" s="2" t="s">
        <v>462</v>
      </c>
      <c r="M650" s="2" t="s">
        <v>41</v>
      </c>
      <c r="O650" s="2" t="s">
        <v>1035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3"/>
        <v>0.43176190476190479</v>
      </c>
      <c r="Z650" s="2" t="s">
        <v>3231</v>
      </c>
      <c r="AA650" s="2" t="s">
        <v>76</v>
      </c>
      <c r="AB650" s="2" t="s">
        <v>77</v>
      </c>
      <c r="AC650" s="2" t="s">
        <v>78</v>
      </c>
      <c r="AF650" s="2">
        <f t="shared" si="84"/>
        <v>0</v>
      </c>
      <c r="AG650" s="2">
        <v>119.33</v>
      </c>
      <c r="AH650" s="2">
        <v>220</v>
      </c>
      <c r="AJ650" s="2">
        <f t="shared" si="85"/>
        <v>0</v>
      </c>
      <c r="AK650" s="2">
        <f t="shared" si="86"/>
        <v>90.67</v>
      </c>
      <c r="AL650" s="5">
        <f t="shared" si="81"/>
        <v>0.43176190476190479</v>
      </c>
    </row>
    <row r="651" spans="1:38" hidden="1" x14ac:dyDescent="0.2">
      <c r="A651" s="2">
        <v>2025</v>
      </c>
      <c r="B651" s="2">
        <v>3</v>
      </c>
      <c r="D651" s="2" t="s">
        <v>1032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1033</v>
      </c>
      <c r="J651" s="2" t="s">
        <v>1034</v>
      </c>
      <c r="K651" s="2">
        <v>917611946</v>
      </c>
      <c r="L651" s="2" t="s">
        <v>462</v>
      </c>
      <c r="M651" s="2" t="s">
        <v>41</v>
      </c>
      <c r="O651" s="2" t="s">
        <v>1036</v>
      </c>
      <c r="P651" s="2" t="s">
        <v>73</v>
      </c>
      <c r="Q651" s="2" t="s">
        <v>1037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3"/>
        <v>0.46033333333333332</v>
      </c>
      <c r="Z651" s="2" t="s">
        <v>3231</v>
      </c>
      <c r="AA651" s="2" t="s">
        <v>76</v>
      </c>
      <c r="AB651" s="2" t="s">
        <v>77</v>
      </c>
      <c r="AC651" s="2" t="s">
        <v>78</v>
      </c>
      <c r="AF651" s="2">
        <f t="shared" si="84"/>
        <v>0</v>
      </c>
      <c r="AG651" s="2">
        <v>113.33</v>
      </c>
      <c r="AH651" s="2">
        <v>220</v>
      </c>
      <c r="AJ651" s="2">
        <f t="shared" si="85"/>
        <v>0</v>
      </c>
      <c r="AK651" s="2">
        <f t="shared" si="86"/>
        <v>96.67</v>
      </c>
      <c r="AL651" s="5">
        <f t="shared" si="81"/>
        <v>0.46033333333333332</v>
      </c>
    </row>
    <row r="652" spans="1:38" hidden="1" x14ac:dyDescent="0.2">
      <c r="A652" s="2">
        <v>2025</v>
      </c>
      <c r="B652" s="2">
        <v>3</v>
      </c>
      <c r="D652" s="2" t="s">
        <v>1032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1033</v>
      </c>
      <c r="J652" s="2" t="s">
        <v>1034</v>
      </c>
      <c r="K652" s="2">
        <v>917611946</v>
      </c>
      <c r="L652" s="2" t="s">
        <v>462</v>
      </c>
      <c r="M652" s="2" t="s">
        <v>41</v>
      </c>
      <c r="O652" s="2" t="s">
        <v>1038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3"/>
        <v>0</v>
      </c>
      <c r="Z652" s="2" t="s">
        <v>3231</v>
      </c>
      <c r="AA652" s="2" t="s">
        <v>97</v>
      </c>
      <c r="AB652" s="2" t="s">
        <v>77</v>
      </c>
      <c r="AC652" s="2" t="s">
        <v>94</v>
      </c>
      <c r="AF652" s="2">
        <f t="shared" si="84"/>
        <v>0</v>
      </c>
      <c r="AG652" s="2">
        <v>1.1399999999999999</v>
      </c>
      <c r="AH652" s="2">
        <v>1.1399999999999999</v>
      </c>
      <c r="AJ652" s="2">
        <f t="shared" si="85"/>
        <v>0</v>
      </c>
      <c r="AK652" s="2">
        <f t="shared" si="86"/>
        <v>0</v>
      </c>
      <c r="AL652" s="5">
        <f t="shared" si="81"/>
        <v>0</v>
      </c>
    </row>
    <row r="653" spans="1:38" hidden="1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3"/>
        <v>0.46964444444444448</v>
      </c>
      <c r="Z653" s="2" t="s">
        <v>3231</v>
      </c>
      <c r="AA653" s="2" t="s">
        <v>76</v>
      </c>
      <c r="AB653" s="2" t="s">
        <v>77</v>
      </c>
      <c r="AC653" s="2" t="s">
        <v>78</v>
      </c>
      <c r="AF653" s="2">
        <f t="shared" si="84"/>
        <v>0</v>
      </c>
      <c r="AG653" s="2">
        <v>119.33</v>
      </c>
      <c r="AH653" s="2">
        <v>220</v>
      </c>
      <c r="AJ653" s="2">
        <f t="shared" si="85"/>
        <v>0</v>
      </c>
      <c r="AK653" s="2">
        <f t="shared" si="86"/>
        <v>105.67</v>
      </c>
      <c r="AL653" s="5">
        <f t="shared" si="81"/>
        <v>0.46964444444444448</v>
      </c>
    </row>
    <row r="654" spans="1:38" hidden="1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3"/>
        <v>0</v>
      </c>
      <c r="Z654" s="2" t="s">
        <v>3231</v>
      </c>
      <c r="AA654" s="2" t="s">
        <v>97</v>
      </c>
      <c r="AB654" s="2" t="s">
        <v>77</v>
      </c>
      <c r="AC654" s="2" t="s">
        <v>94</v>
      </c>
      <c r="AF654" s="2">
        <f t="shared" si="84"/>
        <v>0</v>
      </c>
      <c r="AJ654" s="2">
        <f t="shared" si="85"/>
        <v>0</v>
      </c>
      <c r="AK654" s="2">
        <f t="shared" si="86"/>
        <v>0</v>
      </c>
      <c r="AL654" s="5">
        <f t="shared" si="81"/>
        <v>0</v>
      </c>
    </row>
    <row r="655" spans="1:38" hidden="1" x14ac:dyDescent="0.2">
      <c r="A655" s="2">
        <v>2025</v>
      </c>
      <c r="B655" s="2">
        <v>3</v>
      </c>
      <c r="D655" s="2" t="s">
        <v>845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846</v>
      </c>
      <c r="L655" s="2" t="s">
        <v>419</v>
      </c>
      <c r="M655" s="2" t="s">
        <v>41</v>
      </c>
      <c r="O655" s="2" t="s">
        <v>1039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3"/>
        <v>0.41111111111111115</v>
      </c>
      <c r="Z655" s="2" t="s">
        <v>3231</v>
      </c>
      <c r="AA655" s="2" t="s">
        <v>46</v>
      </c>
      <c r="AB655" s="2" t="s">
        <v>57</v>
      </c>
      <c r="AC655" s="2" t="s">
        <v>58</v>
      </c>
      <c r="AF655" s="2">
        <f t="shared" si="84"/>
        <v>0</v>
      </c>
      <c r="AG655" s="2">
        <v>10.6</v>
      </c>
      <c r="AH655" s="2">
        <v>18</v>
      </c>
      <c r="AJ655" s="2">
        <f t="shared" si="85"/>
        <v>0</v>
      </c>
      <c r="AK655" s="2">
        <f t="shared" si="86"/>
        <v>14.8</v>
      </c>
      <c r="AL655" s="5">
        <f t="shared" si="81"/>
        <v>0.41111111111111115</v>
      </c>
    </row>
    <row r="656" spans="1:38" hidden="1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3"/>
        <v>0.41273499999999996</v>
      </c>
      <c r="Z656" s="2" t="s">
        <v>3231</v>
      </c>
      <c r="AA656" s="2" t="s">
        <v>76</v>
      </c>
      <c r="AB656" s="2" t="s">
        <v>77</v>
      </c>
      <c r="AC656" s="2" t="s">
        <v>78</v>
      </c>
      <c r="AF656" s="2">
        <f t="shared" si="84"/>
        <v>0</v>
      </c>
      <c r="AG656" s="2">
        <v>117.453</v>
      </c>
      <c r="AH656" s="2">
        <v>220</v>
      </c>
      <c r="AJ656" s="2">
        <f t="shared" si="85"/>
        <v>0</v>
      </c>
      <c r="AK656" s="2">
        <f t="shared" si="86"/>
        <v>82.546999999999997</v>
      </c>
      <c r="AL656" s="5">
        <f t="shared" si="81"/>
        <v>0.41273499999999996</v>
      </c>
    </row>
    <row r="657" spans="1:38" hidden="1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3151</v>
      </c>
      <c r="P657" s="2" t="s">
        <v>1040</v>
      </c>
      <c r="Q657" s="2" t="s">
        <v>1041</v>
      </c>
      <c r="R657" s="2" t="s">
        <v>1042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3"/>
        <v>0.26018130158300634</v>
      </c>
      <c r="Z657" s="2" t="s">
        <v>3231</v>
      </c>
      <c r="AA657" s="2" t="s">
        <v>1043</v>
      </c>
      <c r="AB657" s="2" t="s">
        <v>1044</v>
      </c>
      <c r="AC657" s="2" t="s">
        <v>1040</v>
      </c>
      <c r="AF657" s="2">
        <f t="shared" si="84"/>
        <v>0</v>
      </c>
      <c r="AG657" s="2">
        <v>150.37</v>
      </c>
      <c r="AJ657" s="2">
        <f t="shared" si="85"/>
        <v>0</v>
      </c>
      <c r="AK657" s="2">
        <f t="shared" si="86"/>
        <v>211.52999999999997</v>
      </c>
      <c r="AL657" s="5">
        <f t="shared" si="81"/>
        <v>0.26018130158300634</v>
      </c>
    </row>
    <row r="658" spans="1:38" hidden="1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3"/>
        <v>0</v>
      </c>
      <c r="Z658" s="2" t="s">
        <v>3231</v>
      </c>
      <c r="AA658" s="2" t="s">
        <v>97</v>
      </c>
      <c r="AB658" s="2" t="s">
        <v>77</v>
      </c>
      <c r="AC658" s="2" t="s">
        <v>94</v>
      </c>
      <c r="AF658" s="2">
        <f t="shared" si="84"/>
        <v>0</v>
      </c>
      <c r="AJ658" s="2">
        <f t="shared" si="85"/>
        <v>0</v>
      </c>
      <c r="AK658" s="2">
        <f t="shared" si="86"/>
        <v>0</v>
      </c>
      <c r="AL658" s="5">
        <f t="shared" ref="AL658:AL721" si="87">(T658-W658)/T658</f>
        <v>0</v>
      </c>
    </row>
    <row r="659" spans="1:38" hidden="1" x14ac:dyDescent="0.2">
      <c r="A659" s="2">
        <v>2025</v>
      </c>
      <c r="B659" s="2">
        <v>3</v>
      </c>
      <c r="D659" s="2" t="s">
        <v>1045</v>
      </c>
      <c r="P659" s="2" t="s">
        <v>167</v>
      </c>
      <c r="Q659" s="2" t="s">
        <v>1046</v>
      </c>
      <c r="R659" s="2" t="s">
        <v>1047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3"/>
        <v>8.0000000000000071E-2</v>
      </c>
      <c r="Z659" s="2" t="s">
        <v>3231</v>
      </c>
      <c r="AA659" s="2" t="s">
        <v>46</v>
      </c>
      <c r="AB659" s="2" t="s">
        <v>91</v>
      </c>
      <c r="AC659" s="2" t="s">
        <v>167</v>
      </c>
      <c r="AF659" s="2">
        <f t="shared" si="84"/>
        <v>0</v>
      </c>
      <c r="AJ659" s="2">
        <f t="shared" si="85"/>
        <v>0</v>
      </c>
      <c r="AK659" s="2">
        <f t="shared" si="86"/>
        <v>0.96000000000000085</v>
      </c>
      <c r="AL659" s="5">
        <f t="shared" si="87"/>
        <v>8.0000000000000071E-2</v>
      </c>
    </row>
    <row r="660" spans="1:38" hidden="1" x14ac:dyDescent="0.2">
      <c r="A660" s="2">
        <v>2025</v>
      </c>
      <c r="B660" s="2">
        <v>3</v>
      </c>
      <c r="D660" s="2" t="s">
        <v>1045</v>
      </c>
      <c r="P660" s="2" t="s">
        <v>167</v>
      </c>
      <c r="Q660" s="2" t="s">
        <v>1048</v>
      </c>
      <c r="R660" s="2" t="s">
        <v>1049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3"/>
        <v>0.19047619047619052</v>
      </c>
      <c r="Z660" s="2" t="s">
        <v>3231</v>
      </c>
      <c r="AA660" s="2" t="s">
        <v>46</v>
      </c>
      <c r="AB660" s="2" t="s">
        <v>91</v>
      </c>
      <c r="AC660" s="2" t="s">
        <v>167</v>
      </c>
      <c r="AF660" s="2">
        <f t="shared" si="84"/>
        <v>0</v>
      </c>
      <c r="AJ660" s="2">
        <f t="shared" si="85"/>
        <v>0</v>
      </c>
      <c r="AK660" s="2">
        <f t="shared" si="86"/>
        <v>1.6000000000000005</v>
      </c>
      <c r="AL660" s="5">
        <f t="shared" si="87"/>
        <v>0.19047619047619052</v>
      </c>
    </row>
    <row r="661" spans="1:38" hidden="1" x14ac:dyDescent="0.2">
      <c r="A661" s="2">
        <v>2025</v>
      </c>
      <c r="B661" s="2">
        <v>3</v>
      </c>
      <c r="D661" s="2" t="s">
        <v>1045</v>
      </c>
      <c r="P661" s="2" t="s">
        <v>85</v>
      </c>
      <c r="Q661" s="2" t="s">
        <v>1050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3"/>
        <v>0.10476190476190485</v>
      </c>
      <c r="Z661" s="2" t="s">
        <v>3231</v>
      </c>
      <c r="AA661" s="2" t="s">
        <v>88</v>
      </c>
      <c r="AB661" s="2" t="s">
        <v>91</v>
      </c>
      <c r="AC661" s="2" t="s">
        <v>85</v>
      </c>
      <c r="AF661" s="2">
        <f t="shared" si="84"/>
        <v>0</v>
      </c>
      <c r="AJ661" s="2">
        <f t="shared" si="85"/>
        <v>0</v>
      </c>
      <c r="AK661" s="2">
        <f t="shared" si="86"/>
        <v>0.2200000000000002</v>
      </c>
      <c r="AL661" s="5">
        <f t="shared" si="87"/>
        <v>0.10476190476190485</v>
      </c>
    </row>
    <row r="662" spans="1:38" hidden="1" x14ac:dyDescent="0.2">
      <c r="A662" s="2">
        <v>2025</v>
      </c>
      <c r="B662" s="2">
        <v>3</v>
      </c>
      <c r="D662" s="2" t="s">
        <v>1051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1052</v>
      </c>
      <c r="J662" s="2" t="s">
        <v>1053</v>
      </c>
      <c r="L662" s="2" t="s">
        <v>340</v>
      </c>
      <c r="M662" s="2" t="s">
        <v>40</v>
      </c>
      <c r="O662" s="2" t="s">
        <v>1054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3"/>
        <v>0.6</v>
      </c>
      <c r="Z662" s="2" t="s">
        <v>118</v>
      </c>
      <c r="AA662" s="2" t="s">
        <v>191</v>
      </c>
      <c r="AB662" s="2" t="s">
        <v>190</v>
      </c>
      <c r="AC662" s="2" t="s">
        <v>40</v>
      </c>
      <c r="AF662" s="2">
        <f t="shared" si="84"/>
        <v>0</v>
      </c>
      <c r="AJ662" s="2">
        <f t="shared" si="85"/>
        <v>0</v>
      </c>
      <c r="AK662" s="2">
        <f t="shared" si="86"/>
        <v>30</v>
      </c>
      <c r="AL662" s="5">
        <f t="shared" si="87"/>
        <v>0.6</v>
      </c>
    </row>
    <row r="663" spans="1:38" hidden="1" x14ac:dyDescent="0.2">
      <c r="A663" s="2">
        <v>2025</v>
      </c>
      <c r="B663" s="2">
        <v>3</v>
      </c>
      <c r="D663" s="2" t="s">
        <v>1051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1052</v>
      </c>
      <c r="J663" s="2" t="s">
        <v>1053</v>
      </c>
      <c r="L663" s="2" t="s">
        <v>340</v>
      </c>
      <c r="M663" s="2" t="s">
        <v>40</v>
      </c>
      <c r="O663" s="2" t="s">
        <v>1054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3"/>
        <v>0.5</v>
      </c>
      <c r="Z663" s="2" t="s">
        <v>118</v>
      </c>
      <c r="AA663" s="2" t="s">
        <v>191</v>
      </c>
      <c r="AB663" s="2" t="s">
        <v>191</v>
      </c>
      <c r="AC663" s="2" t="s">
        <v>40</v>
      </c>
      <c r="AF663" s="2">
        <f t="shared" si="84"/>
        <v>0</v>
      </c>
      <c r="AJ663" s="2">
        <f t="shared" si="85"/>
        <v>0</v>
      </c>
      <c r="AK663" s="2">
        <f t="shared" si="86"/>
        <v>50</v>
      </c>
      <c r="AL663" s="5">
        <f t="shared" si="87"/>
        <v>0.5</v>
      </c>
    </row>
    <row r="664" spans="1:38" hidden="1" x14ac:dyDescent="0.2">
      <c r="A664" s="2">
        <v>2025</v>
      </c>
      <c r="B664" s="2">
        <v>3</v>
      </c>
      <c r="D664" s="2" t="s">
        <v>1055</v>
      </c>
      <c r="E664" s="2" t="s">
        <v>184</v>
      </c>
      <c r="F664" s="2" t="s">
        <v>1056</v>
      </c>
      <c r="G664" s="2">
        <v>500199523</v>
      </c>
      <c r="H664" s="2" t="s">
        <v>291</v>
      </c>
      <c r="I664" s="2" t="s">
        <v>294</v>
      </c>
      <c r="J664" s="2" t="s">
        <v>1057</v>
      </c>
      <c r="L664" s="2" t="s">
        <v>294</v>
      </c>
      <c r="M664" s="2" t="s">
        <v>81</v>
      </c>
      <c r="O664" s="2" t="s">
        <v>1058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3"/>
        <v>0.44659999999999994</v>
      </c>
      <c r="Z664" s="2" t="s">
        <v>3231</v>
      </c>
      <c r="AA664" s="2" t="s">
        <v>76</v>
      </c>
      <c r="AB664" s="2" t="s">
        <v>77</v>
      </c>
      <c r="AC664" s="2" t="s">
        <v>78</v>
      </c>
      <c r="AF664" s="2">
        <f t="shared" si="84"/>
        <v>0</v>
      </c>
      <c r="AG664" s="2">
        <v>110.68</v>
      </c>
      <c r="AH664" s="2">
        <v>210</v>
      </c>
      <c r="AJ664" s="2">
        <f t="shared" si="85"/>
        <v>0</v>
      </c>
      <c r="AK664" s="2">
        <f t="shared" si="86"/>
        <v>89.32</v>
      </c>
      <c r="AL664" s="5">
        <f t="shared" si="87"/>
        <v>0.44659999999999994</v>
      </c>
    </row>
    <row r="665" spans="1:38" hidden="1" x14ac:dyDescent="0.2">
      <c r="A665" s="2">
        <v>2025</v>
      </c>
      <c r="B665" s="2">
        <v>3</v>
      </c>
      <c r="D665" s="2" t="s">
        <v>1055</v>
      </c>
      <c r="E665" s="2" t="s">
        <v>184</v>
      </c>
      <c r="F665" s="2" t="s">
        <v>1056</v>
      </c>
      <c r="G665" s="2">
        <v>500199523</v>
      </c>
      <c r="H665" s="2" t="s">
        <v>291</v>
      </c>
      <c r="I665" s="2" t="s">
        <v>294</v>
      </c>
      <c r="J665" s="2" t="s">
        <v>1057</v>
      </c>
      <c r="L665" s="2" t="s">
        <v>294</v>
      </c>
      <c r="M665" s="2" t="s">
        <v>81</v>
      </c>
      <c r="O665" s="2" t="s">
        <v>1058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3"/>
        <v>0</v>
      </c>
      <c r="Z665" s="2" t="s">
        <v>3231</v>
      </c>
      <c r="AA665" s="2" t="s">
        <v>97</v>
      </c>
      <c r="AB665" s="2" t="s">
        <v>77</v>
      </c>
      <c r="AC665" s="2" t="s">
        <v>94</v>
      </c>
      <c r="AF665" s="2">
        <f t="shared" si="84"/>
        <v>0</v>
      </c>
      <c r="AJ665" s="2">
        <f t="shared" si="85"/>
        <v>0</v>
      </c>
      <c r="AK665" s="2">
        <f t="shared" si="86"/>
        <v>0</v>
      </c>
      <c r="AL665" s="5">
        <f t="shared" si="87"/>
        <v>0</v>
      </c>
    </row>
    <row r="666" spans="1:38" hidden="1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1059</v>
      </c>
      <c r="R666" s="2" t="s">
        <v>1060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3"/>
        <v>0.28993710691823904</v>
      </c>
      <c r="Z666" s="2" t="s">
        <v>3231</v>
      </c>
      <c r="AA666" s="2" t="s">
        <v>72</v>
      </c>
      <c r="AB666" s="2" t="s">
        <v>120</v>
      </c>
      <c r="AC666" s="2" t="s">
        <v>120</v>
      </c>
      <c r="AF666" s="2">
        <f t="shared" si="84"/>
        <v>0</v>
      </c>
      <c r="AJ666" s="2">
        <f t="shared" si="85"/>
        <v>0</v>
      </c>
      <c r="AK666" s="2">
        <f t="shared" si="86"/>
        <v>4.6100000000000012</v>
      </c>
      <c r="AL666" s="5">
        <f t="shared" si="87"/>
        <v>0.28993710691823904</v>
      </c>
    </row>
    <row r="667" spans="1:38" hidden="1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1061</v>
      </c>
      <c r="R667" s="2" t="s">
        <v>1062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3"/>
        <v>0.28992248062015502</v>
      </c>
      <c r="Z667" s="2" t="s">
        <v>3231</v>
      </c>
      <c r="AA667" s="2" t="s">
        <v>72</v>
      </c>
      <c r="AB667" s="2" t="s">
        <v>120</v>
      </c>
      <c r="AC667" s="2" t="s">
        <v>120</v>
      </c>
      <c r="AF667" s="2">
        <f t="shared" si="84"/>
        <v>0</v>
      </c>
      <c r="AJ667" s="2">
        <f t="shared" si="85"/>
        <v>0</v>
      </c>
      <c r="AK667" s="2">
        <f t="shared" si="86"/>
        <v>3.74</v>
      </c>
      <c r="AL667" s="5">
        <f t="shared" si="87"/>
        <v>0.28992248062015502</v>
      </c>
    </row>
    <row r="668" spans="1:38" hidden="1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8">(T668-W668)/T668</f>
        <v>0.25</v>
      </c>
      <c r="Z668" s="2" t="s">
        <v>3231</v>
      </c>
      <c r="AA668" s="2" t="s">
        <v>72</v>
      </c>
      <c r="AB668" s="2" t="s">
        <v>120</v>
      </c>
      <c r="AC668" s="2" t="s">
        <v>120</v>
      </c>
      <c r="AF668" s="2">
        <f t="shared" si="84"/>
        <v>0</v>
      </c>
      <c r="AJ668" s="2">
        <f t="shared" si="85"/>
        <v>0</v>
      </c>
      <c r="AK668" s="2">
        <f t="shared" si="86"/>
        <v>99.75</v>
      </c>
      <c r="AL668" s="5">
        <f t="shared" si="87"/>
        <v>0.25</v>
      </c>
    </row>
    <row r="669" spans="1:38" hidden="1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1063</v>
      </c>
      <c r="R669" s="2" t="s">
        <v>1064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8"/>
        <v>0.28996138996138993</v>
      </c>
      <c r="Z669" s="2" t="s">
        <v>3231</v>
      </c>
      <c r="AA669" s="2" t="s">
        <v>72</v>
      </c>
      <c r="AB669" s="2" t="s">
        <v>120</v>
      </c>
      <c r="AC669" s="2" t="s">
        <v>120</v>
      </c>
      <c r="AF669" s="2">
        <f t="shared" si="84"/>
        <v>0</v>
      </c>
      <c r="AJ669" s="2">
        <f t="shared" si="85"/>
        <v>0</v>
      </c>
      <c r="AK669" s="2">
        <f t="shared" si="86"/>
        <v>7.509999999999998</v>
      </c>
      <c r="AL669" s="5">
        <f t="shared" si="87"/>
        <v>0.28996138996138993</v>
      </c>
    </row>
    <row r="670" spans="1:38" hidden="1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1065</v>
      </c>
      <c r="R670" s="2" t="s">
        <v>1066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8"/>
        <v>0.29999999999999993</v>
      </c>
      <c r="Z670" s="2" t="s">
        <v>3231</v>
      </c>
      <c r="AA670" s="2" t="s">
        <v>72</v>
      </c>
      <c r="AB670" s="2" t="s">
        <v>1604</v>
      </c>
      <c r="AC670" s="2" t="s">
        <v>1604</v>
      </c>
      <c r="AF670" s="2">
        <f t="shared" si="84"/>
        <v>0</v>
      </c>
      <c r="AJ670" s="2">
        <f t="shared" si="85"/>
        <v>0</v>
      </c>
      <c r="AK670" s="2">
        <f t="shared" si="86"/>
        <v>8.6699999999999982</v>
      </c>
      <c r="AL670" s="5">
        <f t="shared" si="87"/>
        <v>0.29999999999999993</v>
      </c>
    </row>
    <row r="671" spans="1:38" hidden="1" x14ac:dyDescent="0.2">
      <c r="A671" s="2">
        <v>2025</v>
      </c>
      <c r="B671" s="2">
        <v>3</v>
      </c>
      <c r="D671" s="2" t="s">
        <v>1067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8"/>
        <v>0.21904761904761905</v>
      </c>
      <c r="Z671" s="2" t="s">
        <v>3231</v>
      </c>
      <c r="AA671" s="2" t="s">
        <v>46</v>
      </c>
      <c r="AB671" s="2" t="s">
        <v>61</v>
      </c>
      <c r="AC671" s="2" t="s">
        <v>58</v>
      </c>
      <c r="AF671" s="2">
        <f t="shared" si="84"/>
        <v>0</v>
      </c>
      <c r="AG671" s="2">
        <v>8.1999999999999993</v>
      </c>
      <c r="AH671" s="2">
        <v>13</v>
      </c>
      <c r="AJ671" s="2">
        <f t="shared" si="85"/>
        <v>0</v>
      </c>
      <c r="AK671" s="2">
        <f t="shared" si="86"/>
        <v>23</v>
      </c>
      <c r="AL671" s="5">
        <f t="shared" si="87"/>
        <v>0.21904761904761905</v>
      </c>
    </row>
    <row r="672" spans="1:38" hidden="1" x14ac:dyDescent="0.2">
      <c r="A672" s="2">
        <v>2025</v>
      </c>
      <c r="B672" s="2">
        <v>3</v>
      </c>
      <c r="D672" s="2" t="s">
        <v>1067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8"/>
        <v>0.28474761904761903</v>
      </c>
      <c r="Z672" s="2" t="s">
        <v>3231</v>
      </c>
      <c r="AA672" s="2" t="s">
        <v>46</v>
      </c>
      <c r="AB672" s="2" t="s">
        <v>68</v>
      </c>
      <c r="AC672" s="2" t="s">
        <v>58</v>
      </c>
      <c r="AF672" s="2">
        <f t="shared" si="84"/>
        <v>0</v>
      </c>
      <c r="AG672" s="2">
        <v>15.020300000000001</v>
      </c>
      <c r="AH672" s="2">
        <v>27.6</v>
      </c>
      <c r="AJ672" s="2">
        <f t="shared" si="85"/>
        <v>0</v>
      </c>
      <c r="AK672" s="2">
        <f t="shared" si="86"/>
        <v>11.959399999999999</v>
      </c>
      <c r="AL672" s="5">
        <f t="shared" si="87"/>
        <v>0.28474761904761903</v>
      </c>
    </row>
    <row r="673" spans="1:38" hidden="1" x14ac:dyDescent="0.2">
      <c r="A673" s="2">
        <v>2025</v>
      </c>
      <c r="B673" s="2">
        <v>3</v>
      </c>
      <c r="D673" s="2" t="s">
        <v>1068</v>
      </c>
      <c r="M673" s="2" t="s">
        <v>40</v>
      </c>
      <c r="P673" s="2" t="s">
        <v>2695</v>
      </c>
      <c r="Q673" s="2" t="s">
        <v>1069</v>
      </c>
      <c r="R673" s="2" t="s">
        <v>1070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8"/>
        <v>0.58244117647058824</v>
      </c>
      <c r="Z673" s="2" t="s">
        <v>3231</v>
      </c>
      <c r="AA673" s="2" t="s">
        <v>3388</v>
      </c>
      <c r="AB673" s="2" t="s">
        <v>3389</v>
      </c>
      <c r="AC673" s="2" t="s">
        <v>3390</v>
      </c>
      <c r="AF673" s="2">
        <f t="shared" si="84"/>
        <v>0</v>
      </c>
      <c r="AJ673" s="2">
        <f t="shared" si="85"/>
        <v>0</v>
      </c>
      <c r="AK673" s="2">
        <f t="shared" si="86"/>
        <v>396.06</v>
      </c>
      <c r="AL673" s="5">
        <f t="shared" si="87"/>
        <v>0.58244117647058824</v>
      </c>
    </row>
    <row r="674" spans="1:38" hidden="1" x14ac:dyDescent="0.2">
      <c r="A674" s="2">
        <v>2025</v>
      </c>
      <c r="B674" s="2">
        <v>3</v>
      </c>
      <c r="D674" s="2" t="s">
        <v>869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870</v>
      </c>
      <c r="J674" s="2" t="s">
        <v>871</v>
      </c>
      <c r="K674" s="2">
        <v>933599817</v>
      </c>
      <c r="L674" s="2" t="s">
        <v>100</v>
      </c>
      <c r="P674" s="2" t="s">
        <v>283</v>
      </c>
      <c r="Q674" s="2" t="s">
        <v>1071</v>
      </c>
      <c r="R674" s="2" t="s">
        <v>1072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8"/>
        <v>0.33387665198237887</v>
      </c>
      <c r="Z674" s="2" t="s">
        <v>3231</v>
      </c>
      <c r="AA674" s="2" t="s">
        <v>72</v>
      </c>
      <c r="AB674" s="2" t="s">
        <v>120</v>
      </c>
      <c r="AC674" s="2" t="s">
        <v>120</v>
      </c>
      <c r="AF674" s="2">
        <f t="shared" si="84"/>
        <v>0</v>
      </c>
      <c r="AJ674" s="2">
        <f t="shared" si="85"/>
        <v>0</v>
      </c>
      <c r="AK674" s="2">
        <f t="shared" si="86"/>
        <v>3.0316000000000001</v>
      </c>
      <c r="AL674" s="5">
        <f t="shared" si="87"/>
        <v>0.33387665198237887</v>
      </c>
    </row>
    <row r="675" spans="1:38" hidden="1" x14ac:dyDescent="0.2">
      <c r="A675" s="2">
        <v>2025</v>
      </c>
      <c r="B675" s="2">
        <v>3</v>
      </c>
      <c r="D675" s="2" t="s">
        <v>869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870</v>
      </c>
      <c r="J675" s="2" t="s">
        <v>871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8"/>
        <v>0.61391076923076926</v>
      </c>
      <c r="Z675" s="2" t="s">
        <v>3231</v>
      </c>
      <c r="AA675" s="2" t="s">
        <v>46</v>
      </c>
      <c r="AB675" s="2" t="s">
        <v>91</v>
      </c>
      <c r="AC675" s="2" t="s">
        <v>58</v>
      </c>
      <c r="AF675" s="2">
        <f t="shared" si="84"/>
        <v>0</v>
      </c>
      <c r="AJ675" s="2">
        <f t="shared" si="85"/>
        <v>0</v>
      </c>
      <c r="AK675" s="2">
        <f t="shared" si="86"/>
        <v>39.904200000000003</v>
      </c>
      <c r="AL675" s="5">
        <f t="shared" si="87"/>
        <v>0.61391076923076926</v>
      </c>
    </row>
    <row r="676" spans="1:38" hidden="1" x14ac:dyDescent="0.2">
      <c r="A676" s="2">
        <v>2025</v>
      </c>
      <c r="B676" s="2">
        <v>3</v>
      </c>
      <c r="D676" s="2" t="s">
        <v>1073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1558</v>
      </c>
      <c r="J676" s="2" t="s">
        <v>1828</v>
      </c>
      <c r="L676" s="2" t="s">
        <v>178</v>
      </c>
      <c r="M676" s="2" t="s">
        <v>41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8"/>
        <v>0.44777500000000003</v>
      </c>
      <c r="Z676" s="2" t="s">
        <v>3231</v>
      </c>
      <c r="AA676" s="2" t="s">
        <v>46</v>
      </c>
      <c r="AB676" s="2" t="s">
        <v>47</v>
      </c>
      <c r="AC676" s="2" t="s">
        <v>48</v>
      </c>
      <c r="AF676" s="2">
        <f t="shared" si="84"/>
        <v>0</v>
      </c>
      <c r="AG676" s="2">
        <v>6.6266999999999996</v>
      </c>
      <c r="AH676" s="2">
        <v>12</v>
      </c>
      <c r="AJ676" s="2">
        <f t="shared" si="85"/>
        <v>0</v>
      </c>
      <c r="AK676" s="2">
        <f t="shared" si="86"/>
        <v>42.986400000000003</v>
      </c>
      <c r="AL676" s="5">
        <f t="shared" si="87"/>
        <v>0.44777500000000003</v>
      </c>
    </row>
    <row r="677" spans="1:38" hidden="1" x14ac:dyDescent="0.2">
      <c r="A677" s="2">
        <v>2025</v>
      </c>
      <c r="B677" s="2">
        <v>3</v>
      </c>
      <c r="D677" s="2" t="s">
        <v>1073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1558</v>
      </c>
      <c r="J677" s="2" t="s">
        <v>1828</v>
      </c>
      <c r="L677" s="2" t="s">
        <v>178</v>
      </c>
      <c r="M677" s="2" t="s">
        <v>41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8"/>
        <v>0.36923076923076914</v>
      </c>
      <c r="Z677" s="2" t="s">
        <v>3231</v>
      </c>
      <c r="AA677" s="2" t="s">
        <v>46</v>
      </c>
      <c r="AB677" s="2" t="s">
        <v>61</v>
      </c>
      <c r="AC677" s="2" t="s">
        <v>58</v>
      </c>
      <c r="AF677" s="2">
        <f t="shared" si="84"/>
        <v>0</v>
      </c>
      <c r="AG677" s="2">
        <v>8.1999999999999993</v>
      </c>
      <c r="AH677" s="2">
        <v>13</v>
      </c>
      <c r="AJ677" s="2">
        <f t="shared" si="85"/>
        <v>0</v>
      </c>
      <c r="AK677" s="2">
        <f t="shared" si="86"/>
        <v>4.7999999999999989</v>
      </c>
      <c r="AL677" s="5">
        <f t="shared" si="87"/>
        <v>0.36923076923076914</v>
      </c>
    </row>
    <row r="678" spans="1:38" hidden="1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999</v>
      </c>
      <c r="R678" s="2" t="s">
        <v>1000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8"/>
        <v>0.21818181818181812</v>
      </c>
      <c r="Z678" s="2" t="s">
        <v>3231</v>
      </c>
      <c r="AA678" s="2" t="s">
        <v>72</v>
      </c>
      <c r="AB678" s="2" t="s">
        <v>120</v>
      </c>
      <c r="AC678" s="2" t="s">
        <v>120</v>
      </c>
      <c r="AF678" s="2">
        <f t="shared" si="84"/>
        <v>0</v>
      </c>
      <c r="AJ678" s="2">
        <f t="shared" si="85"/>
        <v>0</v>
      </c>
      <c r="AK678" s="2">
        <f t="shared" si="86"/>
        <v>21.599999999999994</v>
      </c>
      <c r="AL678" s="5">
        <f t="shared" si="87"/>
        <v>0.21818181818181812</v>
      </c>
    </row>
    <row r="679" spans="1:38" hidden="1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8"/>
        <v>0.44069999999999998</v>
      </c>
      <c r="Z679" s="2" t="s">
        <v>3231</v>
      </c>
      <c r="AA679" s="2" t="s">
        <v>76</v>
      </c>
      <c r="AB679" s="2" t="s">
        <v>77</v>
      </c>
      <c r="AC679" s="2" t="s">
        <v>78</v>
      </c>
      <c r="AF679" s="2">
        <f t="shared" si="84"/>
        <v>0</v>
      </c>
      <c r="AG679" s="2">
        <v>117.453</v>
      </c>
      <c r="AH679" s="2">
        <v>220</v>
      </c>
      <c r="AJ679" s="2">
        <f t="shared" si="85"/>
        <v>0</v>
      </c>
      <c r="AK679" s="2">
        <f t="shared" si="86"/>
        <v>92.546999999999997</v>
      </c>
      <c r="AL679" s="5">
        <f t="shared" si="87"/>
        <v>0.44069999999999998</v>
      </c>
    </row>
    <row r="680" spans="1:38" hidden="1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1074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8"/>
        <v>0.37804545454545446</v>
      </c>
      <c r="Z680" s="2" t="s">
        <v>3231</v>
      </c>
      <c r="AA680" s="2" t="s">
        <v>76</v>
      </c>
      <c r="AB680" s="2" t="s">
        <v>77</v>
      </c>
      <c r="AC680" s="2" t="s">
        <v>78</v>
      </c>
      <c r="AF680" s="2">
        <f t="shared" si="84"/>
        <v>0</v>
      </c>
      <c r="AJ680" s="2">
        <f t="shared" si="85"/>
        <v>0</v>
      </c>
      <c r="AK680" s="2">
        <f t="shared" si="86"/>
        <v>83.169999999999987</v>
      </c>
      <c r="AL680" s="5">
        <f t="shared" si="87"/>
        <v>0.37804545454545446</v>
      </c>
    </row>
    <row r="681" spans="1:38" hidden="1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8"/>
        <v>0</v>
      </c>
      <c r="Z681" s="2" t="s">
        <v>3231</v>
      </c>
      <c r="AA681" s="2" t="s">
        <v>97</v>
      </c>
      <c r="AB681" s="2" t="s">
        <v>77</v>
      </c>
      <c r="AC681" s="2" t="s">
        <v>94</v>
      </c>
      <c r="AF681" s="2">
        <f t="shared" si="84"/>
        <v>0</v>
      </c>
      <c r="AJ681" s="2">
        <f t="shared" si="85"/>
        <v>0</v>
      </c>
      <c r="AK681" s="2">
        <f t="shared" si="86"/>
        <v>0</v>
      </c>
      <c r="AL681" s="5">
        <f t="shared" si="87"/>
        <v>0</v>
      </c>
    </row>
    <row r="682" spans="1:38" hidden="1" x14ac:dyDescent="0.2">
      <c r="A682" s="2">
        <v>2025</v>
      </c>
      <c r="B682" s="2">
        <v>3</v>
      </c>
      <c r="D682" s="2" t="s">
        <v>1075</v>
      </c>
      <c r="P682" s="2" t="s">
        <v>73</v>
      </c>
      <c r="Q682" s="2" t="s">
        <v>1076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8"/>
        <v>0.44451162790697674</v>
      </c>
      <c r="Z682" s="2" t="s">
        <v>3231</v>
      </c>
      <c r="AA682" s="2" t="s">
        <v>76</v>
      </c>
      <c r="AB682" s="2" t="s">
        <v>77</v>
      </c>
      <c r="AC682" s="2" t="s">
        <v>78</v>
      </c>
      <c r="AF682" s="2">
        <f t="shared" si="84"/>
        <v>0</v>
      </c>
      <c r="AJ682" s="2">
        <f t="shared" si="85"/>
        <v>0</v>
      </c>
      <c r="AK682" s="2">
        <f t="shared" si="86"/>
        <v>95.57</v>
      </c>
      <c r="AL682" s="5">
        <f t="shared" si="87"/>
        <v>0.44451162790697674</v>
      </c>
    </row>
    <row r="683" spans="1:38" hidden="1" x14ac:dyDescent="0.2">
      <c r="A683" s="2">
        <v>2025</v>
      </c>
      <c r="B683" s="2">
        <v>3</v>
      </c>
      <c r="D683" s="2" t="s">
        <v>1075</v>
      </c>
      <c r="P683" s="2" t="s">
        <v>73</v>
      </c>
      <c r="Q683" s="2" t="s">
        <v>1077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8"/>
        <v>0.36184000000000005</v>
      </c>
      <c r="Z683" s="2" t="s">
        <v>3231</v>
      </c>
      <c r="AA683" s="2" t="s">
        <v>76</v>
      </c>
      <c r="AB683" s="2" t="s">
        <v>77</v>
      </c>
      <c r="AC683" s="2" t="s">
        <v>78</v>
      </c>
      <c r="AF683" s="2">
        <f t="shared" si="84"/>
        <v>0</v>
      </c>
      <c r="AG683" s="2">
        <f>144.14+15.4</f>
        <v>159.54</v>
      </c>
      <c r="AH683" s="2">
        <v>280</v>
      </c>
      <c r="AJ683" s="2">
        <f t="shared" si="85"/>
        <v>0</v>
      </c>
      <c r="AK683" s="2">
        <f t="shared" si="86"/>
        <v>90.460000000000008</v>
      </c>
      <c r="AL683" s="5">
        <f t="shared" si="87"/>
        <v>0.36184000000000005</v>
      </c>
    </row>
    <row r="684" spans="1:38" hidden="1" x14ac:dyDescent="0.2">
      <c r="A684" s="2">
        <v>2025</v>
      </c>
      <c r="B684" s="2">
        <v>3</v>
      </c>
      <c r="D684" s="2" t="s">
        <v>1075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8"/>
        <v>0</v>
      </c>
      <c r="Z684" s="2" t="s">
        <v>3231</v>
      </c>
      <c r="AA684" s="2" t="s">
        <v>97</v>
      </c>
      <c r="AB684" s="2" t="s">
        <v>77</v>
      </c>
      <c r="AC684" s="2" t="s">
        <v>94</v>
      </c>
      <c r="AF684" s="2">
        <f t="shared" si="84"/>
        <v>0</v>
      </c>
      <c r="AJ684" s="2">
        <f t="shared" si="85"/>
        <v>0</v>
      </c>
      <c r="AK684" s="2">
        <f t="shared" si="86"/>
        <v>0</v>
      </c>
      <c r="AL684" s="5">
        <f t="shared" si="87"/>
        <v>0</v>
      </c>
    </row>
    <row r="685" spans="1:38" hidden="1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1078</v>
      </c>
      <c r="P685" s="2" t="s">
        <v>115</v>
      </c>
      <c r="Q685" s="2" t="s">
        <v>1079</v>
      </c>
      <c r="R685" s="2" t="s">
        <v>1080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8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4"/>
        <v>0</v>
      </c>
      <c r="AG685" s="2">
        <v>74.795000000000002</v>
      </c>
      <c r="AJ685" s="2">
        <f t="shared" si="85"/>
        <v>0</v>
      </c>
      <c r="AK685" s="2">
        <f t="shared" si="86"/>
        <v>61.434999999999988</v>
      </c>
      <c r="AL685" s="5">
        <f t="shared" si="87"/>
        <v>0.45096527930705421</v>
      </c>
    </row>
    <row r="686" spans="1:38" hidden="1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1078</v>
      </c>
      <c r="P686" s="2" t="s">
        <v>115</v>
      </c>
      <c r="Q686" s="2" t="s">
        <v>1081</v>
      </c>
      <c r="R686" s="2" t="s">
        <v>1082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8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4"/>
        <v>0</v>
      </c>
      <c r="AG686" s="2">
        <v>37.96</v>
      </c>
      <c r="AJ686" s="2">
        <f t="shared" si="85"/>
        <v>0</v>
      </c>
      <c r="AK686" s="2">
        <f t="shared" si="86"/>
        <v>28.449999999999996</v>
      </c>
      <c r="AL686" s="5">
        <f t="shared" si="87"/>
        <v>0.4283993374491793</v>
      </c>
    </row>
    <row r="687" spans="1:38" hidden="1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1083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8"/>
        <v>0.44069999999999998</v>
      </c>
      <c r="Z687" s="2" t="s">
        <v>3231</v>
      </c>
      <c r="AA687" s="2" t="s">
        <v>76</v>
      </c>
      <c r="AB687" s="2" t="s">
        <v>77</v>
      </c>
      <c r="AC687" s="2" t="s">
        <v>78</v>
      </c>
      <c r="AF687" s="2">
        <f t="shared" si="84"/>
        <v>0</v>
      </c>
      <c r="AG687" s="2">
        <v>117.453</v>
      </c>
      <c r="AH687" s="2">
        <v>220</v>
      </c>
      <c r="AJ687" s="2">
        <f t="shared" si="85"/>
        <v>0</v>
      </c>
      <c r="AK687" s="2">
        <f t="shared" si="86"/>
        <v>92.546999999999997</v>
      </c>
      <c r="AL687" s="5">
        <f t="shared" si="87"/>
        <v>0.44069999999999998</v>
      </c>
    </row>
    <row r="688" spans="1:38" hidden="1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1084</v>
      </c>
      <c r="P688" s="2" t="s">
        <v>73</v>
      </c>
      <c r="Q688" s="2" t="s">
        <v>665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8"/>
        <v>0.40402380952380951</v>
      </c>
      <c r="Z688" s="2" t="s">
        <v>3231</v>
      </c>
      <c r="AA688" s="2" t="s">
        <v>76</v>
      </c>
      <c r="AB688" s="2" t="s">
        <v>77</v>
      </c>
      <c r="AC688" s="2" t="s">
        <v>78</v>
      </c>
      <c r="AF688" s="2">
        <f t="shared" si="84"/>
        <v>0</v>
      </c>
      <c r="AG688" s="2">
        <v>111.11</v>
      </c>
      <c r="AJ688" s="2">
        <f t="shared" si="85"/>
        <v>0</v>
      </c>
      <c r="AK688" s="2">
        <f t="shared" si="86"/>
        <v>84.844999999999999</v>
      </c>
      <c r="AL688" s="5">
        <f t="shared" si="87"/>
        <v>0.40402380952380951</v>
      </c>
    </row>
    <row r="689" spans="1:38" hidden="1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1078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B689" s="2" t="s">
        <v>190</v>
      </c>
      <c r="AC689" s="2" t="s">
        <v>40</v>
      </c>
      <c r="AF689" s="2">
        <f t="shared" si="84"/>
        <v>0</v>
      </c>
      <c r="AJ689" s="2">
        <f t="shared" si="85"/>
        <v>0</v>
      </c>
      <c r="AK689" s="2">
        <f t="shared" si="86"/>
        <v>0</v>
      </c>
      <c r="AL689" s="5" t="e">
        <f t="shared" si="87"/>
        <v>#DIV/0!</v>
      </c>
    </row>
    <row r="690" spans="1:38" hidden="1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1078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9">(T690-W690)/T690</f>
        <v>0.5</v>
      </c>
      <c r="Z690" s="2" t="s">
        <v>118</v>
      </c>
      <c r="AA690" s="2" t="s">
        <v>191</v>
      </c>
      <c r="AB690" s="2" t="s">
        <v>191</v>
      </c>
      <c r="AC690" s="2" t="s">
        <v>40</v>
      </c>
      <c r="AF690" s="2">
        <f t="shared" si="84"/>
        <v>0</v>
      </c>
      <c r="AJ690" s="2">
        <f t="shared" si="85"/>
        <v>0</v>
      </c>
      <c r="AK690" s="2">
        <f t="shared" si="86"/>
        <v>18.75</v>
      </c>
      <c r="AL690" s="5">
        <f t="shared" si="87"/>
        <v>0.5</v>
      </c>
    </row>
    <row r="691" spans="1:38" hidden="1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1084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9"/>
        <v>0</v>
      </c>
      <c r="Z691" s="2" t="s">
        <v>3231</v>
      </c>
      <c r="AA691" s="2" t="s">
        <v>97</v>
      </c>
      <c r="AB691" s="2" t="s">
        <v>77</v>
      </c>
      <c r="AC691" s="2" t="s">
        <v>94</v>
      </c>
      <c r="AF691" s="2">
        <f t="shared" si="84"/>
        <v>0</v>
      </c>
      <c r="AG691" s="2">
        <v>1.1399999999999999</v>
      </c>
      <c r="AH691" s="2">
        <v>1.1399999999999999</v>
      </c>
      <c r="AJ691" s="2">
        <f t="shared" si="85"/>
        <v>0</v>
      </c>
      <c r="AK691" s="2">
        <f t="shared" si="86"/>
        <v>0</v>
      </c>
      <c r="AL691" s="5">
        <f t="shared" si="87"/>
        <v>0</v>
      </c>
    </row>
    <row r="692" spans="1:38" hidden="1" x14ac:dyDescent="0.2">
      <c r="A692" s="2">
        <v>2025</v>
      </c>
      <c r="B692" s="2">
        <v>3</v>
      </c>
      <c r="D692" s="2" t="s">
        <v>1085</v>
      </c>
      <c r="P692" s="2" t="s">
        <v>1196</v>
      </c>
      <c r="Q692" s="2" t="s">
        <v>1086</v>
      </c>
      <c r="R692" s="2" t="s">
        <v>1087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9"/>
        <v>0.26872714244188012</v>
      </c>
      <c r="Z692" s="2" t="s">
        <v>105</v>
      </c>
      <c r="AA692" s="2" t="s">
        <v>2750</v>
      </c>
      <c r="AB692" s="2" t="s">
        <v>2751</v>
      </c>
      <c r="AC692" s="2" t="s">
        <v>1196</v>
      </c>
      <c r="AF692" s="2">
        <f t="shared" si="84"/>
        <v>0</v>
      </c>
      <c r="AJ692" s="2">
        <f t="shared" si="85"/>
        <v>0</v>
      </c>
      <c r="AK692" s="2">
        <f t="shared" si="86"/>
        <v>795.04</v>
      </c>
      <c r="AL692" s="5">
        <f t="shared" si="87"/>
        <v>0.26872714244188012</v>
      </c>
    </row>
    <row r="693" spans="1:38" hidden="1" x14ac:dyDescent="0.2">
      <c r="A693" s="2">
        <v>2025</v>
      </c>
      <c r="B693" s="2">
        <v>3</v>
      </c>
      <c r="D693" s="2" t="s">
        <v>1085</v>
      </c>
      <c r="P693" s="2" t="s">
        <v>1196</v>
      </c>
      <c r="Q693" s="2" t="s">
        <v>1088</v>
      </c>
      <c r="R693" s="2" t="s">
        <v>1089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9"/>
        <v>1</v>
      </c>
      <c r="Z693" s="2" t="s">
        <v>105</v>
      </c>
      <c r="AF693" s="2">
        <f t="shared" si="84"/>
        <v>0</v>
      </c>
      <c r="AJ693" s="2">
        <f t="shared" si="85"/>
        <v>0</v>
      </c>
      <c r="AK693" s="2">
        <f t="shared" si="86"/>
        <v>700</v>
      </c>
      <c r="AL693" s="5">
        <f t="shared" si="87"/>
        <v>1</v>
      </c>
    </row>
    <row r="694" spans="1:38" hidden="1" x14ac:dyDescent="0.2">
      <c r="A694" s="2">
        <v>2025</v>
      </c>
      <c r="B694" s="2">
        <v>3</v>
      </c>
      <c r="D694" s="2" t="s">
        <v>1090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1091</v>
      </c>
      <c r="J694" s="2" t="s">
        <v>1092</v>
      </c>
      <c r="K694" s="2">
        <v>917523997</v>
      </c>
      <c r="L694" s="2" t="s">
        <v>113</v>
      </c>
      <c r="M694" s="2" t="s">
        <v>40</v>
      </c>
      <c r="O694" s="2" t="s">
        <v>1093</v>
      </c>
      <c r="P694" s="2" t="s">
        <v>115</v>
      </c>
      <c r="Q694" s="2" t="s">
        <v>980</v>
      </c>
      <c r="R694" s="2" t="s">
        <v>981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9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4"/>
        <v>0</v>
      </c>
      <c r="AJ694" s="2">
        <f t="shared" si="85"/>
        <v>0</v>
      </c>
      <c r="AK694" s="2">
        <f t="shared" si="86"/>
        <v>76.930000000000007</v>
      </c>
      <c r="AL694" s="5">
        <f t="shared" si="87"/>
        <v>1</v>
      </c>
    </row>
    <row r="695" spans="1:38" hidden="1" x14ac:dyDescent="0.2">
      <c r="A695" s="2">
        <v>2025</v>
      </c>
      <c r="B695" s="2">
        <v>3</v>
      </c>
      <c r="D695" s="2" t="s">
        <v>894</v>
      </c>
      <c r="P695" s="2" t="s">
        <v>73</v>
      </c>
      <c r="Q695" s="2" t="s">
        <v>833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9"/>
        <v>0.45165454545454548</v>
      </c>
      <c r="Z695" s="2" t="s">
        <v>3231</v>
      </c>
      <c r="AA695" s="2" t="s">
        <v>76</v>
      </c>
      <c r="AB695" s="2" t="s">
        <v>77</v>
      </c>
      <c r="AC695" s="2" t="s">
        <v>78</v>
      </c>
      <c r="AF695" s="2">
        <f t="shared" si="84"/>
        <v>0</v>
      </c>
      <c r="AG695" s="2">
        <v>120.636</v>
      </c>
      <c r="AH695" s="2">
        <v>220</v>
      </c>
      <c r="AJ695" s="2">
        <f t="shared" si="85"/>
        <v>0</v>
      </c>
      <c r="AK695" s="2">
        <f t="shared" si="86"/>
        <v>99.364000000000004</v>
      </c>
      <c r="AL695" s="5">
        <f t="shared" si="87"/>
        <v>0.45165454545454548</v>
      </c>
    </row>
    <row r="696" spans="1:38" hidden="1" x14ac:dyDescent="0.2">
      <c r="A696" s="2">
        <v>2025</v>
      </c>
      <c r="B696" s="2">
        <v>3</v>
      </c>
      <c r="D696" s="2" t="s">
        <v>894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9"/>
        <v>0</v>
      </c>
      <c r="Z696" s="2" t="s">
        <v>3231</v>
      </c>
      <c r="AA696" s="2" t="s">
        <v>97</v>
      </c>
      <c r="AB696" s="2" t="s">
        <v>77</v>
      </c>
      <c r="AC696" s="2" t="s">
        <v>94</v>
      </c>
      <c r="AF696" s="2">
        <f t="shared" si="84"/>
        <v>0</v>
      </c>
      <c r="AJ696" s="2">
        <f t="shared" si="85"/>
        <v>0</v>
      </c>
      <c r="AK696" s="2">
        <f t="shared" si="86"/>
        <v>0</v>
      </c>
      <c r="AL696" s="5">
        <f t="shared" si="87"/>
        <v>0</v>
      </c>
    </row>
    <row r="697" spans="1:38" hidden="1" x14ac:dyDescent="0.2">
      <c r="A697" s="2">
        <v>2025</v>
      </c>
      <c r="B697" s="2">
        <v>3</v>
      </c>
      <c r="D697" s="2" t="s">
        <v>1094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9"/>
        <v>1</v>
      </c>
      <c r="Z697" s="2" t="s">
        <v>118</v>
      </c>
      <c r="AF697" s="2">
        <f t="shared" si="84"/>
        <v>0</v>
      </c>
      <c r="AJ697" s="2">
        <f t="shared" si="85"/>
        <v>0</v>
      </c>
      <c r="AK697" s="2">
        <f t="shared" si="86"/>
        <v>49.81</v>
      </c>
      <c r="AL697" s="5">
        <f t="shared" si="87"/>
        <v>1</v>
      </c>
    </row>
    <row r="698" spans="1:38" hidden="1" x14ac:dyDescent="0.2">
      <c r="A698" s="2">
        <v>2025</v>
      </c>
      <c r="B698" s="2">
        <v>3</v>
      </c>
      <c r="D698" s="2" t="s">
        <v>1094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9"/>
        <v>0.6</v>
      </c>
      <c r="Z698" s="2" t="s">
        <v>118</v>
      </c>
      <c r="AA698" s="2" t="s">
        <v>191</v>
      </c>
      <c r="AB698" s="2" t="s">
        <v>190</v>
      </c>
      <c r="AC698" s="2" t="s">
        <v>40</v>
      </c>
      <c r="AF698" s="2">
        <f t="shared" si="84"/>
        <v>0</v>
      </c>
      <c r="AJ698" s="2">
        <f t="shared" si="85"/>
        <v>0</v>
      </c>
      <c r="AK698" s="2">
        <f t="shared" si="86"/>
        <v>30</v>
      </c>
      <c r="AL698" s="5">
        <f t="shared" si="87"/>
        <v>0.6</v>
      </c>
    </row>
    <row r="699" spans="1:38" hidden="1" x14ac:dyDescent="0.2">
      <c r="A699" s="2">
        <v>2025</v>
      </c>
      <c r="B699" s="2">
        <v>3</v>
      </c>
      <c r="D699" s="2" t="s">
        <v>1094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9"/>
        <v>0.5</v>
      </c>
      <c r="Z699" s="2" t="s">
        <v>118</v>
      </c>
      <c r="AA699" s="2" t="s">
        <v>191</v>
      </c>
      <c r="AB699" s="2" t="s">
        <v>191</v>
      </c>
      <c r="AC699" s="2" t="s">
        <v>40</v>
      </c>
      <c r="AF699" s="2">
        <f t="shared" si="84"/>
        <v>0</v>
      </c>
      <c r="AJ699" s="2">
        <f t="shared" si="85"/>
        <v>0</v>
      </c>
      <c r="AK699" s="2">
        <f t="shared" si="86"/>
        <v>25</v>
      </c>
      <c r="AL699" s="5">
        <f t="shared" si="87"/>
        <v>0.5</v>
      </c>
    </row>
    <row r="700" spans="1:38" hidden="1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1095</v>
      </c>
      <c r="R700" s="2" t="s">
        <v>1096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9"/>
        <v>0.73983396748529917</v>
      </c>
      <c r="Z700" s="2" t="s">
        <v>105</v>
      </c>
      <c r="AA700" s="2" t="s">
        <v>265</v>
      </c>
      <c r="AB700" s="2" t="s">
        <v>1097</v>
      </c>
      <c r="AC700" s="2" t="s">
        <v>102</v>
      </c>
      <c r="AF700" s="2">
        <f t="shared" si="84"/>
        <v>0</v>
      </c>
      <c r="AJ700" s="2">
        <f t="shared" si="85"/>
        <v>0</v>
      </c>
      <c r="AK700" s="2">
        <f t="shared" si="86"/>
        <v>6416.58</v>
      </c>
      <c r="AL700" s="5">
        <f t="shared" si="87"/>
        <v>0.73983396748529917</v>
      </c>
    </row>
    <row r="701" spans="1:38" hidden="1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1098</v>
      </c>
      <c r="R701" s="2" t="s">
        <v>1099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9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4"/>
        <v>0</v>
      </c>
      <c r="AJ701" s="2">
        <f t="shared" si="85"/>
        <v>0</v>
      </c>
      <c r="AK701" s="2">
        <f t="shared" si="86"/>
        <v>1255.54</v>
      </c>
      <c r="AL701" s="5">
        <f t="shared" si="87"/>
        <v>0.38823129251700678</v>
      </c>
    </row>
    <row r="702" spans="1:38" hidden="1" x14ac:dyDescent="0.2">
      <c r="A702" s="2">
        <v>2025</v>
      </c>
      <c r="B702" s="2">
        <v>3</v>
      </c>
      <c r="D702" s="2" t="s">
        <v>1100</v>
      </c>
      <c r="P702" s="2" t="s">
        <v>115</v>
      </c>
      <c r="Q702" s="2" t="s">
        <v>1101</v>
      </c>
      <c r="R702" s="2" t="s">
        <v>1102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9"/>
        <v>1</v>
      </c>
      <c r="Z702" s="2" t="s">
        <v>118</v>
      </c>
      <c r="AF702" s="2">
        <f t="shared" si="84"/>
        <v>0</v>
      </c>
      <c r="AJ702" s="2">
        <f t="shared" si="85"/>
        <v>0</v>
      </c>
      <c r="AK702" s="2">
        <f t="shared" si="86"/>
        <v>184.34</v>
      </c>
      <c r="AL702" s="5">
        <f t="shared" si="87"/>
        <v>1</v>
      </c>
    </row>
    <row r="703" spans="1:38" hidden="1" x14ac:dyDescent="0.2">
      <c r="A703" s="2">
        <v>2025</v>
      </c>
      <c r="B703" s="2">
        <v>3</v>
      </c>
      <c r="D703" s="2" t="s">
        <v>1100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9"/>
        <v>0.5</v>
      </c>
      <c r="Z703" s="2" t="s">
        <v>118</v>
      </c>
      <c r="AA703" s="2" t="s">
        <v>191</v>
      </c>
      <c r="AB703" s="2" t="s">
        <v>191</v>
      </c>
      <c r="AC703" s="2" t="s">
        <v>40</v>
      </c>
      <c r="AF703" s="2">
        <f t="shared" si="84"/>
        <v>0</v>
      </c>
      <c r="AJ703" s="2">
        <f t="shared" si="85"/>
        <v>0</v>
      </c>
      <c r="AK703" s="2">
        <f t="shared" si="86"/>
        <v>100</v>
      </c>
      <c r="AL703" s="5">
        <f t="shared" si="87"/>
        <v>0.5</v>
      </c>
    </row>
    <row r="704" spans="1:38" hidden="1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1103</v>
      </c>
      <c r="J704" s="2" t="s">
        <v>1104</v>
      </c>
      <c r="L704" s="2" t="s">
        <v>178</v>
      </c>
      <c r="M704" s="2" t="s">
        <v>41</v>
      </c>
      <c r="O704" s="2" t="s">
        <v>1105</v>
      </c>
      <c r="P704" s="2" t="s">
        <v>43</v>
      </c>
      <c r="Q704" s="2" t="s">
        <v>1106</v>
      </c>
      <c r="R704" s="2" t="s">
        <v>1107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9"/>
        <v>0.44444444444444442</v>
      </c>
      <c r="Z704" s="2" t="s">
        <v>3231</v>
      </c>
      <c r="AA704" s="2" t="s">
        <v>46</v>
      </c>
      <c r="AB704" s="2" t="s">
        <v>47</v>
      </c>
      <c r="AC704" s="2" t="s">
        <v>48</v>
      </c>
      <c r="AF704" s="2">
        <f t="shared" si="84"/>
        <v>0</v>
      </c>
      <c r="AG704" s="2">
        <v>10</v>
      </c>
      <c r="AH704" s="2">
        <v>21</v>
      </c>
      <c r="AJ704" s="2">
        <f t="shared" si="85"/>
        <v>0</v>
      </c>
      <c r="AK704" s="2">
        <f t="shared" si="86"/>
        <v>8</v>
      </c>
      <c r="AL704" s="5">
        <f t="shared" si="87"/>
        <v>0.44444444444444442</v>
      </c>
    </row>
    <row r="705" spans="1:38" hidden="1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1105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9"/>
        <v>0.40722222222222221</v>
      </c>
      <c r="Z705" s="2" t="s">
        <v>3231</v>
      </c>
      <c r="AA705" s="2" t="s">
        <v>46</v>
      </c>
      <c r="AB705" s="2" t="s">
        <v>47</v>
      </c>
      <c r="AC705" s="2" t="s">
        <v>48</v>
      </c>
      <c r="AF705" s="2">
        <f t="shared" si="84"/>
        <v>0</v>
      </c>
      <c r="AG705" s="2">
        <v>10.67</v>
      </c>
      <c r="AH705" s="2">
        <v>21</v>
      </c>
      <c r="AJ705" s="2">
        <f t="shared" si="85"/>
        <v>0</v>
      </c>
      <c r="AK705" s="2">
        <f t="shared" si="86"/>
        <v>7.33</v>
      </c>
      <c r="AL705" s="5">
        <f t="shared" si="87"/>
        <v>0.40722222222222221</v>
      </c>
    </row>
    <row r="706" spans="1:38" hidden="1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89"/>
        <v>0.60781250000000009</v>
      </c>
      <c r="Z706" s="2" t="s">
        <v>3231</v>
      </c>
      <c r="AA706" s="2" t="s">
        <v>46</v>
      </c>
      <c r="AB706" s="2" t="s">
        <v>47</v>
      </c>
      <c r="AC706" s="2" t="s">
        <v>48</v>
      </c>
      <c r="AF706" s="2">
        <f t="shared" ref="AF706:AF769" si="90">AJ706</f>
        <v>0</v>
      </c>
      <c r="AJ706" s="2">
        <f t="shared" ref="AJ706:AJ769" si="91">AI706*T706</f>
        <v>0</v>
      </c>
      <c r="AK706" s="2">
        <f t="shared" ref="AK706:AK769" si="92">T706-W706</f>
        <v>17.505000000000003</v>
      </c>
      <c r="AL706" s="5">
        <f t="shared" si="87"/>
        <v>0.60781250000000009</v>
      </c>
    </row>
    <row r="707" spans="1:38" hidden="1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89"/>
        <v>0.14285714285714288</v>
      </c>
      <c r="Z707" s="2" t="s">
        <v>3231</v>
      </c>
      <c r="AA707" s="2" t="s">
        <v>46</v>
      </c>
      <c r="AB707" s="2" t="s">
        <v>47</v>
      </c>
      <c r="AC707" s="2" t="s">
        <v>48</v>
      </c>
      <c r="AF707" s="2">
        <f t="shared" si="90"/>
        <v>0</v>
      </c>
      <c r="AG707" s="2">
        <v>10.2346</v>
      </c>
      <c r="AH707" s="2">
        <v>18</v>
      </c>
      <c r="AJ707" s="2">
        <f t="shared" si="91"/>
        <v>0</v>
      </c>
      <c r="AK707" s="2">
        <f t="shared" si="92"/>
        <v>2.4000000000000004</v>
      </c>
      <c r="AL707" s="5">
        <f t="shared" si="87"/>
        <v>0.14285714285714288</v>
      </c>
    </row>
    <row r="708" spans="1:38" hidden="1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9"/>
        <v>0.52105128205128204</v>
      </c>
      <c r="Z708" s="2" t="s">
        <v>3231</v>
      </c>
      <c r="AA708" s="2" t="s">
        <v>46</v>
      </c>
      <c r="AB708" s="2" t="s">
        <v>47</v>
      </c>
      <c r="AC708" s="2" t="s">
        <v>48</v>
      </c>
      <c r="AF708" s="2">
        <f t="shared" si="90"/>
        <v>0</v>
      </c>
      <c r="AG708" s="2">
        <v>3.7357999999999998</v>
      </c>
      <c r="AH708" s="2">
        <v>9</v>
      </c>
      <c r="AJ708" s="2">
        <f t="shared" si="91"/>
        <v>0</v>
      </c>
      <c r="AK708" s="2">
        <f t="shared" si="92"/>
        <v>4.0641999999999996</v>
      </c>
      <c r="AL708" s="5">
        <f t="shared" si="87"/>
        <v>0.52105128205128204</v>
      </c>
    </row>
    <row r="709" spans="1:38" hidden="1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9"/>
        <v>0.21904761904761905</v>
      </c>
      <c r="Z709" s="2" t="s">
        <v>3231</v>
      </c>
      <c r="AA709" s="2" t="s">
        <v>46</v>
      </c>
      <c r="AB709" s="2" t="s">
        <v>61</v>
      </c>
      <c r="AC709" s="2" t="s">
        <v>58</v>
      </c>
      <c r="AF709" s="2">
        <f t="shared" si="90"/>
        <v>0</v>
      </c>
      <c r="AG709" s="2">
        <v>8.1999999999999993</v>
      </c>
      <c r="AH709" s="2">
        <v>13</v>
      </c>
      <c r="AJ709" s="2">
        <f t="shared" si="91"/>
        <v>0</v>
      </c>
      <c r="AK709" s="2">
        <f t="shared" si="92"/>
        <v>23</v>
      </c>
      <c r="AL709" s="5">
        <f t="shared" si="87"/>
        <v>0.21904761904761905</v>
      </c>
    </row>
    <row r="710" spans="1:38" hidden="1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9"/>
        <v>0.24898499999999996</v>
      </c>
      <c r="Z710" s="2" t="s">
        <v>3231</v>
      </c>
      <c r="AA710" s="2" t="s">
        <v>46</v>
      </c>
      <c r="AB710" s="2" t="s">
        <v>68</v>
      </c>
      <c r="AC710" s="2" t="s">
        <v>58</v>
      </c>
      <c r="AF710" s="2">
        <f t="shared" si="90"/>
        <v>0</v>
      </c>
      <c r="AG710" s="2">
        <v>15.020300000000001</v>
      </c>
      <c r="AH710" s="2">
        <v>27.6</v>
      </c>
      <c r="AJ710" s="2">
        <f t="shared" si="91"/>
        <v>0</v>
      </c>
      <c r="AK710" s="2">
        <f t="shared" si="92"/>
        <v>79.67519999999999</v>
      </c>
      <c r="AL710" s="5">
        <f t="shared" si="87"/>
        <v>0.24898499999999996</v>
      </c>
    </row>
    <row r="711" spans="1:38" hidden="1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9"/>
        <v>0.44777500000000003</v>
      </c>
      <c r="Z711" s="2" t="s">
        <v>3231</v>
      </c>
      <c r="AA711" s="2" t="s">
        <v>46</v>
      </c>
      <c r="AB711" s="2" t="s">
        <v>47</v>
      </c>
      <c r="AC711" s="2" t="s">
        <v>48</v>
      </c>
      <c r="AF711" s="2">
        <f t="shared" si="90"/>
        <v>0</v>
      </c>
      <c r="AG711" s="2">
        <v>6.6266999999999996</v>
      </c>
      <c r="AH711" s="2">
        <v>12</v>
      </c>
      <c r="AJ711" s="2">
        <f t="shared" si="91"/>
        <v>0</v>
      </c>
      <c r="AK711" s="2">
        <f t="shared" si="92"/>
        <v>10.746600000000001</v>
      </c>
      <c r="AL711" s="5">
        <f t="shared" si="87"/>
        <v>0.44777500000000003</v>
      </c>
    </row>
    <row r="712" spans="1:38" hidden="1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9"/>
        <v>0.52105128205128204</v>
      </c>
      <c r="Z712" s="2" t="s">
        <v>3231</v>
      </c>
      <c r="AA712" s="2" t="s">
        <v>46</v>
      </c>
      <c r="AB712" s="2" t="s">
        <v>47</v>
      </c>
      <c r="AC712" s="2" t="s">
        <v>48</v>
      </c>
      <c r="AF712" s="2">
        <f t="shared" si="90"/>
        <v>0</v>
      </c>
      <c r="AG712" s="2">
        <v>3.7357999999999998</v>
      </c>
      <c r="AH712" s="2">
        <v>9</v>
      </c>
      <c r="AJ712" s="2">
        <f t="shared" si="91"/>
        <v>0</v>
      </c>
      <c r="AK712" s="2">
        <f t="shared" si="92"/>
        <v>4.0641999999999996</v>
      </c>
      <c r="AL712" s="5">
        <f t="shared" si="87"/>
        <v>0.52105128205128204</v>
      </c>
    </row>
    <row r="713" spans="1:38" hidden="1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9"/>
        <v>0.29333333333333333</v>
      </c>
      <c r="Z713" s="2" t="s">
        <v>3231</v>
      </c>
      <c r="AA713" s="2" t="s">
        <v>46</v>
      </c>
      <c r="AB713" s="2" t="s">
        <v>57</v>
      </c>
      <c r="AC713" s="2" t="s">
        <v>58</v>
      </c>
      <c r="AF713" s="2">
        <f t="shared" si="90"/>
        <v>0</v>
      </c>
      <c r="AG713" s="2">
        <v>10.6</v>
      </c>
      <c r="AH713" s="2">
        <v>18</v>
      </c>
      <c r="AJ713" s="2">
        <f t="shared" si="91"/>
        <v>0</v>
      </c>
      <c r="AK713" s="2">
        <f t="shared" si="92"/>
        <v>44</v>
      </c>
      <c r="AL713" s="5">
        <f t="shared" si="87"/>
        <v>0.29333333333333333</v>
      </c>
    </row>
    <row r="714" spans="1:38" hidden="1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9"/>
        <v>0.3125</v>
      </c>
      <c r="Z714" s="2" t="s">
        <v>3231</v>
      </c>
      <c r="AA714" s="2" t="s">
        <v>88</v>
      </c>
      <c r="AB714" s="2" t="s">
        <v>91</v>
      </c>
      <c r="AC714" s="2" t="s">
        <v>85</v>
      </c>
      <c r="AF714" s="2">
        <f t="shared" si="90"/>
        <v>0</v>
      </c>
      <c r="AJ714" s="2">
        <f t="shared" si="91"/>
        <v>0</v>
      </c>
      <c r="AK714" s="2">
        <f t="shared" si="92"/>
        <v>4.5</v>
      </c>
      <c r="AL714" s="5">
        <f t="shared" si="87"/>
        <v>0.3125</v>
      </c>
    </row>
    <row r="715" spans="1:38" hidden="1" x14ac:dyDescent="0.2">
      <c r="A715" s="2">
        <v>2025</v>
      </c>
      <c r="B715" s="2">
        <v>3</v>
      </c>
      <c r="D715" s="2" t="s">
        <v>1108</v>
      </c>
      <c r="G715" s="2">
        <v>502514027</v>
      </c>
      <c r="H715" s="2" t="s">
        <v>40</v>
      </c>
      <c r="M715" s="2" t="s">
        <v>40</v>
      </c>
      <c r="O715" s="2" t="s">
        <v>1109</v>
      </c>
      <c r="P715" s="2" t="s">
        <v>1110</v>
      </c>
      <c r="Q715" s="2" t="s">
        <v>1111</v>
      </c>
      <c r="R715" s="2" t="s">
        <v>1112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9"/>
        <v>8.4771428571428595E-2</v>
      </c>
      <c r="Z715" s="2" t="s">
        <v>105</v>
      </c>
      <c r="AA715" s="2" t="s">
        <v>1113</v>
      </c>
      <c r="AB715" s="2" t="s">
        <v>1114</v>
      </c>
      <c r="AC715" s="2" t="s">
        <v>1110</v>
      </c>
      <c r="AF715" s="2">
        <f t="shared" si="90"/>
        <v>0</v>
      </c>
      <c r="AG715" s="2">
        <v>2242.31</v>
      </c>
      <c r="AJ715" s="2">
        <f t="shared" si="91"/>
        <v>0</v>
      </c>
      <c r="AK715" s="2">
        <f t="shared" si="92"/>
        <v>207.69000000000005</v>
      </c>
      <c r="AL715" s="5">
        <f t="shared" si="87"/>
        <v>8.4771428571428595E-2</v>
      </c>
    </row>
    <row r="716" spans="1:38" hidden="1" x14ac:dyDescent="0.2">
      <c r="A716" s="2">
        <v>2025</v>
      </c>
      <c r="B716" s="2">
        <v>3</v>
      </c>
      <c r="D716" s="2" t="s">
        <v>618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619</v>
      </c>
      <c r="J716" s="2" t="s">
        <v>620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9"/>
        <v>0.61391076923076926</v>
      </c>
      <c r="Z716" s="2" t="s">
        <v>3231</v>
      </c>
      <c r="AA716" s="2" t="s">
        <v>46</v>
      </c>
      <c r="AB716" s="2" t="s">
        <v>91</v>
      </c>
      <c r="AC716" s="2" t="s">
        <v>58</v>
      </c>
      <c r="AF716" s="2">
        <f t="shared" si="90"/>
        <v>0</v>
      </c>
      <c r="AJ716" s="2">
        <f t="shared" si="91"/>
        <v>0</v>
      </c>
      <c r="AK716" s="2">
        <f t="shared" si="92"/>
        <v>39.904200000000003</v>
      </c>
      <c r="AL716" s="5">
        <f t="shared" si="87"/>
        <v>0.61391076923076926</v>
      </c>
    </row>
    <row r="717" spans="1:38" hidden="1" x14ac:dyDescent="0.2">
      <c r="A717" s="2">
        <v>2025</v>
      </c>
      <c r="B717" s="2">
        <v>3</v>
      </c>
      <c r="D717" s="2" t="s">
        <v>1115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1116</v>
      </c>
      <c r="J717" s="2" t="s">
        <v>1117</v>
      </c>
      <c r="K717" s="2">
        <v>914550474</v>
      </c>
      <c r="L717" s="2" t="s">
        <v>100</v>
      </c>
      <c r="M717" s="2" t="s">
        <v>40</v>
      </c>
      <c r="O717" s="2" t="s">
        <v>1118</v>
      </c>
      <c r="P717" s="2" t="s">
        <v>115</v>
      </c>
      <c r="Q717" s="2" t="s">
        <v>906</v>
      </c>
      <c r="R717" s="2" t="s">
        <v>907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9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90"/>
        <v>0</v>
      </c>
      <c r="AJ717" s="2">
        <f t="shared" si="91"/>
        <v>0</v>
      </c>
      <c r="AK717" s="2">
        <f t="shared" si="92"/>
        <v>354.09659999999997</v>
      </c>
      <c r="AL717" s="5">
        <f t="shared" si="87"/>
        <v>0.50635864435864431</v>
      </c>
    </row>
    <row r="718" spans="1:38" hidden="1" x14ac:dyDescent="0.2">
      <c r="A718" s="2">
        <v>2025</v>
      </c>
      <c r="B718" s="2">
        <v>3</v>
      </c>
      <c r="D718" s="2" t="s">
        <v>1115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1116</v>
      </c>
      <c r="J718" s="2" t="s">
        <v>1117</v>
      </c>
      <c r="K718" s="2">
        <v>914550474</v>
      </c>
      <c r="L718" s="2" t="s">
        <v>100</v>
      </c>
      <c r="M718" s="2" t="s">
        <v>81</v>
      </c>
      <c r="O718" s="2" t="s">
        <v>1119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9"/>
        <v>0.58491111111111116</v>
      </c>
      <c r="Z718" s="2" t="s">
        <v>3231</v>
      </c>
      <c r="AA718" s="2" t="s">
        <v>46</v>
      </c>
      <c r="AB718" s="2" t="s">
        <v>47</v>
      </c>
      <c r="AC718" s="2" t="s">
        <v>48</v>
      </c>
      <c r="AF718" s="2">
        <f t="shared" si="90"/>
        <v>0</v>
      </c>
      <c r="AG718" s="2">
        <v>3.7357999999999998</v>
      </c>
      <c r="AH718" s="2">
        <v>9</v>
      </c>
      <c r="AJ718" s="2">
        <f t="shared" si="91"/>
        <v>0</v>
      </c>
      <c r="AK718" s="2">
        <f t="shared" si="92"/>
        <v>21.056800000000003</v>
      </c>
      <c r="AL718" s="5">
        <f t="shared" si="87"/>
        <v>0.58491111111111116</v>
      </c>
    </row>
    <row r="719" spans="1:38" hidden="1" x14ac:dyDescent="0.2">
      <c r="A719" s="2">
        <v>2025</v>
      </c>
      <c r="B719" s="2">
        <v>3</v>
      </c>
      <c r="D719" s="2" t="s">
        <v>1115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1116</v>
      </c>
      <c r="J719" s="2" t="s">
        <v>1117</v>
      </c>
      <c r="K719" s="2">
        <v>914550474</v>
      </c>
      <c r="L719" s="2" t="s">
        <v>100</v>
      </c>
      <c r="M719" s="2" t="s">
        <v>40</v>
      </c>
      <c r="O719" s="2" t="s">
        <v>1118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9"/>
        <v>0.6</v>
      </c>
      <c r="Z719" s="2" t="s">
        <v>118</v>
      </c>
      <c r="AA719" s="2" t="s">
        <v>191</v>
      </c>
      <c r="AB719" s="2" t="s">
        <v>190</v>
      </c>
      <c r="AC719" s="2" t="s">
        <v>40</v>
      </c>
      <c r="AF719" s="2">
        <f t="shared" si="90"/>
        <v>0</v>
      </c>
      <c r="AJ719" s="2">
        <f t="shared" si="91"/>
        <v>0</v>
      </c>
      <c r="AK719" s="2">
        <f t="shared" si="92"/>
        <v>30</v>
      </c>
      <c r="AL719" s="5">
        <f t="shared" si="87"/>
        <v>0.6</v>
      </c>
    </row>
    <row r="720" spans="1:38" hidden="1" x14ac:dyDescent="0.2">
      <c r="A720" s="2">
        <v>2025</v>
      </c>
      <c r="B720" s="2">
        <v>3</v>
      </c>
      <c r="D720" s="2" t="s">
        <v>1115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1116</v>
      </c>
      <c r="J720" s="2" t="s">
        <v>1117</v>
      </c>
      <c r="K720" s="2">
        <v>914550474</v>
      </c>
      <c r="L720" s="2" t="s">
        <v>100</v>
      </c>
      <c r="M720" s="2" t="s">
        <v>40</v>
      </c>
      <c r="O720" s="2" t="s">
        <v>1118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9"/>
        <v>0.5</v>
      </c>
      <c r="Z720" s="2" t="s">
        <v>118</v>
      </c>
      <c r="AA720" s="2" t="s">
        <v>191</v>
      </c>
      <c r="AB720" s="2" t="s">
        <v>191</v>
      </c>
      <c r="AC720" s="2" t="s">
        <v>40</v>
      </c>
      <c r="AF720" s="2">
        <f t="shared" si="90"/>
        <v>0</v>
      </c>
      <c r="AJ720" s="2">
        <f t="shared" si="91"/>
        <v>0</v>
      </c>
      <c r="AK720" s="2">
        <f t="shared" si="92"/>
        <v>50</v>
      </c>
      <c r="AL720" s="5">
        <f t="shared" si="87"/>
        <v>0.5</v>
      </c>
    </row>
    <row r="721" spans="1:38" hidden="1" x14ac:dyDescent="0.2">
      <c r="A721" s="2">
        <v>2025</v>
      </c>
      <c r="B721" s="2">
        <v>3</v>
      </c>
      <c r="D721" s="2" t="s">
        <v>1120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9"/>
        <v>0.46925333333333336</v>
      </c>
      <c r="Z721" s="2" t="s">
        <v>3231</v>
      </c>
      <c r="AA721" s="2" t="s">
        <v>46</v>
      </c>
      <c r="AB721" s="2" t="s">
        <v>68</v>
      </c>
      <c r="AC721" s="2" t="s">
        <v>58</v>
      </c>
      <c r="AF721" s="2">
        <f t="shared" si="90"/>
        <v>0</v>
      </c>
      <c r="AG721" s="2">
        <v>7.9611999999999998</v>
      </c>
      <c r="AH721" s="2">
        <v>14.4</v>
      </c>
      <c r="AJ721" s="2">
        <f t="shared" si="91"/>
        <v>0</v>
      </c>
      <c r="AK721" s="2">
        <f t="shared" si="92"/>
        <v>7.0388000000000002</v>
      </c>
      <c r="AL721" s="5">
        <f t="shared" si="87"/>
        <v>0.46925333333333336</v>
      </c>
    </row>
    <row r="722" spans="1:38" hidden="1" x14ac:dyDescent="0.2">
      <c r="A722" s="2">
        <v>2025</v>
      </c>
      <c r="B722" s="2">
        <v>3</v>
      </c>
      <c r="D722" s="2" t="s">
        <v>1121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3">(T722-W722)/T722</f>
        <v>0.6</v>
      </c>
      <c r="Z722" s="2" t="s">
        <v>118</v>
      </c>
      <c r="AA722" s="2" t="s">
        <v>191</v>
      </c>
      <c r="AB722" s="2" t="s">
        <v>190</v>
      </c>
      <c r="AC722" s="2" t="s">
        <v>40</v>
      </c>
      <c r="AF722" s="2">
        <f t="shared" si="90"/>
        <v>0</v>
      </c>
      <c r="AJ722" s="2">
        <f t="shared" si="91"/>
        <v>0</v>
      </c>
      <c r="AK722" s="2">
        <f t="shared" si="92"/>
        <v>30</v>
      </c>
      <c r="AL722" s="5">
        <f t="shared" ref="AL722:AL785" si="94">(T722-W722)/T722</f>
        <v>0.6</v>
      </c>
    </row>
    <row r="723" spans="1:38" hidden="1" x14ac:dyDescent="0.2">
      <c r="A723" s="2">
        <v>2025</v>
      </c>
      <c r="B723" s="2">
        <v>3</v>
      </c>
      <c r="D723" s="2" t="s">
        <v>1121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3"/>
        <v>0.5</v>
      </c>
      <c r="Z723" s="2" t="s">
        <v>118</v>
      </c>
      <c r="AA723" s="2" t="s">
        <v>191</v>
      </c>
      <c r="AB723" s="2" t="s">
        <v>191</v>
      </c>
      <c r="AC723" s="2" t="s">
        <v>40</v>
      </c>
      <c r="AF723" s="2">
        <f t="shared" si="90"/>
        <v>0</v>
      </c>
      <c r="AJ723" s="2">
        <f t="shared" si="91"/>
        <v>0</v>
      </c>
      <c r="AK723" s="2">
        <f t="shared" si="92"/>
        <v>25</v>
      </c>
      <c r="AL723" s="5">
        <f t="shared" si="94"/>
        <v>0.5</v>
      </c>
    </row>
    <row r="724" spans="1:38" hidden="1" x14ac:dyDescent="0.2">
      <c r="A724" s="2">
        <v>2025</v>
      </c>
      <c r="B724" s="2">
        <v>3</v>
      </c>
      <c r="D724" s="2" t="s">
        <v>1121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3"/>
        <v>1</v>
      </c>
      <c r="Z724" s="2" t="s">
        <v>120</v>
      </c>
      <c r="AA724" s="2" t="s">
        <v>3385</v>
      </c>
      <c r="AF724" s="2">
        <f t="shared" si="90"/>
        <v>0</v>
      </c>
      <c r="AJ724" s="2">
        <f t="shared" si="91"/>
        <v>0</v>
      </c>
      <c r="AK724" s="2">
        <f t="shared" si="92"/>
        <v>122.56</v>
      </c>
      <c r="AL724" s="5">
        <f t="shared" si="94"/>
        <v>1</v>
      </c>
    </row>
    <row r="725" spans="1:38" hidden="1" x14ac:dyDescent="0.2">
      <c r="A725" s="2">
        <v>2025</v>
      </c>
      <c r="B725" s="2">
        <v>3</v>
      </c>
      <c r="D725" s="2" t="s">
        <v>634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3"/>
        <v>0.44069999999999998</v>
      </c>
      <c r="Z725" s="2" t="s">
        <v>3231</v>
      </c>
      <c r="AA725" s="2" t="s">
        <v>76</v>
      </c>
      <c r="AB725" s="2" t="s">
        <v>77</v>
      </c>
      <c r="AC725" s="2" t="s">
        <v>78</v>
      </c>
      <c r="AF725" s="2">
        <f t="shared" si="90"/>
        <v>0</v>
      </c>
      <c r="AG725" s="2">
        <v>117.453</v>
      </c>
      <c r="AH725" s="2">
        <v>220</v>
      </c>
      <c r="AJ725" s="2">
        <f t="shared" si="91"/>
        <v>0</v>
      </c>
      <c r="AK725" s="2">
        <f t="shared" si="92"/>
        <v>92.546999999999997</v>
      </c>
      <c r="AL725" s="5">
        <f t="shared" si="94"/>
        <v>0.44069999999999998</v>
      </c>
    </row>
    <row r="726" spans="1:38" hidden="1" x14ac:dyDescent="0.2">
      <c r="A726" s="2">
        <v>2025</v>
      </c>
      <c r="B726" s="2">
        <v>3</v>
      </c>
      <c r="D726" s="2" t="s">
        <v>634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3"/>
        <v>0</v>
      </c>
      <c r="Z726" s="2" t="s">
        <v>3231</v>
      </c>
      <c r="AA726" s="2" t="s">
        <v>97</v>
      </c>
      <c r="AB726" s="2" t="s">
        <v>77</v>
      </c>
      <c r="AC726" s="2" t="s">
        <v>94</v>
      </c>
      <c r="AF726" s="2">
        <f t="shared" si="90"/>
        <v>0</v>
      </c>
      <c r="AJ726" s="2">
        <f t="shared" si="91"/>
        <v>0</v>
      </c>
      <c r="AK726" s="2">
        <f t="shared" si="92"/>
        <v>0</v>
      </c>
      <c r="AL726" s="5">
        <f t="shared" si="94"/>
        <v>0</v>
      </c>
    </row>
    <row r="727" spans="1:38" hidden="1" x14ac:dyDescent="0.2">
      <c r="A727" s="2">
        <v>2025</v>
      </c>
      <c r="B727" s="2">
        <v>3</v>
      </c>
      <c r="C727" s="2" t="s">
        <v>3459</v>
      </c>
      <c r="D727" s="2" t="s">
        <v>1122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3249</v>
      </c>
      <c r="J727" s="2" t="s">
        <v>3250</v>
      </c>
      <c r="K727" s="2">
        <v>96179412</v>
      </c>
      <c r="L727" s="2" t="s">
        <v>462</v>
      </c>
      <c r="M727" s="2" t="s">
        <v>40</v>
      </c>
      <c r="O727" s="2" t="s">
        <v>3252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3"/>
        <v>0.6</v>
      </c>
      <c r="Z727" s="2" t="s">
        <v>118</v>
      </c>
      <c r="AA727" s="2" t="s">
        <v>191</v>
      </c>
      <c r="AB727" s="2" t="s">
        <v>190</v>
      </c>
      <c r="AC727" s="2" t="s">
        <v>40</v>
      </c>
      <c r="AF727" s="2">
        <f t="shared" si="90"/>
        <v>0</v>
      </c>
      <c r="AJ727" s="2">
        <f t="shared" si="91"/>
        <v>0</v>
      </c>
      <c r="AK727" s="2">
        <f t="shared" si="92"/>
        <v>118.19999999999999</v>
      </c>
      <c r="AL727" s="5">
        <f t="shared" si="94"/>
        <v>0.6</v>
      </c>
    </row>
    <row r="728" spans="1:38" hidden="1" x14ac:dyDescent="0.2">
      <c r="A728" s="2">
        <v>2025</v>
      </c>
      <c r="B728" s="2">
        <v>3</v>
      </c>
      <c r="C728" s="2" t="s">
        <v>3459</v>
      </c>
      <c r="D728" s="2" t="s">
        <v>1122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3249</v>
      </c>
      <c r="J728" s="2" t="s">
        <v>3250</v>
      </c>
      <c r="K728" s="2">
        <v>96179412</v>
      </c>
      <c r="L728" s="2" t="s">
        <v>462</v>
      </c>
      <c r="M728" s="2" t="s">
        <v>40</v>
      </c>
      <c r="O728" s="2" t="s">
        <v>3252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3"/>
        <v>0.5</v>
      </c>
      <c r="Z728" s="2" t="s">
        <v>118</v>
      </c>
      <c r="AA728" s="2" t="s">
        <v>191</v>
      </c>
      <c r="AB728" s="2" t="s">
        <v>191</v>
      </c>
      <c r="AC728" s="2" t="s">
        <v>40</v>
      </c>
      <c r="AF728" s="2">
        <f t="shared" si="90"/>
        <v>0</v>
      </c>
      <c r="AJ728" s="2">
        <f t="shared" si="91"/>
        <v>0</v>
      </c>
      <c r="AK728" s="2">
        <f t="shared" si="92"/>
        <v>18.75</v>
      </c>
      <c r="AL728" s="5">
        <f t="shared" si="94"/>
        <v>0.5</v>
      </c>
    </row>
    <row r="729" spans="1:38" hidden="1" x14ac:dyDescent="0.2">
      <c r="A729" s="2">
        <v>2025</v>
      </c>
      <c r="B729" s="2">
        <v>3</v>
      </c>
      <c r="D729" s="2" t="s">
        <v>919</v>
      </c>
      <c r="E729" s="2" t="s">
        <v>753</v>
      </c>
      <c r="F729" s="2" t="s">
        <v>920</v>
      </c>
      <c r="G729" s="2">
        <v>505973960</v>
      </c>
      <c r="H729" s="2" t="s">
        <v>40</v>
      </c>
      <c r="I729" s="2" t="s">
        <v>157</v>
      </c>
      <c r="J729" s="2" t="s">
        <v>921</v>
      </c>
      <c r="L729" s="2" t="s">
        <v>100</v>
      </c>
      <c r="M729" s="2" t="s">
        <v>81</v>
      </c>
      <c r="O729" s="2" t="s">
        <v>1123</v>
      </c>
      <c r="P729" s="2" t="s">
        <v>43</v>
      </c>
      <c r="Q729" s="2" t="s">
        <v>966</v>
      </c>
      <c r="R729" s="2" t="s">
        <v>967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3"/>
        <v>0.41</v>
      </c>
      <c r="Z729" s="2" t="s">
        <v>3231</v>
      </c>
      <c r="AA729" s="2" t="s">
        <v>46</v>
      </c>
      <c r="AB729" s="2" t="s">
        <v>61</v>
      </c>
      <c r="AC729" s="2" t="s">
        <v>58</v>
      </c>
      <c r="AF729" s="2">
        <f t="shared" si="90"/>
        <v>0</v>
      </c>
      <c r="AJ729" s="2">
        <f t="shared" si="91"/>
        <v>0</v>
      </c>
      <c r="AK729" s="2">
        <f t="shared" si="92"/>
        <v>1.23</v>
      </c>
      <c r="AL729" s="5">
        <f t="shared" si="94"/>
        <v>0.41</v>
      </c>
    </row>
    <row r="730" spans="1:38" hidden="1" x14ac:dyDescent="0.2">
      <c r="A730" s="2">
        <v>2025</v>
      </c>
      <c r="B730" s="2">
        <v>3</v>
      </c>
      <c r="D730" s="2" t="s">
        <v>919</v>
      </c>
      <c r="E730" s="2" t="s">
        <v>753</v>
      </c>
      <c r="F730" s="2" t="s">
        <v>920</v>
      </c>
      <c r="G730" s="2">
        <v>505973960</v>
      </c>
      <c r="H730" s="2" t="s">
        <v>40</v>
      </c>
      <c r="I730" s="2" t="s">
        <v>157</v>
      </c>
      <c r="J730" s="2" t="s">
        <v>921</v>
      </c>
      <c r="L730" s="2" t="s">
        <v>100</v>
      </c>
      <c r="M730" s="2" t="s">
        <v>81</v>
      </c>
      <c r="O730" s="2" t="s">
        <v>1123</v>
      </c>
      <c r="P730" s="2" t="s">
        <v>43</v>
      </c>
      <c r="Q730" s="2" t="s">
        <v>969</v>
      </c>
      <c r="R730" s="2" t="s">
        <v>970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3"/>
        <v>0.32592592592592595</v>
      </c>
      <c r="Z730" s="2" t="s">
        <v>3231</v>
      </c>
      <c r="AA730" s="2" t="s">
        <v>46</v>
      </c>
      <c r="AB730" s="2" t="s">
        <v>61</v>
      </c>
      <c r="AC730" s="2" t="s">
        <v>58</v>
      </c>
      <c r="AF730" s="2">
        <f t="shared" si="90"/>
        <v>0</v>
      </c>
      <c r="AJ730" s="2">
        <f t="shared" si="91"/>
        <v>0</v>
      </c>
      <c r="AK730" s="2">
        <f t="shared" si="92"/>
        <v>8.8000000000000007</v>
      </c>
      <c r="AL730" s="5">
        <f t="shared" si="94"/>
        <v>0.32592592592592595</v>
      </c>
    </row>
    <row r="731" spans="1:38" hidden="1" x14ac:dyDescent="0.2">
      <c r="A731" s="2">
        <v>2025</v>
      </c>
      <c r="B731" s="2">
        <v>3</v>
      </c>
      <c r="C731" s="2" t="s">
        <v>3462</v>
      </c>
      <c r="D731" s="2" t="s">
        <v>656</v>
      </c>
      <c r="E731" s="2" t="s">
        <v>38</v>
      </c>
      <c r="G731" s="2">
        <v>509116590</v>
      </c>
      <c r="H731" s="2" t="s">
        <v>291</v>
      </c>
      <c r="I731" s="2" t="s">
        <v>657</v>
      </c>
      <c r="J731" s="2" t="s">
        <v>658</v>
      </c>
      <c r="L731" s="2" t="s">
        <v>294</v>
      </c>
      <c r="M731" s="2" t="s">
        <v>81</v>
      </c>
      <c r="P731" s="2" t="s">
        <v>73</v>
      </c>
      <c r="Q731" s="2" t="s">
        <v>1124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3"/>
        <v>0.39450452438755246</v>
      </c>
      <c r="Z731" s="2" t="s">
        <v>3231</v>
      </c>
      <c r="AA731" s="2" t="s">
        <v>76</v>
      </c>
      <c r="AB731" s="2" t="s">
        <v>77</v>
      </c>
      <c r="AC731" s="2" t="s">
        <v>78</v>
      </c>
      <c r="AF731" s="2">
        <f t="shared" si="90"/>
        <v>0</v>
      </c>
      <c r="AJ731" s="2">
        <f t="shared" si="91"/>
        <v>0</v>
      </c>
      <c r="AK731" s="2">
        <f t="shared" si="92"/>
        <v>71.500000000000014</v>
      </c>
      <c r="AL731" s="5">
        <f t="shared" si="94"/>
        <v>0.39450452438755246</v>
      </c>
    </row>
    <row r="732" spans="1:38" hidden="1" x14ac:dyDescent="0.2">
      <c r="A732" s="2">
        <v>2025</v>
      </c>
      <c r="B732" s="2">
        <v>3</v>
      </c>
      <c r="C732" s="2" t="s">
        <v>3462</v>
      </c>
      <c r="D732" s="2" t="s">
        <v>656</v>
      </c>
      <c r="E732" s="2" t="s">
        <v>38</v>
      </c>
      <c r="G732" s="2">
        <v>509116590</v>
      </c>
      <c r="H732" s="2" t="s">
        <v>291</v>
      </c>
      <c r="I732" s="2" t="s">
        <v>657</v>
      </c>
      <c r="J732" s="2" t="s">
        <v>658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3"/>
        <v>0</v>
      </c>
      <c r="Z732" s="2" t="s">
        <v>3231</v>
      </c>
      <c r="AA732" s="2" t="s">
        <v>97</v>
      </c>
      <c r="AB732" s="2" t="s">
        <v>77</v>
      </c>
      <c r="AC732" s="2" t="s">
        <v>94</v>
      </c>
      <c r="AF732" s="2">
        <f t="shared" si="90"/>
        <v>0</v>
      </c>
      <c r="AJ732" s="2">
        <f t="shared" si="91"/>
        <v>0</v>
      </c>
      <c r="AK732" s="2">
        <f t="shared" si="92"/>
        <v>0</v>
      </c>
      <c r="AL732" s="5">
        <f t="shared" si="94"/>
        <v>0</v>
      </c>
    </row>
    <row r="733" spans="1:38" hidden="1" x14ac:dyDescent="0.2">
      <c r="A733" s="2">
        <v>2025</v>
      </c>
      <c r="B733" s="2">
        <v>3</v>
      </c>
      <c r="D733" s="2" t="s">
        <v>1125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3"/>
        <v>0.60000000000000009</v>
      </c>
      <c r="Z733" s="2" t="s">
        <v>118</v>
      </c>
      <c r="AA733" s="2" t="s">
        <v>191</v>
      </c>
      <c r="AB733" s="2" t="s">
        <v>190</v>
      </c>
      <c r="AC733" s="2" t="s">
        <v>40</v>
      </c>
      <c r="AF733" s="2">
        <f t="shared" si="90"/>
        <v>0</v>
      </c>
      <c r="AJ733" s="2">
        <f t="shared" si="91"/>
        <v>0</v>
      </c>
      <c r="AK733" s="2">
        <f t="shared" si="92"/>
        <v>40.200000000000003</v>
      </c>
      <c r="AL733" s="5">
        <f t="shared" si="94"/>
        <v>0.60000000000000009</v>
      </c>
    </row>
    <row r="734" spans="1:38" hidden="1" x14ac:dyDescent="0.2">
      <c r="A734" s="2">
        <v>2025</v>
      </c>
      <c r="B734" s="2">
        <v>3</v>
      </c>
      <c r="D734" s="2" t="s">
        <v>1125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3"/>
        <v>0.5</v>
      </c>
      <c r="Z734" s="2" t="s">
        <v>118</v>
      </c>
      <c r="AA734" s="2" t="s">
        <v>191</v>
      </c>
      <c r="AB734" s="2" t="s">
        <v>191</v>
      </c>
      <c r="AC734" s="2" t="s">
        <v>40</v>
      </c>
      <c r="AF734" s="2">
        <f t="shared" si="90"/>
        <v>0</v>
      </c>
      <c r="AJ734" s="2">
        <f t="shared" si="91"/>
        <v>0</v>
      </c>
      <c r="AK734" s="2">
        <f t="shared" si="92"/>
        <v>25</v>
      </c>
      <c r="AL734" s="5">
        <f t="shared" si="94"/>
        <v>0.5</v>
      </c>
    </row>
    <row r="735" spans="1:38" hidden="1" x14ac:dyDescent="0.2">
      <c r="A735" s="2">
        <v>2025</v>
      </c>
      <c r="B735" s="2">
        <v>3</v>
      </c>
      <c r="D735" s="2" t="s">
        <v>1126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2298</v>
      </c>
      <c r="J735" s="2" t="s">
        <v>2299</v>
      </c>
      <c r="K735" s="2">
        <v>965790183</v>
      </c>
      <c r="L735" s="2" t="s">
        <v>178</v>
      </c>
      <c r="M735" s="2" t="s">
        <v>41</v>
      </c>
      <c r="O735" s="2" t="s">
        <v>3222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3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90"/>
        <v>0</v>
      </c>
      <c r="AJ735" s="2">
        <f t="shared" si="91"/>
        <v>0</v>
      </c>
      <c r="AK735" s="2">
        <f t="shared" si="92"/>
        <v>178</v>
      </c>
      <c r="AL735" s="5">
        <f t="shared" si="94"/>
        <v>0.29915966386554621</v>
      </c>
    </row>
    <row r="736" spans="1:38" hidden="1" x14ac:dyDescent="0.2">
      <c r="A736" s="2">
        <v>2025</v>
      </c>
      <c r="B736" s="2">
        <v>3</v>
      </c>
      <c r="D736" s="2" t="s">
        <v>1127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1128</v>
      </c>
      <c r="J736" s="2" t="s">
        <v>1129</v>
      </c>
      <c r="L736" s="2" t="s">
        <v>462</v>
      </c>
      <c r="M736" s="2" t="s">
        <v>40</v>
      </c>
      <c r="O736" s="2" t="s">
        <v>1130</v>
      </c>
      <c r="P736" s="2" t="s">
        <v>115</v>
      </c>
      <c r="Q736" s="2" t="s">
        <v>1131</v>
      </c>
      <c r="R736" s="2" t="s">
        <v>1132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3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90"/>
        <v>0</v>
      </c>
      <c r="AG736" s="2">
        <v>5.4833999999999996</v>
      </c>
      <c r="AJ736" s="2">
        <f t="shared" si="91"/>
        <v>0</v>
      </c>
      <c r="AK736" s="2">
        <f t="shared" si="92"/>
        <v>11.953200000000002</v>
      </c>
      <c r="AL736" s="5">
        <f t="shared" si="94"/>
        <v>0.52151832460732994</v>
      </c>
    </row>
    <row r="737" spans="1:38" hidden="1" x14ac:dyDescent="0.2">
      <c r="A737" s="2">
        <v>2025</v>
      </c>
      <c r="B737" s="2">
        <v>3</v>
      </c>
      <c r="D737" s="2" t="s">
        <v>1127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1128</v>
      </c>
      <c r="J737" s="2" t="s">
        <v>1129</v>
      </c>
      <c r="L737" s="2" t="s">
        <v>462</v>
      </c>
      <c r="M737" s="2" t="s">
        <v>40</v>
      </c>
      <c r="O737" s="2" t="s">
        <v>1130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3"/>
        <v>1</v>
      </c>
      <c r="Z737" s="2" t="s">
        <v>170</v>
      </c>
      <c r="AA737" s="2" t="s">
        <v>170</v>
      </c>
      <c r="AF737" s="2">
        <f t="shared" si="90"/>
        <v>0</v>
      </c>
      <c r="AJ737" s="2">
        <f t="shared" si="91"/>
        <v>0</v>
      </c>
      <c r="AK737" s="2">
        <f t="shared" si="92"/>
        <v>5</v>
      </c>
      <c r="AL737" s="5">
        <f t="shared" si="94"/>
        <v>1</v>
      </c>
    </row>
    <row r="738" spans="1:38" hidden="1" x14ac:dyDescent="0.2">
      <c r="A738" s="2">
        <v>2025</v>
      </c>
      <c r="B738" s="2">
        <v>3</v>
      </c>
      <c r="D738" s="2" t="s">
        <v>930</v>
      </c>
      <c r="E738" s="2" t="s">
        <v>38</v>
      </c>
      <c r="F738" s="2" t="s">
        <v>39</v>
      </c>
      <c r="G738" s="2" t="s">
        <v>931</v>
      </c>
      <c r="H738" s="2" t="s">
        <v>41</v>
      </c>
      <c r="I738" s="2" t="s">
        <v>627</v>
      </c>
      <c r="J738" s="2" t="s">
        <v>932</v>
      </c>
      <c r="L738" s="2" t="s">
        <v>627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93"/>
        <v>0.25</v>
      </c>
      <c r="Z738" s="2" t="s">
        <v>3231</v>
      </c>
      <c r="AA738" s="2" t="s">
        <v>72</v>
      </c>
      <c r="AB738" s="2" t="s">
        <v>120</v>
      </c>
      <c r="AC738" s="2" t="s">
        <v>120</v>
      </c>
      <c r="AF738" s="2">
        <f t="shared" si="90"/>
        <v>0</v>
      </c>
      <c r="AJ738" s="2">
        <f t="shared" si="91"/>
        <v>0</v>
      </c>
      <c r="AK738" s="2">
        <f t="shared" si="92"/>
        <v>99.75</v>
      </c>
      <c r="AL738" s="5">
        <f t="shared" si="94"/>
        <v>0.25</v>
      </c>
    </row>
    <row r="739" spans="1:38" hidden="1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1063</v>
      </c>
      <c r="R739" s="2" t="s">
        <v>1064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3"/>
        <v>0.28996138996138993</v>
      </c>
      <c r="Z739" s="2" t="s">
        <v>3231</v>
      </c>
      <c r="AA739" s="2" t="s">
        <v>72</v>
      </c>
      <c r="AB739" s="2" t="s">
        <v>120</v>
      </c>
      <c r="AC739" s="2" t="s">
        <v>120</v>
      </c>
      <c r="AF739" s="2">
        <f t="shared" si="90"/>
        <v>0</v>
      </c>
      <c r="AJ739" s="2">
        <f t="shared" si="91"/>
        <v>0</v>
      </c>
      <c r="AK739" s="2">
        <f t="shared" si="92"/>
        <v>7.509999999999998</v>
      </c>
      <c r="AL739" s="5">
        <f t="shared" si="94"/>
        <v>0.28996138996138993</v>
      </c>
    </row>
    <row r="740" spans="1:38" hidden="1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3"/>
        <v>-0.22535211267605629</v>
      </c>
      <c r="Z740" s="2" t="s">
        <v>3231</v>
      </c>
      <c r="AA740" s="2" t="s">
        <v>46</v>
      </c>
      <c r="AB740" s="2" t="s">
        <v>61</v>
      </c>
      <c r="AC740" s="2" t="s">
        <v>3336</v>
      </c>
      <c r="AF740" s="2">
        <f t="shared" si="90"/>
        <v>0</v>
      </c>
      <c r="AJ740" s="2">
        <f t="shared" si="91"/>
        <v>0</v>
      </c>
      <c r="AK740" s="2">
        <f t="shared" si="92"/>
        <v>-6.3999999999999986</v>
      </c>
      <c r="AL740" s="5">
        <f t="shared" si="94"/>
        <v>-0.22535211267605629</v>
      </c>
    </row>
    <row r="741" spans="1:38" hidden="1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1133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3"/>
        <v>0.23785714285714291</v>
      </c>
      <c r="Z741" s="2" t="s">
        <v>3231</v>
      </c>
      <c r="AA741" s="2" t="s">
        <v>46</v>
      </c>
      <c r="AB741" s="2" t="s">
        <v>47</v>
      </c>
      <c r="AC741" s="2" t="s">
        <v>48</v>
      </c>
      <c r="AF741" s="2">
        <f t="shared" si="90"/>
        <v>0</v>
      </c>
      <c r="AG741" s="2">
        <v>10.67</v>
      </c>
      <c r="AH741" s="2">
        <v>21</v>
      </c>
      <c r="AJ741" s="2">
        <f t="shared" si="91"/>
        <v>0</v>
      </c>
      <c r="AK741" s="2">
        <f t="shared" si="92"/>
        <v>9.990000000000002</v>
      </c>
      <c r="AL741" s="5">
        <f t="shared" si="94"/>
        <v>0.23785714285714291</v>
      </c>
    </row>
    <row r="742" spans="1:38" hidden="1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1133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3"/>
        <v>0.33571428571428569</v>
      </c>
      <c r="Z742" s="2" t="s">
        <v>3231</v>
      </c>
      <c r="AA742" s="2" t="s">
        <v>46</v>
      </c>
      <c r="AB742" s="2" t="s">
        <v>47</v>
      </c>
      <c r="AC742" s="2" t="s">
        <v>48</v>
      </c>
      <c r="AF742" s="2">
        <f t="shared" si="90"/>
        <v>0</v>
      </c>
      <c r="AG742" s="2">
        <v>9.3000000000000007</v>
      </c>
      <c r="AH742" s="2">
        <v>21</v>
      </c>
      <c r="AJ742" s="2">
        <f t="shared" si="91"/>
        <v>0</v>
      </c>
      <c r="AK742" s="2">
        <f t="shared" si="92"/>
        <v>4.6999999999999993</v>
      </c>
      <c r="AL742" s="5">
        <f t="shared" si="94"/>
        <v>0.33571428571428569</v>
      </c>
    </row>
    <row r="743" spans="1:38" hidden="1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3"/>
        <v>0.52105128205128204</v>
      </c>
      <c r="Z743" s="2" t="s">
        <v>3231</v>
      </c>
      <c r="AA743" s="2" t="s">
        <v>46</v>
      </c>
      <c r="AB743" s="2" t="s">
        <v>47</v>
      </c>
      <c r="AC743" s="2" t="s">
        <v>48</v>
      </c>
      <c r="AF743" s="2">
        <f t="shared" si="90"/>
        <v>0</v>
      </c>
      <c r="AG743" s="2">
        <v>3.7357999999999998</v>
      </c>
      <c r="AH743" s="2">
        <v>9</v>
      </c>
      <c r="AJ743" s="2">
        <f t="shared" si="91"/>
        <v>0</v>
      </c>
      <c r="AK743" s="2">
        <f t="shared" si="92"/>
        <v>4.0641999999999996</v>
      </c>
      <c r="AL743" s="5">
        <f t="shared" si="94"/>
        <v>0.52105128205128204</v>
      </c>
    </row>
    <row r="744" spans="1:38" hidden="1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3"/>
        <v>0.36400000000000005</v>
      </c>
      <c r="Z744" s="2" t="s">
        <v>3231</v>
      </c>
      <c r="AA744" s="2" t="s">
        <v>46</v>
      </c>
      <c r="AB744" s="2" t="s">
        <v>57</v>
      </c>
      <c r="AC744" s="2" t="s">
        <v>58</v>
      </c>
      <c r="AF744" s="2">
        <f t="shared" si="90"/>
        <v>0</v>
      </c>
      <c r="AG744" s="2">
        <v>10.6</v>
      </c>
      <c r="AH744" s="2">
        <v>18</v>
      </c>
      <c r="AJ744" s="2">
        <f t="shared" si="91"/>
        <v>0</v>
      </c>
      <c r="AK744" s="2">
        <f t="shared" si="92"/>
        <v>36.400000000000006</v>
      </c>
      <c r="AL744" s="5">
        <f t="shared" si="94"/>
        <v>0.36400000000000005</v>
      </c>
    </row>
    <row r="745" spans="1:38" hidden="1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3"/>
        <v>0.36923076923076914</v>
      </c>
      <c r="Z745" s="2" t="s">
        <v>3231</v>
      </c>
      <c r="AA745" s="2" t="s">
        <v>46</v>
      </c>
      <c r="AB745" s="2" t="s">
        <v>61</v>
      </c>
      <c r="AC745" s="2" t="s">
        <v>58</v>
      </c>
      <c r="AF745" s="2">
        <f t="shared" si="90"/>
        <v>0</v>
      </c>
      <c r="AG745" s="2">
        <v>8.1999999999999993</v>
      </c>
      <c r="AH745" s="2">
        <v>13</v>
      </c>
      <c r="AJ745" s="2">
        <f t="shared" si="91"/>
        <v>0</v>
      </c>
      <c r="AK745" s="2">
        <f t="shared" si="92"/>
        <v>9.5999999999999979</v>
      </c>
      <c r="AL745" s="5">
        <f t="shared" si="94"/>
        <v>0.36923076923076914</v>
      </c>
    </row>
    <row r="746" spans="1:38" hidden="1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1134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3"/>
        <v>0.43096969696969695</v>
      </c>
      <c r="Z746" s="2" t="s">
        <v>3231</v>
      </c>
      <c r="AA746" s="2" t="s">
        <v>46</v>
      </c>
      <c r="AB746" s="2" t="s">
        <v>61</v>
      </c>
      <c r="AC746" s="2" t="s">
        <v>58</v>
      </c>
      <c r="AF746" s="2">
        <f t="shared" si="90"/>
        <v>0</v>
      </c>
      <c r="AG746" s="2">
        <v>3.7555999999999998</v>
      </c>
      <c r="AH746" s="2">
        <v>7.2</v>
      </c>
      <c r="AJ746" s="2">
        <f t="shared" si="91"/>
        <v>0</v>
      </c>
      <c r="AK746" s="2">
        <f t="shared" si="92"/>
        <v>11.377599999999999</v>
      </c>
      <c r="AL746" s="5">
        <f t="shared" si="94"/>
        <v>0.43096969696969695</v>
      </c>
    </row>
    <row r="747" spans="1:38" hidden="1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3"/>
        <v>0.62180321285140561</v>
      </c>
      <c r="Z747" s="2" t="s">
        <v>3231</v>
      </c>
      <c r="AA747" s="2" t="s">
        <v>46</v>
      </c>
      <c r="AB747" s="2" t="s">
        <v>61</v>
      </c>
      <c r="AC747" s="2" t="s">
        <v>58</v>
      </c>
      <c r="AF747" s="2">
        <f t="shared" si="90"/>
        <v>0</v>
      </c>
      <c r="AG747" s="2">
        <v>0.85609999999999997</v>
      </c>
      <c r="AH747" s="2">
        <v>1.8</v>
      </c>
      <c r="AJ747" s="2">
        <f t="shared" si="91"/>
        <v>0</v>
      </c>
      <c r="AK747" s="2">
        <f t="shared" si="92"/>
        <v>15.482899999999999</v>
      </c>
      <c r="AL747" s="5">
        <f t="shared" si="94"/>
        <v>0.62180321285140561</v>
      </c>
    </row>
    <row r="748" spans="1:38" hidden="1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3"/>
        <v>0.45095172413793105</v>
      </c>
      <c r="Z748" s="2" t="s">
        <v>3231</v>
      </c>
      <c r="AA748" s="2" t="s">
        <v>46</v>
      </c>
      <c r="AB748" s="2" t="s">
        <v>68</v>
      </c>
      <c r="AC748" s="2" t="s">
        <v>58</v>
      </c>
      <c r="AF748" s="2">
        <f t="shared" si="90"/>
        <v>0</v>
      </c>
      <c r="AG748" s="2">
        <v>7.9611999999999998</v>
      </c>
      <c r="AH748" s="2">
        <v>14.4</v>
      </c>
      <c r="AJ748" s="2">
        <f t="shared" si="91"/>
        <v>0</v>
      </c>
      <c r="AK748" s="2">
        <f t="shared" si="92"/>
        <v>6.5388000000000002</v>
      </c>
      <c r="AL748" s="5">
        <f t="shared" si="94"/>
        <v>0.45095172413793105</v>
      </c>
    </row>
    <row r="749" spans="1:38" hidden="1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3"/>
        <v>0.30712499999999993</v>
      </c>
      <c r="Z749" s="2" t="s">
        <v>3231</v>
      </c>
      <c r="AA749" s="2" t="s">
        <v>46</v>
      </c>
      <c r="AB749" s="2" t="s">
        <v>68</v>
      </c>
      <c r="AC749" s="2" t="s">
        <v>58</v>
      </c>
      <c r="AF749" s="2">
        <f t="shared" si="90"/>
        <v>0</v>
      </c>
      <c r="AG749" s="2">
        <v>8.3145000000000007</v>
      </c>
      <c r="AH749" s="2">
        <v>15</v>
      </c>
      <c r="AJ749" s="2">
        <f t="shared" si="91"/>
        <v>0</v>
      </c>
      <c r="AK749" s="2">
        <f t="shared" si="92"/>
        <v>3.6854999999999993</v>
      </c>
      <c r="AL749" s="5">
        <f t="shared" si="94"/>
        <v>0.30712499999999993</v>
      </c>
    </row>
    <row r="750" spans="1:38" hidden="1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3"/>
        <v>0.49356243532252503</v>
      </c>
      <c r="Z750" s="2" t="s">
        <v>3231</v>
      </c>
      <c r="AA750" s="2" t="s">
        <v>76</v>
      </c>
      <c r="AB750" s="2" t="s">
        <v>77</v>
      </c>
      <c r="AC750" s="2" t="s">
        <v>78</v>
      </c>
      <c r="AF750" s="2">
        <f t="shared" si="90"/>
        <v>0</v>
      </c>
      <c r="AG750" s="2">
        <v>117.453</v>
      </c>
      <c r="AH750" s="2">
        <v>220</v>
      </c>
      <c r="AJ750" s="2">
        <f t="shared" si="91"/>
        <v>0</v>
      </c>
      <c r="AK750" s="2">
        <f t="shared" si="92"/>
        <v>343.40100000000001</v>
      </c>
      <c r="AL750" s="5">
        <f t="shared" si="94"/>
        <v>0.49356243532252503</v>
      </c>
    </row>
    <row r="751" spans="1:38" hidden="1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1135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3"/>
        <v>0.39416159517094657</v>
      </c>
      <c r="Z751" s="2" t="s">
        <v>3231</v>
      </c>
      <c r="AA751" s="2" t="s">
        <v>76</v>
      </c>
      <c r="AB751" s="2" t="s">
        <v>77</v>
      </c>
      <c r="AC751" s="2" t="s">
        <v>78</v>
      </c>
      <c r="AF751" s="2">
        <f t="shared" si="90"/>
        <v>0</v>
      </c>
      <c r="AG751" s="2">
        <v>122.446</v>
      </c>
      <c r="AH751" s="2">
        <v>230</v>
      </c>
      <c r="AJ751" s="2">
        <f t="shared" si="91"/>
        <v>0</v>
      </c>
      <c r="AK751" s="2">
        <f t="shared" si="92"/>
        <v>159.32800000000003</v>
      </c>
      <c r="AL751" s="5">
        <f t="shared" si="94"/>
        <v>0.39416159517094657</v>
      </c>
    </row>
    <row r="752" spans="1:38" hidden="1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3196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3"/>
        <v>0.15934482758620691</v>
      </c>
      <c r="Z752" s="2" t="s">
        <v>3231</v>
      </c>
      <c r="AA752" s="2" t="s">
        <v>76</v>
      </c>
      <c r="AB752" s="2" t="s">
        <v>77</v>
      </c>
      <c r="AC752" s="2" t="s">
        <v>78</v>
      </c>
      <c r="AF752" s="2">
        <f t="shared" si="90"/>
        <v>0</v>
      </c>
      <c r="AG752" s="2">
        <f>110.125+11.77</f>
        <v>121.895</v>
      </c>
      <c r="AJ752" s="2">
        <f t="shared" si="91"/>
        <v>0</v>
      </c>
      <c r="AK752" s="2">
        <f t="shared" si="92"/>
        <v>23.105000000000004</v>
      </c>
      <c r="AL752" s="5">
        <f t="shared" si="94"/>
        <v>0.15934482758620691</v>
      </c>
    </row>
    <row r="753" spans="1:38" hidden="1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1136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3"/>
        <v>0.56864613104689321</v>
      </c>
      <c r="Z753" s="2" t="s">
        <v>3231</v>
      </c>
      <c r="AA753" s="2" t="s">
        <v>76</v>
      </c>
      <c r="AB753" s="2" t="s">
        <v>77</v>
      </c>
      <c r="AC753" s="2" t="s">
        <v>78</v>
      </c>
      <c r="AF753" s="2">
        <f t="shared" si="90"/>
        <v>0</v>
      </c>
      <c r="AJ753" s="2">
        <f t="shared" si="91"/>
        <v>0</v>
      </c>
      <c r="AK753" s="2">
        <f t="shared" si="92"/>
        <v>161.16000000000003</v>
      </c>
      <c r="AL753" s="5">
        <f t="shared" si="94"/>
        <v>0.56864613104689321</v>
      </c>
    </row>
    <row r="754" spans="1:38" hidden="1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3231</v>
      </c>
      <c r="AA754" s="2" t="s">
        <v>97</v>
      </c>
      <c r="AB754" s="2" t="s">
        <v>77</v>
      </c>
      <c r="AC754" s="2" t="s">
        <v>94</v>
      </c>
      <c r="AF754" s="2">
        <f t="shared" si="90"/>
        <v>0</v>
      </c>
      <c r="AJ754" s="2">
        <f t="shared" si="91"/>
        <v>0</v>
      </c>
      <c r="AK754" s="2">
        <f t="shared" si="92"/>
        <v>0</v>
      </c>
      <c r="AL754" s="5">
        <f t="shared" si="94"/>
        <v>0</v>
      </c>
    </row>
    <row r="755" spans="1:38" hidden="1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90"/>
        <v>0</v>
      </c>
      <c r="AJ755" s="2">
        <f t="shared" si="91"/>
        <v>0</v>
      </c>
      <c r="AK755" s="2">
        <f t="shared" si="92"/>
        <v>-20000</v>
      </c>
      <c r="AL755" s="5">
        <f t="shared" si="94"/>
        <v>1</v>
      </c>
    </row>
    <row r="756" spans="1:38" hidden="1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3231</v>
      </c>
      <c r="AA756" s="2" t="s">
        <v>72</v>
      </c>
      <c r="AB756" s="2" t="s">
        <v>69</v>
      </c>
      <c r="AC756" s="2" t="s">
        <v>3235</v>
      </c>
      <c r="AF756" s="2">
        <f t="shared" si="90"/>
        <v>0</v>
      </c>
      <c r="AJ756" s="2">
        <f t="shared" si="91"/>
        <v>0</v>
      </c>
      <c r="AK756" s="2">
        <f t="shared" si="92"/>
        <v>7.26</v>
      </c>
      <c r="AL756" s="5">
        <f t="shared" si="94"/>
        <v>0.37812499999999999</v>
      </c>
    </row>
    <row r="757" spans="1:38" hidden="1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1137</v>
      </c>
      <c r="R757" s="2" t="s">
        <v>1138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3231</v>
      </c>
      <c r="AA757" s="2" t="s">
        <v>88</v>
      </c>
      <c r="AB757" s="2" t="s">
        <v>91</v>
      </c>
      <c r="AC757" s="2" t="s">
        <v>85</v>
      </c>
      <c r="AF757" s="2">
        <f t="shared" si="90"/>
        <v>0</v>
      </c>
      <c r="AJ757" s="2">
        <f t="shared" si="91"/>
        <v>0</v>
      </c>
      <c r="AK757" s="2">
        <f t="shared" si="92"/>
        <v>61.949999999999989</v>
      </c>
      <c r="AL757" s="5">
        <f t="shared" si="94"/>
        <v>0.26665805785123964</v>
      </c>
    </row>
    <row r="758" spans="1:38" hidden="1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700</v>
      </c>
      <c r="R758" s="2" t="s">
        <v>701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90"/>
        <v>0</v>
      </c>
      <c r="AJ758" s="2">
        <f t="shared" si="91"/>
        <v>0</v>
      </c>
      <c r="AK758" s="2">
        <f t="shared" si="92"/>
        <v>0</v>
      </c>
      <c r="AL758" s="5" t="e">
        <f t="shared" si="94"/>
        <v>#DIV/0!</v>
      </c>
    </row>
    <row r="759" spans="1:38" hidden="1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703</v>
      </c>
      <c r="R759" s="2" t="s">
        <v>704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5">(T759-W759)/T759</f>
        <v>1</v>
      </c>
      <c r="Z759" s="2" t="s">
        <v>105</v>
      </c>
      <c r="AF759" s="2">
        <f t="shared" si="90"/>
        <v>0</v>
      </c>
      <c r="AJ759" s="2">
        <f t="shared" si="91"/>
        <v>0</v>
      </c>
      <c r="AK759" s="2">
        <f t="shared" si="92"/>
        <v>2394</v>
      </c>
      <c r="AL759" s="5">
        <f t="shared" si="94"/>
        <v>1</v>
      </c>
    </row>
    <row r="760" spans="1:38" hidden="1" x14ac:dyDescent="0.2">
      <c r="A760" s="2">
        <v>2025</v>
      </c>
      <c r="B760" s="2">
        <v>4</v>
      </c>
      <c r="D760" s="2" t="s">
        <v>1139</v>
      </c>
      <c r="E760" s="2" t="s">
        <v>38</v>
      </c>
      <c r="G760" s="2">
        <v>506131904</v>
      </c>
      <c r="H760" s="2" t="s">
        <v>40</v>
      </c>
      <c r="I760" s="2" t="s">
        <v>1140</v>
      </c>
      <c r="J760" s="2" t="s">
        <v>1141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5"/>
        <v>0.6</v>
      </c>
      <c r="Z760" s="2" t="s">
        <v>118</v>
      </c>
      <c r="AA760" s="2" t="s">
        <v>191</v>
      </c>
      <c r="AB760" s="2" t="s">
        <v>190</v>
      </c>
      <c r="AC760" s="2" t="s">
        <v>40</v>
      </c>
      <c r="AF760" s="2">
        <f t="shared" si="90"/>
        <v>0</v>
      </c>
      <c r="AJ760" s="2">
        <f t="shared" si="91"/>
        <v>0</v>
      </c>
      <c r="AK760" s="2">
        <f t="shared" si="92"/>
        <v>37.799999999999997</v>
      </c>
      <c r="AL760" s="5">
        <f t="shared" si="94"/>
        <v>0.6</v>
      </c>
    </row>
    <row r="761" spans="1:38" hidden="1" x14ac:dyDescent="0.2">
      <c r="A761" s="2">
        <v>2025</v>
      </c>
      <c r="B761" s="2">
        <v>4</v>
      </c>
      <c r="D761" s="2" t="s">
        <v>1139</v>
      </c>
      <c r="E761" s="2" t="s">
        <v>38</v>
      </c>
      <c r="G761" s="2">
        <v>506131904</v>
      </c>
      <c r="H761" s="2" t="s">
        <v>40</v>
      </c>
      <c r="I761" s="2" t="s">
        <v>1140</v>
      </c>
      <c r="J761" s="2" t="s">
        <v>1141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5"/>
        <v>0.5</v>
      </c>
      <c r="Z761" s="2" t="s">
        <v>118</v>
      </c>
      <c r="AA761" s="2" t="s">
        <v>191</v>
      </c>
      <c r="AB761" s="2" t="s">
        <v>191</v>
      </c>
      <c r="AC761" s="2" t="s">
        <v>40</v>
      </c>
      <c r="AF761" s="2">
        <f t="shared" si="90"/>
        <v>0</v>
      </c>
      <c r="AJ761" s="2">
        <f t="shared" si="91"/>
        <v>0</v>
      </c>
      <c r="AK761" s="2">
        <f t="shared" si="92"/>
        <v>12.5</v>
      </c>
      <c r="AL761" s="5">
        <f t="shared" si="94"/>
        <v>0.5</v>
      </c>
    </row>
    <row r="762" spans="1:38" hidden="1" x14ac:dyDescent="0.2">
      <c r="A762" s="2">
        <v>2025</v>
      </c>
      <c r="B762" s="2">
        <v>4</v>
      </c>
      <c r="D762" s="2" t="s">
        <v>1139</v>
      </c>
      <c r="E762" s="2" t="s">
        <v>38</v>
      </c>
      <c r="G762" s="2">
        <v>506131904</v>
      </c>
      <c r="H762" s="2" t="s">
        <v>40</v>
      </c>
      <c r="I762" s="2" t="s">
        <v>1140</v>
      </c>
      <c r="J762" s="2" t="s">
        <v>1141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5"/>
        <v>1</v>
      </c>
      <c r="Z762" s="2" t="s">
        <v>120</v>
      </c>
      <c r="AA762" s="2" t="s">
        <v>3385</v>
      </c>
      <c r="AF762" s="2">
        <f t="shared" si="90"/>
        <v>0</v>
      </c>
      <c r="AJ762" s="2">
        <f t="shared" si="91"/>
        <v>0</v>
      </c>
      <c r="AK762" s="2">
        <f t="shared" si="92"/>
        <v>12.22</v>
      </c>
      <c r="AL762" s="5">
        <f t="shared" si="94"/>
        <v>1</v>
      </c>
    </row>
    <row r="763" spans="1:38" hidden="1" x14ac:dyDescent="0.2">
      <c r="A763" s="2">
        <v>2025</v>
      </c>
      <c r="B763" s="2">
        <v>4</v>
      </c>
      <c r="D763" s="2" t="s">
        <v>1142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1143</v>
      </c>
      <c r="J763" s="2" t="s">
        <v>1144</v>
      </c>
      <c r="L763" s="2" t="s">
        <v>100</v>
      </c>
      <c r="M763" s="2" t="s">
        <v>41</v>
      </c>
      <c r="O763" s="2" t="s">
        <v>1145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5"/>
        <v>0.21904761904761905</v>
      </c>
      <c r="Z763" s="2" t="s">
        <v>3231</v>
      </c>
      <c r="AA763" s="2" t="s">
        <v>46</v>
      </c>
      <c r="AB763" s="2" t="s">
        <v>61</v>
      </c>
      <c r="AC763" s="2" t="s">
        <v>58</v>
      </c>
      <c r="AF763" s="2">
        <f t="shared" si="90"/>
        <v>0</v>
      </c>
      <c r="AG763" s="2">
        <v>8.1999999999999993</v>
      </c>
      <c r="AH763" s="2">
        <v>13</v>
      </c>
      <c r="AJ763" s="2">
        <f t="shared" si="91"/>
        <v>0</v>
      </c>
      <c r="AK763" s="2">
        <f t="shared" si="92"/>
        <v>23</v>
      </c>
      <c r="AL763" s="5">
        <f t="shared" si="94"/>
        <v>0.21904761904761905</v>
      </c>
    </row>
    <row r="764" spans="1:38" hidden="1" x14ac:dyDescent="0.2">
      <c r="A764" s="2">
        <v>2025</v>
      </c>
      <c r="B764" s="2">
        <v>4</v>
      </c>
      <c r="D764" s="2" t="s">
        <v>1146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5"/>
        <v>1</v>
      </c>
      <c r="Z764" s="2" t="s">
        <v>118</v>
      </c>
      <c r="AF764" s="2">
        <f t="shared" si="90"/>
        <v>0</v>
      </c>
      <c r="AJ764" s="2">
        <f t="shared" si="91"/>
        <v>0</v>
      </c>
      <c r="AK764" s="2">
        <f t="shared" si="92"/>
        <v>28.57</v>
      </c>
      <c r="AL764" s="5">
        <f t="shared" si="94"/>
        <v>1</v>
      </c>
    </row>
    <row r="765" spans="1:38" hidden="1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5"/>
        <v>0.60000000000000009</v>
      </c>
      <c r="Z765" s="2" t="s">
        <v>118</v>
      </c>
      <c r="AA765" s="2" t="s">
        <v>191</v>
      </c>
      <c r="AB765" s="2" t="s">
        <v>190</v>
      </c>
      <c r="AC765" s="2" t="s">
        <v>40</v>
      </c>
      <c r="AF765" s="2">
        <f t="shared" si="90"/>
        <v>0</v>
      </c>
      <c r="AJ765" s="2">
        <f t="shared" si="91"/>
        <v>0</v>
      </c>
      <c r="AK765" s="2">
        <f t="shared" si="92"/>
        <v>136.80000000000001</v>
      </c>
      <c r="AL765" s="5">
        <f t="shared" si="94"/>
        <v>0.60000000000000009</v>
      </c>
    </row>
    <row r="766" spans="1:38" hidden="1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5"/>
        <v>0.5</v>
      </c>
      <c r="Z766" s="2" t="s">
        <v>118</v>
      </c>
      <c r="AA766" s="2" t="s">
        <v>191</v>
      </c>
      <c r="AB766" s="2" t="s">
        <v>191</v>
      </c>
      <c r="AC766" s="2" t="s">
        <v>40</v>
      </c>
      <c r="AF766" s="2">
        <f t="shared" si="90"/>
        <v>0</v>
      </c>
      <c r="AJ766" s="2">
        <f t="shared" si="91"/>
        <v>0</v>
      </c>
      <c r="AK766" s="2">
        <f t="shared" si="92"/>
        <v>50</v>
      </c>
      <c r="AL766" s="5">
        <f t="shared" si="94"/>
        <v>0.5</v>
      </c>
    </row>
    <row r="767" spans="1:38" hidden="1" x14ac:dyDescent="0.2">
      <c r="A767" s="2">
        <v>2025</v>
      </c>
      <c r="B767" s="2">
        <v>4</v>
      </c>
      <c r="D767" s="2" t="s">
        <v>1147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1148</v>
      </c>
      <c r="J767" s="2" t="s">
        <v>1149</v>
      </c>
      <c r="L767" s="2" t="s">
        <v>134</v>
      </c>
      <c r="M767" s="2" t="s">
        <v>41</v>
      </c>
      <c r="O767" s="2" t="s">
        <v>1150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95"/>
        <v>0.25</v>
      </c>
      <c r="Z767" s="2" t="s">
        <v>1151</v>
      </c>
      <c r="AA767" s="2" t="s">
        <v>151</v>
      </c>
      <c r="AB767" s="2" t="s">
        <v>476</v>
      </c>
      <c r="AC767" s="2" t="s">
        <v>476</v>
      </c>
      <c r="AF767" s="2">
        <f t="shared" si="90"/>
        <v>0</v>
      </c>
      <c r="AJ767" s="2">
        <f t="shared" si="91"/>
        <v>0</v>
      </c>
      <c r="AK767" s="2">
        <f t="shared" si="92"/>
        <v>312.5</v>
      </c>
      <c r="AL767" s="5">
        <f t="shared" si="94"/>
        <v>0.25</v>
      </c>
    </row>
    <row r="768" spans="1:38" hidden="1" x14ac:dyDescent="0.2">
      <c r="A768" s="2">
        <v>2025</v>
      </c>
      <c r="B768" s="2">
        <v>4</v>
      </c>
      <c r="D768" s="2" t="s">
        <v>1152</v>
      </c>
      <c r="P768" s="2" t="s">
        <v>115</v>
      </c>
      <c r="Q768" s="2" t="s">
        <v>1153</v>
      </c>
      <c r="R768" s="2" t="s">
        <v>1154</v>
      </c>
      <c r="S768" s="2">
        <v>1</v>
      </c>
      <c r="T768" s="2">
        <v>252.66</v>
      </c>
      <c r="X768" s="5">
        <f t="shared" si="95"/>
        <v>1</v>
      </c>
      <c r="Z768" s="2" t="s">
        <v>118</v>
      </c>
      <c r="AF768" s="2">
        <f t="shared" si="90"/>
        <v>0</v>
      </c>
      <c r="AJ768" s="2">
        <f t="shared" si="91"/>
        <v>0</v>
      </c>
      <c r="AK768" s="2">
        <f t="shared" si="92"/>
        <v>252.66</v>
      </c>
      <c r="AL768" s="5">
        <f t="shared" si="94"/>
        <v>1</v>
      </c>
    </row>
    <row r="769" spans="1:38" hidden="1" x14ac:dyDescent="0.2">
      <c r="A769" s="2">
        <v>2025</v>
      </c>
      <c r="B769" s="2">
        <v>4</v>
      </c>
      <c r="D769" s="2" t="s">
        <v>1155</v>
      </c>
      <c r="P769" s="2" t="s">
        <v>283</v>
      </c>
      <c r="Q769" s="2" t="s">
        <v>1156</v>
      </c>
      <c r="R769" s="2" t="s">
        <v>1157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5"/>
        <v>0.26755852842809363</v>
      </c>
      <c r="Z769" s="2" t="s">
        <v>105</v>
      </c>
      <c r="AA769" s="2" t="s">
        <v>1578</v>
      </c>
      <c r="AB769" s="2" t="s">
        <v>389</v>
      </c>
      <c r="AC769" s="2" t="s">
        <v>1329</v>
      </c>
      <c r="AF769" s="2">
        <f t="shared" si="90"/>
        <v>0</v>
      </c>
      <c r="AJ769" s="2">
        <f t="shared" si="91"/>
        <v>0</v>
      </c>
      <c r="AK769" s="2">
        <f t="shared" si="92"/>
        <v>800</v>
      </c>
      <c r="AL769" s="5">
        <f t="shared" si="94"/>
        <v>0.26755852842809363</v>
      </c>
    </row>
    <row r="770" spans="1:38" hidden="1" x14ac:dyDescent="0.2">
      <c r="A770" s="2">
        <v>2025</v>
      </c>
      <c r="B770" s="2">
        <v>4</v>
      </c>
      <c r="D770" s="2" t="s">
        <v>1155</v>
      </c>
      <c r="P770" s="2" t="s">
        <v>283</v>
      </c>
      <c r="Q770" s="2" t="s">
        <v>1158</v>
      </c>
      <c r="R770" s="2" t="s">
        <v>1159</v>
      </c>
      <c r="S770" s="2">
        <v>1</v>
      </c>
      <c r="T770" s="2">
        <v>345</v>
      </c>
      <c r="U770" s="2">
        <f t="shared" ref="U770:U771" si="96">T770*23%</f>
        <v>79.350000000000009</v>
      </c>
      <c r="V770" s="2">
        <f t="shared" ref="V770:V771" si="97">T770+U770</f>
        <v>424.35</v>
      </c>
      <c r="W770" s="2">
        <v>241.5</v>
      </c>
      <c r="X770" s="5">
        <f t="shared" si="95"/>
        <v>0.3</v>
      </c>
      <c r="Z770" s="2" t="s">
        <v>105</v>
      </c>
      <c r="AA770" s="2" t="s">
        <v>1578</v>
      </c>
      <c r="AB770" s="2" t="s">
        <v>389</v>
      </c>
      <c r="AC770" s="2" t="s">
        <v>1329</v>
      </c>
      <c r="AF770" s="2">
        <f t="shared" ref="AF770:AF833" si="98">AJ770</f>
        <v>0</v>
      </c>
      <c r="AJ770" s="2">
        <f t="shared" ref="AJ770:AJ833" si="99">AI770*T770</f>
        <v>0</v>
      </c>
      <c r="AK770" s="2">
        <f t="shared" ref="AK770:AK833" si="100">T770-W770</f>
        <v>103.5</v>
      </c>
      <c r="AL770" s="5">
        <f t="shared" si="94"/>
        <v>0.3</v>
      </c>
    </row>
    <row r="771" spans="1:38" hidden="1" x14ac:dyDescent="0.2">
      <c r="A771" s="2">
        <v>2025</v>
      </c>
      <c r="B771" s="2">
        <v>4</v>
      </c>
      <c r="D771" s="2" t="s">
        <v>1155</v>
      </c>
      <c r="P771" s="2" t="s">
        <v>283</v>
      </c>
      <c r="Q771" s="2" t="s">
        <v>1160</v>
      </c>
      <c r="R771" s="2" t="s">
        <v>1161</v>
      </c>
      <c r="S771" s="2">
        <v>1</v>
      </c>
      <c r="T771" s="2">
        <v>0</v>
      </c>
      <c r="U771" s="2">
        <f t="shared" si="96"/>
        <v>0</v>
      </c>
      <c r="V771" s="2">
        <f t="shared" si="97"/>
        <v>0</v>
      </c>
      <c r="W771" s="2">
        <v>0</v>
      </c>
      <c r="X771" s="5">
        <v>0</v>
      </c>
      <c r="AF771" s="2">
        <f t="shared" si="98"/>
        <v>0</v>
      </c>
      <c r="AJ771" s="2">
        <f t="shared" si="99"/>
        <v>0</v>
      </c>
      <c r="AK771" s="2">
        <f t="shared" si="100"/>
        <v>0</v>
      </c>
      <c r="AL771" s="5" t="e">
        <f t="shared" si="94"/>
        <v>#DIV/0!</v>
      </c>
    </row>
    <row r="772" spans="1:38" hidden="1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1162</v>
      </c>
      <c r="R772" s="2" t="s">
        <v>1163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5"/>
        <v>0.3228571428571429</v>
      </c>
      <c r="Z772" s="2" t="s">
        <v>3231</v>
      </c>
      <c r="AA772" s="2" t="s">
        <v>72</v>
      </c>
      <c r="AB772" s="2" t="s">
        <v>69</v>
      </c>
      <c r="AC772" s="2" t="s">
        <v>3235</v>
      </c>
      <c r="AF772" s="2">
        <f t="shared" si="98"/>
        <v>0</v>
      </c>
      <c r="AJ772" s="2">
        <f t="shared" si="99"/>
        <v>0</v>
      </c>
      <c r="AK772" s="2">
        <f t="shared" si="100"/>
        <v>22.6</v>
      </c>
      <c r="AL772" s="5">
        <f t="shared" si="94"/>
        <v>0.3228571428571429</v>
      </c>
    </row>
    <row r="773" spans="1:38" hidden="1" x14ac:dyDescent="0.2">
      <c r="A773" s="2">
        <v>2025</v>
      </c>
      <c r="B773" s="2">
        <v>4</v>
      </c>
      <c r="C773" s="2" t="s">
        <v>3326</v>
      </c>
      <c r="D773" s="2" t="s">
        <v>1164</v>
      </c>
      <c r="E773" s="2" t="s">
        <v>753</v>
      </c>
      <c r="G773" s="2">
        <v>508199280</v>
      </c>
      <c r="H773" s="2" t="s">
        <v>40</v>
      </c>
      <c r="I773" s="2" t="s">
        <v>1165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5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8"/>
        <v>0</v>
      </c>
      <c r="AJ773" s="2">
        <f t="shared" si="99"/>
        <v>0</v>
      </c>
      <c r="AK773" s="2">
        <f t="shared" si="100"/>
        <v>352.72999999999996</v>
      </c>
      <c r="AL773" s="5">
        <f t="shared" si="94"/>
        <v>0.50440440440440437</v>
      </c>
    </row>
    <row r="774" spans="1:38" hidden="1" x14ac:dyDescent="0.2">
      <c r="A774" s="2">
        <v>2025</v>
      </c>
      <c r="B774" s="2">
        <v>4</v>
      </c>
      <c r="C774" s="2" t="s">
        <v>3326</v>
      </c>
      <c r="D774" s="2" t="s">
        <v>1164</v>
      </c>
      <c r="E774" s="2" t="s">
        <v>753</v>
      </c>
      <c r="G774" s="2">
        <v>508199280</v>
      </c>
      <c r="H774" s="2" t="s">
        <v>40</v>
      </c>
      <c r="I774" s="2" t="s">
        <v>1165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5"/>
        <v>0.6</v>
      </c>
      <c r="Z774" s="2" t="s">
        <v>118</v>
      </c>
      <c r="AA774" s="2" t="s">
        <v>191</v>
      </c>
      <c r="AB774" s="2" t="s">
        <v>190</v>
      </c>
      <c r="AC774" s="2" t="s">
        <v>40</v>
      </c>
      <c r="AF774" s="2">
        <f t="shared" si="98"/>
        <v>0</v>
      </c>
      <c r="AJ774" s="2">
        <f t="shared" si="99"/>
        <v>0</v>
      </c>
      <c r="AK774" s="2">
        <f t="shared" si="100"/>
        <v>43.8</v>
      </c>
      <c r="AL774" s="5">
        <f t="shared" si="94"/>
        <v>0.6</v>
      </c>
    </row>
    <row r="775" spans="1:38" hidden="1" x14ac:dyDescent="0.2">
      <c r="A775" s="2">
        <v>2025</v>
      </c>
      <c r="B775" s="2">
        <v>4</v>
      </c>
      <c r="C775" s="2" t="s">
        <v>3326</v>
      </c>
      <c r="D775" s="2" t="s">
        <v>1164</v>
      </c>
      <c r="E775" s="2" t="s">
        <v>753</v>
      </c>
      <c r="G775" s="2">
        <v>508199280</v>
      </c>
      <c r="H775" s="2" t="s">
        <v>40</v>
      </c>
      <c r="I775" s="2" t="s">
        <v>1165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B775" s="2" t="s">
        <v>191</v>
      </c>
      <c r="AC775" s="2" t="s">
        <v>40</v>
      </c>
      <c r="AF775" s="2">
        <f t="shared" si="98"/>
        <v>0</v>
      </c>
      <c r="AJ775" s="2">
        <f t="shared" si="99"/>
        <v>0</v>
      </c>
      <c r="AK775" s="2">
        <v>0</v>
      </c>
      <c r="AL775" s="5">
        <v>0</v>
      </c>
    </row>
    <row r="776" spans="1:38" hidden="1" x14ac:dyDescent="0.2">
      <c r="A776" s="2">
        <v>2025</v>
      </c>
      <c r="B776" s="2">
        <v>4</v>
      </c>
      <c r="D776" s="2" t="s">
        <v>690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691</v>
      </c>
      <c r="K776" s="2">
        <v>913036545</v>
      </c>
      <c r="L776" s="2" t="s">
        <v>178</v>
      </c>
      <c r="M776" s="2" t="s">
        <v>41</v>
      </c>
      <c r="O776" s="2" t="s">
        <v>1166</v>
      </c>
      <c r="P776" s="2" t="s">
        <v>43</v>
      </c>
      <c r="Q776" s="2" t="s">
        <v>1167</v>
      </c>
      <c r="R776" s="2" t="s">
        <v>1168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3231</v>
      </c>
      <c r="AA776" s="2" t="s">
        <v>46</v>
      </c>
      <c r="AB776" s="2" t="s">
        <v>47</v>
      </c>
      <c r="AC776" s="2" t="s">
        <v>48</v>
      </c>
      <c r="AF776" s="2">
        <f t="shared" si="98"/>
        <v>0</v>
      </c>
      <c r="AJ776" s="2">
        <f t="shared" si="99"/>
        <v>0</v>
      </c>
      <c r="AK776" s="2">
        <f t="shared" si="100"/>
        <v>14.399999999999999</v>
      </c>
      <c r="AL776" s="5">
        <f t="shared" si="94"/>
        <v>0.43636363636363634</v>
      </c>
    </row>
    <row r="777" spans="1:38" hidden="1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1169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B777" s="2" t="s">
        <v>190</v>
      </c>
      <c r="AC777" s="2" t="s">
        <v>40</v>
      </c>
      <c r="AF777" s="2">
        <f t="shared" si="98"/>
        <v>0</v>
      </c>
      <c r="AJ777" s="2">
        <f t="shared" si="99"/>
        <v>0</v>
      </c>
      <c r="AK777" s="2">
        <f t="shared" si="100"/>
        <v>0</v>
      </c>
      <c r="AL777" s="5" t="e">
        <f t="shared" si="94"/>
        <v>#DIV/0!</v>
      </c>
    </row>
    <row r="778" spans="1:38" hidden="1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1169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101">(T778-W778)/T778</f>
        <v>0.5</v>
      </c>
      <c r="Z778" s="2" t="s">
        <v>118</v>
      </c>
      <c r="AA778" s="2" t="s">
        <v>191</v>
      </c>
      <c r="AB778" s="2" t="s">
        <v>191</v>
      </c>
      <c r="AC778" s="2" t="s">
        <v>40</v>
      </c>
      <c r="AF778" s="2">
        <f t="shared" si="98"/>
        <v>0</v>
      </c>
      <c r="AJ778" s="2">
        <f t="shared" si="99"/>
        <v>0</v>
      </c>
      <c r="AK778" s="2">
        <f t="shared" si="100"/>
        <v>25</v>
      </c>
      <c r="AL778" s="5">
        <f t="shared" si="94"/>
        <v>0.5</v>
      </c>
    </row>
    <row r="779" spans="1:38" hidden="1" x14ac:dyDescent="0.2">
      <c r="A779" s="2">
        <v>2025</v>
      </c>
      <c r="B779" s="2">
        <v>4</v>
      </c>
      <c r="D779" s="2" t="s">
        <v>1170</v>
      </c>
      <c r="E779" s="2" t="s">
        <v>753</v>
      </c>
      <c r="F779" s="2" t="s">
        <v>1171</v>
      </c>
      <c r="G779" s="2">
        <v>505760088</v>
      </c>
      <c r="H779" s="2" t="s">
        <v>291</v>
      </c>
      <c r="I779" s="2" t="s">
        <v>1172</v>
      </c>
      <c r="J779" s="2" t="s">
        <v>1173</v>
      </c>
      <c r="L779" s="2" t="s">
        <v>340</v>
      </c>
      <c r="M779" s="2" t="s">
        <v>1174</v>
      </c>
      <c r="O779" s="2" t="s">
        <v>1175</v>
      </c>
      <c r="P779" s="2" t="s">
        <v>43</v>
      </c>
      <c r="Q779" s="2" t="s">
        <v>1176</v>
      </c>
      <c r="R779" s="2" t="s">
        <v>1177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01"/>
        <v>0.63786000000000009</v>
      </c>
      <c r="Z779" s="2" t="s">
        <v>3231</v>
      </c>
      <c r="AA779" s="2" t="s">
        <v>46</v>
      </c>
      <c r="AB779" s="2" t="s">
        <v>61</v>
      </c>
      <c r="AC779" s="2" t="s">
        <v>58</v>
      </c>
      <c r="AF779" s="2">
        <f t="shared" si="98"/>
        <v>0</v>
      </c>
      <c r="AG779" s="2">
        <v>1.8107</v>
      </c>
      <c r="AH779" s="2">
        <v>3</v>
      </c>
      <c r="AJ779" s="2">
        <f t="shared" si="99"/>
        <v>0</v>
      </c>
      <c r="AK779" s="2">
        <f t="shared" si="100"/>
        <v>3.1893000000000002</v>
      </c>
      <c r="AL779" s="5">
        <f t="shared" si="94"/>
        <v>0.63786000000000009</v>
      </c>
    </row>
    <row r="780" spans="1:38" hidden="1" x14ac:dyDescent="0.2">
      <c r="A780" s="2">
        <v>2025</v>
      </c>
      <c r="B780" s="2">
        <v>4</v>
      </c>
      <c r="D780" s="2" t="s">
        <v>1170</v>
      </c>
      <c r="E780" s="2" t="s">
        <v>753</v>
      </c>
      <c r="F780" s="2" t="s">
        <v>1171</v>
      </c>
      <c r="G780" s="2">
        <v>505760088</v>
      </c>
      <c r="H780" s="2" t="s">
        <v>291</v>
      </c>
      <c r="I780" s="2" t="s">
        <v>1172</v>
      </c>
      <c r="J780" s="2" t="s">
        <v>1173</v>
      </c>
      <c r="L780" s="2" t="s">
        <v>340</v>
      </c>
      <c r="M780" s="2" t="s">
        <v>1174</v>
      </c>
      <c r="O780" s="2" t="s">
        <v>1175</v>
      </c>
      <c r="P780" s="2" t="s">
        <v>43</v>
      </c>
      <c r="Q780" s="2" t="s">
        <v>1178</v>
      </c>
      <c r="R780" s="2" t="s">
        <v>1179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01"/>
        <v>0.18799999999999997</v>
      </c>
      <c r="Z780" s="2" t="s">
        <v>3231</v>
      </c>
      <c r="AA780" s="2" t="s">
        <v>46</v>
      </c>
      <c r="AB780" s="2" t="s">
        <v>61</v>
      </c>
      <c r="AC780" s="2" t="s">
        <v>58</v>
      </c>
      <c r="AF780" s="2">
        <f t="shared" si="98"/>
        <v>0</v>
      </c>
      <c r="AG780" s="2">
        <v>20.3</v>
      </c>
      <c r="AH780" s="2">
        <v>30.6</v>
      </c>
      <c r="AJ780" s="2">
        <f t="shared" si="99"/>
        <v>0</v>
      </c>
      <c r="AK780" s="2">
        <f t="shared" si="100"/>
        <v>4.6999999999999993</v>
      </c>
      <c r="AL780" s="5">
        <f t="shared" si="94"/>
        <v>0.18799999999999997</v>
      </c>
    </row>
    <row r="781" spans="1:38" hidden="1" x14ac:dyDescent="0.2">
      <c r="A781" s="2">
        <v>2025</v>
      </c>
      <c r="B781" s="2">
        <v>4</v>
      </c>
      <c r="D781" s="2" t="s">
        <v>1170</v>
      </c>
      <c r="E781" s="2" t="s">
        <v>753</v>
      </c>
      <c r="F781" s="2" t="s">
        <v>1171</v>
      </c>
      <c r="G781" s="2">
        <v>505760088</v>
      </c>
      <c r="H781" s="2" t="s">
        <v>291</v>
      </c>
      <c r="I781" s="2" t="s">
        <v>1172</v>
      </c>
      <c r="J781" s="2" t="s">
        <v>1173</v>
      </c>
      <c r="L781" s="2" t="s">
        <v>340</v>
      </c>
      <c r="M781" s="2" t="s">
        <v>1174</v>
      </c>
      <c r="O781" s="2" t="s">
        <v>1175</v>
      </c>
      <c r="P781" s="2" t="s">
        <v>43</v>
      </c>
      <c r="Q781" s="2" t="s">
        <v>973</v>
      </c>
      <c r="R781" s="2" t="s">
        <v>974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01"/>
        <v>0.36885999999999997</v>
      </c>
      <c r="Z781" s="2" t="s">
        <v>3231</v>
      </c>
      <c r="AA781" s="2" t="s">
        <v>46</v>
      </c>
      <c r="AB781" s="2" t="s">
        <v>61</v>
      </c>
      <c r="AC781" s="2" t="s">
        <v>58</v>
      </c>
      <c r="AF781" s="2">
        <f t="shared" si="98"/>
        <v>0</v>
      </c>
      <c r="AG781" s="2">
        <v>18.934200000000001</v>
      </c>
      <c r="AH781" s="2">
        <v>29</v>
      </c>
      <c r="AJ781" s="2">
        <f t="shared" si="99"/>
        <v>0</v>
      </c>
      <c r="AK781" s="2">
        <f t="shared" si="100"/>
        <v>44.263199999999998</v>
      </c>
      <c r="AL781" s="5">
        <f t="shared" si="94"/>
        <v>0.36885999999999997</v>
      </c>
    </row>
    <row r="782" spans="1:38" hidden="1" x14ac:dyDescent="0.2">
      <c r="A782" s="2">
        <v>2025</v>
      </c>
      <c r="B782" s="2">
        <v>4</v>
      </c>
      <c r="D782" s="2" t="s">
        <v>1180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1181</v>
      </c>
      <c r="J782" s="2" t="s">
        <v>1182</v>
      </c>
      <c r="L782" s="2" t="s">
        <v>462</v>
      </c>
      <c r="M782" s="2" t="s">
        <v>41</v>
      </c>
      <c r="O782" s="2" t="s">
        <v>1183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01"/>
        <v>0.45290151515151511</v>
      </c>
      <c r="Z782" s="2" t="s">
        <v>3231</v>
      </c>
      <c r="AA782" s="2" t="s">
        <v>46</v>
      </c>
      <c r="AB782" s="2" t="s">
        <v>57</v>
      </c>
      <c r="AC782" s="2" t="s">
        <v>58</v>
      </c>
      <c r="AF782" s="2">
        <f t="shared" si="98"/>
        <v>0</v>
      </c>
      <c r="AG782" s="2">
        <v>7.2217000000000002</v>
      </c>
      <c r="AH782" s="2">
        <v>14.4</v>
      </c>
      <c r="AJ782" s="2">
        <f t="shared" si="99"/>
        <v>0</v>
      </c>
      <c r="AK782" s="2">
        <f t="shared" si="100"/>
        <v>5.9782999999999991</v>
      </c>
      <c r="AL782" s="5">
        <f t="shared" si="94"/>
        <v>0.45290151515151511</v>
      </c>
    </row>
    <row r="783" spans="1:38" hidden="1" x14ac:dyDescent="0.2">
      <c r="A783" s="2">
        <v>2025</v>
      </c>
      <c r="B783" s="2">
        <v>4</v>
      </c>
      <c r="D783" s="2" t="s">
        <v>1180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1181</v>
      </c>
      <c r="J783" s="2" t="s">
        <v>1182</v>
      </c>
      <c r="L783" s="2" t="s">
        <v>462</v>
      </c>
      <c r="M783" s="2" t="s">
        <v>41</v>
      </c>
      <c r="O783" s="2" t="s">
        <v>1183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01"/>
        <v>0.43981481481481483</v>
      </c>
      <c r="Z783" s="2" t="s">
        <v>3231</v>
      </c>
      <c r="AA783" s="2" t="s">
        <v>46</v>
      </c>
      <c r="AB783" s="2" t="s">
        <v>57</v>
      </c>
      <c r="AC783" s="2" t="s">
        <v>58</v>
      </c>
      <c r="AF783" s="2">
        <f t="shared" si="98"/>
        <v>0</v>
      </c>
      <c r="AJ783" s="2">
        <f t="shared" si="99"/>
        <v>0</v>
      </c>
      <c r="AK783" s="2">
        <f t="shared" si="100"/>
        <v>7.125</v>
      </c>
      <c r="AL783" s="5">
        <f t="shared" si="94"/>
        <v>0.43981481481481483</v>
      </c>
    </row>
    <row r="784" spans="1:38" hidden="1" x14ac:dyDescent="0.2">
      <c r="A784" s="2">
        <v>2025</v>
      </c>
      <c r="B784" s="2">
        <v>4</v>
      </c>
      <c r="D784" s="2" t="s">
        <v>1180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1181</v>
      </c>
      <c r="J784" s="2" t="s">
        <v>1182</v>
      </c>
      <c r="L784" s="2" t="s">
        <v>462</v>
      </c>
      <c r="M784" s="2" t="s">
        <v>41</v>
      </c>
      <c r="O784" s="2" t="s">
        <v>1183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101"/>
        <v>1</v>
      </c>
      <c r="Z784" s="2" t="s">
        <v>3231</v>
      </c>
      <c r="AA784" s="2" t="s">
        <v>46</v>
      </c>
      <c r="AB784" s="2" t="s">
        <v>57</v>
      </c>
      <c r="AC784" s="2" t="s">
        <v>58</v>
      </c>
      <c r="AF784" s="2">
        <f t="shared" si="98"/>
        <v>0</v>
      </c>
      <c r="AJ784" s="2">
        <f t="shared" si="99"/>
        <v>0</v>
      </c>
      <c r="AK784" s="2">
        <f t="shared" si="100"/>
        <v>19.8</v>
      </c>
      <c r="AL784" s="5">
        <f t="shared" si="94"/>
        <v>1</v>
      </c>
    </row>
    <row r="785" spans="1:38" hidden="1" x14ac:dyDescent="0.2">
      <c r="A785" s="2">
        <v>2025</v>
      </c>
      <c r="B785" s="2">
        <v>4</v>
      </c>
      <c r="D785" s="2" t="s">
        <v>1180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1181</v>
      </c>
      <c r="J785" s="2" t="s">
        <v>1182</v>
      </c>
      <c r="L785" s="2" t="s">
        <v>462</v>
      </c>
      <c r="M785" s="2" t="s">
        <v>41</v>
      </c>
      <c r="O785" s="2" t="s">
        <v>1184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101"/>
        <v>1</v>
      </c>
      <c r="Z785" s="2" t="s">
        <v>3231</v>
      </c>
      <c r="AA785" s="2" t="s">
        <v>46</v>
      </c>
      <c r="AB785" s="2" t="s">
        <v>57</v>
      </c>
      <c r="AC785" s="2" t="s">
        <v>58</v>
      </c>
      <c r="AF785" s="2">
        <f t="shared" si="98"/>
        <v>0</v>
      </c>
      <c r="AJ785" s="2">
        <f t="shared" si="99"/>
        <v>0</v>
      </c>
      <c r="AK785" s="2">
        <f t="shared" si="100"/>
        <v>24</v>
      </c>
      <c r="AL785" s="5">
        <f t="shared" si="94"/>
        <v>1</v>
      </c>
    </row>
    <row r="786" spans="1:38" hidden="1" x14ac:dyDescent="0.2">
      <c r="A786" s="2">
        <v>2025</v>
      </c>
      <c r="B786" s="2">
        <v>4</v>
      </c>
      <c r="D786" s="2" t="s">
        <v>1180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1181</v>
      </c>
      <c r="J786" s="2" t="s">
        <v>1182</v>
      </c>
      <c r="L786" s="2" t="s">
        <v>462</v>
      </c>
      <c r="M786" s="2" t="s">
        <v>41</v>
      </c>
      <c r="O786" s="2" t="s">
        <v>1183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101"/>
        <v>1</v>
      </c>
      <c r="Z786" s="2" t="s">
        <v>3231</v>
      </c>
      <c r="AA786" s="2" t="s">
        <v>46</v>
      </c>
      <c r="AB786" s="2" t="s">
        <v>57</v>
      </c>
      <c r="AC786" s="2" t="s">
        <v>58</v>
      </c>
      <c r="AF786" s="2">
        <f t="shared" si="98"/>
        <v>0</v>
      </c>
      <c r="AJ786" s="2">
        <f t="shared" si="99"/>
        <v>0</v>
      </c>
      <c r="AK786" s="2">
        <f t="shared" si="100"/>
        <v>16.8</v>
      </c>
      <c r="AL786" s="5">
        <f t="shared" ref="AL786:AL849" si="102">(T786-W786)/T786</f>
        <v>1</v>
      </c>
    </row>
    <row r="787" spans="1:38" hidden="1" x14ac:dyDescent="0.2">
      <c r="A787" s="2">
        <v>2025</v>
      </c>
      <c r="B787" s="2">
        <v>4</v>
      </c>
      <c r="D787" s="2" t="s">
        <v>1180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1181</v>
      </c>
      <c r="J787" s="2" t="s">
        <v>1182</v>
      </c>
      <c r="L787" s="2" t="s">
        <v>462</v>
      </c>
      <c r="M787" s="2" t="s">
        <v>41</v>
      </c>
      <c r="O787" s="2" t="s">
        <v>1183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01"/>
        <v>0.41111111111111115</v>
      </c>
      <c r="Z787" s="2" t="s">
        <v>3231</v>
      </c>
      <c r="AA787" s="2" t="s">
        <v>46</v>
      </c>
      <c r="AB787" s="2" t="s">
        <v>57</v>
      </c>
      <c r="AC787" s="2" t="s">
        <v>58</v>
      </c>
      <c r="AF787" s="2">
        <f t="shared" si="98"/>
        <v>0</v>
      </c>
      <c r="AG787" s="2">
        <v>10.6</v>
      </c>
      <c r="AH787" s="2">
        <v>18</v>
      </c>
      <c r="AJ787" s="2">
        <f t="shared" si="99"/>
        <v>0</v>
      </c>
      <c r="AK787" s="2">
        <f t="shared" si="100"/>
        <v>22.200000000000003</v>
      </c>
      <c r="AL787" s="5">
        <f t="shared" si="102"/>
        <v>0.41111111111111115</v>
      </c>
    </row>
    <row r="788" spans="1:38" hidden="1" x14ac:dyDescent="0.2">
      <c r="A788" s="2">
        <v>2025</v>
      </c>
      <c r="B788" s="2">
        <v>4</v>
      </c>
      <c r="D788" s="2" t="s">
        <v>707</v>
      </c>
      <c r="E788" s="2" t="s">
        <v>184</v>
      </c>
      <c r="G788" s="2">
        <v>500038996</v>
      </c>
      <c r="H788" s="2" t="s">
        <v>110</v>
      </c>
      <c r="I788" s="2" t="s">
        <v>708</v>
      </c>
      <c r="J788" s="2" t="s">
        <v>709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835</v>
      </c>
      <c r="R788" s="2" t="s">
        <v>836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118</v>
      </c>
      <c r="AF788" s="2">
        <f t="shared" si="98"/>
        <v>0</v>
      </c>
      <c r="AJ788" s="2">
        <f t="shared" si="99"/>
        <v>0</v>
      </c>
      <c r="AK788" s="2">
        <f t="shared" si="100"/>
        <v>0</v>
      </c>
      <c r="AL788" s="5" t="e">
        <f t="shared" si="102"/>
        <v>#DIV/0!</v>
      </c>
    </row>
    <row r="789" spans="1:38" hidden="1" x14ac:dyDescent="0.2">
      <c r="A789" s="2">
        <v>2025</v>
      </c>
      <c r="B789" s="2">
        <v>4</v>
      </c>
      <c r="D789" s="2" t="s">
        <v>707</v>
      </c>
      <c r="E789" s="2" t="s">
        <v>184</v>
      </c>
      <c r="G789" s="2">
        <v>500038996</v>
      </c>
      <c r="H789" s="2" t="s">
        <v>110</v>
      </c>
      <c r="I789" s="2" t="s">
        <v>708</v>
      </c>
      <c r="J789" s="2" t="s">
        <v>709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1185</v>
      </c>
      <c r="R789" s="2" t="s">
        <v>1186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101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8"/>
        <v>0</v>
      </c>
      <c r="AJ789" s="2">
        <f t="shared" si="99"/>
        <v>0</v>
      </c>
      <c r="AK789" s="2">
        <f t="shared" si="100"/>
        <v>4222.4049999999997</v>
      </c>
      <c r="AL789" s="5">
        <f t="shared" si="102"/>
        <v>0.36212735849056604</v>
      </c>
    </row>
    <row r="790" spans="1:38" hidden="1" x14ac:dyDescent="0.2">
      <c r="A790" s="2">
        <v>2025</v>
      </c>
      <c r="B790" s="2">
        <v>4</v>
      </c>
      <c r="D790" s="2" t="s">
        <v>707</v>
      </c>
      <c r="E790" s="2" t="s">
        <v>184</v>
      </c>
      <c r="G790" s="2">
        <v>500038996</v>
      </c>
      <c r="H790" s="2" t="s">
        <v>110</v>
      </c>
      <c r="I790" s="2" t="s">
        <v>708</v>
      </c>
      <c r="J790" s="2" t="s">
        <v>709</v>
      </c>
      <c r="K790" s="2">
        <v>913640179</v>
      </c>
      <c r="L790" s="2" t="s">
        <v>134</v>
      </c>
      <c r="M790" s="2" t="s">
        <v>110</v>
      </c>
      <c r="O790" s="2" t="s">
        <v>1187</v>
      </c>
      <c r="P790" s="2" t="s">
        <v>69</v>
      </c>
      <c r="Q790" s="2" t="s">
        <v>1162</v>
      </c>
      <c r="R790" s="2" t="s">
        <v>1163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101"/>
        <v>0.3228571428571429</v>
      </c>
      <c r="Z790" s="2" t="s">
        <v>3231</v>
      </c>
      <c r="AA790" s="2" t="s">
        <v>72</v>
      </c>
      <c r="AB790" s="2" t="s">
        <v>69</v>
      </c>
      <c r="AC790" s="2" t="s">
        <v>3235</v>
      </c>
      <c r="AF790" s="2">
        <f t="shared" si="98"/>
        <v>0</v>
      </c>
      <c r="AJ790" s="2">
        <f t="shared" si="99"/>
        <v>0</v>
      </c>
      <c r="AK790" s="2">
        <f t="shared" si="100"/>
        <v>45.2</v>
      </c>
      <c r="AL790" s="5">
        <f t="shared" si="102"/>
        <v>0.3228571428571429</v>
      </c>
    </row>
    <row r="791" spans="1:38" hidden="1" x14ac:dyDescent="0.2">
      <c r="A791" s="2">
        <v>2025</v>
      </c>
      <c r="B791" s="2">
        <v>4</v>
      </c>
      <c r="D791" s="2" t="s">
        <v>707</v>
      </c>
      <c r="E791" s="2" t="s">
        <v>184</v>
      </c>
      <c r="G791" s="2">
        <v>500038996</v>
      </c>
      <c r="H791" s="2" t="s">
        <v>110</v>
      </c>
      <c r="I791" s="2" t="s">
        <v>708</v>
      </c>
      <c r="J791" s="2" t="s">
        <v>709</v>
      </c>
      <c r="K791" s="2">
        <v>913640179</v>
      </c>
      <c r="L791" s="2" t="s">
        <v>134</v>
      </c>
      <c r="M791" s="2" t="s">
        <v>110</v>
      </c>
      <c r="O791" s="2" t="s">
        <v>1187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101"/>
        <v>1</v>
      </c>
      <c r="Z791" s="2" t="s">
        <v>170</v>
      </c>
      <c r="AA791" s="2" t="s">
        <v>170</v>
      </c>
      <c r="AF791" s="2">
        <f t="shared" si="98"/>
        <v>0</v>
      </c>
      <c r="AJ791" s="2">
        <f t="shared" si="99"/>
        <v>0</v>
      </c>
      <c r="AK791" s="2">
        <f t="shared" si="100"/>
        <v>10</v>
      </c>
      <c r="AL791" s="5">
        <f t="shared" si="102"/>
        <v>1</v>
      </c>
    </row>
    <row r="792" spans="1:38" hidden="1" x14ac:dyDescent="0.2">
      <c r="A792" s="2">
        <v>2025</v>
      </c>
      <c r="B792" s="2">
        <v>4</v>
      </c>
      <c r="D792" s="2" t="s">
        <v>1188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1189</v>
      </c>
      <c r="L792" s="2" t="s">
        <v>100</v>
      </c>
      <c r="M792" s="2" t="s">
        <v>81</v>
      </c>
      <c r="O792" s="2" t="s">
        <v>1190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101"/>
        <v>0.46213765627146586</v>
      </c>
      <c r="Z792" s="2" t="s">
        <v>3231</v>
      </c>
      <c r="AA792" s="2" t="s">
        <v>76</v>
      </c>
      <c r="AB792" s="2" t="s">
        <v>77</v>
      </c>
      <c r="AC792" s="2" t="s">
        <v>78</v>
      </c>
      <c r="AF792" s="2">
        <f t="shared" si="98"/>
        <v>0</v>
      </c>
      <c r="AG792" s="2">
        <v>117.453</v>
      </c>
      <c r="AH792" s="2">
        <v>220</v>
      </c>
      <c r="AJ792" s="2">
        <f t="shared" si="99"/>
        <v>0</v>
      </c>
      <c r="AK792" s="2">
        <f t="shared" si="100"/>
        <v>100.917</v>
      </c>
      <c r="AL792" s="5">
        <f t="shared" si="102"/>
        <v>0.46213765627146586</v>
      </c>
    </row>
    <row r="793" spans="1:38" hidden="1" x14ac:dyDescent="0.2">
      <c r="A793" s="2">
        <v>2025</v>
      </c>
      <c r="B793" s="2">
        <v>4</v>
      </c>
      <c r="D793" s="2" t="s">
        <v>1188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1189</v>
      </c>
      <c r="L793" s="2" t="s">
        <v>100</v>
      </c>
      <c r="M793" s="2" t="s">
        <v>81</v>
      </c>
      <c r="O793" s="2" t="s">
        <v>1190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101"/>
        <v>0</v>
      </c>
      <c r="Z793" s="2" t="s">
        <v>3231</v>
      </c>
      <c r="AA793" s="2" t="s">
        <v>97</v>
      </c>
      <c r="AB793" s="2" t="s">
        <v>77</v>
      </c>
      <c r="AC793" s="2" t="s">
        <v>94</v>
      </c>
      <c r="AF793" s="2">
        <f t="shared" si="98"/>
        <v>0</v>
      </c>
      <c r="AJ793" s="2">
        <f t="shared" si="99"/>
        <v>0</v>
      </c>
      <c r="AK793" s="2">
        <f t="shared" si="100"/>
        <v>0</v>
      </c>
      <c r="AL793" s="5">
        <f t="shared" si="102"/>
        <v>0</v>
      </c>
    </row>
    <row r="794" spans="1:38" hidden="1" x14ac:dyDescent="0.2">
      <c r="A794" s="2">
        <v>2025</v>
      </c>
      <c r="B794" s="2">
        <v>4</v>
      </c>
      <c r="D794" s="2" t="s">
        <v>1191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1192</v>
      </c>
      <c r="K794" s="2">
        <v>965705708</v>
      </c>
      <c r="L794" s="2" t="s">
        <v>419</v>
      </c>
      <c r="M794" s="2" t="s">
        <v>40</v>
      </c>
      <c r="O794" s="2" t="s">
        <v>1193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3385</v>
      </c>
      <c r="AF794" s="2">
        <f t="shared" si="98"/>
        <v>0</v>
      </c>
      <c r="AJ794" s="2">
        <f t="shared" si="99"/>
        <v>0</v>
      </c>
    </row>
    <row r="795" spans="1:38" hidden="1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1194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101"/>
        <v>0.39497959183673476</v>
      </c>
      <c r="Z795" s="2" t="s">
        <v>3231</v>
      </c>
      <c r="AA795" s="2" t="s">
        <v>76</v>
      </c>
      <c r="AB795" s="2" t="s">
        <v>77</v>
      </c>
      <c r="AC795" s="2" t="s">
        <v>78</v>
      </c>
      <c r="AF795" s="2">
        <f t="shared" si="98"/>
        <v>0</v>
      </c>
      <c r="AJ795" s="2">
        <f t="shared" si="99"/>
        <v>0</v>
      </c>
      <c r="AK795" s="2">
        <f t="shared" si="100"/>
        <v>96.77000000000001</v>
      </c>
      <c r="AL795" s="5">
        <f t="shared" si="102"/>
        <v>0.39497959183673476</v>
      </c>
    </row>
    <row r="796" spans="1:38" hidden="1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01"/>
        <v>0</v>
      </c>
      <c r="Z796" s="2" t="s">
        <v>3231</v>
      </c>
      <c r="AA796" s="2" t="s">
        <v>97</v>
      </c>
      <c r="AB796" s="2" t="s">
        <v>77</v>
      </c>
      <c r="AC796" s="2" t="s">
        <v>94</v>
      </c>
      <c r="AF796" s="2">
        <f t="shared" si="98"/>
        <v>0</v>
      </c>
      <c r="AJ796" s="2">
        <f t="shared" si="99"/>
        <v>0</v>
      </c>
      <c r="AK796" s="2">
        <f t="shared" si="100"/>
        <v>0</v>
      </c>
      <c r="AL796" s="5">
        <f t="shared" si="102"/>
        <v>0</v>
      </c>
    </row>
    <row r="797" spans="1:38" hidden="1" x14ac:dyDescent="0.2">
      <c r="A797" s="2">
        <v>2025</v>
      </c>
      <c r="B797" s="2">
        <v>4</v>
      </c>
      <c r="D797" s="2" t="s">
        <v>732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733</v>
      </c>
      <c r="L797" s="2" t="s">
        <v>100</v>
      </c>
      <c r="M797" s="2" t="s">
        <v>81</v>
      </c>
      <c r="O797" s="2" t="s">
        <v>3223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01"/>
        <v>0.41273499999999996</v>
      </c>
      <c r="Z797" s="2" t="s">
        <v>3231</v>
      </c>
      <c r="AA797" s="2" t="s">
        <v>76</v>
      </c>
      <c r="AB797" s="2" t="s">
        <v>77</v>
      </c>
      <c r="AC797" s="2" t="s">
        <v>78</v>
      </c>
      <c r="AF797" s="2">
        <f t="shared" si="98"/>
        <v>0</v>
      </c>
      <c r="AG797" s="2">
        <v>117.453</v>
      </c>
      <c r="AH797" s="2">
        <v>220</v>
      </c>
      <c r="AJ797" s="2">
        <f t="shared" si="99"/>
        <v>0</v>
      </c>
      <c r="AK797" s="2">
        <f t="shared" si="100"/>
        <v>165.09399999999999</v>
      </c>
      <c r="AL797" s="5">
        <f t="shared" si="102"/>
        <v>0.41273499999999996</v>
      </c>
    </row>
    <row r="798" spans="1:38" hidden="1" x14ac:dyDescent="0.2">
      <c r="A798" s="2">
        <v>2025</v>
      </c>
      <c r="B798" s="2">
        <v>4</v>
      </c>
      <c r="D798" s="2" t="s">
        <v>732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733</v>
      </c>
      <c r="L798" s="2" t="s">
        <v>100</v>
      </c>
      <c r="M798" s="2" t="s">
        <v>81</v>
      </c>
      <c r="O798" s="2" t="s">
        <v>3223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01"/>
        <v>0</v>
      </c>
      <c r="Z798" s="2" t="s">
        <v>3231</v>
      </c>
      <c r="AA798" s="2" t="s">
        <v>97</v>
      </c>
      <c r="AB798" s="2" t="s">
        <v>77</v>
      </c>
      <c r="AC798" s="2" t="s">
        <v>94</v>
      </c>
      <c r="AF798" s="2">
        <f t="shared" si="98"/>
        <v>0</v>
      </c>
      <c r="AG798" s="2">
        <v>1.1399999999999999</v>
      </c>
      <c r="AH798" s="2">
        <v>1.1399999999999999</v>
      </c>
      <c r="AJ798" s="2">
        <f t="shared" si="99"/>
        <v>0</v>
      </c>
      <c r="AK798" s="2">
        <f t="shared" si="100"/>
        <v>0</v>
      </c>
      <c r="AL798" s="5">
        <f t="shared" si="102"/>
        <v>0</v>
      </c>
    </row>
    <row r="799" spans="1:38" hidden="1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1195</v>
      </c>
      <c r="P799" s="2" t="s">
        <v>1196</v>
      </c>
      <c r="Q799" s="2" t="s">
        <v>1197</v>
      </c>
      <c r="R799" s="2" t="s">
        <v>1198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01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1196</v>
      </c>
      <c r="AF799" s="2">
        <f t="shared" si="98"/>
        <v>0</v>
      </c>
      <c r="AJ799" s="2">
        <f t="shared" si="99"/>
        <v>0</v>
      </c>
      <c r="AK799" s="2">
        <f t="shared" si="100"/>
        <v>448</v>
      </c>
      <c r="AL799" s="5">
        <f t="shared" si="102"/>
        <v>0.5270588235294118</v>
      </c>
    </row>
    <row r="800" spans="1:38" hidden="1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1195</v>
      </c>
      <c r="P800" s="2" t="s">
        <v>1196</v>
      </c>
      <c r="Q800" s="2" t="s">
        <v>1199</v>
      </c>
      <c r="R800" s="2" t="s">
        <v>1200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101"/>
        <v>1</v>
      </c>
      <c r="Z800" s="2" t="s">
        <v>105</v>
      </c>
      <c r="AA800" s="2" t="s">
        <v>1201</v>
      </c>
      <c r="AB800" s="2" t="s">
        <v>120</v>
      </c>
      <c r="AC800" s="2" t="s">
        <v>1196</v>
      </c>
      <c r="AF800" s="2">
        <f t="shared" si="98"/>
        <v>0</v>
      </c>
      <c r="AJ800" s="2">
        <f t="shared" si="99"/>
        <v>0</v>
      </c>
      <c r="AK800" s="2">
        <f t="shared" si="100"/>
        <v>530</v>
      </c>
      <c r="AL800" s="5">
        <f t="shared" si="102"/>
        <v>1</v>
      </c>
    </row>
    <row r="801" spans="1:38" hidden="1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1195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01"/>
        <v>0.5</v>
      </c>
      <c r="Z801" s="2" t="s">
        <v>118</v>
      </c>
      <c r="AA801" s="2" t="s">
        <v>191</v>
      </c>
      <c r="AB801" s="2" t="s">
        <v>191</v>
      </c>
      <c r="AC801" s="2" t="s">
        <v>40</v>
      </c>
      <c r="AF801" s="2">
        <f t="shared" si="98"/>
        <v>0</v>
      </c>
      <c r="AJ801" s="2">
        <f t="shared" si="99"/>
        <v>0</v>
      </c>
      <c r="AK801" s="2">
        <f t="shared" si="100"/>
        <v>100</v>
      </c>
      <c r="AL801" s="5">
        <f t="shared" si="102"/>
        <v>0.5</v>
      </c>
    </row>
    <row r="802" spans="1:38" hidden="1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1195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8"/>
        <v>0</v>
      </c>
      <c r="AJ802" s="2">
        <f t="shared" si="99"/>
        <v>0</v>
      </c>
      <c r="AK802" s="2">
        <f t="shared" si="100"/>
        <v>0</v>
      </c>
      <c r="AL802" s="5" t="e">
        <f t="shared" si="102"/>
        <v>#DIV/0!</v>
      </c>
    </row>
    <row r="803" spans="1:38" hidden="1" x14ac:dyDescent="0.2">
      <c r="A803" s="2">
        <v>2025</v>
      </c>
      <c r="B803" s="2">
        <v>4</v>
      </c>
      <c r="D803" s="2" t="s">
        <v>745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746</v>
      </c>
      <c r="J803" s="2" t="s">
        <v>747</v>
      </c>
      <c r="K803" s="2">
        <v>962372760</v>
      </c>
      <c r="L803" s="2" t="s">
        <v>202</v>
      </c>
      <c r="P803" s="2" t="s">
        <v>115</v>
      </c>
      <c r="Q803" s="2" t="s">
        <v>1202</v>
      </c>
      <c r="R803" s="2" t="s">
        <v>1203</v>
      </c>
      <c r="S803" s="2">
        <v>1</v>
      </c>
      <c r="T803" s="2">
        <v>356.81</v>
      </c>
      <c r="X803" s="5">
        <f t="shared" ref="X803:X834" si="103">(T803-W803)/T803</f>
        <v>1</v>
      </c>
      <c r="Z803" s="2" t="s">
        <v>118</v>
      </c>
      <c r="AF803" s="2">
        <f t="shared" si="98"/>
        <v>0</v>
      </c>
      <c r="AJ803" s="2">
        <f t="shared" si="99"/>
        <v>0</v>
      </c>
      <c r="AK803" s="2">
        <f t="shared" si="100"/>
        <v>356.81</v>
      </c>
      <c r="AL803" s="5">
        <f t="shared" si="102"/>
        <v>1</v>
      </c>
    </row>
    <row r="804" spans="1:38" hidden="1" x14ac:dyDescent="0.2">
      <c r="A804" s="2">
        <v>2025</v>
      </c>
      <c r="B804" s="2">
        <v>4</v>
      </c>
      <c r="D804" s="2" t="s">
        <v>1204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1205</v>
      </c>
      <c r="J804" s="2" t="s">
        <v>1206</v>
      </c>
      <c r="K804" s="2">
        <v>913806033</v>
      </c>
      <c r="L804" s="2" t="s">
        <v>294</v>
      </c>
      <c r="P804" s="2" t="s">
        <v>283</v>
      </c>
      <c r="Q804" s="2" t="s">
        <v>1207</v>
      </c>
      <c r="R804" s="2" t="s">
        <v>1208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3"/>
        <v>0.39999999999999997</v>
      </c>
      <c r="Z804" s="2" t="s">
        <v>3231</v>
      </c>
      <c r="AA804" s="2" t="s">
        <v>72</v>
      </c>
      <c r="AB804" s="2" t="s">
        <v>120</v>
      </c>
      <c r="AC804" s="2" t="s">
        <v>120</v>
      </c>
      <c r="AF804" s="2">
        <f t="shared" si="98"/>
        <v>0</v>
      </c>
      <c r="AJ804" s="2">
        <f t="shared" si="99"/>
        <v>0</v>
      </c>
      <c r="AK804" s="2">
        <f t="shared" si="100"/>
        <v>9.5599999999999987</v>
      </c>
      <c r="AL804" s="5">
        <f t="shared" si="102"/>
        <v>0.39999999999999997</v>
      </c>
    </row>
    <row r="805" spans="1:38" hidden="1" x14ac:dyDescent="0.2">
      <c r="A805" s="2">
        <v>2025</v>
      </c>
      <c r="B805" s="2">
        <v>4</v>
      </c>
      <c r="D805" s="2" t="s">
        <v>1204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1205</v>
      </c>
      <c r="J805" s="2" t="s">
        <v>1206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3"/>
        <v>0.44777500000000003</v>
      </c>
      <c r="Z805" s="2" t="s">
        <v>3231</v>
      </c>
      <c r="AA805" s="2" t="s">
        <v>46</v>
      </c>
      <c r="AB805" s="2" t="s">
        <v>47</v>
      </c>
      <c r="AC805" s="2" t="s">
        <v>48</v>
      </c>
      <c r="AF805" s="2">
        <f t="shared" si="98"/>
        <v>0</v>
      </c>
      <c r="AG805" s="2">
        <v>6.6266999999999996</v>
      </c>
      <c r="AH805" s="2">
        <v>12</v>
      </c>
      <c r="AJ805" s="2">
        <f t="shared" si="99"/>
        <v>0</v>
      </c>
      <c r="AK805" s="2">
        <f t="shared" si="100"/>
        <v>10.746600000000001</v>
      </c>
      <c r="AL805" s="5">
        <f t="shared" si="102"/>
        <v>0.44777500000000003</v>
      </c>
    </row>
    <row r="806" spans="1:38" hidden="1" x14ac:dyDescent="0.2">
      <c r="A806" s="2">
        <v>2025</v>
      </c>
      <c r="B806" s="2">
        <v>4</v>
      </c>
      <c r="D806" s="2" t="s">
        <v>1204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1205</v>
      </c>
      <c r="J806" s="2" t="s">
        <v>1206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03"/>
        <v>0.14285714285714288</v>
      </c>
      <c r="Z806" s="2" t="s">
        <v>3231</v>
      </c>
      <c r="AA806" s="2" t="s">
        <v>46</v>
      </c>
      <c r="AB806" s="2" t="s">
        <v>47</v>
      </c>
      <c r="AC806" s="2" t="s">
        <v>48</v>
      </c>
      <c r="AF806" s="2">
        <f t="shared" si="98"/>
        <v>0</v>
      </c>
      <c r="AG806" s="2">
        <v>10.2346</v>
      </c>
      <c r="AH806" s="2">
        <v>18</v>
      </c>
      <c r="AJ806" s="2">
        <f t="shared" si="99"/>
        <v>0</v>
      </c>
      <c r="AK806" s="2">
        <f t="shared" si="100"/>
        <v>2.4000000000000004</v>
      </c>
      <c r="AL806" s="5">
        <f t="shared" si="102"/>
        <v>0.14285714285714288</v>
      </c>
    </row>
    <row r="807" spans="1:38" hidden="1" x14ac:dyDescent="0.2">
      <c r="A807" s="2">
        <v>2025</v>
      </c>
      <c r="B807" s="2">
        <v>4</v>
      </c>
      <c r="D807" s="2" t="s">
        <v>1204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1205</v>
      </c>
      <c r="J807" s="2" t="s">
        <v>1206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3"/>
        <v>0.52105128205128204</v>
      </c>
      <c r="Z807" s="2" t="s">
        <v>3231</v>
      </c>
      <c r="AA807" s="2" t="s">
        <v>46</v>
      </c>
      <c r="AB807" s="2" t="s">
        <v>47</v>
      </c>
      <c r="AC807" s="2" t="s">
        <v>48</v>
      </c>
      <c r="AF807" s="2">
        <f t="shared" si="98"/>
        <v>0</v>
      </c>
      <c r="AG807" s="2">
        <v>3.7357999999999998</v>
      </c>
      <c r="AH807" s="2">
        <v>9</v>
      </c>
      <c r="AJ807" s="2">
        <f t="shared" si="99"/>
        <v>0</v>
      </c>
      <c r="AK807" s="2">
        <f t="shared" si="100"/>
        <v>4.0641999999999996</v>
      </c>
      <c r="AL807" s="5">
        <f t="shared" si="102"/>
        <v>0.52105128205128204</v>
      </c>
    </row>
    <row r="808" spans="1:38" hidden="1" x14ac:dyDescent="0.2">
      <c r="A808" s="2">
        <v>2025</v>
      </c>
      <c r="B808" s="2">
        <v>4</v>
      </c>
      <c r="D808" s="2" t="s">
        <v>1204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1205</v>
      </c>
      <c r="J808" s="2" t="s">
        <v>1206</v>
      </c>
      <c r="K808" s="2">
        <v>913806033</v>
      </c>
      <c r="L808" s="2" t="s">
        <v>294</v>
      </c>
      <c r="P808" s="2" t="s">
        <v>167</v>
      </c>
      <c r="Q808" s="2" t="s">
        <v>1048</v>
      </c>
      <c r="R808" s="2" t="s">
        <v>1049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3"/>
        <v>1</v>
      </c>
      <c r="Z808" s="2" t="s">
        <v>3231</v>
      </c>
      <c r="AA808" s="2" t="s">
        <v>88</v>
      </c>
      <c r="AB808" s="2" t="s">
        <v>120</v>
      </c>
      <c r="AC808" s="2" t="s">
        <v>167</v>
      </c>
      <c r="AF808" s="2">
        <f t="shared" si="98"/>
        <v>0</v>
      </c>
      <c r="AJ808" s="2">
        <f t="shared" si="99"/>
        <v>0</v>
      </c>
      <c r="AK808" s="2">
        <f t="shared" si="100"/>
        <v>42</v>
      </c>
      <c r="AL808" s="5">
        <f t="shared" si="102"/>
        <v>1</v>
      </c>
    </row>
    <row r="809" spans="1:38" hidden="1" x14ac:dyDescent="0.2">
      <c r="A809" s="2">
        <v>2025</v>
      </c>
      <c r="B809" s="2">
        <v>4</v>
      </c>
      <c r="D809" s="2" t="s">
        <v>1204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1205</v>
      </c>
      <c r="J809" s="2" t="s">
        <v>1206</v>
      </c>
      <c r="K809" s="2">
        <v>913806033</v>
      </c>
      <c r="L809" s="2" t="s">
        <v>294</v>
      </c>
      <c r="P809" s="2" t="s">
        <v>167</v>
      </c>
      <c r="Q809" s="2" t="s">
        <v>1209</v>
      </c>
      <c r="R809" s="2" t="s">
        <v>1210</v>
      </c>
      <c r="S809" s="2">
        <v>15</v>
      </c>
      <c r="T809" s="2">
        <v>49.5</v>
      </c>
      <c r="U809" s="2">
        <f t="shared" ref="U809:U810" si="104">T809*23%</f>
        <v>11.385</v>
      </c>
      <c r="V809" s="2">
        <f t="shared" ref="V809:V810" si="105">T809+U809</f>
        <v>60.884999999999998</v>
      </c>
      <c r="X809" s="5">
        <f t="shared" si="103"/>
        <v>1</v>
      </c>
      <c r="Z809" s="2" t="s">
        <v>3231</v>
      </c>
      <c r="AA809" s="2" t="s">
        <v>88</v>
      </c>
      <c r="AB809" s="2" t="s">
        <v>61</v>
      </c>
      <c r="AC809" s="2" t="s">
        <v>167</v>
      </c>
      <c r="AF809" s="2">
        <f t="shared" si="98"/>
        <v>0</v>
      </c>
      <c r="AJ809" s="2">
        <f t="shared" si="99"/>
        <v>0</v>
      </c>
      <c r="AK809" s="2">
        <f t="shared" si="100"/>
        <v>49.5</v>
      </c>
      <c r="AL809" s="5">
        <f t="shared" si="102"/>
        <v>1</v>
      </c>
    </row>
    <row r="810" spans="1:38" hidden="1" x14ac:dyDescent="0.2">
      <c r="A810" s="2">
        <v>2025</v>
      </c>
      <c r="B810" s="2">
        <v>4</v>
      </c>
      <c r="D810" s="2" t="s">
        <v>1204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1205</v>
      </c>
      <c r="J810" s="2" t="s">
        <v>1206</v>
      </c>
      <c r="K810" s="2">
        <v>913806033</v>
      </c>
      <c r="L810" s="2" t="s">
        <v>294</v>
      </c>
      <c r="P810" s="2" t="s">
        <v>85</v>
      </c>
      <c r="Q810" s="2" t="s">
        <v>1211</v>
      </c>
      <c r="R810" s="2" t="s">
        <v>1212</v>
      </c>
      <c r="S810" s="2">
        <v>15</v>
      </c>
      <c r="T810" s="2">
        <v>44.1</v>
      </c>
      <c r="U810" s="2">
        <f t="shared" si="104"/>
        <v>10.143000000000001</v>
      </c>
      <c r="V810" s="2">
        <f t="shared" si="105"/>
        <v>54.243000000000002</v>
      </c>
      <c r="X810" s="5">
        <f t="shared" si="103"/>
        <v>1</v>
      </c>
      <c r="Z810" s="2" t="s">
        <v>3231</v>
      </c>
      <c r="AA810" s="2" t="s">
        <v>88</v>
      </c>
      <c r="AB810" s="2" t="s">
        <v>61</v>
      </c>
      <c r="AC810" s="2" t="s">
        <v>85</v>
      </c>
      <c r="AF810" s="2">
        <f t="shared" si="98"/>
        <v>0</v>
      </c>
      <c r="AJ810" s="2">
        <f t="shared" si="99"/>
        <v>0</v>
      </c>
      <c r="AK810" s="2">
        <f t="shared" si="100"/>
        <v>44.1</v>
      </c>
      <c r="AL810" s="5">
        <f t="shared" si="102"/>
        <v>1</v>
      </c>
    </row>
    <row r="811" spans="1:38" hidden="1" x14ac:dyDescent="0.2">
      <c r="A811" s="2">
        <v>2025</v>
      </c>
      <c r="B811" s="2">
        <v>4</v>
      </c>
      <c r="D811" s="2" t="s">
        <v>1204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1205</v>
      </c>
      <c r="J811" s="2" t="s">
        <v>1206</v>
      </c>
      <c r="K811" s="2">
        <v>913806033</v>
      </c>
      <c r="L811" s="2" t="s">
        <v>294</v>
      </c>
      <c r="P811" s="2" t="s">
        <v>85</v>
      </c>
      <c r="Q811" s="2" t="s">
        <v>1213</v>
      </c>
      <c r="R811" s="2" t="s">
        <v>1214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3"/>
        <v>1</v>
      </c>
      <c r="Z811" s="2" t="s">
        <v>3231</v>
      </c>
      <c r="AA811" s="2" t="s">
        <v>88</v>
      </c>
      <c r="AB811" s="2" t="s">
        <v>91</v>
      </c>
      <c r="AC811" s="2" t="s">
        <v>85</v>
      </c>
      <c r="AF811" s="2">
        <f t="shared" si="98"/>
        <v>0</v>
      </c>
      <c r="AJ811" s="2">
        <f t="shared" si="99"/>
        <v>0</v>
      </c>
      <c r="AK811" s="2">
        <f t="shared" si="100"/>
        <v>12</v>
      </c>
      <c r="AL811" s="5">
        <f t="shared" si="102"/>
        <v>1</v>
      </c>
    </row>
    <row r="812" spans="1:38" hidden="1" x14ac:dyDescent="0.2">
      <c r="A812" s="2">
        <v>2025</v>
      </c>
      <c r="B812" s="2">
        <v>4</v>
      </c>
      <c r="D812" s="2" t="s">
        <v>1204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1205</v>
      </c>
      <c r="J812" s="2" t="s">
        <v>1206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3"/>
        <v>0.32745098039215681</v>
      </c>
      <c r="Z812" s="2" t="s">
        <v>3231</v>
      </c>
      <c r="AA812" s="2" t="s">
        <v>88</v>
      </c>
      <c r="AB812" s="2" t="s">
        <v>91</v>
      </c>
      <c r="AC812" s="2" t="s">
        <v>85</v>
      </c>
      <c r="AF812" s="2">
        <f t="shared" si="98"/>
        <v>0</v>
      </c>
      <c r="AJ812" s="2">
        <f t="shared" si="99"/>
        <v>0</v>
      </c>
      <c r="AK812" s="2">
        <f t="shared" si="100"/>
        <v>3.339999999999999</v>
      </c>
      <c r="AL812" s="5">
        <f t="shared" si="102"/>
        <v>0.32745098039215681</v>
      </c>
    </row>
    <row r="813" spans="1:38" hidden="1" x14ac:dyDescent="0.2">
      <c r="A813" s="2">
        <v>2025</v>
      </c>
      <c r="B813" s="2">
        <v>4</v>
      </c>
      <c r="D813" s="2" t="s">
        <v>992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993</v>
      </c>
      <c r="J813" s="2" t="s">
        <v>994</v>
      </c>
      <c r="K813" s="2">
        <v>964159861</v>
      </c>
      <c r="L813" s="2" t="s">
        <v>202</v>
      </c>
      <c r="M813" s="2" t="s">
        <v>81</v>
      </c>
      <c r="O813" s="2" t="s">
        <v>1215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3"/>
        <v>0.43927279388194351</v>
      </c>
      <c r="Z813" s="2" t="s">
        <v>3231</v>
      </c>
      <c r="AA813" s="2" t="s">
        <v>76</v>
      </c>
      <c r="AB813" s="2" t="s">
        <v>77</v>
      </c>
      <c r="AC813" s="2" t="s">
        <v>78</v>
      </c>
      <c r="AF813" s="2">
        <f t="shared" si="98"/>
        <v>0</v>
      </c>
      <c r="AG813" s="2">
        <v>122.446</v>
      </c>
      <c r="AH813" s="2">
        <v>230</v>
      </c>
      <c r="AJ813" s="2">
        <f t="shared" si="99"/>
        <v>0</v>
      </c>
      <c r="AK813" s="2">
        <f t="shared" si="100"/>
        <v>95.924000000000007</v>
      </c>
      <c r="AL813" s="5">
        <f t="shared" si="102"/>
        <v>0.43927279388194351</v>
      </c>
    </row>
    <row r="814" spans="1:38" hidden="1" x14ac:dyDescent="0.2">
      <c r="A814" s="2">
        <v>2025</v>
      </c>
      <c r="B814" s="2">
        <v>4</v>
      </c>
      <c r="D814" s="2" t="s">
        <v>992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993</v>
      </c>
      <c r="J814" s="2" t="s">
        <v>994</v>
      </c>
      <c r="K814" s="2">
        <v>964159861</v>
      </c>
      <c r="L814" s="2" t="s">
        <v>202</v>
      </c>
      <c r="M814" s="2" t="s">
        <v>81</v>
      </c>
      <c r="O814" s="2" t="s">
        <v>1215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3"/>
        <v>0</v>
      </c>
      <c r="Z814" s="2" t="s">
        <v>3231</v>
      </c>
      <c r="AA814" s="2" t="s">
        <v>97</v>
      </c>
      <c r="AB814" s="2" t="s">
        <v>77</v>
      </c>
      <c r="AC814" s="2" t="s">
        <v>94</v>
      </c>
      <c r="AF814" s="2">
        <f t="shared" si="98"/>
        <v>0</v>
      </c>
      <c r="AG814" s="2">
        <v>1.1399999999999999</v>
      </c>
      <c r="AH814" s="2">
        <v>1.1399999999999999</v>
      </c>
      <c r="AJ814" s="2">
        <f t="shared" si="99"/>
        <v>0</v>
      </c>
      <c r="AK814" s="2">
        <f t="shared" si="100"/>
        <v>0</v>
      </c>
      <c r="AL814" s="5">
        <f t="shared" si="102"/>
        <v>0</v>
      </c>
    </row>
    <row r="815" spans="1:38" hidden="1" x14ac:dyDescent="0.2">
      <c r="A815" s="2">
        <v>2025</v>
      </c>
      <c r="B815" s="2">
        <v>4</v>
      </c>
      <c r="D815" s="2" t="s">
        <v>750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751</v>
      </c>
      <c r="K815" s="2">
        <v>969042927</v>
      </c>
      <c r="L815" s="2" t="s">
        <v>572</v>
      </c>
      <c r="P815" s="2" t="s">
        <v>115</v>
      </c>
      <c r="Q815" s="2" t="s">
        <v>1216</v>
      </c>
      <c r="R815" s="2" t="s">
        <v>1217</v>
      </c>
      <c r="S815" s="2">
        <v>1</v>
      </c>
      <c r="T815" s="2">
        <v>49.71</v>
      </c>
      <c r="X815" s="5">
        <f t="shared" si="103"/>
        <v>1</v>
      </c>
      <c r="Z815" s="2" t="s">
        <v>118</v>
      </c>
      <c r="AF815" s="2">
        <f t="shared" si="98"/>
        <v>0</v>
      </c>
      <c r="AJ815" s="2">
        <f t="shared" si="99"/>
        <v>0</v>
      </c>
      <c r="AK815" s="2">
        <f t="shared" si="100"/>
        <v>49.71</v>
      </c>
      <c r="AL815" s="5">
        <f t="shared" si="102"/>
        <v>1</v>
      </c>
    </row>
    <row r="816" spans="1:38" hidden="1" x14ac:dyDescent="0.2">
      <c r="A816" s="2">
        <v>2025</v>
      </c>
      <c r="B816" s="2">
        <v>4</v>
      </c>
      <c r="D816" s="2" t="s">
        <v>750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751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3"/>
        <v>0.6</v>
      </c>
      <c r="Z816" s="2" t="s">
        <v>118</v>
      </c>
      <c r="AA816" s="2" t="s">
        <v>191</v>
      </c>
      <c r="AB816" s="2" t="s">
        <v>190</v>
      </c>
      <c r="AC816" s="2" t="s">
        <v>40</v>
      </c>
      <c r="AF816" s="2">
        <f t="shared" si="98"/>
        <v>0</v>
      </c>
      <c r="AJ816" s="2">
        <f t="shared" si="99"/>
        <v>0</v>
      </c>
      <c r="AK816" s="2">
        <f t="shared" si="100"/>
        <v>110.39999999999999</v>
      </c>
      <c r="AL816" s="5">
        <f t="shared" si="102"/>
        <v>0.6</v>
      </c>
    </row>
    <row r="817" spans="1:38" hidden="1" x14ac:dyDescent="0.2">
      <c r="A817" s="2">
        <v>2025</v>
      </c>
      <c r="B817" s="2">
        <v>4</v>
      </c>
      <c r="D817" s="2" t="s">
        <v>750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751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3"/>
        <v>0.5</v>
      </c>
      <c r="Z817" s="2" t="s">
        <v>118</v>
      </c>
      <c r="AA817" s="2" t="s">
        <v>191</v>
      </c>
      <c r="AB817" s="2" t="s">
        <v>191</v>
      </c>
      <c r="AC817" s="2" t="s">
        <v>40</v>
      </c>
      <c r="AF817" s="2">
        <f t="shared" si="98"/>
        <v>0</v>
      </c>
      <c r="AJ817" s="2">
        <f t="shared" si="99"/>
        <v>0</v>
      </c>
      <c r="AK817" s="2">
        <f t="shared" si="100"/>
        <v>25</v>
      </c>
      <c r="AL817" s="5">
        <f t="shared" si="102"/>
        <v>0.5</v>
      </c>
    </row>
    <row r="818" spans="1:38" hidden="1" x14ac:dyDescent="0.2">
      <c r="A818" s="2">
        <v>2025</v>
      </c>
      <c r="B818" s="2">
        <v>4</v>
      </c>
      <c r="D818" s="2" t="s">
        <v>1218</v>
      </c>
      <c r="E818" s="2" t="s">
        <v>753</v>
      </c>
      <c r="F818" s="2" t="s">
        <v>1219</v>
      </c>
      <c r="G818" s="2">
        <v>505181983</v>
      </c>
      <c r="H818" s="2" t="s">
        <v>110</v>
      </c>
      <c r="I818" s="2" t="s">
        <v>1220</v>
      </c>
      <c r="J818" s="2" t="s">
        <v>1221</v>
      </c>
      <c r="L818" s="2" t="s">
        <v>113</v>
      </c>
      <c r="M818" s="2" t="s">
        <v>81</v>
      </c>
      <c r="O818" s="2" t="s">
        <v>1222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3"/>
        <v>0.44777500000000003</v>
      </c>
      <c r="Z818" s="2" t="s">
        <v>3231</v>
      </c>
      <c r="AA818" s="2" t="s">
        <v>46</v>
      </c>
      <c r="AB818" s="2" t="s">
        <v>47</v>
      </c>
      <c r="AC818" s="2" t="s">
        <v>48</v>
      </c>
      <c r="AF818" s="2">
        <f t="shared" si="98"/>
        <v>0</v>
      </c>
      <c r="AG818" s="2">
        <v>6.6266999999999996</v>
      </c>
      <c r="AH818" s="2">
        <v>12</v>
      </c>
      <c r="AJ818" s="2">
        <f t="shared" si="99"/>
        <v>0</v>
      </c>
      <c r="AK818" s="2">
        <f t="shared" si="100"/>
        <v>16.119900000000001</v>
      </c>
      <c r="AL818" s="5">
        <f t="shared" si="102"/>
        <v>0.44777500000000003</v>
      </c>
    </row>
    <row r="819" spans="1:38" hidden="1" x14ac:dyDescent="0.2">
      <c r="A819" s="2">
        <v>2025</v>
      </c>
      <c r="B819" s="2">
        <v>4</v>
      </c>
      <c r="D819" s="2" t="s">
        <v>1218</v>
      </c>
      <c r="E819" s="2" t="s">
        <v>753</v>
      </c>
      <c r="F819" s="2" t="s">
        <v>1219</v>
      </c>
      <c r="G819" s="2">
        <v>505181983</v>
      </c>
      <c r="H819" s="2" t="s">
        <v>110</v>
      </c>
      <c r="I819" s="2" t="s">
        <v>1220</v>
      </c>
      <c r="J819" s="2" t="s">
        <v>1221</v>
      </c>
      <c r="L819" s="2" t="s">
        <v>113</v>
      </c>
      <c r="M819" s="2" t="s">
        <v>81</v>
      </c>
      <c r="O819" s="2" t="s">
        <v>1222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03"/>
        <v>0.44819791666666664</v>
      </c>
      <c r="Z819" s="2" t="s">
        <v>3231</v>
      </c>
      <c r="AA819" s="2" t="s">
        <v>46</v>
      </c>
      <c r="AB819" s="2" t="s">
        <v>47</v>
      </c>
      <c r="AC819" s="2" t="s">
        <v>48</v>
      </c>
      <c r="AF819" s="2">
        <f t="shared" si="98"/>
        <v>0</v>
      </c>
      <c r="AG819" s="2">
        <v>5.2972999999999999</v>
      </c>
      <c r="AH819" s="2">
        <v>10.8</v>
      </c>
      <c r="AJ819" s="2">
        <f t="shared" si="99"/>
        <v>0</v>
      </c>
      <c r="AK819" s="2">
        <f t="shared" si="100"/>
        <v>4.3026999999999997</v>
      </c>
      <c r="AL819" s="5">
        <f t="shared" si="102"/>
        <v>0.44819791666666664</v>
      </c>
    </row>
    <row r="820" spans="1:38" hidden="1" x14ac:dyDescent="0.2">
      <c r="A820" s="2">
        <v>2025</v>
      </c>
      <c r="B820" s="2">
        <v>4</v>
      </c>
      <c r="D820" s="2" t="s">
        <v>1218</v>
      </c>
      <c r="E820" s="2" t="s">
        <v>753</v>
      </c>
      <c r="F820" s="2" t="s">
        <v>1219</v>
      </c>
      <c r="G820" s="2">
        <v>505181983</v>
      </c>
      <c r="H820" s="2" t="s">
        <v>110</v>
      </c>
      <c r="I820" s="2" t="s">
        <v>1220</v>
      </c>
      <c r="J820" s="2" t="s">
        <v>1221</v>
      </c>
      <c r="L820" s="2" t="s">
        <v>113</v>
      </c>
      <c r="M820" s="2" t="s">
        <v>81</v>
      </c>
      <c r="O820" s="2" t="s">
        <v>1222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3"/>
        <v>0.45290151515151511</v>
      </c>
      <c r="Z820" s="2" t="s">
        <v>3231</v>
      </c>
      <c r="AA820" s="2" t="s">
        <v>46</v>
      </c>
      <c r="AB820" s="2" t="s">
        <v>57</v>
      </c>
      <c r="AC820" s="2" t="s">
        <v>58</v>
      </c>
      <c r="AF820" s="2">
        <f t="shared" si="98"/>
        <v>0</v>
      </c>
      <c r="AG820" s="2">
        <v>7.2217000000000002</v>
      </c>
      <c r="AH820" s="2">
        <v>14.4</v>
      </c>
      <c r="AJ820" s="2">
        <f t="shared" si="99"/>
        <v>0</v>
      </c>
      <c r="AK820" s="2">
        <f t="shared" si="100"/>
        <v>5.9782999999999991</v>
      </c>
      <c r="AL820" s="5">
        <f t="shared" si="102"/>
        <v>0.45290151515151511</v>
      </c>
    </row>
    <row r="821" spans="1:38" hidden="1" x14ac:dyDescent="0.2">
      <c r="A821" s="2">
        <v>2025</v>
      </c>
      <c r="B821" s="2">
        <v>4</v>
      </c>
      <c r="D821" s="2" t="s">
        <v>1218</v>
      </c>
      <c r="E821" s="2" t="s">
        <v>753</v>
      </c>
      <c r="F821" s="2" t="s">
        <v>1219</v>
      </c>
      <c r="G821" s="2">
        <v>505181983</v>
      </c>
      <c r="H821" s="2" t="s">
        <v>110</v>
      </c>
      <c r="I821" s="2" t="s">
        <v>1220</v>
      </c>
      <c r="J821" s="2" t="s">
        <v>1221</v>
      </c>
      <c r="L821" s="2" t="s">
        <v>113</v>
      </c>
      <c r="M821" s="2" t="s">
        <v>81</v>
      </c>
      <c r="O821" s="2" t="s">
        <v>1222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3"/>
        <v>0.41111111111111115</v>
      </c>
      <c r="Z821" s="2" t="s">
        <v>3231</v>
      </c>
      <c r="AA821" s="2" t="s">
        <v>46</v>
      </c>
      <c r="AB821" s="2" t="s">
        <v>57</v>
      </c>
      <c r="AC821" s="2" t="s">
        <v>58</v>
      </c>
      <c r="AF821" s="2">
        <f t="shared" si="98"/>
        <v>0</v>
      </c>
      <c r="AG821" s="2">
        <v>10.6</v>
      </c>
      <c r="AH821" s="2">
        <v>18</v>
      </c>
      <c r="AJ821" s="2">
        <f t="shared" si="99"/>
        <v>0</v>
      </c>
      <c r="AK821" s="2">
        <f t="shared" si="100"/>
        <v>22.200000000000003</v>
      </c>
      <c r="AL821" s="5">
        <f t="shared" si="102"/>
        <v>0.41111111111111115</v>
      </c>
    </row>
    <row r="822" spans="1:38" hidden="1" x14ac:dyDescent="0.2">
      <c r="A822" s="2">
        <v>2025</v>
      </c>
      <c r="B822" s="2">
        <v>4</v>
      </c>
      <c r="D822" s="2" t="s">
        <v>1218</v>
      </c>
      <c r="E822" s="2" t="s">
        <v>753</v>
      </c>
      <c r="F822" s="2" t="s">
        <v>1219</v>
      </c>
      <c r="G822" s="2">
        <v>505181983</v>
      </c>
      <c r="H822" s="2" t="s">
        <v>110</v>
      </c>
      <c r="I822" s="2" t="s">
        <v>1220</v>
      </c>
      <c r="J822" s="2" t="s">
        <v>1221</v>
      </c>
      <c r="L822" s="2" t="s">
        <v>113</v>
      </c>
      <c r="M822" s="2" t="s">
        <v>81</v>
      </c>
      <c r="O822" s="2" t="s">
        <v>1222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3"/>
        <v>0.3692307692307692</v>
      </c>
      <c r="Z822" s="2" t="s">
        <v>3231</v>
      </c>
      <c r="AA822" s="2" t="s">
        <v>46</v>
      </c>
      <c r="AB822" s="2" t="s">
        <v>61</v>
      </c>
      <c r="AC822" s="2" t="s">
        <v>58</v>
      </c>
      <c r="AF822" s="2">
        <f t="shared" si="98"/>
        <v>0</v>
      </c>
      <c r="AG822" s="2">
        <v>8.1999999999999993</v>
      </c>
      <c r="AH822" s="2">
        <v>13</v>
      </c>
      <c r="AJ822" s="2">
        <f t="shared" si="99"/>
        <v>0</v>
      </c>
      <c r="AK822" s="2">
        <f t="shared" si="100"/>
        <v>14.399999999999999</v>
      </c>
      <c r="AL822" s="5">
        <f t="shared" si="102"/>
        <v>0.3692307692307692</v>
      </c>
    </row>
    <row r="823" spans="1:38" hidden="1" x14ac:dyDescent="0.2">
      <c r="A823" s="2">
        <v>2025</v>
      </c>
      <c r="B823" s="2">
        <v>4</v>
      </c>
      <c r="D823" s="2" t="s">
        <v>1218</v>
      </c>
      <c r="E823" s="2" t="s">
        <v>753</v>
      </c>
      <c r="F823" s="2" t="s">
        <v>1219</v>
      </c>
      <c r="G823" s="2">
        <v>505181983</v>
      </c>
      <c r="H823" s="2" t="s">
        <v>110</v>
      </c>
      <c r="I823" s="2" t="s">
        <v>1220</v>
      </c>
      <c r="J823" s="2" t="s">
        <v>1221</v>
      </c>
      <c r="L823" s="2" t="s">
        <v>113</v>
      </c>
      <c r="M823" s="2" t="s">
        <v>81</v>
      </c>
      <c r="O823" s="2" t="s">
        <v>1222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3"/>
        <v>0.30138139534883718</v>
      </c>
      <c r="Z823" s="2" t="s">
        <v>3231</v>
      </c>
      <c r="AA823" s="2" t="s">
        <v>46</v>
      </c>
      <c r="AB823" s="2" t="s">
        <v>68</v>
      </c>
      <c r="AC823" s="2" t="s">
        <v>58</v>
      </c>
      <c r="AF823" s="2">
        <f t="shared" si="98"/>
        <v>0</v>
      </c>
      <c r="AG823" s="2">
        <v>15.020300000000001</v>
      </c>
      <c r="AH823" s="2">
        <v>27.6</v>
      </c>
      <c r="AJ823" s="2">
        <f t="shared" si="99"/>
        <v>0</v>
      </c>
      <c r="AK823" s="2">
        <f t="shared" si="100"/>
        <v>12.959399999999999</v>
      </c>
      <c r="AL823" s="5">
        <f t="shared" si="102"/>
        <v>0.30138139534883718</v>
      </c>
    </row>
    <row r="824" spans="1:38" hidden="1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1223</v>
      </c>
      <c r="P824" s="2" t="s">
        <v>659</v>
      </c>
      <c r="Q824" s="2" t="s">
        <v>1224</v>
      </c>
      <c r="R824" s="2" t="s">
        <v>1225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3"/>
        <v>0.46810256410256412</v>
      </c>
      <c r="Z824" s="2" t="s">
        <v>3231</v>
      </c>
      <c r="AA824" s="2" t="s">
        <v>76</v>
      </c>
      <c r="AB824" s="2" t="s">
        <v>77</v>
      </c>
      <c r="AC824" s="2" t="s">
        <v>659</v>
      </c>
      <c r="AF824" s="2">
        <f t="shared" si="98"/>
        <v>0</v>
      </c>
      <c r="AG824" s="2">
        <f>95.4+8.32</f>
        <v>103.72</v>
      </c>
      <c r="AH824" s="2">
        <v>162.84</v>
      </c>
      <c r="AJ824" s="2">
        <f t="shared" si="99"/>
        <v>0</v>
      </c>
      <c r="AK824" s="2">
        <f t="shared" si="100"/>
        <v>91.28</v>
      </c>
      <c r="AL824" s="5">
        <f t="shared" si="102"/>
        <v>0.46810256410256412</v>
      </c>
    </row>
    <row r="825" spans="1:38" hidden="1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1226</v>
      </c>
      <c r="P825" s="2" t="s">
        <v>1040</v>
      </c>
      <c r="Q825" s="2" t="s">
        <v>1227</v>
      </c>
      <c r="R825" s="2" t="s">
        <v>1228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3"/>
        <v>0.47269230769230769</v>
      </c>
      <c r="Z825" s="2" t="s">
        <v>3231</v>
      </c>
      <c r="AA825" s="2" t="s">
        <v>76</v>
      </c>
      <c r="AB825" s="2" t="s">
        <v>77</v>
      </c>
      <c r="AC825" s="2" t="s">
        <v>1040</v>
      </c>
      <c r="AF825" s="2">
        <f t="shared" si="98"/>
        <v>0</v>
      </c>
      <c r="AG825" s="2">
        <v>137.1</v>
      </c>
      <c r="AH825" s="2">
        <v>260</v>
      </c>
      <c r="AJ825" s="2">
        <f t="shared" si="99"/>
        <v>0</v>
      </c>
      <c r="AK825" s="2">
        <f t="shared" si="100"/>
        <v>122.9</v>
      </c>
      <c r="AL825" s="5">
        <f t="shared" si="102"/>
        <v>0.47269230769230769</v>
      </c>
    </row>
    <row r="826" spans="1:38" hidden="1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1229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3"/>
        <v>0</v>
      </c>
      <c r="Z826" s="2" t="s">
        <v>3231</v>
      </c>
      <c r="AA826" s="2" t="s">
        <v>97</v>
      </c>
      <c r="AB826" s="2" t="s">
        <v>77</v>
      </c>
      <c r="AC826" s="2" t="s">
        <v>94</v>
      </c>
      <c r="AF826" s="2">
        <f t="shared" si="98"/>
        <v>0</v>
      </c>
      <c r="AG826" s="2">
        <v>1.1399999999999999</v>
      </c>
      <c r="AH826" s="2">
        <v>1.1399999999999999</v>
      </c>
      <c r="AJ826" s="2">
        <f t="shared" si="99"/>
        <v>0</v>
      </c>
      <c r="AK826" s="2">
        <f t="shared" si="100"/>
        <v>0</v>
      </c>
      <c r="AL826" s="5">
        <f t="shared" si="102"/>
        <v>0</v>
      </c>
    </row>
    <row r="827" spans="1:38" hidden="1" x14ac:dyDescent="0.2">
      <c r="A827" s="2">
        <v>2025</v>
      </c>
      <c r="B827" s="2">
        <v>4</v>
      </c>
      <c r="D827" s="2" t="s">
        <v>1230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3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8"/>
        <v>0</v>
      </c>
      <c r="AJ827" s="2">
        <f t="shared" si="99"/>
        <v>0</v>
      </c>
      <c r="AK827" s="2">
        <f t="shared" si="100"/>
        <v>11500</v>
      </c>
      <c r="AL827" s="5">
        <f t="shared" si="102"/>
        <v>1</v>
      </c>
    </row>
    <row r="828" spans="1:38" hidden="1" x14ac:dyDescent="0.2">
      <c r="A828" s="2">
        <v>2025</v>
      </c>
      <c r="B828" s="2">
        <v>4</v>
      </c>
      <c r="D828" s="2" t="s">
        <v>1230</v>
      </c>
      <c r="M828" s="2" t="s">
        <v>40</v>
      </c>
      <c r="P828" s="2" t="s">
        <v>40</v>
      </c>
      <c r="Q828" s="2" t="s">
        <v>1231</v>
      </c>
      <c r="R828" s="2" t="s">
        <v>1232</v>
      </c>
      <c r="S828" s="2">
        <v>-1</v>
      </c>
      <c r="T828" s="2">
        <v>-3369.92</v>
      </c>
      <c r="Z828" s="2" t="s">
        <v>120</v>
      </c>
      <c r="AF828" s="2">
        <f t="shared" si="98"/>
        <v>0</v>
      </c>
      <c r="AJ828" s="2">
        <f t="shared" si="99"/>
        <v>0</v>
      </c>
    </row>
    <row r="829" spans="1:38" hidden="1" x14ac:dyDescent="0.2">
      <c r="A829" s="2">
        <v>2025</v>
      </c>
      <c r="B829" s="2">
        <v>4</v>
      </c>
      <c r="D829" s="2" t="s">
        <v>782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783</v>
      </c>
      <c r="J829" s="2" t="s">
        <v>784</v>
      </c>
      <c r="K829" s="2">
        <v>917341136</v>
      </c>
      <c r="L829" s="2" t="s">
        <v>100</v>
      </c>
      <c r="M829" s="2" t="s">
        <v>81</v>
      </c>
      <c r="O829" s="2" t="s">
        <v>1233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3"/>
        <v>0.40722222222222221</v>
      </c>
      <c r="Z829" s="2" t="s">
        <v>3231</v>
      </c>
      <c r="AA829" s="2" t="s">
        <v>46</v>
      </c>
      <c r="AB829" s="2" t="s">
        <v>47</v>
      </c>
      <c r="AC829" s="2" t="s">
        <v>48</v>
      </c>
      <c r="AF829" s="2">
        <f t="shared" si="98"/>
        <v>0</v>
      </c>
      <c r="AG829" s="2">
        <v>10.67</v>
      </c>
      <c r="AH829" s="2">
        <v>21</v>
      </c>
      <c r="AJ829" s="2">
        <f t="shared" si="99"/>
        <v>0</v>
      </c>
      <c r="AK829" s="2">
        <f t="shared" si="100"/>
        <v>7.33</v>
      </c>
      <c r="AL829" s="5">
        <f t="shared" si="102"/>
        <v>0.40722222222222221</v>
      </c>
    </row>
    <row r="830" spans="1:38" hidden="1" x14ac:dyDescent="0.2">
      <c r="A830" s="2">
        <v>2025</v>
      </c>
      <c r="B830" s="2">
        <v>4</v>
      </c>
      <c r="D830" s="2" t="s">
        <v>782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783</v>
      </c>
      <c r="J830" s="2" t="s">
        <v>784</v>
      </c>
      <c r="K830" s="2">
        <v>917341136</v>
      </c>
      <c r="L830" s="2" t="s">
        <v>100</v>
      </c>
      <c r="P830" s="2" t="s">
        <v>43</v>
      </c>
      <c r="Q830" s="2" t="s">
        <v>859</v>
      </c>
      <c r="R830" s="2" t="s">
        <v>860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03"/>
        <v>0.5147222222222223</v>
      </c>
      <c r="Z830" s="2" t="s">
        <v>3231</v>
      </c>
      <c r="AA830" s="2" t="s">
        <v>46</v>
      </c>
      <c r="AB830" s="2" t="s">
        <v>47</v>
      </c>
      <c r="AC830" s="2" t="s">
        <v>48</v>
      </c>
      <c r="AF830" s="2">
        <f t="shared" si="98"/>
        <v>0</v>
      </c>
      <c r="AJ830" s="2">
        <f t="shared" si="99"/>
        <v>0</v>
      </c>
      <c r="AK830" s="2">
        <f t="shared" si="100"/>
        <v>9.2650000000000006</v>
      </c>
      <c r="AL830" s="5">
        <f t="shared" si="102"/>
        <v>0.5147222222222223</v>
      </c>
    </row>
    <row r="831" spans="1:38" hidden="1" x14ac:dyDescent="0.2">
      <c r="A831" s="2">
        <v>2025</v>
      </c>
      <c r="B831" s="2">
        <v>4</v>
      </c>
      <c r="D831" s="2" t="s">
        <v>782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783</v>
      </c>
      <c r="J831" s="2" t="s">
        <v>784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3"/>
        <v>0.52105128205128204</v>
      </c>
      <c r="Z831" s="2" t="s">
        <v>3231</v>
      </c>
      <c r="AA831" s="2" t="s">
        <v>46</v>
      </c>
      <c r="AB831" s="2" t="s">
        <v>47</v>
      </c>
      <c r="AC831" s="2" t="s">
        <v>48</v>
      </c>
      <c r="AF831" s="2">
        <f t="shared" si="98"/>
        <v>0</v>
      </c>
      <c r="AG831" s="2">
        <v>3.7357999999999998</v>
      </c>
      <c r="AH831" s="2">
        <v>9</v>
      </c>
      <c r="AJ831" s="2">
        <f t="shared" si="99"/>
        <v>0</v>
      </c>
      <c r="AK831" s="2">
        <f t="shared" si="100"/>
        <v>4.0641999999999996</v>
      </c>
      <c r="AL831" s="5">
        <f t="shared" si="102"/>
        <v>0.52105128205128204</v>
      </c>
    </row>
    <row r="832" spans="1:38" hidden="1" x14ac:dyDescent="0.2">
      <c r="A832" s="2">
        <v>2025</v>
      </c>
      <c r="B832" s="2">
        <v>4</v>
      </c>
      <c r="D832" s="2" t="s">
        <v>1234</v>
      </c>
      <c r="L832" s="2" t="s">
        <v>572</v>
      </c>
      <c r="M832" s="2" t="s">
        <v>81</v>
      </c>
      <c r="O832" s="2" t="s">
        <v>1235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3"/>
        <v>0.37132505175983438</v>
      </c>
      <c r="Z832" s="2" t="s">
        <v>3231</v>
      </c>
      <c r="AA832" s="2" t="s">
        <v>76</v>
      </c>
      <c r="AB832" s="2" t="s">
        <v>77</v>
      </c>
      <c r="AC832" s="2" t="s">
        <v>78</v>
      </c>
      <c r="AF832" s="2">
        <f t="shared" si="98"/>
        <v>0</v>
      </c>
      <c r="AG832" s="2">
        <v>121.46</v>
      </c>
      <c r="AH832" s="2">
        <v>210</v>
      </c>
      <c r="AJ832" s="2">
        <f t="shared" si="99"/>
        <v>0</v>
      </c>
      <c r="AK832" s="2">
        <f t="shared" si="100"/>
        <v>71.739999999999995</v>
      </c>
      <c r="AL832" s="5">
        <f t="shared" si="102"/>
        <v>0.37132505175983438</v>
      </c>
    </row>
    <row r="833" spans="1:38" hidden="1" x14ac:dyDescent="0.2">
      <c r="A833" s="2">
        <v>2025</v>
      </c>
      <c r="B833" s="2">
        <v>4</v>
      </c>
      <c r="D833" s="2" t="s">
        <v>1234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3"/>
        <v>0</v>
      </c>
      <c r="Z833" s="2" t="s">
        <v>3231</v>
      </c>
      <c r="AA833" s="2" t="s">
        <v>97</v>
      </c>
      <c r="AB833" s="2" t="s">
        <v>77</v>
      </c>
      <c r="AC833" s="2" t="s">
        <v>94</v>
      </c>
      <c r="AF833" s="2">
        <f t="shared" si="98"/>
        <v>0</v>
      </c>
      <c r="AJ833" s="2">
        <f t="shared" si="99"/>
        <v>0</v>
      </c>
      <c r="AK833" s="2">
        <f t="shared" si="100"/>
        <v>0</v>
      </c>
      <c r="AL833" s="5">
        <f t="shared" si="102"/>
        <v>0</v>
      </c>
    </row>
    <row r="834" spans="1:38" hidden="1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3"/>
        <v>0.41273499999999996</v>
      </c>
      <c r="Z834" s="2" t="s">
        <v>3231</v>
      </c>
      <c r="AA834" s="2" t="s">
        <v>76</v>
      </c>
      <c r="AB834" s="2" t="s">
        <v>77</v>
      </c>
      <c r="AC834" s="2" t="s">
        <v>78</v>
      </c>
      <c r="AF834" s="2">
        <f t="shared" ref="AF834:AF897" si="106">AJ834</f>
        <v>0</v>
      </c>
      <c r="AG834" s="2">
        <v>117.453</v>
      </c>
      <c r="AH834" s="2">
        <v>220</v>
      </c>
      <c r="AJ834" s="2">
        <f t="shared" ref="AJ834:AJ897" si="107">AI834*T834</f>
        <v>0</v>
      </c>
      <c r="AK834" s="2">
        <f t="shared" ref="AK834:AK897" si="108">T834-W834</f>
        <v>82.546999999999997</v>
      </c>
      <c r="AL834" s="5">
        <f t="shared" si="102"/>
        <v>0.41273499999999996</v>
      </c>
    </row>
    <row r="835" spans="1:38" hidden="1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9">(T835-W835)/T835</f>
        <v>0</v>
      </c>
      <c r="Z835" s="2" t="s">
        <v>3231</v>
      </c>
      <c r="AA835" s="2" t="s">
        <v>97</v>
      </c>
      <c r="AB835" s="2" t="s">
        <v>77</v>
      </c>
      <c r="AC835" s="2" t="s">
        <v>94</v>
      </c>
      <c r="AF835" s="2">
        <f t="shared" si="106"/>
        <v>0</v>
      </c>
      <c r="AJ835" s="2">
        <f t="shared" si="107"/>
        <v>0</v>
      </c>
      <c r="AK835" s="2">
        <f t="shared" si="108"/>
        <v>0</v>
      </c>
      <c r="AL835" s="5">
        <f t="shared" si="102"/>
        <v>0</v>
      </c>
    </row>
    <row r="836" spans="1:38" hidden="1" x14ac:dyDescent="0.2">
      <c r="A836" s="2">
        <v>2025</v>
      </c>
      <c r="B836" s="2">
        <v>4</v>
      </c>
      <c r="D836" s="2" t="s">
        <v>1011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1012</v>
      </c>
      <c r="J836" s="2" t="s">
        <v>1013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9"/>
        <v>0.6</v>
      </c>
      <c r="Z836" s="2" t="s">
        <v>118</v>
      </c>
      <c r="AA836" s="2" t="s">
        <v>191</v>
      </c>
      <c r="AB836" s="2" t="s">
        <v>190</v>
      </c>
      <c r="AC836" s="2" t="s">
        <v>40</v>
      </c>
      <c r="AF836" s="2">
        <f t="shared" si="106"/>
        <v>0</v>
      </c>
      <c r="AJ836" s="2">
        <f t="shared" si="107"/>
        <v>0</v>
      </c>
      <c r="AK836" s="2">
        <f t="shared" si="108"/>
        <v>33</v>
      </c>
      <c r="AL836" s="5">
        <f t="shared" si="102"/>
        <v>0.6</v>
      </c>
    </row>
    <row r="837" spans="1:38" hidden="1" x14ac:dyDescent="0.2">
      <c r="A837" s="2">
        <v>2025</v>
      </c>
      <c r="B837" s="2">
        <v>4</v>
      </c>
      <c r="D837" s="2" t="s">
        <v>1011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1012</v>
      </c>
      <c r="J837" s="2" t="s">
        <v>1013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9"/>
        <v>0.5</v>
      </c>
      <c r="Z837" s="2" t="s">
        <v>118</v>
      </c>
      <c r="AA837" s="2" t="s">
        <v>191</v>
      </c>
      <c r="AB837" s="2" t="s">
        <v>191</v>
      </c>
      <c r="AC837" s="2" t="s">
        <v>40</v>
      </c>
      <c r="AF837" s="2">
        <f t="shared" si="106"/>
        <v>0</v>
      </c>
      <c r="AJ837" s="2">
        <f t="shared" si="107"/>
        <v>0</v>
      </c>
      <c r="AK837" s="2">
        <f t="shared" si="108"/>
        <v>12.5</v>
      </c>
      <c r="AL837" s="5">
        <f t="shared" si="102"/>
        <v>0.5</v>
      </c>
    </row>
    <row r="838" spans="1:38" hidden="1" x14ac:dyDescent="0.2">
      <c r="A838" s="2">
        <v>2025</v>
      </c>
      <c r="B838" s="2">
        <v>4</v>
      </c>
      <c r="C838" s="2" t="s">
        <v>3413</v>
      </c>
      <c r="D838" s="2" t="s">
        <v>3411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1236</v>
      </c>
      <c r="P838" s="2" t="s">
        <v>283</v>
      </c>
      <c r="Q838" s="2" t="s">
        <v>1237</v>
      </c>
      <c r="R838" s="2" t="s">
        <v>1238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9"/>
        <v>0.18625313283208023</v>
      </c>
      <c r="Z838" s="2" t="s">
        <v>105</v>
      </c>
      <c r="AA838" s="2" t="s">
        <v>1578</v>
      </c>
      <c r="AB838" s="2" t="s">
        <v>389</v>
      </c>
      <c r="AC838" s="2" t="s">
        <v>1329</v>
      </c>
      <c r="AF838" s="2">
        <f t="shared" si="106"/>
        <v>0</v>
      </c>
      <c r="AG838" s="2">
        <f>3203.85+43</f>
        <v>3246.85</v>
      </c>
      <c r="AJ838" s="2">
        <f t="shared" si="107"/>
        <v>0</v>
      </c>
      <c r="AK838" s="2">
        <f t="shared" si="108"/>
        <v>743.15000000000009</v>
      </c>
      <c r="AL838" s="5">
        <f t="shared" si="102"/>
        <v>0.18625313283208023</v>
      </c>
    </row>
    <row r="839" spans="1:38" hidden="1" x14ac:dyDescent="0.2">
      <c r="A839" s="2">
        <v>2025</v>
      </c>
      <c r="B839" s="2">
        <v>4</v>
      </c>
      <c r="C839" s="2" t="s">
        <v>3413</v>
      </c>
      <c r="D839" s="2" t="s">
        <v>3411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1236</v>
      </c>
      <c r="P839" s="2" t="s">
        <v>283</v>
      </c>
      <c r="Q839" s="2" t="s">
        <v>1156</v>
      </c>
      <c r="R839" s="2" t="s">
        <v>1157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9"/>
        <v>0.26755852842809363</v>
      </c>
      <c r="Z839" s="2" t="s">
        <v>105</v>
      </c>
      <c r="AA839" s="2" t="s">
        <v>1578</v>
      </c>
      <c r="AB839" s="2" t="s">
        <v>389</v>
      </c>
      <c r="AC839" s="2" t="s">
        <v>1329</v>
      </c>
      <c r="AF839" s="2">
        <f t="shared" si="106"/>
        <v>0</v>
      </c>
      <c r="AG839" s="2">
        <v>2190</v>
      </c>
      <c r="AJ839" s="2">
        <f t="shared" si="107"/>
        <v>0</v>
      </c>
      <c r="AK839" s="2">
        <f t="shared" si="108"/>
        <v>800</v>
      </c>
      <c r="AL839" s="5">
        <f t="shared" si="102"/>
        <v>0.26755852842809363</v>
      </c>
    </row>
    <row r="840" spans="1:38" hidden="1" x14ac:dyDescent="0.2">
      <c r="A840" s="2">
        <v>2025</v>
      </c>
      <c r="B840" s="2">
        <v>4</v>
      </c>
      <c r="C840" s="2" t="s">
        <v>3413</v>
      </c>
      <c r="D840" s="2" t="s">
        <v>3411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1236</v>
      </c>
      <c r="P840" s="2" t="s">
        <v>283</v>
      </c>
      <c r="Q840" s="2" t="s">
        <v>1160</v>
      </c>
      <c r="R840" s="2" t="s">
        <v>1161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1578</v>
      </c>
      <c r="AB840" s="2" t="s">
        <v>389</v>
      </c>
      <c r="AC840" s="2" t="s">
        <v>1329</v>
      </c>
      <c r="AF840" s="2">
        <f t="shared" si="106"/>
        <v>0</v>
      </c>
      <c r="AJ840" s="2">
        <f t="shared" si="107"/>
        <v>0</v>
      </c>
      <c r="AK840" s="2">
        <v>0</v>
      </c>
      <c r="AL840" s="5">
        <v>0</v>
      </c>
    </row>
    <row r="841" spans="1:38" hidden="1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9"/>
        <v>0.41111111111111115</v>
      </c>
      <c r="Z841" s="2" t="s">
        <v>3231</v>
      </c>
      <c r="AA841" s="2" t="s">
        <v>46</v>
      </c>
      <c r="AB841" s="2" t="s">
        <v>57</v>
      </c>
      <c r="AC841" s="2" t="s">
        <v>58</v>
      </c>
      <c r="AF841" s="2">
        <f t="shared" si="106"/>
        <v>0</v>
      </c>
      <c r="AG841" s="2">
        <v>10.6</v>
      </c>
      <c r="AH841" s="2">
        <v>18</v>
      </c>
      <c r="AJ841" s="2">
        <f t="shared" si="107"/>
        <v>0</v>
      </c>
      <c r="AK841" s="2">
        <f t="shared" si="108"/>
        <v>14.8</v>
      </c>
      <c r="AL841" s="5">
        <f t="shared" si="102"/>
        <v>0.41111111111111115</v>
      </c>
    </row>
    <row r="842" spans="1:38" hidden="1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9"/>
        <v>0.29692307692307701</v>
      </c>
      <c r="Z842" s="2" t="s">
        <v>3231</v>
      </c>
      <c r="AA842" s="2" t="s">
        <v>46</v>
      </c>
      <c r="AB842" s="2" t="s">
        <v>61</v>
      </c>
      <c r="AC842" s="2" t="s">
        <v>58</v>
      </c>
      <c r="AF842" s="2">
        <f t="shared" si="106"/>
        <v>0</v>
      </c>
      <c r="AG842" s="2">
        <v>9.14</v>
      </c>
      <c r="AH842" s="2">
        <v>16</v>
      </c>
      <c r="AJ842" s="2">
        <f t="shared" si="107"/>
        <v>0</v>
      </c>
      <c r="AK842" s="2">
        <f t="shared" si="108"/>
        <v>7.7200000000000024</v>
      </c>
      <c r="AL842" s="5">
        <f t="shared" si="102"/>
        <v>0.29692307692307701</v>
      </c>
    </row>
    <row r="843" spans="1:38" hidden="1" x14ac:dyDescent="0.2">
      <c r="A843" s="2">
        <v>2025</v>
      </c>
      <c r="B843" s="2">
        <v>4</v>
      </c>
      <c r="D843" s="2" t="s">
        <v>1017</v>
      </c>
      <c r="E843" s="2" t="s">
        <v>109</v>
      </c>
      <c r="F843" s="2" t="s">
        <v>478</v>
      </c>
      <c r="G843" s="2">
        <v>503815284</v>
      </c>
      <c r="H843" s="2" t="s">
        <v>40</v>
      </c>
      <c r="I843" s="2" t="s">
        <v>157</v>
      </c>
      <c r="J843" s="2" t="s">
        <v>2542</v>
      </c>
      <c r="L843" s="2" t="s">
        <v>100</v>
      </c>
      <c r="M843" s="2" t="s">
        <v>81</v>
      </c>
      <c r="P843" s="2" t="s">
        <v>283</v>
      </c>
      <c r="Q843" s="2" t="s">
        <v>1239</v>
      </c>
      <c r="R843" s="2" t="s">
        <v>1240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9"/>
        <v>0.2857142857142857</v>
      </c>
      <c r="Z843" s="2" t="s">
        <v>3231</v>
      </c>
      <c r="AA843" s="2" t="s">
        <v>72</v>
      </c>
      <c r="AB843" s="2" t="s">
        <v>120</v>
      </c>
      <c r="AC843" s="2" t="s">
        <v>120</v>
      </c>
      <c r="AF843" s="2">
        <f t="shared" si="106"/>
        <v>0</v>
      </c>
      <c r="AJ843" s="2">
        <f t="shared" si="107"/>
        <v>0</v>
      </c>
      <c r="AK843" s="2">
        <f t="shared" si="108"/>
        <v>20</v>
      </c>
      <c r="AL843" s="5">
        <f t="shared" si="102"/>
        <v>0.2857142857142857</v>
      </c>
    </row>
    <row r="844" spans="1:38" hidden="1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9"/>
        <v>0.52105128205128204</v>
      </c>
      <c r="Z844" s="2" t="s">
        <v>3231</v>
      </c>
      <c r="AA844" s="2" t="s">
        <v>46</v>
      </c>
      <c r="AB844" s="2" t="s">
        <v>47</v>
      </c>
      <c r="AC844" s="2" t="s">
        <v>48</v>
      </c>
      <c r="AF844" s="2">
        <f t="shared" si="106"/>
        <v>0</v>
      </c>
      <c r="AG844" s="2">
        <v>3.7357999999999998</v>
      </c>
      <c r="AH844" s="2">
        <v>9</v>
      </c>
      <c r="AJ844" s="2">
        <f t="shared" si="107"/>
        <v>0</v>
      </c>
      <c r="AK844" s="2">
        <f t="shared" si="108"/>
        <v>4.0641999999999996</v>
      </c>
      <c r="AL844" s="5">
        <f t="shared" si="102"/>
        <v>0.52105128205128204</v>
      </c>
    </row>
    <row r="845" spans="1:38" hidden="1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9"/>
        <v>0.41111111111111115</v>
      </c>
      <c r="Z845" s="2" t="s">
        <v>3231</v>
      </c>
      <c r="AA845" s="2" t="s">
        <v>46</v>
      </c>
      <c r="AB845" s="2" t="s">
        <v>57</v>
      </c>
      <c r="AC845" s="2" t="s">
        <v>58</v>
      </c>
      <c r="AF845" s="2">
        <f t="shared" si="106"/>
        <v>0</v>
      </c>
      <c r="AG845" s="2">
        <v>10.6</v>
      </c>
      <c r="AH845" s="2">
        <v>18</v>
      </c>
      <c r="AJ845" s="2">
        <f t="shared" si="107"/>
        <v>0</v>
      </c>
      <c r="AK845" s="2">
        <f t="shared" si="108"/>
        <v>7.4</v>
      </c>
      <c r="AL845" s="5">
        <f t="shared" si="102"/>
        <v>0.41111111111111115</v>
      </c>
    </row>
    <row r="846" spans="1:38" hidden="1" x14ac:dyDescent="0.2">
      <c r="A846" s="2">
        <v>2025</v>
      </c>
      <c r="B846" s="2">
        <v>4</v>
      </c>
      <c r="C846" s="2" t="s">
        <v>3413</v>
      </c>
      <c r="D846" s="2" t="s">
        <v>1241</v>
      </c>
      <c r="E846" s="2" t="s">
        <v>38</v>
      </c>
      <c r="F846" s="2" t="s">
        <v>39</v>
      </c>
      <c r="M846" s="2" t="s">
        <v>40</v>
      </c>
      <c r="P846" s="2" t="s">
        <v>69</v>
      </c>
      <c r="Q846" s="2" t="s">
        <v>1162</v>
      </c>
      <c r="R846" s="2" t="s">
        <v>1163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9"/>
        <v>0.3228571428571429</v>
      </c>
      <c r="Z846" s="2" t="s">
        <v>3231</v>
      </c>
      <c r="AA846" s="2" t="s">
        <v>72</v>
      </c>
      <c r="AB846" s="2" t="s">
        <v>69</v>
      </c>
      <c r="AC846" s="2" t="s">
        <v>3235</v>
      </c>
      <c r="AF846" s="2">
        <f t="shared" si="106"/>
        <v>0</v>
      </c>
      <c r="AJ846" s="2">
        <f t="shared" si="107"/>
        <v>0</v>
      </c>
      <c r="AK846" s="2">
        <f t="shared" si="108"/>
        <v>22.6</v>
      </c>
      <c r="AL846" s="5">
        <f t="shared" si="102"/>
        <v>0.3228571428571429</v>
      </c>
    </row>
    <row r="847" spans="1:38" hidden="1" x14ac:dyDescent="0.2">
      <c r="A847" s="2">
        <v>2025</v>
      </c>
      <c r="B847" s="2">
        <v>4</v>
      </c>
      <c r="C847" s="2" t="s">
        <v>3413</v>
      </c>
      <c r="D847" s="2" t="s">
        <v>1241</v>
      </c>
      <c r="E847" s="2" t="s">
        <v>38</v>
      </c>
      <c r="F847" s="2" t="s">
        <v>39</v>
      </c>
      <c r="M847" s="2" t="s">
        <v>40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9"/>
        <v>1</v>
      </c>
      <c r="Z847" s="2" t="s">
        <v>170</v>
      </c>
      <c r="AA847" s="2" t="s">
        <v>170</v>
      </c>
      <c r="AF847" s="2">
        <f t="shared" si="106"/>
        <v>0</v>
      </c>
      <c r="AJ847" s="2">
        <f t="shared" si="107"/>
        <v>0</v>
      </c>
      <c r="AK847" s="2">
        <f t="shared" si="108"/>
        <v>5</v>
      </c>
      <c r="AL847" s="5">
        <f t="shared" si="102"/>
        <v>1</v>
      </c>
    </row>
    <row r="848" spans="1:38" hidden="1" x14ac:dyDescent="0.2">
      <c r="A848" s="2">
        <v>2025</v>
      </c>
      <c r="B848" s="2">
        <v>4</v>
      </c>
      <c r="D848" s="2" t="s">
        <v>1242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3224</v>
      </c>
      <c r="J848" s="2" t="s">
        <v>3225</v>
      </c>
      <c r="L848" s="2" t="s">
        <v>340</v>
      </c>
      <c r="M848" s="2" t="s">
        <v>40</v>
      </c>
      <c r="O848" s="2" t="s">
        <v>3226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9"/>
        <v>0.6</v>
      </c>
      <c r="Z848" s="2" t="s">
        <v>118</v>
      </c>
      <c r="AA848" s="2" t="s">
        <v>191</v>
      </c>
      <c r="AB848" s="2" t="s">
        <v>190</v>
      </c>
      <c r="AC848" s="2" t="s">
        <v>40</v>
      </c>
      <c r="AF848" s="2">
        <f t="shared" si="106"/>
        <v>0</v>
      </c>
      <c r="AJ848" s="2">
        <f t="shared" si="107"/>
        <v>0</v>
      </c>
      <c r="AK848" s="2">
        <f t="shared" si="108"/>
        <v>30</v>
      </c>
      <c r="AL848" s="5">
        <f t="shared" si="102"/>
        <v>0.6</v>
      </c>
    </row>
    <row r="849" spans="1:38" hidden="1" x14ac:dyDescent="0.2">
      <c r="A849" s="2">
        <v>2025</v>
      </c>
      <c r="B849" s="2">
        <v>4</v>
      </c>
      <c r="D849" s="2" t="s">
        <v>1242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3224</v>
      </c>
      <c r="J849" s="2" t="s">
        <v>3225</v>
      </c>
      <c r="L849" s="2" t="s">
        <v>340</v>
      </c>
      <c r="M849" s="2" t="s">
        <v>40</v>
      </c>
      <c r="O849" s="2" t="s">
        <v>3226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9"/>
        <v>0.5</v>
      </c>
      <c r="Z849" s="2" t="s">
        <v>118</v>
      </c>
      <c r="AA849" s="2" t="s">
        <v>191</v>
      </c>
      <c r="AB849" s="2" t="s">
        <v>191</v>
      </c>
      <c r="AC849" s="2" t="s">
        <v>40</v>
      </c>
      <c r="AF849" s="2">
        <f t="shared" si="106"/>
        <v>0</v>
      </c>
      <c r="AJ849" s="2">
        <f t="shared" si="107"/>
        <v>0</v>
      </c>
      <c r="AK849" s="2">
        <f t="shared" si="108"/>
        <v>12.5</v>
      </c>
      <c r="AL849" s="5">
        <f t="shared" si="102"/>
        <v>0.5</v>
      </c>
    </row>
    <row r="850" spans="1:38" hidden="1" x14ac:dyDescent="0.2">
      <c r="A850" s="2">
        <v>2025</v>
      </c>
      <c r="B850" s="2">
        <v>4</v>
      </c>
      <c r="D850" s="2" t="s">
        <v>1243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9"/>
        <v>0.6</v>
      </c>
      <c r="Z850" s="2" t="s">
        <v>118</v>
      </c>
      <c r="AA850" s="2" t="s">
        <v>191</v>
      </c>
      <c r="AB850" s="2" t="s">
        <v>190</v>
      </c>
      <c r="AC850" s="2" t="s">
        <v>40</v>
      </c>
      <c r="AF850" s="2">
        <f t="shared" si="106"/>
        <v>0</v>
      </c>
      <c r="AJ850" s="2">
        <f t="shared" si="107"/>
        <v>0</v>
      </c>
      <c r="AK850" s="2">
        <f t="shared" si="108"/>
        <v>30</v>
      </c>
      <c r="AL850" s="5">
        <f t="shared" ref="AL850:AL913" si="110">(T850-W850)/T850</f>
        <v>0.6</v>
      </c>
    </row>
    <row r="851" spans="1:38" hidden="1" x14ac:dyDescent="0.2">
      <c r="A851" s="2">
        <v>2025</v>
      </c>
      <c r="B851" s="2">
        <v>4</v>
      </c>
      <c r="D851" s="2" t="s">
        <v>1243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9"/>
        <v>0.5</v>
      </c>
      <c r="Z851" s="2" t="s">
        <v>118</v>
      </c>
      <c r="AA851" s="2" t="s">
        <v>191</v>
      </c>
      <c r="AB851" s="2" t="s">
        <v>191</v>
      </c>
      <c r="AC851" s="2" t="s">
        <v>40</v>
      </c>
      <c r="AF851" s="2">
        <f t="shared" si="106"/>
        <v>0</v>
      </c>
      <c r="AJ851" s="2">
        <f t="shared" si="107"/>
        <v>0</v>
      </c>
      <c r="AK851" s="2">
        <f t="shared" si="108"/>
        <v>25</v>
      </c>
      <c r="AL851" s="5">
        <f t="shared" si="110"/>
        <v>0.5</v>
      </c>
    </row>
    <row r="852" spans="1:38" hidden="1" x14ac:dyDescent="0.2">
      <c r="A852" s="2">
        <v>2025</v>
      </c>
      <c r="B852" s="2">
        <v>4</v>
      </c>
      <c r="D852" s="2" t="s">
        <v>1244</v>
      </c>
      <c r="P852" s="2" t="s">
        <v>283</v>
      </c>
      <c r="Q852" s="2" t="s">
        <v>1071</v>
      </c>
      <c r="R852" s="2" t="s">
        <v>1072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9"/>
        <v>0.33387665198237887</v>
      </c>
      <c r="Z852" s="2" t="s">
        <v>3231</v>
      </c>
      <c r="AA852" s="2" t="s">
        <v>72</v>
      </c>
      <c r="AB852" s="2" t="s">
        <v>120</v>
      </c>
      <c r="AC852" s="2" t="s">
        <v>120</v>
      </c>
      <c r="AF852" s="2">
        <f t="shared" si="106"/>
        <v>0</v>
      </c>
      <c r="AJ852" s="2">
        <f t="shared" si="107"/>
        <v>0</v>
      </c>
      <c r="AK852" s="2">
        <f t="shared" si="108"/>
        <v>3.0316000000000001</v>
      </c>
      <c r="AL852" s="5">
        <f t="shared" si="110"/>
        <v>0.33387665198237887</v>
      </c>
    </row>
    <row r="853" spans="1:38" hidden="1" x14ac:dyDescent="0.2">
      <c r="A853" s="2">
        <v>2025</v>
      </c>
      <c r="B853" s="2">
        <v>4</v>
      </c>
      <c r="D853" s="2" t="s">
        <v>1244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9"/>
        <v>0.41111111111111109</v>
      </c>
      <c r="Z853" s="2" t="s">
        <v>3231</v>
      </c>
      <c r="AA853" s="2" t="s">
        <v>46</v>
      </c>
      <c r="AB853" s="2" t="s">
        <v>57</v>
      </c>
      <c r="AC853" s="2" t="s">
        <v>58</v>
      </c>
      <c r="AF853" s="2">
        <f t="shared" si="106"/>
        <v>0</v>
      </c>
      <c r="AG853" s="2">
        <v>10.6</v>
      </c>
      <c r="AH853" s="2">
        <v>18</v>
      </c>
      <c r="AJ853" s="2">
        <f t="shared" si="107"/>
        <v>0</v>
      </c>
      <c r="AK853" s="2">
        <f t="shared" si="108"/>
        <v>37</v>
      </c>
      <c r="AL853" s="5">
        <f t="shared" si="110"/>
        <v>0.41111111111111109</v>
      </c>
    </row>
    <row r="854" spans="1:38" hidden="1" x14ac:dyDescent="0.2">
      <c r="A854" s="2">
        <v>2025</v>
      </c>
      <c r="B854" s="2">
        <v>4</v>
      </c>
      <c r="C854" s="2" t="s">
        <v>3315</v>
      </c>
      <c r="D854" s="2" t="s">
        <v>1244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1245</v>
      </c>
      <c r="R854" s="2" t="s">
        <v>1246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09"/>
        <v>0.5377777777777778</v>
      </c>
      <c r="Z854" s="2" t="s">
        <v>3231</v>
      </c>
      <c r="AA854" s="2" t="s">
        <v>46</v>
      </c>
      <c r="AB854" s="2" t="s">
        <v>91</v>
      </c>
      <c r="AC854" s="2" t="s">
        <v>58</v>
      </c>
      <c r="AF854" s="2">
        <f t="shared" si="106"/>
        <v>0</v>
      </c>
      <c r="AJ854" s="2">
        <f t="shared" si="107"/>
        <v>0</v>
      </c>
      <c r="AK854" s="2">
        <f t="shared" si="108"/>
        <v>4.84</v>
      </c>
      <c r="AL854" s="5">
        <f t="shared" si="110"/>
        <v>0.5377777777777778</v>
      </c>
    </row>
    <row r="855" spans="1:38" hidden="1" x14ac:dyDescent="0.2">
      <c r="A855" s="2">
        <v>2025</v>
      </c>
      <c r="B855" s="2">
        <v>4</v>
      </c>
      <c r="D855" s="2" t="s">
        <v>1019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1020</v>
      </c>
      <c r="J855" s="2" t="s">
        <v>1021</v>
      </c>
      <c r="L855" s="2" t="s">
        <v>294</v>
      </c>
      <c r="M855" s="2" t="s">
        <v>81</v>
      </c>
      <c r="O855" s="2" t="s">
        <v>1247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9"/>
        <v>0.45370697674418603</v>
      </c>
      <c r="Z855" s="2" t="s">
        <v>3231</v>
      </c>
      <c r="AA855" s="2" t="s">
        <v>76</v>
      </c>
      <c r="AB855" s="2" t="s">
        <v>77</v>
      </c>
      <c r="AC855" s="2" t="s">
        <v>78</v>
      </c>
      <c r="AF855" s="2">
        <f t="shared" si="106"/>
        <v>0</v>
      </c>
      <c r="AG855" s="2">
        <v>117.453</v>
      </c>
      <c r="AH855" s="2">
        <v>220</v>
      </c>
      <c r="AJ855" s="2">
        <f t="shared" si="107"/>
        <v>0</v>
      </c>
      <c r="AK855" s="2">
        <f t="shared" si="108"/>
        <v>97.546999999999997</v>
      </c>
      <c r="AL855" s="5">
        <f t="shared" si="110"/>
        <v>0.45370697674418603</v>
      </c>
    </row>
    <row r="856" spans="1:38" hidden="1" x14ac:dyDescent="0.2">
      <c r="A856" s="2">
        <v>2025</v>
      </c>
      <c r="B856" s="2">
        <v>4</v>
      </c>
      <c r="D856" s="2" t="s">
        <v>1019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1020</v>
      </c>
      <c r="J856" s="2" t="s">
        <v>1021</v>
      </c>
      <c r="L856" s="2" t="s">
        <v>294</v>
      </c>
      <c r="M856" s="2" t="s">
        <v>81</v>
      </c>
      <c r="O856" s="2" t="s">
        <v>1248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9"/>
        <v>0.41521052631578947</v>
      </c>
      <c r="Z856" s="2" t="s">
        <v>3231</v>
      </c>
      <c r="AA856" s="2" t="s">
        <v>76</v>
      </c>
      <c r="AB856" s="2" t="s">
        <v>77</v>
      </c>
      <c r="AC856" s="2" t="s">
        <v>78</v>
      </c>
      <c r="AF856" s="2">
        <f t="shared" si="106"/>
        <v>0</v>
      </c>
      <c r="AG856" s="2">
        <v>101.30500000000001</v>
      </c>
      <c r="AH856" s="2">
        <v>190</v>
      </c>
      <c r="AJ856" s="2">
        <f t="shared" si="107"/>
        <v>0</v>
      </c>
      <c r="AK856" s="2">
        <f t="shared" si="108"/>
        <v>78.89</v>
      </c>
      <c r="AL856" s="5">
        <f t="shared" si="110"/>
        <v>0.41521052631578947</v>
      </c>
    </row>
    <row r="857" spans="1:38" hidden="1" x14ac:dyDescent="0.2">
      <c r="A857" s="2">
        <v>2025</v>
      </c>
      <c r="B857" s="2">
        <v>4</v>
      </c>
      <c r="D857" s="2" t="s">
        <v>1019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1020</v>
      </c>
      <c r="J857" s="2" t="s">
        <v>1021</v>
      </c>
      <c r="L857" s="2" t="s">
        <v>294</v>
      </c>
      <c r="M857" s="2" t="s">
        <v>81</v>
      </c>
      <c r="O857" s="2" t="s">
        <v>1249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9"/>
        <v>0</v>
      </c>
      <c r="Z857" s="2" t="s">
        <v>3231</v>
      </c>
      <c r="AA857" s="2" t="s">
        <v>97</v>
      </c>
      <c r="AB857" s="2" t="s">
        <v>77</v>
      </c>
      <c r="AC857" s="2" t="s">
        <v>94</v>
      </c>
      <c r="AF857" s="2">
        <f t="shared" si="106"/>
        <v>0</v>
      </c>
      <c r="AG857" s="2">
        <v>1.1399999999999999</v>
      </c>
      <c r="AH857" s="2">
        <v>1.1399999999999999</v>
      </c>
      <c r="AJ857" s="2">
        <f t="shared" si="107"/>
        <v>0</v>
      </c>
      <c r="AK857" s="2">
        <f t="shared" si="108"/>
        <v>0</v>
      </c>
      <c r="AL857" s="5">
        <f t="shared" si="110"/>
        <v>0</v>
      </c>
    </row>
    <row r="858" spans="1:38" hidden="1" x14ac:dyDescent="0.2">
      <c r="A858" s="2">
        <v>2025</v>
      </c>
      <c r="B858" s="2">
        <v>4</v>
      </c>
      <c r="D858" s="2" t="s">
        <v>1023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9"/>
        <v>0.44777500000000003</v>
      </c>
      <c r="Z858" s="2" t="s">
        <v>3231</v>
      </c>
      <c r="AA858" s="2" t="s">
        <v>46</v>
      </c>
      <c r="AB858" s="2" t="s">
        <v>47</v>
      </c>
      <c r="AC858" s="2" t="s">
        <v>48</v>
      </c>
      <c r="AF858" s="2">
        <f t="shared" si="106"/>
        <v>0</v>
      </c>
      <c r="AG858" s="2">
        <v>6.6266999999999996</v>
      </c>
      <c r="AH858" s="2">
        <v>12</v>
      </c>
      <c r="AJ858" s="2">
        <f t="shared" si="107"/>
        <v>0</v>
      </c>
      <c r="AK858" s="2">
        <f t="shared" si="108"/>
        <v>10.746600000000001</v>
      </c>
      <c r="AL858" s="5">
        <f t="shared" si="110"/>
        <v>0.44777500000000003</v>
      </c>
    </row>
    <row r="859" spans="1:38" hidden="1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809</v>
      </c>
      <c r="R859" s="2" t="s">
        <v>810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09"/>
        <v>0.43807435254803667</v>
      </c>
      <c r="Z859" s="2" t="s">
        <v>118</v>
      </c>
      <c r="AA859" s="2" t="s">
        <v>119</v>
      </c>
      <c r="AB859" s="2" t="s">
        <v>120</v>
      </c>
      <c r="AC859" s="2" t="s">
        <v>115</v>
      </c>
      <c r="AF859" s="2">
        <f t="shared" si="106"/>
        <v>0</v>
      </c>
      <c r="AJ859" s="2">
        <f t="shared" si="107"/>
        <v>0</v>
      </c>
      <c r="AK859" s="2">
        <f t="shared" si="108"/>
        <v>31.462499999999991</v>
      </c>
      <c r="AL859" s="5">
        <f t="shared" si="110"/>
        <v>0.43807435254803667</v>
      </c>
    </row>
    <row r="860" spans="1:38" hidden="1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9"/>
        <v>0.6</v>
      </c>
      <c r="Z860" s="2" t="s">
        <v>118</v>
      </c>
      <c r="AA860" s="2" t="s">
        <v>191</v>
      </c>
      <c r="AB860" s="2" t="s">
        <v>190</v>
      </c>
      <c r="AC860" s="2" t="s">
        <v>40</v>
      </c>
      <c r="AF860" s="2">
        <f t="shared" si="106"/>
        <v>0</v>
      </c>
      <c r="AJ860" s="2">
        <f t="shared" si="107"/>
        <v>0</v>
      </c>
      <c r="AK860" s="2">
        <f t="shared" si="108"/>
        <v>206.54999999999998</v>
      </c>
      <c r="AL860" s="5">
        <f t="shared" si="110"/>
        <v>0.6</v>
      </c>
    </row>
    <row r="861" spans="1:38" hidden="1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9"/>
        <v>0.5</v>
      </c>
      <c r="Z861" s="2" t="s">
        <v>118</v>
      </c>
      <c r="AA861" s="2" t="s">
        <v>191</v>
      </c>
      <c r="AB861" s="2" t="s">
        <v>191</v>
      </c>
      <c r="AC861" s="2" t="s">
        <v>40</v>
      </c>
      <c r="AF861" s="2">
        <f t="shared" si="106"/>
        <v>0</v>
      </c>
      <c r="AJ861" s="2">
        <f t="shared" si="107"/>
        <v>0</v>
      </c>
      <c r="AK861" s="2">
        <f t="shared" si="108"/>
        <v>140.625</v>
      </c>
      <c r="AL861" s="5">
        <f t="shared" si="110"/>
        <v>0.5</v>
      </c>
    </row>
    <row r="862" spans="1:38" hidden="1" x14ac:dyDescent="0.2">
      <c r="A862" s="2">
        <v>2025</v>
      </c>
      <c r="B862" s="2">
        <v>4</v>
      </c>
      <c r="C862" s="2" t="s">
        <v>3413</v>
      </c>
      <c r="D862" s="15" t="s">
        <v>3341</v>
      </c>
      <c r="E862" s="2" t="s">
        <v>109</v>
      </c>
      <c r="F862" s="2" t="s">
        <v>39</v>
      </c>
      <c r="L862" s="2" t="s">
        <v>462</v>
      </c>
      <c r="M862" s="2" t="s">
        <v>81</v>
      </c>
      <c r="P862" s="2" t="s">
        <v>73</v>
      </c>
      <c r="Q862" s="2" t="s">
        <v>1250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9"/>
        <v>0.29300000000000004</v>
      </c>
      <c r="Z862" s="2" t="s">
        <v>3231</v>
      </c>
      <c r="AA862" s="2" t="s">
        <v>76</v>
      </c>
      <c r="AB862" s="2" t="s">
        <v>77</v>
      </c>
      <c r="AC862" s="2" t="s">
        <v>78</v>
      </c>
      <c r="AF862" s="2">
        <f t="shared" si="106"/>
        <v>0</v>
      </c>
      <c r="AJ862" s="2">
        <f t="shared" si="107"/>
        <v>0</v>
      </c>
      <c r="AK862" s="2">
        <f t="shared" si="108"/>
        <v>64.460000000000008</v>
      </c>
      <c r="AL862" s="5">
        <f t="shared" si="110"/>
        <v>0.29300000000000004</v>
      </c>
    </row>
    <row r="863" spans="1:38" hidden="1" x14ac:dyDescent="0.2">
      <c r="A863" s="2">
        <v>2025</v>
      </c>
      <c r="B863" s="2">
        <v>4</v>
      </c>
      <c r="C863" s="2" t="s">
        <v>3413</v>
      </c>
      <c r="D863" s="15" t="s">
        <v>3341</v>
      </c>
      <c r="E863" s="2" t="s">
        <v>109</v>
      </c>
      <c r="F863" s="2" t="s">
        <v>39</v>
      </c>
      <c r="L863" s="2" t="s">
        <v>462</v>
      </c>
      <c r="M863" s="2" t="s">
        <v>81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9"/>
        <v>0</v>
      </c>
      <c r="Z863" s="2" t="s">
        <v>3231</v>
      </c>
      <c r="AA863" s="2" t="s">
        <v>97</v>
      </c>
      <c r="AB863" s="2" t="s">
        <v>77</v>
      </c>
      <c r="AC863" s="2" t="s">
        <v>94</v>
      </c>
      <c r="AF863" s="2">
        <f t="shared" si="106"/>
        <v>0</v>
      </c>
      <c r="AJ863" s="2">
        <f t="shared" si="107"/>
        <v>0</v>
      </c>
      <c r="AK863" s="2">
        <f t="shared" si="108"/>
        <v>0</v>
      </c>
      <c r="AL863" s="5">
        <f t="shared" si="110"/>
        <v>0</v>
      </c>
    </row>
    <row r="864" spans="1:38" hidden="1" x14ac:dyDescent="0.2">
      <c r="A864" s="2">
        <v>2025</v>
      </c>
      <c r="B864" s="2">
        <v>4</v>
      </c>
      <c r="D864" s="2" t="s">
        <v>1251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9"/>
        <v>1</v>
      </c>
      <c r="Z864" s="2" t="s">
        <v>120</v>
      </c>
      <c r="AA864" s="2" t="s">
        <v>3385</v>
      </c>
      <c r="AF864" s="2">
        <f t="shared" si="106"/>
        <v>0</v>
      </c>
      <c r="AJ864" s="2">
        <f t="shared" si="107"/>
        <v>0</v>
      </c>
      <c r="AK864" s="2">
        <f t="shared" si="108"/>
        <v>1250</v>
      </c>
      <c r="AL864" s="5">
        <f t="shared" si="110"/>
        <v>1</v>
      </c>
    </row>
    <row r="865" spans="1:38" hidden="1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1252</v>
      </c>
      <c r="R865" s="2" t="s">
        <v>1253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09"/>
        <v>0.52070092846868055</v>
      </c>
      <c r="Z865" s="2" t="s">
        <v>118</v>
      </c>
      <c r="AA865" s="2" t="s">
        <v>119</v>
      </c>
      <c r="AB865" s="2" t="s">
        <v>120</v>
      </c>
      <c r="AC865" s="2" t="s">
        <v>115</v>
      </c>
      <c r="AF865" s="2">
        <f t="shared" si="106"/>
        <v>0</v>
      </c>
      <c r="AJ865" s="2">
        <f t="shared" si="107"/>
        <v>0</v>
      </c>
      <c r="AK865" s="2">
        <f t="shared" si="108"/>
        <v>199.09000000000003</v>
      </c>
      <c r="AL865" s="5">
        <f t="shared" si="110"/>
        <v>0.52070092846868055</v>
      </c>
    </row>
    <row r="866" spans="1:38" hidden="1" x14ac:dyDescent="0.2">
      <c r="A866" s="2">
        <v>2025</v>
      </c>
      <c r="B866" s="2">
        <v>4</v>
      </c>
      <c r="C866" s="2" t="s">
        <v>3315</v>
      </c>
      <c r="D866" s="2" t="s">
        <v>3314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9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6"/>
        <v>0</v>
      </c>
      <c r="AG866" s="2">
        <v>10669.4</v>
      </c>
      <c r="AJ866" s="2">
        <f t="shared" si="107"/>
        <v>0</v>
      </c>
      <c r="AK866" s="2">
        <f t="shared" si="108"/>
        <v>4330.6000000000004</v>
      </c>
      <c r="AL866" s="5">
        <f t="shared" si="110"/>
        <v>0.28870666666666667</v>
      </c>
    </row>
    <row r="867" spans="1:38" hidden="1" x14ac:dyDescent="0.2">
      <c r="A867" s="2">
        <v>2025</v>
      </c>
      <c r="B867" s="2">
        <v>4</v>
      </c>
      <c r="C867" s="2" t="s">
        <v>3315</v>
      </c>
      <c r="D867" s="2" t="s">
        <v>3316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1254</v>
      </c>
      <c r="R867" s="2" t="s">
        <v>1255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11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6"/>
        <v>0</v>
      </c>
      <c r="AG867" s="2">
        <v>1239</v>
      </c>
      <c r="AJ867" s="2">
        <f t="shared" si="107"/>
        <v>0</v>
      </c>
      <c r="AK867" s="2">
        <f t="shared" si="108"/>
        <v>1111</v>
      </c>
      <c r="AL867" s="5">
        <f t="shared" si="110"/>
        <v>0.47276595744680849</v>
      </c>
    </row>
    <row r="868" spans="1:38" hidden="1" x14ac:dyDescent="0.2">
      <c r="A868" s="2">
        <v>2025</v>
      </c>
      <c r="B868" s="2">
        <v>4</v>
      </c>
      <c r="D868" s="2" t="s">
        <v>845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846</v>
      </c>
      <c r="L868" s="2" t="s">
        <v>419</v>
      </c>
      <c r="M868" s="2" t="s">
        <v>41</v>
      </c>
      <c r="O868" s="2" t="s">
        <v>1256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11"/>
        <v>0.44777500000000003</v>
      </c>
      <c r="Z868" s="2" t="s">
        <v>3231</v>
      </c>
      <c r="AA868" s="2" t="s">
        <v>46</v>
      </c>
      <c r="AB868" s="2" t="s">
        <v>47</v>
      </c>
      <c r="AC868" s="2" t="s">
        <v>48</v>
      </c>
      <c r="AF868" s="2">
        <f t="shared" si="106"/>
        <v>0</v>
      </c>
      <c r="AG868" s="2">
        <v>6.6266999999999996</v>
      </c>
      <c r="AH868" s="2">
        <v>12</v>
      </c>
      <c r="AJ868" s="2">
        <f t="shared" si="107"/>
        <v>0</v>
      </c>
      <c r="AK868" s="2">
        <f t="shared" si="108"/>
        <v>5.3733000000000004</v>
      </c>
      <c r="AL868" s="5">
        <f t="shared" si="110"/>
        <v>0.44777500000000003</v>
      </c>
    </row>
    <row r="869" spans="1:38" hidden="1" x14ac:dyDescent="0.2">
      <c r="A869" s="2">
        <v>2025</v>
      </c>
      <c r="B869" s="2">
        <v>4</v>
      </c>
      <c r="D869" s="2" t="s">
        <v>845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846</v>
      </c>
      <c r="L869" s="2" t="s">
        <v>419</v>
      </c>
      <c r="M869" s="2" t="s">
        <v>41</v>
      </c>
      <c r="O869" s="2" t="s">
        <v>1256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11"/>
        <v>0.41111111111111115</v>
      </c>
      <c r="Z869" s="2" t="s">
        <v>3231</v>
      </c>
      <c r="AA869" s="2" t="s">
        <v>46</v>
      </c>
      <c r="AB869" s="2" t="s">
        <v>57</v>
      </c>
      <c r="AC869" s="2" t="s">
        <v>58</v>
      </c>
      <c r="AF869" s="2">
        <f t="shared" si="106"/>
        <v>0</v>
      </c>
      <c r="AG869" s="2">
        <v>10.6</v>
      </c>
      <c r="AH869" s="2">
        <v>18</v>
      </c>
      <c r="AJ869" s="2">
        <f t="shared" si="107"/>
        <v>0</v>
      </c>
      <c r="AK869" s="2">
        <f t="shared" si="108"/>
        <v>7.4</v>
      </c>
      <c r="AL869" s="5">
        <f t="shared" si="110"/>
        <v>0.41111111111111115</v>
      </c>
    </row>
    <row r="870" spans="1:38" hidden="1" x14ac:dyDescent="0.2">
      <c r="A870" s="2">
        <v>2025</v>
      </c>
      <c r="B870" s="2">
        <v>4</v>
      </c>
      <c r="D870" s="2" t="s">
        <v>845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846</v>
      </c>
      <c r="L870" s="2" t="s">
        <v>419</v>
      </c>
      <c r="M870" s="2" t="s">
        <v>41</v>
      </c>
      <c r="O870" s="2" t="s">
        <v>1256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11"/>
        <v>0.36923076923076914</v>
      </c>
      <c r="Z870" s="2" t="s">
        <v>3231</v>
      </c>
      <c r="AA870" s="2" t="s">
        <v>46</v>
      </c>
      <c r="AB870" s="2" t="s">
        <v>61</v>
      </c>
      <c r="AC870" s="2" t="s">
        <v>58</v>
      </c>
      <c r="AF870" s="2">
        <f t="shared" si="106"/>
        <v>0</v>
      </c>
      <c r="AG870" s="2">
        <v>8.1999999999999993</v>
      </c>
      <c r="AH870" s="2">
        <v>13</v>
      </c>
      <c r="AJ870" s="2">
        <f t="shared" si="107"/>
        <v>0</v>
      </c>
      <c r="AK870" s="2">
        <f t="shared" si="108"/>
        <v>4.7999999999999989</v>
      </c>
      <c r="AL870" s="5">
        <f t="shared" si="110"/>
        <v>0.36923076923076914</v>
      </c>
    </row>
    <row r="871" spans="1:38" hidden="1" x14ac:dyDescent="0.2">
      <c r="A871" s="2">
        <v>2025</v>
      </c>
      <c r="B871" s="2">
        <v>4</v>
      </c>
      <c r="D871" s="2" t="s">
        <v>848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11"/>
        <v>0.44069999999999998</v>
      </c>
      <c r="Z871" s="2" t="s">
        <v>3231</v>
      </c>
      <c r="AA871" s="2" t="s">
        <v>76</v>
      </c>
      <c r="AB871" s="2" t="s">
        <v>77</v>
      </c>
      <c r="AC871" s="2" t="s">
        <v>78</v>
      </c>
      <c r="AF871" s="2">
        <f t="shared" si="106"/>
        <v>0</v>
      </c>
      <c r="AG871" s="2">
        <v>117.453</v>
      </c>
      <c r="AH871" s="2">
        <v>220</v>
      </c>
      <c r="AJ871" s="2">
        <f t="shared" si="107"/>
        <v>0</v>
      </c>
      <c r="AK871" s="2">
        <f t="shared" si="108"/>
        <v>92.546999999999997</v>
      </c>
      <c r="AL871" s="5">
        <f t="shared" si="110"/>
        <v>0.44069999999999998</v>
      </c>
    </row>
    <row r="872" spans="1:38" hidden="1" x14ac:dyDescent="0.2">
      <c r="A872" s="2">
        <v>2025</v>
      </c>
      <c r="B872" s="2">
        <v>4</v>
      </c>
      <c r="D872" s="2" t="s">
        <v>848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11"/>
        <v>0</v>
      </c>
      <c r="Z872" s="2" t="s">
        <v>3231</v>
      </c>
      <c r="AA872" s="2" t="s">
        <v>97</v>
      </c>
      <c r="AB872" s="2" t="s">
        <v>77</v>
      </c>
      <c r="AC872" s="2" t="s">
        <v>94</v>
      </c>
      <c r="AF872" s="2">
        <f t="shared" si="106"/>
        <v>0</v>
      </c>
      <c r="AJ872" s="2">
        <f t="shared" si="107"/>
        <v>0</v>
      </c>
      <c r="AK872" s="2">
        <f t="shared" si="108"/>
        <v>0</v>
      </c>
      <c r="AL872" s="5">
        <f t="shared" si="110"/>
        <v>0</v>
      </c>
    </row>
    <row r="873" spans="1:38" hidden="1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M873" s="2" t="s">
        <v>41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si="111"/>
        <v>0.41923076923076918</v>
      </c>
      <c r="Z873" s="2" t="s">
        <v>3231</v>
      </c>
      <c r="AA873" s="2" t="s">
        <v>46</v>
      </c>
      <c r="AB873" s="2" t="s">
        <v>57</v>
      </c>
      <c r="AC873" s="2" t="s">
        <v>58</v>
      </c>
      <c r="AF873" s="2">
        <f t="shared" si="106"/>
        <v>0</v>
      </c>
      <c r="AJ873" s="2">
        <f t="shared" si="107"/>
        <v>0</v>
      </c>
      <c r="AK873" s="2">
        <f t="shared" si="108"/>
        <v>6.5399999999999991</v>
      </c>
      <c r="AL873" s="5">
        <f t="shared" si="110"/>
        <v>0.41923076923076918</v>
      </c>
    </row>
    <row r="874" spans="1:38" hidden="1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M874" s="2" t="s">
        <v>41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11"/>
        <v>0.39885057471264357</v>
      </c>
      <c r="Z874" s="2" t="s">
        <v>3231</v>
      </c>
      <c r="AA874" s="2" t="s">
        <v>46</v>
      </c>
      <c r="AB874" s="2" t="s">
        <v>57</v>
      </c>
      <c r="AC874" s="2" t="s">
        <v>58</v>
      </c>
      <c r="AF874" s="2">
        <f t="shared" si="106"/>
        <v>0</v>
      </c>
      <c r="AJ874" s="2">
        <f t="shared" si="107"/>
        <v>0</v>
      </c>
      <c r="AK874" s="2">
        <f t="shared" si="108"/>
        <v>6.9399999999999977</v>
      </c>
      <c r="AL874" s="5">
        <f t="shared" si="110"/>
        <v>0.39885057471264357</v>
      </c>
    </row>
    <row r="875" spans="1:38" hidden="1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M875" s="2" t="s">
        <v>41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11"/>
        <v>0.21904761904761905</v>
      </c>
      <c r="Z875" s="2" t="s">
        <v>3231</v>
      </c>
      <c r="AA875" s="2" t="s">
        <v>46</v>
      </c>
      <c r="AB875" s="2" t="s">
        <v>61</v>
      </c>
      <c r="AC875" s="2" t="s">
        <v>58</v>
      </c>
      <c r="AF875" s="2">
        <f t="shared" si="106"/>
        <v>0</v>
      </c>
      <c r="AG875" s="2">
        <v>8.1999999999999993</v>
      </c>
      <c r="AH875" s="2">
        <v>13</v>
      </c>
      <c r="AJ875" s="2">
        <f t="shared" si="107"/>
        <v>0</v>
      </c>
      <c r="AK875" s="2">
        <f t="shared" si="108"/>
        <v>46</v>
      </c>
      <c r="AL875" s="5">
        <f t="shared" si="110"/>
        <v>0.21904761904761905</v>
      </c>
    </row>
    <row r="876" spans="1:38" hidden="1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11"/>
        <v>0.59999999999999987</v>
      </c>
      <c r="Z876" s="2" t="s">
        <v>118</v>
      </c>
      <c r="AA876" s="2" t="s">
        <v>191</v>
      </c>
      <c r="AB876" s="2" t="s">
        <v>190</v>
      </c>
      <c r="AC876" s="2" t="s">
        <v>40</v>
      </c>
      <c r="AF876" s="2">
        <f t="shared" si="106"/>
        <v>0</v>
      </c>
      <c r="AJ876" s="2">
        <f t="shared" si="107"/>
        <v>0</v>
      </c>
      <c r="AK876" s="2">
        <f t="shared" si="108"/>
        <v>76.199999999999989</v>
      </c>
      <c r="AL876" s="5">
        <f t="shared" si="110"/>
        <v>0.59999999999999987</v>
      </c>
    </row>
    <row r="877" spans="1:38" hidden="1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11"/>
        <v>0.5</v>
      </c>
      <c r="Z877" s="2" t="s">
        <v>118</v>
      </c>
      <c r="AA877" s="2" t="s">
        <v>191</v>
      </c>
      <c r="AB877" s="2" t="s">
        <v>191</v>
      </c>
      <c r="AC877" s="2" t="s">
        <v>40</v>
      </c>
      <c r="AF877" s="2">
        <f t="shared" si="106"/>
        <v>0</v>
      </c>
      <c r="AJ877" s="2">
        <f t="shared" si="107"/>
        <v>0</v>
      </c>
      <c r="AK877" s="2">
        <f t="shared" si="108"/>
        <v>25</v>
      </c>
      <c r="AL877" s="5">
        <f t="shared" si="110"/>
        <v>0.5</v>
      </c>
    </row>
    <row r="878" spans="1:38" hidden="1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M878" s="2" t="s">
        <v>40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11"/>
        <v>1</v>
      </c>
      <c r="Z878" s="2" t="s">
        <v>120</v>
      </c>
      <c r="AA878" s="2" t="s">
        <v>3385</v>
      </c>
      <c r="AF878" s="2">
        <f t="shared" si="106"/>
        <v>0</v>
      </c>
      <c r="AJ878" s="2">
        <f t="shared" si="107"/>
        <v>0</v>
      </c>
      <c r="AK878" s="2">
        <f t="shared" si="108"/>
        <v>101.5</v>
      </c>
      <c r="AL878" s="5">
        <f t="shared" si="110"/>
        <v>1</v>
      </c>
    </row>
    <row r="879" spans="1:38" hidden="1" x14ac:dyDescent="0.2">
      <c r="A879" s="2">
        <v>2025</v>
      </c>
      <c r="B879" s="2">
        <v>4</v>
      </c>
      <c r="D879" s="2" t="s">
        <v>1257</v>
      </c>
      <c r="P879" s="2" t="s">
        <v>73</v>
      </c>
      <c r="Q879" s="2" t="s">
        <v>1077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11"/>
        <v>0.38638461538461544</v>
      </c>
      <c r="Z879" s="2" t="s">
        <v>3231</v>
      </c>
      <c r="AA879" s="2" t="s">
        <v>76</v>
      </c>
      <c r="AB879" s="2" t="s">
        <v>77</v>
      </c>
      <c r="AC879" s="2" t="s">
        <v>78</v>
      </c>
      <c r="AF879" s="2">
        <f t="shared" si="106"/>
        <v>0</v>
      </c>
      <c r="AG879" s="2">
        <f>144.14+15.4</f>
        <v>159.54</v>
      </c>
      <c r="AH879" s="2">
        <v>280</v>
      </c>
      <c r="AJ879" s="2">
        <f t="shared" si="107"/>
        <v>0</v>
      </c>
      <c r="AK879" s="2">
        <f t="shared" si="108"/>
        <v>100.46000000000001</v>
      </c>
      <c r="AL879" s="5">
        <f t="shared" si="110"/>
        <v>0.38638461538461544</v>
      </c>
    </row>
    <row r="880" spans="1:38" hidden="1" x14ac:dyDescent="0.2">
      <c r="A880" s="2">
        <v>2025</v>
      </c>
      <c r="B880" s="2">
        <v>4</v>
      </c>
      <c r="D880" s="2" t="s">
        <v>1257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11"/>
        <v>0</v>
      </c>
      <c r="Z880" s="2" t="s">
        <v>3231</v>
      </c>
      <c r="AA880" s="2" t="s">
        <v>97</v>
      </c>
      <c r="AB880" s="2" t="s">
        <v>77</v>
      </c>
      <c r="AC880" s="2" t="s">
        <v>94</v>
      </c>
      <c r="AF880" s="2">
        <f t="shared" si="106"/>
        <v>0</v>
      </c>
      <c r="AJ880" s="2">
        <f t="shared" si="107"/>
        <v>0</v>
      </c>
      <c r="AK880" s="2">
        <f t="shared" si="108"/>
        <v>0</v>
      </c>
      <c r="AL880" s="5">
        <f t="shared" si="110"/>
        <v>0</v>
      </c>
    </row>
    <row r="881" spans="1:38" hidden="1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11"/>
        <v>1</v>
      </c>
      <c r="Z881" s="2" t="s">
        <v>120</v>
      </c>
      <c r="AA881" s="2" t="s">
        <v>493</v>
      </c>
      <c r="AF881" s="2">
        <f t="shared" si="106"/>
        <v>0</v>
      </c>
      <c r="AJ881" s="2">
        <f t="shared" si="107"/>
        <v>0</v>
      </c>
      <c r="AK881" s="2">
        <f t="shared" si="108"/>
        <v>1328.08</v>
      </c>
      <c r="AL881" s="5">
        <f t="shared" si="110"/>
        <v>1</v>
      </c>
    </row>
    <row r="882" spans="1:38" hidden="1" x14ac:dyDescent="0.2">
      <c r="A882" s="2">
        <v>2025</v>
      </c>
      <c r="B882" s="2">
        <v>4</v>
      </c>
      <c r="D882" s="2" t="s">
        <v>1258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11"/>
        <v>0.44069999999999998</v>
      </c>
      <c r="Z882" s="2" t="s">
        <v>3231</v>
      </c>
      <c r="AA882" s="2" t="s">
        <v>76</v>
      </c>
      <c r="AB882" s="2" t="s">
        <v>77</v>
      </c>
      <c r="AC882" s="2" t="s">
        <v>78</v>
      </c>
      <c r="AF882" s="2">
        <f t="shared" si="106"/>
        <v>0</v>
      </c>
      <c r="AG882" s="2">
        <v>117.453</v>
      </c>
      <c r="AH882" s="2">
        <v>220</v>
      </c>
      <c r="AJ882" s="2">
        <f t="shared" si="107"/>
        <v>0</v>
      </c>
      <c r="AK882" s="2">
        <f t="shared" si="108"/>
        <v>92.546999999999997</v>
      </c>
      <c r="AL882" s="5">
        <f t="shared" si="110"/>
        <v>0.44069999999999998</v>
      </c>
    </row>
    <row r="883" spans="1:38" hidden="1" x14ac:dyDescent="0.2">
      <c r="A883" s="2">
        <v>2025</v>
      </c>
      <c r="B883" s="2">
        <v>4</v>
      </c>
      <c r="D883" s="2" t="s">
        <v>1258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11"/>
        <v>0</v>
      </c>
      <c r="Z883" s="2" t="s">
        <v>3231</v>
      </c>
      <c r="AA883" s="2" t="s">
        <v>97</v>
      </c>
      <c r="AB883" s="2" t="s">
        <v>77</v>
      </c>
      <c r="AC883" s="2" t="s">
        <v>94</v>
      </c>
      <c r="AF883" s="2">
        <f t="shared" si="106"/>
        <v>0</v>
      </c>
      <c r="AJ883" s="2">
        <f t="shared" si="107"/>
        <v>0</v>
      </c>
      <c r="AK883" s="2">
        <f t="shared" si="108"/>
        <v>0</v>
      </c>
      <c r="AL883" s="5">
        <f t="shared" si="110"/>
        <v>0</v>
      </c>
    </row>
    <row r="884" spans="1:38" hidden="1" x14ac:dyDescent="0.2">
      <c r="A884" s="2">
        <v>2025</v>
      </c>
      <c r="B884" s="2">
        <v>4</v>
      </c>
      <c r="C884" s="2" t="s">
        <v>3413</v>
      </c>
      <c r="D884" s="2" t="s">
        <v>1259</v>
      </c>
      <c r="E884" s="2" t="s">
        <v>38</v>
      </c>
      <c r="F884" s="2" t="s">
        <v>39</v>
      </c>
      <c r="L884" s="2" t="s">
        <v>340</v>
      </c>
      <c r="M884" s="2" t="s">
        <v>40</v>
      </c>
      <c r="P884" s="2" t="s">
        <v>115</v>
      </c>
      <c r="Q884" s="2" t="s">
        <v>1260</v>
      </c>
      <c r="R884" s="2" t="s">
        <v>1261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11"/>
        <v>0.27554054054054056</v>
      </c>
      <c r="Z884" s="2" t="s">
        <v>105</v>
      </c>
      <c r="AA884" s="2" t="s">
        <v>617</v>
      </c>
      <c r="AB884" s="2" t="s">
        <v>152</v>
      </c>
      <c r="AC884" s="2" t="s">
        <v>115</v>
      </c>
      <c r="AF884" s="2">
        <f t="shared" si="106"/>
        <v>0</v>
      </c>
      <c r="AJ884" s="2">
        <f t="shared" si="107"/>
        <v>0</v>
      </c>
      <c r="AK884" s="2">
        <f t="shared" si="108"/>
        <v>2039</v>
      </c>
      <c r="AL884" s="5">
        <f t="shared" si="110"/>
        <v>0.27554054054054056</v>
      </c>
    </row>
    <row r="885" spans="1:38" hidden="1" x14ac:dyDescent="0.2">
      <c r="A885" s="2">
        <v>2025</v>
      </c>
      <c r="B885" s="2">
        <v>4</v>
      </c>
      <c r="D885" s="2" t="s">
        <v>1055</v>
      </c>
      <c r="E885" s="2" t="s">
        <v>184</v>
      </c>
      <c r="F885" s="2" t="s">
        <v>1056</v>
      </c>
      <c r="G885" s="2">
        <v>500199523</v>
      </c>
      <c r="H885" s="2" t="s">
        <v>291</v>
      </c>
      <c r="I885" s="2" t="s">
        <v>294</v>
      </c>
      <c r="J885" s="2" t="s">
        <v>1057</v>
      </c>
      <c r="L885" s="2" t="s">
        <v>294</v>
      </c>
      <c r="M885" s="2" t="s">
        <v>81</v>
      </c>
      <c r="O885" s="2" t="s">
        <v>1262</v>
      </c>
      <c r="P885" s="2" t="s">
        <v>73</v>
      </c>
      <c r="Q885" s="2" t="s">
        <v>1263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11"/>
        <v>0.51204545454545458</v>
      </c>
      <c r="Z885" s="2" t="s">
        <v>3231</v>
      </c>
      <c r="AA885" s="2" t="s">
        <v>76</v>
      </c>
      <c r="AB885" s="2" t="s">
        <v>77</v>
      </c>
      <c r="AC885" s="2" t="s">
        <v>78</v>
      </c>
      <c r="AF885" s="2">
        <f t="shared" si="106"/>
        <v>0</v>
      </c>
      <c r="AG885" s="2">
        <v>107.35</v>
      </c>
      <c r="AJ885" s="2">
        <f t="shared" si="107"/>
        <v>0</v>
      </c>
      <c r="AK885" s="2">
        <f t="shared" si="108"/>
        <v>112.65</v>
      </c>
      <c r="AL885" s="5">
        <f t="shared" si="110"/>
        <v>0.51204545454545458</v>
      </c>
    </row>
    <row r="886" spans="1:38" hidden="1" x14ac:dyDescent="0.2">
      <c r="A886" s="2">
        <v>2025</v>
      </c>
      <c r="B886" s="2">
        <v>4</v>
      </c>
      <c r="D886" s="2" t="s">
        <v>1055</v>
      </c>
      <c r="E886" s="2" t="s">
        <v>184</v>
      </c>
      <c r="F886" s="2" t="s">
        <v>1056</v>
      </c>
      <c r="G886" s="2">
        <v>500199523</v>
      </c>
      <c r="H886" s="2" t="s">
        <v>291</v>
      </c>
      <c r="I886" s="2" t="s">
        <v>294</v>
      </c>
      <c r="J886" s="2" t="s">
        <v>1057</v>
      </c>
      <c r="L886" s="2" t="s">
        <v>294</v>
      </c>
      <c r="M886" s="2" t="s">
        <v>81</v>
      </c>
      <c r="O886" s="2" t="s">
        <v>1262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11"/>
        <v>0.34285714285714286</v>
      </c>
      <c r="Z886" s="2" t="s">
        <v>170</v>
      </c>
      <c r="AA886" s="2" t="s">
        <v>170</v>
      </c>
      <c r="AF886" s="2">
        <f t="shared" si="106"/>
        <v>0</v>
      </c>
      <c r="AJ886" s="2">
        <f t="shared" si="107"/>
        <v>0</v>
      </c>
      <c r="AK886" s="2">
        <f t="shared" si="108"/>
        <v>12</v>
      </c>
      <c r="AL886" s="5">
        <f t="shared" si="110"/>
        <v>0.34285714285714286</v>
      </c>
    </row>
    <row r="887" spans="1:38" hidden="1" x14ac:dyDescent="0.2">
      <c r="A887" s="2">
        <v>2025</v>
      </c>
      <c r="B887" s="2">
        <v>4</v>
      </c>
      <c r="D887" s="2" t="s">
        <v>1055</v>
      </c>
      <c r="E887" s="2" t="s">
        <v>184</v>
      </c>
      <c r="F887" s="2" t="s">
        <v>1056</v>
      </c>
      <c r="G887" s="2">
        <v>500199523</v>
      </c>
      <c r="H887" s="2" t="s">
        <v>291</v>
      </c>
      <c r="I887" s="2" t="s">
        <v>294</v>
      </c>
      <c r="J887" s="2" t="s">
        <v>1057</v>
      </c>
      <c r="L887" s="2" t="s">
        <v>294</v>
      </c>
      <c r="M887" s="2" t="s">
        <v>81</v>
      </c>
      <c r="O887" s="2" t="s">
        <v>1262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11"/>
        <v>0</v>
      </c>
      <c r="Z887" s="2" t="s">
        <v>3231</v>
      </c>
      <c r="AA887" s="2" t="s">
        <v>97</v>
      </c>
      <c r="AB887" s="2" t="s">
        <v>77</v>
      </c>
      <c r="AC887" s="2" t="s">
        <v>94</v>
      </c>
      <c r="AF887" s="2">
        <f t="shared" si="106"/>
        <v>0</v>
      </c>
      <c r="AJ887" s="2">
        <f t="shared" si="107"/>
        <v>0</v>
      </c>
      <c r="AK887" s="2">
        <f t="shared" si="108"/>
        <v>0</v>
      </c>
      <c r="AL887" s="5">
        <f t="shared" si="110"/>
        <v>0</v>
      </c>
    </row>
    <row r="888" spans="1:38" hidden="1" x14ac:dyDescent="0.2">
      <c r="A888" s="2">
        <v>2025</v>
      </c>
      <c r="B888" s="2">
        <v>4</v>
      </c>
      <c r="D888" s="2" t="s">
        <v>1068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11"/>
        <v>1</v>
      </c>
      <c r="Z888" s="2" t="s">
        <v>120</v>
      </c>
      <c r="AA888" s="2" t="s">
        <v>3385</v>
      </c>
      <c r="AF888" s="2">
        <f t="shared" si="106"/>
        <v>0</v>
      </c>
      <c r="AJ888" s="2">
        <f t="shared" si="107"/>
        <v>0</v>
      </c>
      <c r="AK888" s="2">
        <f t="shared" si="108"/>
        <v>361.2</v>
      </c>
      <c r="AL888" s="5">
        <f t="shared" si="110"/>
        <v>1</v>
      </c>
    </row>
    <row r="889" spans="1:38" hidden="1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3138</v>
      </c>
      <c r="L889" s="2" t="s">
        <v>178</v>
      </c>
      <c r="M889" s="2" t="s">
        <v>41</v>
      </c>
      <c r="O889" s="2" t="s">
        <v>3140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11"/>
        <v>0.44777500000000003</v>
      </c>
      <c r="Z889" s="2" t="s">
        <v>3231</v>
      </c>
      <c r="AA889" s="2" t="s">
        <v>46</v>
      </c>
      <c r="AB889" s="2" t="s">
        <v>47</v>
      </c>
      <c r="AC889" s="2" t="s">
        <v>48</v>
      </c>
      <c r="AF889" s="2">
        <f t="shared" si="106"/>
        <v>0</v>
      </c>
      <c r="AG889" s="2">
        <v>6.6266999999999996</v>
      </c>
      <c r="AH889" s="2">
        <v>12</v>
      </c>
      <c r="AJ889" s="2">
        <f t="shared" si="107"/>
        <v>0</v>
      </c>
      <c r="AK889" s="2">
        <f t="shared" si="108"/>
        <v>10.746600000000001</v>
      </c>
      <c r="AL889" s="5">
        <f t="shared" si="110"/>
        <v>0.44777500000000003</v>
      </c>
    </row>
    <row r="890" spans="1:38" hidden="1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3138</v>
      </c>
      <c r="L890" s="2" t="s">
        <v>178</v>
      </c>
      <c r="M890" s="2" t="s">
        <v>41</v>
      </c>
      <c r="O890" s="2" t="s">
        <v>3140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11"/>
        <v>0.52105128205128204</v>
      </c>
      <c r="Z890" s="2" t="s">
        <v>3231</v>
      </c>
      <c r="AA890" s="2" t="s">
        <v>46</v>
      </c>
      <c r="AB890" s="2" t="s">
        <v>47</v>
      </c>
      <c r="AC890" s="2" t="s">
        <v>48</v>
      </c>
      <c r="AF890" s="2">
        <f t="shared" si="106"/>
        <v>0</v>
      </c>
      <c r="AG890" s="2">
        <v>3.7357999999999998</v>
      </c>
      <c r="AH890" s="2">
        <v>9</v>
      </c>
      <c r="AJ890" s="2">
        <f t="shared" si="107"/>
        <v>0</v>
      </c>
      <c r="AK890" s="2">
        <f t="shared" si="108"/>
        <v>4.0641999999999996</v>
      </c>
      <c r="AL890" s="5">
        <f t="shared" si="110"/>
        <v>0.52105128205128204</v>
      </c>
    </row>
    <row r="891" spans="1:38" hidden="1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11"/>
        <v>0.41111111111111115</v>
      </c>
      <c r="Z891" s="2" t="s">
        <v>3231</v>
      </c>
      <c r="AA891" s="2" t="s">
        <v>46</v>
      </c>
      <c r="AB891" s="2" t="s">
        <v>57</v>
      </c>
      <c r="AC891" s="2" t="s">
        <v>58</v>
      </c>
      <c r="AF891" s="2">
        <f t="shared" si="106"/>
        <v>0</v>
      </c>
      <c r="AG891" s="2">
        <v>10.6</v>
      </c>
      <c r="AH891" s="2">
        <v>18</v>
      </c>
      <c r="AJ891" s="2">
        <f t="shared" si="107"/>
        <v>0</v>
      </c>
      <c r="AK891" s="2">
        <f t="shared" si="108"/>
        <v>14.8</v>
      </c>
      <c r="AL891" s="5">
        <f t="shared" si="110"/>
        <v>0.41111111111111115</v>
      </c>
    </row>
    <row r="892" spans="1:38" hidden="1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11"/>
        <v>0.36923076923076914</v>
      </c>
      <c r="Z892" s="2" t="s">
        <v>3231</v>
      </c>
      <c r="AA892" s="2" t="s">
        <v>46</v>
      </c>
      <c r="AB892" s="2" t="s">
        <v>61</v>
      </c>
      <c r="AC892" s="2" t="s">
        <v>58</v>
      </c>
      <c r="AF892" s="2">
        <f t="shared" si="106"/>
        <v>0</v>
      </c>
      <c r="AG892" s="2">
        <v>8.1999999999999993</v>
      </c>
      <c r="AH892" s="2">
        <v>13</v>
      </c>
      <c r="AJ892" s="2">
        <f t="shared" si="107"/>
        <v>0</v>
      </c>
      <c r="AK892" s="2">
        <f t="shared" si="108"/>
        <v>4.7999999999999989</v>
      </c>
      <c r="AL892" s="5">
        <f t="shared" si="110"/>
        <v>0.36923076923076914</v>
      </c>
    </row>
    <row r="893" spans="1:38" hidden="1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11"/>
        <v>0.30138139534883718</v>
      </c>
      <c r="Z893" s="2" t="s">
        <v>3231</v>
      </c>
      <c r="AA893" s="2" t="s">
        <v>46</v>
      </c>
      <c r="AB893" s="2" t="s">
        <v>68</v>
      </c>
      <c r="AC893" s="2" t="s">
        <v>58</v>
      </c>
      <c r="AF893" s="2">
        <f t="shared" si="106"/>
        <v>0</v>
      </c>
      <c r="AG893" s="2">
        <v>15.020300000000001</v>
      </c>
      <c r="AH893" s="2">
        <v>27.6</v>
      </c>
      <c r="AJ893" s="2">
        <f t="shared" si="107"/>
        <v>0</v>
      </c>
      <c r="AK893" s="2">
        <f t="shared" si="108"/>
        <v>6.4796999999999993</v>
      </c>
      <c r="AL893" s="5">
        <f t="shared" si="110"/>
        <v>0.30138139534883718</v>
      </c>
    </row>
    <row r="894" spans="1:38" hidden="1" x14ac:dyDescent="0.2">
      <c r="A894" s="2">
        <v>2025</v>
      </c>
      <c r="B894" s="2">
        <v>4</v>
      </c>
      <c r="D894" s="2" t="s">
        <v>869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870</v>
      </c>
      <c r="J894" s="2" t="s">
        <v>871</v>
      </c>
      <c r="K894" s="2">
        <v>933599817</v>
      </c>
      <c r="L894" s="2" t="s">
        <v>100</v>
      </c>
      <c r="P894" s="2" t="s">
        <v>283</v>
      </c>
      <c r="Q894" s="2" t="s">
        <v>1071</v>
      </c>
      <c r="R894" s="2" t="s">
        <v>1072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11"/>
        <v>0.33387665198237887</v>
      </c>
      <c r="Z894" s="2" t="s">
        <v>3231</v>
      </c>
      <c r="AA894" s="2" t="s">
        <v>72</v>
      </c>
      <c r="AB894" s="2" t="s">
        <v>120</v>
      </c>
      <c r="AC894" s="2" t="s">
        <v>120</v>
      </c>
      <c r="AF894" s="2">
        <f t="shared" si="106"/>
        <v>0</v>
      </c>
      <c r="AJ894" s="2">
        <f t="shared" si="107"/>
        <v>0</v>
      </c>
      <c r="AK894" s="2">
        <f t="shared" si="108"/>
        <v>6.0632000000000001</v>
      </c>
      <c r="AL894" s="5">
        <f t="shared" si="110"/>
        <v>0.33387665198237887</v>
      </c>
    </row>
    <row r="895" spans="1:38" hidden="1" x14ac:dyDescent="0.2">
      <c r="A895" s="2">
        <v>2025</v>
      </c>
      <c r="B895" s="2">
        <v>4</v>
      </c>
      <c r="D895" s="2" t="s">
        <v>875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11"/>
        <v>0.33729545454545462</v>
      </c>
      <c r="Z895" s="2" t="s">
        <v>3231</v>
      </c>
      <c r="AA895" s="2" t="s">
        <v>76</v>
      </c>
      <c r="AB895" s="2" t="s">
        <v>77</v>
      </c>
      <c r="AC895" s="2" t="s">
        <v>78</v>
      </c>
      <c r="AF895" s="2">
        <f t="shared" si="106"/>
        <v>0</v>
      </c>
      <c r="AG895" s="2">
        <v>291.58999999999997</v>
      </c>
      <c r="AH895" s="2">
        <v>450</v>
      </c>
      <c r="AJ895" s="2">
        <f t="shared" si="107"/>
        <v>0</v>
      </c>
      <c r="AK895" s="2">
        <f t="shared" si="108"/>
        <v>148.41000000000003</v>
      </c>
      <c r="AL895" s="5">
        <f t="shared" si="110"/>
        <v>0.33729545454545462</v>
      </c>
    </row>
    <row r="896" spans="1:38" hidden="1" x14ac:dyDescent="0.2">
      <c r="A896" s="2">
        <v>2025</v>
      </c>
      <c r="B896" s="2">
        <v>4</v>
      </c>
      <c r="D896" s="2" t="s">
        <v>875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11"/>
        <v>0</v>
      </c>
      <c r="Z896" s="2" t="s">
        <v>3231</v>
      </c>
      <c r="AA896" s="2" t="s">
        <v>97</v>
      </c>
      <c r="AB896" s="2" t="s">
        <v>77</v>
      </c>
      <c r="AC896" s="2" t="s">
        <v>94</v>
      </c>
      <c r="AF896" s="2">
        <f t="shared" si="106"/>
        <v>0</v>
      </c>
      <c r="AJ896" s="2">
        <f t="shared" si="107"/>
        <v>0</v>
      </c>
      <c r="AK896" s="2">
        <f t="shared" si="108"/>
        <v>0</v>
      </c>
      <c r="AL896" s="5">
        <f t="shared" si="110"/>
        <v>0</v>
      </c>
    </row>
    <row r="897" spans="1:38" hidden="1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1264</v>
      </c>
      <c r="P897" s="2" t="s">
        <v>73</v>
      </c>
      <c r="Q897" s="2" t="s">
        <v>682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11"/>
        <v>0.50242857142857145</v>
      </c>
      <c r="Z897" s="2" t="s">
        <v>3231</v>
      </c>
      <c r="AA897" s="2" t="s">
        <v>76</v>
      </c>
      <c r="AB897" s="2" t="s">
        <v>77</v>
      </c>
      <c r="AC897" s="2" t="s">
        <v>78</v>
      </c>
      <c r="AF897" s="2">
        <f t="shared" si="106"/>
        <v>0</v>
      </c>
      <c r="AG897" s="2">
        <v>104.49</v>
      </c>
      <c r="AH897" s="2">
        <v>220</v>
      </c>
      <c r="AJ897" s="2">
        <f t="shared" si="107"/>
        <v>0</v>
      </c>
      <c r="AK897" s="2">
        <f t="shared" si="108"/>
        <v>105.51</v>
      </c>
      <c r="AL897" s="5">
        <f t="shared" si="110"/>
        <v>0.50242857142857145</v>
      </c>
    </row>
    <row r="898" spans="1:38" hidden="1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1264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11"/>
        <v>0</v>
      </c>
      <c r="Z898" s="2" t="s">
        <v>3231</v>
      </c>
      <c r="AA898" s="2" t="s">
        <v>97</v>
      </c>
      <c r="AB898" s="2" t="s">
        <v>77</v>
      </c>
      <c r="AC898" s="2" t="s">
        <v>94</v>
      </c>
      <c r="AF898" s="2">
        <f t="shared" ref="AF898:AF960" si="112">AJ898</f>
        <v>0</v>
      </c>
      <c r="AG898" s="2">
        <v>1.1399999999999999</v>
      </c>
      <c r="AH898" s="2">
        <v>1.1399999999999999</v>
      </c>
      <c r="AJ898" s="2">
        <f t="shared" ref="AJ898:AJ960" si="113">AI898*T898</f>
        <v>0</v>
      </c>
      <c r="AK898" s="2">
        <f t="shared" ref="AK898:AK960" si="114">T898-W898</f>
        <v>0</v>
      </c>
      <c r="AL898" s="5">
        <f t="shared" si="110"/>
        <v>0</v>
      </c>
    </row>
    <row r="899" spans="1:38" hidden="1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1265</v>
      </c>
      <c r="R899" s="2" t="s">
        <v>1266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5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2"/>
        <v>0</v>
      </c>
      <c r="AJ899" s="2">
        <f t="shared" si="113"/>
        <v>0</v>
      </c>
      <c r="AK899" s="2">
        <f t="shared" si="114"/>
        <v>12.1853</v>
      </c>
      <c r="AL899" s="5">
        <f t="shared" si="110"/>
        <v>0.78869255663430426</v>
      </c>
    </row>
    <row r="900" spans="1:38" hidden="1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1267</v>
      </c>
      <c r="R900" s="2" t="s">
        <v>1268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5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2"/>
        <v>0</v>
      </c>
      <c r="AJ900" s="2">
        <f t="shared" si="113"/>
        <v>0</v>
      </c>
      <c r="AK900" s="2">
        <f t="shared" si="114"/>
        <v>21.43</v>
      </c>
      <c r="AL900" s="5">
        <f t="shared" si="110"/>
        <v>0.43354238316811655</v>
      </c>
    </row>
    <row r="901" spans="1:38" hidden="1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1269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5"/>
        <v>3.9763033175355386E-2</v>
      </c>
      <c r="Z901" s="2" t="s">
        <v>3231</v>
      </c>
      <c r="AA901" s="2" t="s">
        <v>76</v>
      </c>
      <c r="AB901" s="2" t="s">
        <v>77</v>
      </c>
      <c r="AC901" s="2" t="s">
        <v>78</v>
      </c>
      <c r="AF901" s="2">
        <f t="shared" si="112"/>
        <v>0</v>
      </c>
      <c r="AG901" s="2">
        <v>101.30500000000001</v>
      </c>
      <c r="AH901" s="2">
        <v>190</v>
      </c>
      <c r="AJ901" s="2">
        <f t="shared" si="113"/>
        <v>0</v>
      </c>
      <c r="AK901" s="2">
        <f t="shared" si="114"/>
        <v>12.58499999999998</v>
      </c>
      <c r="AL901" s="5">
        <f t="shared" si="110"/>
        <v>3.9763033175355386E-2</v>
      </c>
    </row>
    <row r="902" spans="1:38" hidden="1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3153</v>
      </c>
      <c r="P902" s="2" t="s">
        <v>1040</v>
      </c>
      <c r="Q902" s="2" t="s">
        <v>1270</v>
      </c>
      <c r="R902" s="2" t="s">
        <v>1271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5"/>
        <v>0.14893617021276598</v>
      </c>
      <c r="Z902" s="2" t="s">
        <v>3231</v>
      </c>
      <c r="AA902" s="2" t="s">
        <v>1043</v>
      </c>
      <c r="AB902" s="2" t="s">
        <v>1272</v>
      </c>
      <c r="AC902" s="2" t="s">
        <v>1040</v>
      </c>
      <c r="AF902" s="2">
        <f t="shared" si="112"/>
        <v>0</v>
      </c>
      <c r="AG902" s="2">
        <v>94</v>
      </c>
      <c r="AJ902" s="2">
        <f t="shared" si="113"/>
        <v>0</v>
      </c>
      <c r="AK902" s="2">
        <f t="shared" si="114"/>
        <v>131.60000000000002</v>
      </c>
      <c r="AL902" s="5">
        <f t="shared" si="110"/>
        <v>0.14893617021276598</v>
      </c>
    </row>
    <row r="903" spans="1:38" hidden="1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5"/>
        <v>0.6</v>
      </c>
      <c r="Z903" s="2" t="s">
        <v>118</v>
      </c>
      <c r="AA903" s="2" t="s">
        <v>191</v>
      </c>
      <c r="AB903" s="2" t="s">
        <v>190</v>
      </c>
      <c r="AC903" s="2" t="s">
        <v>40</v>
      </c>
      <c r="AF903" s="2">
        <f t="shared" si="112"/>
        <v>0</v>
      </c>
      <c r="AJ903" s="2">
        <f t="shared" si="113"/>
        <v>0</v>
      </c>
      <c r="AK903" s="2">
        <f t="shared" si="114"/>
        <v>82.8</v>
      </c>
      <c r="AL903" s="5">
        <f t="shared" si="110"/>
        <v>0.6</v>
      </c>
    </row>
    <row r="904" spans="1:38" hidden="1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5"/>
        <v>0.5</v>
      </c>
      <c r="Z904" s="2" t="s">
        <v>118</v>
      </c>
      <c r="AA904" s="2" t="s">
        <v>191</v>
      </c>
      <c r="AB904" s="2" t="s">
        <v>191</v>
      </c>
      <c r="AC904" s="2" t="s">
        <v>40</v>
      </c>
      <c r="AF904" s="2">
        <f t="shared" si="112"/>
        <v>0</v>
      </c>
      <c r="AJ904" s="2">
        <f t="shared" si="113"/>
        <v>0</v>
      </c>
      <c r="AK904" s="2">
        <f t="shared" si="114"/>
        <v>25</v>
      </c>
      <c r="AL904" s="5">
        <f t="shared" si="110"/>
        <v>0.5</v>
      </c>
    </row>
    <row r="905" spans="1:38" hidden="1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5"/>
        <v>1</v>
      </c>
      <c r="Z905" s="2" t="s">
        <v>170</v>
      </c>
      <c r="AA905" s="2" t="s">
        <v>170</v>
      </c>
      <c r="AF905" s="2">
        <f t="shared" si="112"/>
        <v>0</v>
      </c>
      <c r="AJ905" s="2">
        <f t="shared" si="113"/>
        <v>0</v>
      </c>
      <c r="AK905" s="2">
        <f t="shared" si="114"/>
        <v>105</v>
      </c>
      <c r="AL905" s="5">
        <f t="shared" si="110"/>
        <v>1</v>
      </c>
    </row>
    <row r="906" spans="1:38" hidden="1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5"/>
        <v>0</v>
      </c>
      <c r="Z906" s="2" t="s">
        <v>3231</v>
      </c>
      <c r="AA906" s="2" t="s">
        <v>97</v>
      </c>
      <c r="AB906" s="2" t="s">
        <v>77</v>
      </c>
      <c r="AC906" s="2" t="s">
        <v>94</v>
      </c>
      <c r="AF906" s="2">
        <f t="shared" si="112"/>
        <v>0</v>
      </c>
      <c r="AJ906" s="2">
        <f t="shared" si="113"/>
        <v>0</v>
      </c>
      <c r="AK906" s="2">
        <f t="shared" si="114"/>
        <v>0</v>
      </c>
      <c r="AL906" s="5">
        <f t="shared" si="110"/>
        <v>0</v>
      </c>
    </row>
    <row r="907" spans="1:38" hidden="1" x14ac:dyDescent="0.2">
      <c r="A907" s="2">
        <v>2025</v>
      </c>
      <c r="B907" s="2">
        <v>4</v>
      </c>
      <c r="D907" s="2" t="s">
        <v>1273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1274</v>
      </c>
      <c r="J907" s="2" t="s">
        <v>1275</v>
      </c>
      <c r="L907" s="2" t="s">
        <v>178</v>
      </c>
      <c r="M907" s="2" t="s">
        <v>40</v>
      </c>
      <c r="O907" s="2" t="s">
        <v>1276</v>
      </c>
      <c r="P907" s="2" t="s">
        <v>115</v>
      </c>
      <c r="Q907" s="2" t="s">
        <v>1079</v>
      </c>
      <c r="R907" s="2" t="s">
        <v>1080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5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2"/>
        <v>0</v>
      </c>
      <c r="AG907" s="2">
        <v>74.795000000000002</v>
      </c>
      <c r="AJ907" s="2">
        <f t="shared" si="113"/>
        <v>0</v>
      </c>
      <c r="AK907" s="2">
        <f t="shared" si="114"/>
        <v>84.135000000000005</v>
      </c>
      <c r="AL907" s="5">
        <f t="shared" si="110"/>
        <v>0.52938400553702891</v>
      </c>
    </row>
    <row r="908" spans="1:38" hidden="1" x14ac:dyDescent="0.2">
      <c r="A908" s="2">
        <v>2025</v>
      </c>
      <c r="B908" s="2">
        <v>4</v>
      </c>
      <c r="D908" s="2" t="s">
        <v>1277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1278</v>
      </c>
      <c r="J908" s="2" t="s">
        <v>1279</v>
      </c>
      <c r="L908" s="2" t="s">
        <v>340</v>
      </c>
      <c r="M908" s="2" t="s">
        <v>40</v>
      </c>
      <c r="O908" s="2" t="s">
        <v>1280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5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2"/>
        <v>0</v>
      </c>
      <c r="AG908" s="2">
        <v>3.3595999999999999</v>
      </c>
      <c r="AJ908" s="2">
        <f t="shared" si="113"/>
        <v>0</v>
      </c>
      <c r="AK908" s="2">
        <f t="shared" si="114"/>
        <v>3.7504000000000004</v>
      </c>
      <c r="AL908" s="5">
        <f t="shared" si="110"/>
        <v>0.52748241912798877</v>
      </c>
    </row>
    <row r="909" spans="1:38" hidden="1" x14ac:dyDescent="0.2">
      <c r="A909" s="2">
        <v>2025</v>
      </c>
      <c r="B909" s="2">
        <v>4</v>
      </c>
      <c r="D909" s="2" t="s">
        <v>1277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1278</v>
      </c>
      <c r="J909" s="2" t="s">
        <v>1279</v>
      </c>
      <c r="L909" s="2" t="s">
        <v>340</v>
      </c>
      <c r="M909" s="2" t="s">
        <v>40</v>
      </c>
      <c r="O909" s="2" t="s">
        <v>1280</v>
      </c>
      <c r="P909" s="2" t="s">
        <v>115</v>
      </c>
      <c r="Q909" s="6" t="s">
        <v>1281</v>
      </c>
      <c r="R909" s="2" t="s">
        <v>1282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5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2"/>
        <v>0</v>
      </c>
      <c r="AG909" s="2">
        <v>3.3188</v>
      </c>
      <c r="AJ909" s="2">
        <f t="shared" si="113"/>
        <v>0</v>
      </c>
      <c r="AK909" s="2">
        <f t="shared" si="114"/>
        <v>3.7811999999999997</v>
      </c>
      <c r="AL909" s="5">
        <f t="shared" si="110"/>
        <v>0.53256338028169015</v>
      </c>
    </row>
    <row r="910" spans="1:38" hidden="1" x14ac:dyDescent="0.2">
      <c r="A910" s="2">
        <v>2025</v>
      </c>
      <c r="B910" s="2">
        <v>4</v>
      </c>
      <c r="D910" s="2" t="s">
        <v>1277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5"/>
        <v>0.6</v>
      </c>
      <c r="Z910" s="2" t="s">
        <v>118</v>
      </c>
      <c r="AA910" s="2" t="s">
        <v>191</v>
      </c>
      <c r="AB910" s="2" t="s">
        <v>190</v>
      </c>
      <c r="AC910" s="2" t="s">
        <v>40</v>
      </c>
      <c r="AF910" s="2">
        <f t="shared" si="112"/>
        <v>0</v>
      </c>
      <c r="AJ910" s="2">
        <f t="shared" si="113"/>
        <v>0</v>
      </c>
      <c r="AK910" s="2">
        <f t="shared" si="114"/>
        <v>45</v>
      </c>
      <c r="AL910" s="5">
        <f t="shared" si="110"/>
        <v>0.6</v>
      </c>
    </row>
    <row r="911" spans="1:38" hidden="1" x14ac:dyDescent="0.2">
      <c r="A911" s="2">
        <v>2025</v>
      </c>
      <c r="B911" s="2">
        <v>4</v>
      </c>
      <c r="D911" s="2" t="s">
        <v>1277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5"/>
        <v>0.5</v>
      </c>
      <c r="Z911" s="2" t="s">
        <v>118</v>
      </c>
      <c r="AA911" s="2" t="s">
        <v>191</v>
      </c>
      <c r="AB911" s="2" t="s">
        <v>191</v>
      </c>
      <c r="AC911" s="2" t="s">
        <v>40</v>
      </c>
      <c r="AF911" s="2">
        <f t="shared" si="112"/>
        <v>0</v>
      </c>
      <c r="AJ911" s="2">
        <f t="shared" si="113"/>
        <v>0</v>
      </c>
      <c r="AK911" s="2">
        <f t="shared" si="114"/>
        <v>49.994999999999997</v>
      </c>
      <c r="AL911" s="5">
        <f t="shared" si="110"/>
        <v>0.5</v>
      </c>
    </row>
    <row r="912" spans="1:38" hidden="1" x14ac:dyDescent="0.2">
      <c r="A912" s="2">
        <v>2025</v>
      </c>
      <c r="B912" s="2">
        <v>4</v>
      </c>
      <c r="C912" s="2" t="s">
        <v>3413</v>
      </c>
      <c r="D912" s="2" t="s">
        <v>1283</v>
      </c>
      <c r="E912" s="2" t="s">
        <v>184</v>
      </c>
      <c r="F912" s="2" t="s">
        <v>2998</v>
      </c>
      <c r="L912" s="2" t="s">
        <v>100</v>
      </c>
      <c r="M912" s="2" t="s">
        <v>81</v>
      </c>
      <c r="P912" s="2" t="s">
        <v>283</v>
      </c>
      <c r="Q912" s="2" t="s">
        <v>1284</v>
      </c>
      <c r="R912" s="2" t="s">
        <v>1285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5"/>
        <v>0.19244186046511627</v>
      </c>
      <c r="Z912" s="2" t="s">
        <v>105</v>
      </c>
      <c r="AA912" s="2" t="s">
        <v>1578</v>
      </c>
      <c r="AB912" s="2" t="s">
        <v>389</v>
      </c>
      <c r="AC912" s="2" t="s">
        <v>1329</v>
      </c>
      <c r="AF912" s="2">
        <f t="shared" si="112"/>
        <v>0</v>
      </c>
      <c r="AJ912" s="2">
        <f t="shared" si="113"/>
        <v>0</v>
      </c>
      <c r="AK912" s="2">
        <f t="shared" si="114"/>
        <v>331</v>
      </c>
      <c r="AL912" s="5">
        <f t="shared" si="110"/>
        <v>0.19244186046511627</v>
      </c>
    </row>
    <row r="913" spans="1:38" hidden="1" x14ac:dyDescent="0.2">
      <c r="A913" s="2">
        <v>2025</v>
      </c>
      <c r="B913" s="2">
        <v>4</v>
      </c>
      <c r="C913" s="2" t="s">
        <v>3413</v>
      </c>
      <c r="D913" s="2" t="s">
        <v>1283</v>
      </c>
      <c r="E913" s="2" t="s">
        <v>184</v>
      </c>
      <c r="F913" s="2" t="s">
        <v>2998</v>
      </c>
      <c r="L913" s="2" t="s">
        <v>100</v>
      </c>
      <c r="M913" s="2" t="s">
        <v>81</v>
      </c>
      <c r="P913" s="2" t="s">
        <v>283</v>
      </c>
      <c r="Q913" s="2" t="s">
        <v>1286</v>
      </c>
      <c r="R913" s="2" t="s">
        <v>1287</v>
      </c>
      <c r="S913" s="2">
        <v>1</v>
      </c>
      <c r="T913" s="2">
        <v>0</v>
      </c>
      <c r="U913" s="2">
        <f t="shared" ref="U913:U916" si="116">T913*23%</f>
        <v>0</v>
      </c>
      <c r="V913" s="2">
        <f t="shared" ref="V913:V917" si="117">T913+U913</f>
        <v>0</v>
      </c>
      <c r="W913" s="2">
        <v>0</v>
      </c>
      <c r="X913" s="5">
        <v>0</v>
      </c>
      <c r="Z913" s="2" t="s">
        <v>105</v>
      </c>
      <c r="AA913" s="2" t="s">
        <v>1578</v>
      </c>
      <c r="AB913" s="2" t="s">
        <v>389</v>
      </c>
      <c r="AC913" s="2" t="s">
        <v>1329</v>
      </c>
      <c r="AF913" s="2">
        <f t="shared" si="112"/>
        <v>0</v>
      </c>
      <c r="AJ913" s="2">
        <f t="shared" si="113"/>
        <v>0</v>
      </c>
      <c r="AK913" s="2">
        <f t="shared" si="114"/>
        <v>0</v>
      </c>
      <c r="AL913" s="5" t="e">
        <f t="shared" si="110"/>
        <v>#DIV/0!</v>
      </c>
    </row>
    <row r="914" spans="1:38" hidden="1" x14ac:dyDescent="0.2">
      <c r="A914" s="2">
        <v>2025</v>
      </c>
      <c r="B914" s="2">
        <v>4</v>
      </c>
      <c r="C914" s="2" t="s">
        <v>3413</v>
      </c>
      <c r="D914" s="2" t="s">
        <v>1283</v>
      </c>
      <c r="E914" s="2" t="s">
        <v>184</v>
      </c>
      <c r="F914" s="2" t="s">
        <v>2998</v>
      </c>
      <c r="L914" s="2" t="s">
        <v>100</v>
      </c>
      <c r="M914" s="2" t="s">
        <v>81</v>
      </c>
      <c r="P914" s="2" t="s">
        <v>283</v>
      </c>
      <c r="Q914" s="2" t="s">
        <v>1288</v>
      </c>
      <c r="R914" s="2" t="s">
        <v>1289</v>
      </c>
      <c r="S914" s="2">
        <v>1</v>
      </c>
      <c r="T914" s="2">
        <v>1530</v>
      </c>
      <c r="U914" s="2">
        <f t="shared" si="116"/>
        <v>351.90000000000003</v>
      </c>
      <c r="V914" s="2">
        <f t="shared" si="117"/>
        <v>1881.9</v>
      </c>
      <c r="W914" s="2">
        <v>1150</v>
      </c>
      <c r="X914" s="5">
        <f t="shared" si="115"/>
        <v>0.24836601307189543</v>
      </c>
      <c r="Z914" s="2" t="s">
        <v>105</v>
      </c>
      <c r="AA914" s="2" t="s">
        <v>1578</v>
      </c>
      <c r="AB914" s="2" t="s">
        <v>389</v>
      </c>
      <c r="AC914" s="2" t="s">
        <v>1329</v>
      </c>
      <c r="AF914" s="2">
        <f t="shared" si="112"/>
        <v>0</v>
      </c>
      <c r="AJ914" s="2">
        <f t="shared" si="113"/>
        <v>0</v>
      </c>
      <c r="AK914" s="2">
        <f t="shared" si="114"/>
        <v>380</v>
      </c>
      <c r="AL914" s="5">
        <f t="shared" ref="AL914:AL976" si="118">(T914-W914)/T914</f>
        <v>0.24836601307189543</v>
      </c>
    </row>
    <row r="915" spans="1:38" hidden="1" x14ac:dyDescent="0.2">
      <c r="A915" s="2">
        <v>2025</v>
      </c>
      <c r="B915" s="2">
        <v>4</v>
      </c>
      <c r="C915" s="2" t="s">
        <v>3413</v>
      </c>
      <c r="D915" s="2" t="s">
        <v>1283</v>
      </c>
      <c r="E915" s="2" t="s">
        <v>184</v>
      </c>
      <c r="F915" s="2" t="s">
        <v>2998</v>
      </c>
      <c r="L915" s="2" t="s">
        <v>100</v>
      </c>
      <c r="M915" s="2" t="s">
        <v>81</v>
      </c>
      <c r="P915" s="2" t="s">
        <v>283</v>
      </c>
      <c r="Q915" s="2" t="s">
        <v>1160</v>
      </c>
      <c r="R915" s="2" t="s">
        <v>1161</v>
      </c>
      <c r="S915" s="2">
        <v>1</v>
      </c>
      <c r="T915" s="2">
        <v>0</v>
      </c>
      <c r="U915" s="2">
        <f t="shared" si="116"/>
        <v>0</v>
      </c>
      <c r="V915" s="2">
        <f t="shared" si="117"/>
        <v>0</v>
      </c>
      <c r="W915" s="2">
        <v>0</v>
      </c>
      <c r="X915" s="5">
        <v>0</v>
      </c>
      <c r="Z915" s="2" t="s">
        <v>105</v>
      </c>
      <c r="AA915" s="2" t="s">
        <v>1578</v>
      </c>
      <c r="AB915" s="2" t="s">
        <v>389</v>
      </c>
      <c r="AC915" s="2" t="s">
        <v>1329</v>
      </c>
      <c r="AF915" s="2">
        <f t="shared" si="112"/>
        <v>0</v>
      </c>
      <c r="AJ915" s="2">
        <f t="shared" si="113"/>
        <v>0</v>
      </c>
      <c r="AK915" s="2">
        <f t="shared" si="114"/>
        <v>0</v>
      </c>
      <c r="AL915" s="5" t="e">
        <f t="shared" si="118"/>
        <v>#DIV/0!</v>
      </c>
    </row>
    <row r="916" spans="1:38" hidden="1" x14ac:dyDescent="0.2">
      <c r="A916" s="2">
        <v>2025</v>
      </c>
      <c r="B916" s="2">
        <v>4</v>
      </c>
      <c r="C916" s="2" t="s">
        <v>3413</v>
      </c>
      <c r="D916" s="2" t="s">
        <v>1283</v>
      </c>
      <c r="E916" s="2" t="s">
        <v>184</v>
      </c>
      <c r="F916" s="2" t="s">
        <v>2998</v>
      </c>
      <c r="L916" s="2" t="s">
        <v>100</v>
      </c>
      <c r="M916" s="2" t="s">
        <v>81</v>
      </c>
      <c r="P916" s="2" t="s">
        <v>283</v>
      </c>
      <c r="Q916" s="2" t="s">
        <v>1290</v>
      </c>
      <c r="R916" s="2" t="s">
        <v>1291</v>
      </c>
      <c r="S916" s="2">
        <v>1</v>
      </c>
      <c r="T916" s="2">
        <v>0</v>
      </c>
      <c r="U916" s="2">
        <f t="shared" si="116"/>
        <v>0</v>
      </c>
      <c r="V916" s="2">
        <f t="shared" si="117"/>
        <v>0</v>
      </c>
      <c r="W916" s="2">
        <v>0</v>
      </c>
      <c r="X916" s="5">
        <v>0</v>
      </c>
      <c r="Z916" s="2" t="s">
        <v>105</v>
      </c>
      <c r="AA916" s="2" t="s">
        <v>1578</v>
      </c>
      <c r="AB916" s="2" t="s">
        <v>389</v>
      </c>
      <c r="AC916" s="2" t="s">
        <v>1329</v>
      </c>
      <c r="AF916" s="2">
        <f t="shared" si="112"/>
        <v>0</v>
      </c>
      <c r="AJ916" s="2">
        <f t="shared" si="113"/>
        <v>0</v>
      </c>
      <c r="AK916" s="2">
        <f t="shared" si="114"/>
        <v>0</v>
      </c>
      <c r="AL916" s="5" t="e">
        <f t="shared" si="118"/>
        <v>#DIV/0!</v>
      </c>
    </row>
    <row r="917" spans="1:38" hidden="1" x14ac:dyDescent="0.2">
      <c r="A917" s="2">
        <v>2025</v>
      </c>
      <c r="B917" s="2">
        <v>4</v>
      </c>
      <c r="D917" s="2" t="s">
        <v>1292</v>
      </c>
      <c r="M917" s="2" t="s">
        <v>81</v>
      </c>
      <c r="P917" s="2" t="s">
        <v>115</v>
      </c>
      <c r="Q917" s="2" t="s">
        <v>1293</v>
      </c>
      <c r="R917" s="2" t="s">
        <v>1294</v>
      </c>
      <c r="S917" s="2">
        <v>1</v>
      </c>
      <c r="T917" s="2">
        <v>726.89</v>
      </c>
      <c r="U917" s="2">
        <f>T917*23%</f>
        <v>167.18469999999999</v>
      </c>
      <c r="V917" s="2">
        <f t="shared" si="117"/>
        <v>894.07470000000001</v>
      </c>
      <c r="W917" s="2">
        <v>412.05500000000001</v>
      </c>
      <c r="X917" s="5">
        <f t="shared" si="115"/>
        <v>0.43312605758780554</v>
      </c>
      <c r="Z917" s="2" t="s">
        <v>118</v>
      </c>
      <c r="AA917" s="2" t="s">
        <v>119</v>
      </c>
      <c r="AB917" s="2" t="s">
        <v>120</v>
      </c>
      <c r="AC917" s="2" t="s">
        <v>115</v>
      </c>
      <c r="AF917" s="2">
        <f t="shared" si="112"/>
        <v>0</v>
      </c>
      <c r="AJ917" s="2">
        <f t="shared" si="113"/>
        <v>0</v>
      </c>
      <c r="AK917" s="2">
        <f t="shared" si="114"/>
        <v>314.83499999999998</v>
      </c>
      <c r="AL917" s="5">
        <f t="shared" si="118"/>
        <v>0.43312605758780554</v>
      </c>
    </row>
    <row r="918" spans="1:38" hidden="1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1295</v>
      </c>
      <c r="R918" s="2" t="s">
        <v>1296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5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2"/>
        <v>0</v>
      </c>
      <c r="AJ918" s="2">
        <f t="shared" si="113"/>
        <v>0</v>
      </c>
      <c r="AK918" s="2">
        <f t="shared" si="114"/>
        <v>298.61</v>
      </c>
      <c r="AL918" s="5">
        <f t="shared" si="118"/>
        <v>0.51056663133057489</v>
      </c>
    </row>
    <row r="919" spans="1:38" hidden="1" x14ac:dyDescent="0.2">
      <c r="A919" s="2">
        <v>2025</v>
      </c>
      <c r="B919" s="2">
        <v>4</v>
      </c>
      <c r="D919" s="2" t="s">
        <v>1297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1298</v>
      </c>
      <c r="L919" s="2" t="s">
        <v>340</v>
      </c>
      <c r="M919" s="2" t="s">
        <v>81</v>
      </c>
      <c r="O919" s="2" t="s">
        <v>3203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5"/>
        <v>0.43686195624842844</v>
      </c>
      <c r="Z919" s="2" t="s">
        <v>3231</v>
      </c>
      <c r="AA919" s="2" t="s">
        <v>76</v>
      </c>
      <c r="AB919" s="2" t="s">
        <v>77</v>
      </c>
      <c r="AC919" s="2" t="s">
        <v>78</v>
      </c>
      <c r="AF919" s="2">
        <f t="shared" si="112"/>
        <v>0</v>
      </c>
      <c r="AG919" s="2">
        <v>111.98</v>
      </c>
      <c r="AH919" s="2">
        <v>210</v>
      </c>
      <c r="AJ919" s="2">
        <f t="shared" si="113"/>
        <v>0</v>
      </c>
      <c r="AK919" s="2">
        <f t="shared" si="114"/>
        <v>86.86999999999999</v>
      </c>
      <c r="AL919" s="5">
        <f t="shared" si="118"/>
        <v>0.43686195624842844</v>
      </c>
    </row>
    <row r="920" spans="1:38" hidden="1" x14ac:dyDescent="0.2">
      <c r="A920" s="2">
        <v>2025</v>
      </c>
      <c r="B920" s="2">
        <v>4</v>
      </c>
      <c r="D920" s="2" t="s">
        <v>1297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1298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5"/>
        <v>0</v>
      </c>
      <c r="Z920" s="2" t="s">
        <v>3231</v>
      </c>
      <c r="AA920" s="2" t="s">
        <v>97</v>
      </c>
      <c r="AB920" s="2" t="s">
        <v>77</v>
      </c>
      <c r="AC920" s="2" t="s">
        <v>94</v>
      </c>
      <c r="AF920" s="2">
        <f t="shared" si="112"/>
        <v>0</v>
      </c>
      <c r="AJ920" s="2">
        <f t="shared" si="113"/>
        <v>0</v>
      </c>
      <c r="AK920" s="2">
        <f t="shared" si="114"/>
        <v>0</v>
      </c>
      <c r="AL920" s="5">
        <f t="shared" si="118"/>
        <v>0</v>
      </c>
    </row>
    <row r="921" spans="1:38" hidden="1" x14ac:dyDescent="0.2">
      <c r="A921" s="2">
        <v>2025</v>
      </c>
      <c r="B921" s="2">
        <v>4</v>
      </c>
      <c r="D921" s="2" t="s">
        <v>1299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5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2"/>
        <v>0</v>
      </c>
      <c r="AJ921" s="2">
        <f t="shared" si="113"/>
        <v>0</v>
      </c>
      <c r="AK921" s="2">
        <f t="shared" si="114"/>
        <v>344.04</v>
      </c>
      <c r="AL921" s="5">
        <f t="shared" si="118"/>
        <v>0.49816828600802193</v>
      </c>
    </row>
    <row r="922" spans="1:38" hidden="1" x14ac:dyDescent="0.2">
      <c r="A922" s="2">
        <v>2025</v>
      </c>
      <c r="B922" s="2">
        <v>4</v>
      </c>
      <c r="D922" s="2" t="s">
        <v>1299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5"/>
        <v>0.6</v>
      </c>
      <c r="Z922" s="2" t="s">
        <v>118</v>
      </c>
      <c r="AA922" s="2" t="s">
        <v>191</v>
      </c>
      <c r="AB922" s="2" t="s">
        <v>190</v>
      </c>
      <c r="AC922" s="2" t="s">
        <v>40</v>
      </c>
      <c r="AF922" s="2">
        <f t="shared" si="112"/>
        <v>0</v>
      </c>
      <c r="AJ922" s="2">
        <f t="shared" si="113"/>
        <v>0</v>
      </c>
      <c r="AK922" s="2">
        <f t="shared" si="114"/>
        <v>79.8</v>
      </c>
      <c r="AL922" s="5">
        <f t="shared" si="118"/>
        <v>0.6</v>
      </c>
    </row>
    <row r="923" spans="1:38" hidden="1" x14ac:dyDescent="0.2">
      <c r="A923" s="2">
        <v>2025</v>
      </c>
      <c r="B923" s="2">
        <v>4</v>
      </c>
      <c r="D923" s="2" t="s">
        <v>1299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B923" s="2" t="s">
        <v>191</v>
      </c>
      <c r="AC923" s="2" t="s">
        <v>40</v>
      </c>
      <c r="AF923" s="2">
        <f t="shared" si="112"/>
        <v>0</v>
      </c>
      <c r="AJ923" s="2">
        <f t="shared" si="113"/>
        <v>0</v>
      </c>
      <c r="AK923" s="2">
        <f t="shared" si="114"/>
        <v>0</v>
      </c>
      <c r="AL923" s="5">
        <v>0</v>
      </c>
    </row>
    <row r="924" spans="1:38" hidden="1" x14ac:dyDescent="0.2">
      <c r="A924" s="2">
        <v>2025</v>
      </c>
      <c r="B924" s="2">
        <v>4</v>
      </c>
      <c r="D924" s="2" t="s">
        <v>625</v>
      </c>
      <c r="E924" s="2" t="s">
        <v>38</v>
      </c>
      <c r="F924" s="2" t="s">
        <v>39</v>
      </c>
      <c r="G924" s="2" t="s">
        <v>626</v>
      </c>
      <c r="H924" s="2" t="s">
        <v>40</v>
      </c>
      <c r="I924" s="2" t="s">
        <v>627</v>
      </c>
      <c r="J924" s="2" t="s">
        <v>628</v>
      </c>
      <c r="L924" s="2" t="s">
        <v>627</v>
      </c>
      <c r="M924" s="2" t="s">
        <v>40</v>
      </c>
      <c r="P924" s="2" t="s">
        <v>115</v>
      </c>
      <c r="Q924" s="2" t="s">
        <v>906</v>
      </c>
      <c r="R924" s="2" t="s">
        <v>907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si="115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2"/>
        <v>0</v>
      </c>
      <c r="AJ924" s="2">
        <f t="shared" si="113"/>
        <v>0</v>
      </c>
      <c r="AK924" s="2">
        <f t="shared" si="114"/>
        <v>120.4966</v>
      </c>
      <c r="AL924" s="5">
        <f t="shared" si="118"/>
        <v>0.25874296757569254</v>
      </c>
    </row>
    <row r="925" spans="1:38" hidden="1" x14ac:dyDescent="0.2">
      <c r="A925" s="2">
        <v>2025</v>
      </c>
      <c r="B925" s="2">
        <v>4</v>
      </c>
      <c r="D925" s="2" t="s">
        <v>1300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5"/>
        <v>0.44777500000000003</v>
      </c>
      <c r="Z925" s="2" t="s">
        <v>3231</v>
      </c>
      <c r="AA925" s="2" t="s">
        <v>46</v>
      </c>
      <c r="AB925" s="2" t="s">
        <v>47</v>
      </c>
      <c r="AC925" s="2" t="s">
        <v>48</v>
      </c>
      <c r="AF925" s="2">
        <f t="shared" si="112"/>
        <v>0</v>
      </c>
      <c r="AG925" s="2">
        <v>6.6266999999999996</v>
      </c>
      <c r="AH925" s="2">
        <v>12</v>
      </c>
      <c r="AJ925" s="2">
        <f t="shared" si="113"/>
        <v>0</v>
      </c>
      <c r="AK925" s="2">
        <f t="shared" si="114"/>
        <v>16.119900000000001</v>
      </c>
      <c r="AL925" s="5">
        <f t="shared" si="118"/>
        <v>0.44777500000000003</v>
      </c>
    </row>
    <row r="926" spans="1:38" hidden="1" x14ac:dyDescent="0.2">
      <c r="A926" s="2">
        <v>2025</v>
      </c>
      <c r="B926" s="2">
        <v>4</v>
      </c>
      <c r="D926" s="2" t="s">
        <v>1301</v>
      </c>
      <c r="P926" s="2" t="s">
        <v>115</v>
      </c>
      <c r="Q926" s="2" t="s">
        <v>1302</v>
      </c>
      <c r="R926" s="2" t="s">
        <v>1303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15"/>
        <v>0.44055944055944052</v>
      </c>
      <c r="Z926" s="2" t="s">
        <v>118</v>
      </c>
      <c r="AA926" s="2" t="s">
        <v>119</v>
      </c>
      <c r="AB926" s="2" t="s">
        <v>120</v>
      </c>
      <c r="AC926" s="2" t="s">
        <v>115</v>
      </c>
      <c r="AF926" s="2">
        <f t="shared" si="112"/>
        <v>0</v>
      </c>
      <c r="AJ926" s="2">
        <f t="shared" si="113"/>
        <v>0</v>
      </c>
      <c r="AK926" s="2">
        <f t="shared" si="114"/>
        <v>8.19</v>
      </c>
      <c r="AL926" s="5">
        <f t="shared" si="118"/>
        <v>0.44055944055944052</v>
      </c>
    </row>
    <row r="927" spans="1:38" hidden="1" x14ac:dyDescent="0.2">
      <c r="A927" s="2">
        <v>2025</v>
      </c>
      <c r="B927" s="2">
        <v>4</v>
      </c>
      <c r="D927" s="2" t="s">
        <v>1304</v>
      </c>
      <c r="P927" s="2" t="s">
        <v>1196</v>
      </c>
      <c r="Q927" s="2" t="s">
        <v>1088</v>
      </c>
      <c r="R927" s="2" t="s">
        <v>1089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15"/>
        <v>0.5407556896551724</v>
      </c>
      <c r="Z927" s="2" t="s">
        <v>105</v>
      </c>
      <c r="AA927" s="2" t="s">
        <v>1201</v>
      </c>
      <c r="AB927" s="2" t="s">
        <v>120</v>
      </c>
      <c r="AC927" s="2" t="s">
        <v>1196</v>
      </c>
      <c r="AF927" s="2">
        <f t="shared" si="112"/>
        <v>0</v>
      </c>
      <c r="AJ927" s="2">
        <f t="shared" si="113"/>
        <v>0</v>
      </c>
      <c r="AK927" s="2">
        <f t="shared" si="114"/>
        <v>313.63830000000002</v>
      </c>
      <c r="AL927" s="5">
        <f t="shared" si="118"/>
        <v>0.5407556896551724</v>
      </c>
    </row>
    <row r="928" spans="1:38" hidden="1" x14ac:dyDescent="0.2">
      <c r="A928" s="2">
        <v>2025</v>
      </c>
      <c r="B928" s="2">
        <v>4</v>
      </c>
      <c r="D928" s="2" t="s">
        <v>908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5"/>
        <v>1</v>
      </c>
      <c r="Z928" s="2" t="s">
        <v>120</v>
      </c>
      <c r="AA928" s="2" t="s">
        <v>3385</v>
      </c>
      <c r="AF928" s="2">
        <f t="shared" si="112"/>
        <v>0</v>
      </c>
      <c r="AJ928" s="2">
        <f t="shared" si="113"/>
        <v>0</v>
      </c>
      <c r="AK928" s="2">
        <f t="shared" si="114"/>
        <v>600</v>
      </c>
      <c r="AL928" s="5">
        <f t="shared" si="118"/>
        <v>1</v>
      </c>
    </row>
    <row r="929" spans="1:38" hidden="1" x14ac:dyDescent="0.2">
      <c r="A929" s="2">
        <v>2025</v>
      </c>
      <c r="B929" s="2">
        <v>4</v>
      </c>
      <c r="D929" s="2" t="s">
        <v>1305</v>
      </c>
      <c r="P929" s="2" t="s">
        <v>1196</v>
      </c>
      <c r="Q929" s="2" t="s">
        <v>1306</v>
      </c>
      <c r="R929" s="2" t="s">
        <v>1307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15"/>
        <v>0.26921932114882507</v>
      </c>
      <c r="Z929" s="2" t="s">
        <v>105</v>
      </c>
      <c r="AA929" s="2" t="s">
        <v>2750</v>
      </c>
      <c r="AB929" s="2" t="s">
        <v>3402</v>
      </c>
      <c r="AC929" s="2" t="s">
        <v>1196</v>
      </c>
      <c r="AF929" s="2">
        <f t="shared" si="112"/>
        <v>0</v>
      </c>
      <c r="AJ929" s="2">
        <f t="shared" si="113"/>
        <v>0</v>
      </c>
      <c r="AK929" s="2">
        <f t="shared" si="114"/>
        <v>2062.2200000000003</v>
      </c>
      <c r="AL929" s="5">
        <f t="shared" si="118"/>
        <v>0.26921932114882507</v>
      </c>
    </row>
    <row r="930" spans="1:38" hidden="1" x14ac:dyDescent="0.2">
      <c r="A930" s="2">
        <v>2025</v>
      </c>
      <c r="B930" s="2">
        <v>4</v>
      </c>
      <c r="D930" s="2" t="s">
        <v>634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665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5"/>
        <v>0.43111363636363637</v>
      </c>
      <c r="Z930" s="2" t="s">
        <v>3231</v>
      </c>
      <c r="AA930" s="2" t="s">
        <v>76</v>
      </c>
      <c r="AB930" s="2" t="s">
        <v>77</v>
      </c>
      <c r="AC930" s="2" t="s">
        <v>78</v>
      </c>
      <c r="AF930" s="2">
        <f t="shared" si="112"/>
        <v>0</v>
      </c>
      <c r="AJ930" s="2">
        <f t="shared" si="113"/>
        <v>0</v>
      </c>
      <c r="AK930" s="2">
        <f t="shared" si="114"/>
        <v>94.844999999999999</v>
      </c>
      <c r="AL930" s="5">
        <f t="shared" si="118"/>
        <v>0.43111363636363637</v>
      </c>
    </row>
    <row r="931" spans="1:38" hidden="1" x14ac:dyDescent="0.2">
      <c r="A931" s="2">
        <v>2025</v>
      </c>
      <c r="B931" s="2">
        <v>4</v>
      </c>
      <c r="D931" s="2" t="s">
        <v>634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9">(T931-W931)/T931</f>
        <v>0</v>
      </c>
      <c r="Z931" s="2" t="s">
        <v>3231</v>
      </c>
      <c r="AA931" s="2" t="s">
        <v>97</v>
      </c>
      <c r="AB931" s="2" t="s">
        <v>77</v>
      </c>
      <c r="AC931" s="2" t="s">
        <v>94</v>
      </c>
      <c r="AF931" s="2">
        <f t="shared" si="112"/>
        <v>0</v>
      </c>
      <c r="AJ931" s="2">
        <f t="shared" si="113"/>
        <v>0</v>
      </c>
      <c r="AK931" s="2">
        <f t="shared" si="114"/>
        <v>0</v>
      </c>
      <c r="AL931" s="5">
        <f t="shared" si="118"/>
        <v>0</v>
      </c>
    </row>
    <row r="932" spans="1:38" hidden="1" x14ac:dyDescent="0.2">
      <c r="A932" s="2">
        <v>2025</v>
      </c>
      <c r="B932" s="2">
        <v>4</v>
      </c>
      <c r="C932" s="2" t="s">
        <v>3413</v>
      </c>
      <c r="D932" s="2" t="s">
        <v>1122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3249</v>
      </c>
      <c r="J932" s="2" t="s">
        <v>3250</v>
      </c>
      <c r="K932" s="2">
        <v>96179412</v>
      </c>
      <c r="L932" s="2" t="s">
        <v>462</v>
      </c>
      <c r="M932" s="2" t="s">
        <v>40</v>
      </c>
      <c r="O932" s="2" t="s">
        <v>3253</v>
      </c>
      <c r="P932" s="2" t="s">
        <v>3260</v>
      </c>
      <c r="Q932" s="2" t="s">
        <v>1308</v>
      </c>
      <c r="R932" s="2" t="s">
        <v>1309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9"/>
        <v>-0.1191578947368421</v>
      </c>
      <c r="Z932" s="2" t="s">
        <v>105</v>
      </c>
      <c r="AA932" s="2" t="s">
        <v>3259</v>
      </c>
      <c r="AB932" s="2" t="s">
        <v>1114</v>
      </c>
      <c r="AC932" s="2" t="s">
        <v>3258</v>
      </c>
      <c r="AF932" s="2">
        <f t="shared" si="112"/>
        <v>0</v>
      </c>
      <c r="AJ932" s="2">
        <f t="shared" si="113"/>
        <v>0</v>
      </c>
      <c r="AK932" s="2">
        <f t="shared" si="114"/>
        <v>-1415</v>
      </c>
      <c r="AL932" s="5">
        <f t="shared" si="118"/>
        <v>-0.1191578947368421</v>
      </c>
    </row>
    <row r="933" spans="1:38" hidden="1" x14ac:dyDescent="0.2">
      <c r="A933" s="2">
        <v>2025</v>
      </c>
      <c r="B933" s="2">
        <v>4</v>
      </c>
      <c r="C933" s="2" t="s">
        <v>3326</v>
      </c>
      <c r="D933" s="2" t="s">
        <v>656</v>
      </c>
      <c r="E933" s="2" t="s">
        <v>38</v>
      </c>
      <c r="G933" s="2">
        <v>509116590</v>
      </c>
      <c r="H933" s="2" t="s">
        <v>291</v>
      </c>
      <c r="I933" s="2" t="s">
        <v>657</v>
      </c>
      <c r="J933" s="2" t="s">
        <v>658</v>
      </c>
      <c r="L933" s="2" t="s">
        <v>294</v>
      </c>
      <c r="M933" s="2" t="s">
        <v>81</v>
      </c>
      <c r="O933" s="2" t="s">
        <v>1313</v>
      </c>
      <c r="P933" s="2" t="s">
        <v>73</v>
      </c>
      <c r="Q933" s="2" t="s">
        <v>682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9"/>
        <v>0.50242857142857145</v>
      </c>
      <c r="Z933" s="2" t="s">
        <v>3231</v>
      </c>
      <c r="AA933" s="2" t="s">
        <v>76</v>
      </c>
      <c r="AB933" s="2" t="s">
        <v>77</v>
      </c>
      <c r="AC933" s="2" t="s">
        <v>78</v>
      </c>
      <c r="AF933" s="2">
        <f t="shared" si="112"/>
        <v>0</v>
      </c>
      <c r="AG933" s="2">
        <v>104.49</v>
      </c>
      <c r="AH933" s="2">
        <v>220</v>
      </c>
      <c r="AJ933" s="2">
        <f t="shared" si="113"/>
        <v>0</v>
      </c>
      <c r="AK933" s="2">
        <f t="shared" si="114"/>
        <v>105.51</v>
      </c>
      <c r="AL933" s="5">
        <f t="shared" si="118"/>
        <v>0.50242857142857145</v>
      </c>
    </row>
    <row r="934" spans="1:38" hidden="1" x14ac:dyDescent="0.2">
      <c r="A934" s="2">
        <v>2025</v>
      </c>
      <c r="B934" s="2">
        <v>4</v>
      </c>
      <c r="C934" s="2" t="s">
        <v>3326</v>
      </c>
      <c r="D934" s="2" t="s">
        <v>656</v>
      </c>
      <c r="E934" s="2" t="s">
        <v>38</v>
      </c>
      <c r="G934" s="2">
        <v>509116590</v>
      </c>
      <c r="H934" s="2" t="s">
        <v>291</v>
      </c>
      <c r="I934" s="2" t="s">
        <v>657</v>
      </c>
      <c r="J934" s="2" t="s">
        <v>658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9"/>
        <v>0</v>
      </c>
      <c r="Z934" s="2" t="s">
        <v>3231</v>
      </c>
      <c r="AA934" s="2" t="s">
        <v>97</v>
      </c>
      <c r="AB934" s="2" t="s">
        <v>77</v>
      </c>
      <c r="AC934" s="2" t="s">
        <v>94</v>
      </c>
      <c r="AF934" s="2">
        <f t="shared" si="112"/>
        <v>0</v>
      </c>
      <c r="AJ934" s="2">
        <f t="shared" si="113"/>
        <v>0</v>
      </c>
      <c r="AK934" s="2">
        <f t="shared" si="114"/>
        <v>0</v>
      </c>
      <c r="AL934" s="5">
        <f t="shared" si="118"/>
        <v>0</v>
      </c>
    </row>
    <row r="935" spans="1:38" hidden="1" x14ac:dyDescent="0.2">
      <c r="A935" s="2">
        <v>2025</v>
      </c>
      <c r="B935" s="2">
        <v>4</v>
      </c>
      <c r="D935" s="2" t="s">
        <v>1314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1315</v>
      </c>
      <c r="L935" s="2" t="s">
        <v>178</v>
      </c>
      <c r="M935" s="2" t="s">
        <v>41</v>
      </c>
      <c r="O935" s="2" t="s">
        <v>1316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9"/>
        <v>0.37647058823529411</v>
      </c>
      <c r="Z935" s="2" t="s">
        <v>3231</v>
      </c>
      <c r="AA935" s="2" t="s">
        <v>46</v>
      </c>
      <c r="AB935" s="2" t="s">
        <v>57</v>
      </c>
      <c r="AC935" s="2" t="s">
        <v>58</v>
      </c>
      <c r="AF935" s="2">
        <f t="shared" si="112"/>
        <v>0</v>
      </c>
      <c r="AG935" s="2">
        <v>10.6</v>
      </c>
      <c r="AH935" s="2">
        <v>18</v>
      </c>
      <c r="AJ935" s="2">
        <f t="shared" si="113"/>
        <v>0</v>
      </c>
      <c r="AK935" s="2">
        <f t="shared" si="114"/>
        <v>12.8</v>
      </c>
      <c r="AL935" s="5">
        <f t="shared" si="118"/>
        <v>0.37647058823529411</v>
      </c>
    </row>
    <row r="936" spans="1:38" hidden="1" x14ac:dyDescent="0.2">
      <c r="A936" s="2">
        <v>2025</v>
      </c>
      <c r="B936" s="2">
        <v>4</v>
      </c>
      <c r="D936" s="2" t="s">
        <v>1314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1315</v>
      </c>
      <c r="L936" s="2" t="s">
        <v>178</v>
      </c>
      <c r="M936" s="2" t="s">
        <v>41</v>
      </c>
      <c r="O936" s="2" t="s">
        <v>1316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9"/>
        <v>0.5243888888888889</v>
      </c>
      <c r="Z936" s="2" t="s">
        <v>3231</v>
      </c>
      <c r="AA936" s="2" t="s">
        <v>46</v>
      </c>
      <c r="AB936" s="2" t="s">
        <v>61</v>
      </c>
      <c r="AC936" s="2" t="s">
        <v>58</v>
      </c>
      <c r="AF936" s="2">
        <f t="shared" si="112"/>
        <v>0</v>
      </c>
      <c r="AG936" s="2">
        <v>0.85609999999999997</v>
      </c>
      <c r="AH936" s="2">
        <v>1.8</v>
      </c>
      <c r="AJ936" s="2">
        <f t="shared" si="113"/>
        <v>0</v>
      </c>
      <c r="AK936" s="2">
        <f t="shared" si="114"/>
        <v>3.7756000000000003</v>
      </c>
      <c r="AL936" s="5">
        <f t="shared" si="118"/>
        <v>0.5243888888888889</v>
      </c>
    </row>
    <row r="937" spans="1:38" hidden="1" x14ac:dyDescent="0.2">
      <c r="A937" s="2">
        <v>2025</v>
      </c>
      <c r="B937" s="2">
        <v>4</v>
      </c>
      <c r="D937" s="2" t="s">
        <v>1314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1315</v>
      </c>
      <c r="L937" s="2" t="s">
        <v>178</v>
      </c>
      <c r="M937" s="2" t="s">
        <v>41</v>
      </c>
      <c r="O937" s="2" t="s">
        <v>1316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9"/>
        <v>0.62926666666666664</v>
      </c>
      <c r="Z937" s="2" t="s">
        <v>3231</v>
      </c>
      <c r="AA937" s="2" t="s">
        <v>46</v>
      </c>
      <c r="AB937" s="2" t="s">
        <v>61</v>
      </c>
      <c r="AC937" s="2" t="s">
        <v>58</v>
      </c>
      <c r="AF937" s="2">
        <f t="shared" si="112"/>
        <v>0</v>
      </c>
      <c r="AG937" s="2">
        <v>1.1122000000000001</v>
      </c>
      <c r="AH937" s="2">
        <v>3</v>
      </c>
      <c r="AJ937" s="2">
        <f t="shared" si="113"/>
        <v>0</v>
      </c>
      <c r="AK937" s="2">
        <f t="shared" si="114"/>
        <v>7.5511999999999997</v>
      </c>
      <c r="AL937" s="5">
        <f t="shared" si="118"/>
        <v>0.62926666666666664</v>
      </c>
    </row>
    <row r="938" spans="1:38" hidden="1" x14ac:dyDescent="0.2">
      <c r="A938" s="2">
        <v>2025</v>
      </c>
      <c r="B938" s="2">
        <v>4</v>
      </c>
      <c r="D938" s="2" t="s">
        <v>1317</v>
      </c>
      <c r="G938" s="2">
        <v>507220633</v>
      </c>
      <c r="I938" s="2" t="s">
        <v>3155</v>
      </c>
      <c r="M938" s="2" t="s">
        <v>81</v>
      </c>
      <c r="O938" s="2" t="s">
        <v>3154</v>
      </c>
      <c r="P938" s="2" t="s">
        <v>1040</v>
      </c>
      <c r="Q938" s="2" t="s">
        <v>1318</v>
      </c>
      <c r="R938" s="2" t="s">
        <v>1319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9"/>
        <v>0.4099341956909453</v>
      </c>
      <c r="Z938" s="2" t="s">
        <v>3231</v>
      </c>
      <c r="AA938" s="2" t="s">
        <v>1043</v>
      </c>
      <c r="AB938" s="2" t="s">
        <v>1320</v>
      </c>
      <c r="AC938" s="2" t="s">
        <v>1040</v>
      </c>
      <c r="AF938" s="2">
        <f t="shared" si="112"/>
        <v>0</v>
      </c>
      <c r="AJ938" s="2">
        <f t="shared" si="113"/>
        <v>0</v>
      </c>
      <c r="AK938" s="2">
        <f t="shared" si="114"/>
        <v>199.97000000000003</v>
      </c>
      <c r="AL938" s="5">
        <f t="shared" si="118"/>
        <v>0.4099341956909453</v>
      </c>
    </row>
    <row r="939" spans="1:38" hidden="1" x14ac:dyDescent="0.2">
      <c r="A939" s="2">
        <v>2025</v>
      </c>
      <c r="B939" s="2">
        <v>4</v>
      </c>
      <c r="D939" s="2" t="s">
        <v>930</v>
      </c>
      <c r="E939" s="2" t="s">
        <v>38</v>
      </c>
      <c r="F939" s="2" t="s">
        <v>39</v>
      </c>
      <c r="G939" s="2" t="s">
        <v>931</v>
      </c>
      <c r="H939" s="2" t="s">
        <v>41</v>
      </c>
      <c r="I939" s="2" t="s">
        <v>627</v>
      </c>
      <c r="J939" s="2" t="s">
        <v>932</v>
      </c>
      <c r="L939" s="2" t="s">
        <v>627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V939" s="2">
        <f t="shared" ref="V939:V946" si="120">T939</f>
        <v>16.2</v>
      </c>
      <c r="W939" s="2">
        <f>9.075*S939</f>
        <v>9.0749999999999993</v>
      </c>
      <c r="X939" s="5">
        <f t="shared" si="119"/>
        <v>0.43981481481481483</v>
      </c>
      <c r="Z939" s="2" t="s">
        <v>3231</v>
      </c>
      <c r="AA939" s="2" t="s">
        <v>46</v>
      </c>
      <c r="AB939" s="2" t="s">
        <v>57</v>
      </c>
      <c r="AC939" s="2" t="s">
        <v>58</v>
      </c>
      <c r="AF939" s="2">
        <f t="shared" si="112"/>
        <v>0</v>
      </c>
      <c r="AJ939" s="2">
        <f t="shared" si="113"/>
        <v>0</v>
      </c>
      <c r="AK939" s="2">
        <f t="shared" si="114"/>
        <v>7.125</v>
      </c>
      <c r="AL939" s="5">
        <f t="shared" si="118"/>
        <v>0.43981481481481483</v>
      </c>
    </row>
    <row r="940" spans="1:38" hidden="1" x14ac:dyDescent="0.2">
      <c r="A940" s="2">
        <v>2025</v>
      </c>
      <c r="B940" s="2">
        <v>4</v>
      </c>
      <c r="D940" s="2" t="s">
        <v>930</v>
      </c>
      <c r="E940" s="2" t="s">
        <v>38</v>
      </c>
      <c r="F940" s="2" t="s">
        <v>39</v>
      </c>
      <c r="G940" s="2" t="s">
        <v>931</v>
      </c>
      <c r="H940" s="2" t="s">
        <v>41</v>
      </c>
      <c r="I940" s="2" t="s">
        <v>627</v>
      </c>
      <c r="J940" s="2" t="s">
        <v>932</v>
      </c>
      <c r="L940" s="2" t="s">
        <v>627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V940" s="2">
        <f t="shared" si="120"/>
        <v>19.8</v>
      </c>
      <c r="W940" s="2">
        <v>11.045</v>
      </c>
      <c r="X940" s="5">
        <f t="shared" si="119"/>
        <v>0.44217171717171722</v>
      </c>
      <c r="Z940" s="2" t="s">
        <v>3231</v>
      </c>
      <c r="AA940" s="2" t="s">
        <v>46</v>
      </c>
      <c r="AB940" s="2" t="s">
        <v>57</v>
      </c>
      <c r="AC940" s="2" t="s">
        <v>58</v>
      </c>
      <c r="AF940" s="2">
        <f t="shared" si="112"/>
        <v>0</v>
      </c>
      <c r="AJ940" s="2">
        <f t="shared" si="113"/>
        <v>0</v>
      </c>
      <c r="AK940" s="2">
        <f t="shared" si="114"/>
        <v>8.7550000000000008</v>
      </c>
      <c r="AL940" s="5">
        <f t="shared" si="118"/>
        <v>0.44217171717171722</v>
      </c>
    </row>
    <row r="941" spans="1:38" hidden="1" x14ac:dyDescent="0.2">
      <c r="A941" s="2">
        <v>2025</v>
      </c>
      <c r="B941" s="2">
        <v>4</v>
      </c>
      <c r="D941" s="2" t="s">
        <v>930</v>
      </c>
      <c r="E941" s="2" t="s">
        <v>38</v>
      </c>
      <c r="F941" s="2" t="s">
        <v>39</v>
      </c>
      <c r="G941" s="2" t="s">
        <v>931</v>
      </c>
      <c r="H941" s="2" t="s">
        <v>41</v>
      </c>
      <c r="I941" s="2" t="s">
        <v>627</v>
      </c>
      <c r="J941" s="2" t="s">
        <v>932</v>
      </c>
      <c r="L941" s="2" t="s">
        <v>627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V941" s="2">
        <f t="shared" si="120"/>
        <v>24</v>
      </c>
      <c r="W941" s="2">
        <v>13.406700000000001</v>
      </c>
      <c r="X941" s="5">
        <f t="shared" si="119"/>
        <v>0.44138749999999999</v>
      </c>
      <c r="Z941" s="2" t="s">
        <v>3231</v>
      </c>
      <c r="AA941" s="2" t="s">
        <v>46</v>
      </c>
      <c r="AB941" s="2" t="s">
        <v>57</v>
      </c>
      <c r="AC941" s="2" t="s">
        <v>58</v>
      </c>
      <c r="AF941" s="2">
        <f t="shared" si="112"/>
        <v>0</v>
      </c>
      <c r="AJ941" s="2">
        <f t="shared" si="113"/>
        <v>0</v>
      </c>
      <c r="AK941" s="2">
        <f t="shared" si="114"/>
        <v>10.593299999999999</v>
      </c>
      <c r="AL941" s="5">
        <f t="shared" si="118"/>
        <v>0.44138749999999999</v>
      </c>
    </row>
    <row r="942" spans="1:38" hidden="1" x14ac:dyDescent="0.2">
      <c r="A942" s="2">
        <v>2025</v>
      </c>
      <c r="B942" s="2">
        <v>4</v>
      </c>
      <c r="D942" s="2" t="s">
        <v>930</v>
      </c>
      <c r="E942" s="2" t="s">
        <v>38</v>
      </c>
      <c r="F942" s="2" t="s">
        <v>39</v>
      </c>
      <c r="G942" s="2" t="s">
        <v>931</v>
      </c>
      <c r="H942" s="2" t="s">
        <v>41</v>
      </c>
      <c r="I942" s="2" t="s">
        <v>627</v>
      </c>
      <c r="J942" s="2" t="s">
        <v>932</v>
      </c>
      <c r="L942" s="2" t="s">
        <v>627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V942" s="2">
        <f t="shared" si="120"/>
        <v>16.8</v>
      </c>
      <c r="W942" s="2">
        <v>9.2346000000000004</v>
      </c>
      <c r="X942" s="5">
        <f t="shared" si="119"/>
        <v>0.45032142857142859</v>
      </c>
      <c r="Z942" s="2" t="s">
        <v>3231</v>
      </c>
      <c r="AA942" s="2" t="s">
        <v>46</v>
      </c>
      <c r="AB942" s="2" t="s">
        <v>57</v>
      </c>
      <c r="AC942" s="2" t="s">
        <v>58</v>
      </c>
      <c r="AF942" s="2">
        <f t="shared" si="112"/>
        <v>0</v>
      </c>
      <c r="AJ942" s="2">
        <f t="shared" si="113"/>
        <v>0</v>
      </c>
      <c r="AK942" s="2">
        <f t="shared" si="114"/>
        <v>7.5654000000000003</v>
      </c>
      <c r="AL942" s="5">
        <f t="shared" si="118"/>
        <v>0.45032142857142859</v>
      </c>
    </row>
    <row r="943" spans="1:38" hidden="1" x14ac:dyDescent="0.2">
      <c r="A943" s="2">
        <v>2025</v>
      </c>
      <c r="B943" s="2">
        <v>4</v>
      </c>
      <c r="D943" s="2" t="s">
        <v>930</v>
      </c>
      <c r="E943" s="2" t="s">
        <v>38</v>
      </c>
      <c r="F943" s="2" t="s">
        <v>39</v>
      </c>
      <c r="G943" s="2" t="s">
        <v>931</v>
      </c>
      <c r="H943" s="2" t="s">
        <v>41</v>
      </c>
      <c r="I943" s="2" t="s">
        <v>627</v>
      </c>
      <c r="J943" s="2" t="s">
        <v>932</v>
      </c>
      <c r="L943" s="2" t="s">
        <v>627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V943" s="2">
        <f t="shared" si="120"/>
        <v>19.2</v>
      </c>
      <c r="W943" s="2">
        <v>10.5267</v>
      </c>
      <c r="X943" s="5">
        <f t="shared" si="119"/>
        <v>0.45173437499999997</v>
      </c>
      <c r="Z943" s="2" t="s">
        <v>3231</v>
      </c>
      <c r="AA943" s="2" t="s">
        <v>46</v>
      </c>
      <c r="AB943" s="2" t="s">
        <v>57</v>
      </c>
      <c r="AC943" s="2" t="s">
        <v>58</v>
      </c>
      <c r="AF943" s="2">
        <f t="shared" si="112"/>
        <v>0</v>
      </c>
      <c r="AJ943" s="2">
        <f t="shared" si="113"/>
        <v>0</v>
      </c>
      <c r="AK943" s="2">
        <f t="shared" si="114"/>
        <v>8.6732999999999993</v>
      </c>
      <c r="AL943" s="5">
        <f t="shared" si="118"/>
        <v>0.45173437499999997</v>
      </c>
    </row>
    <row r="944" spans="1:38" hidden="1" x14ac:dyDescent="0.2">
      <c r="A944" s="2">
        <v>2025</v>
      </c>
      <c r="B944" s="2">
        <v>4</v>
      </c>
      <c r="D944" s="2" t="s">
        <v>930</v>
      </c>
      <c r="E944" s="2" t="s">
        <v>38</v>
      </c>
      <c r="F944" s="2" t="s">
        <v>39</v>
      </c>
      <c r="G944" s="2" t="s">
        <v>931</v>
      </c>
      <c r="H944" s="2" t="s">
        <v>41</v>
      </c>
      <c r="I944" s="2" t="s">
        <v>627</v>
      </c>
      <c r="J944" s="2" t="s">
        <v>932</v>
      </c>
      <c r="L944" s="2" t="s">
        <v>627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V944" s="2">
        <f t="shared" si="120"/>
        <v>22.2</v>
      </c>
      <c r="W944" s="2">
        <v>12.260400000000001</v>
      </c>
      <c r="X944" s="5">
        <f t="shared" si="119"/>
        <v>0.44772972972972969</v>
      </c>
      <c r="Z944" s="2" t="s">
        <v>3231</v>
      </c>
      <c r="AA944" s="2" t="s">
        <v>46</v>
      </c>
      <c r="AB944" s="2" t="s">
        <v>57</v>
      </c>
      <c r="AC944" s="2" t="s">
        <v>58</v>
      </c>
      <c r="AF944" s="2">
        <f t="shared" si="112"/>
        <v>0</v>
      </c>
      <c r="AJ944" s="2">
        <f t="shared" si="113"/>
        <v>0</v>
      </c>
      <c r="AK944" s="2">
        <f t="shared" si="114"/>
        <v>9.9395999999999987</v>
      </c>
      <c r="AL944" s="5">
        <f t="shared" si="118"/>
        <v>0.44772972972972969</v>
      </c>
    </row>
    <row r="945" spans="1:38" hidden="1" x14ac:dyDescent="0.2">
      <c r="A945" s="2">
        <v>2025</v>
      </c>
      <c r="B945" s="2">
        <v>4</v>
      </c>
      <c r="D945" s="2" t="s">
        <v>930</v>
      </c>
      <c r="E945" s="2" t="s">
        <v>38</v>
      </c>
      <c r="F945" s="2" t="s">
        <v>39</v>
      </c>
      <c r="G945" s="2" t="s">
        <v>931</v>
      </c>
      <c r="H945" s="2" t="s">
        <v>41</v>
      </c>
      <c r="I945" s="2" t="s">
        <v>627</v>
      </c>
      <c r="J945" s="2" t="s">
        <v>932</v>
      </c>
      <c r="L945" s="2" t="s">
        <v>627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V945" s="2">
        <f t="shared" si="120"/>
        <v>65</v>
      </c>
      <c r="W945" s="2">
        <f>25.0958*S945</f>
        <v>25.095800000000001</v>
      </c>
      <c r="X945" s="5">
        <f t="shared" si="119"/>
        <v>0.61391076923076926</v>
      </c>
      <c r="Z945" s="2" t="s">
        <v>3231</v>
      </c>
      <c r="AA945" s="2" t="s">
        <v>46</v>
      </c>
      <c r="AB945" s="2" t="s">
        <v>91</v>
      </c>
      <c r="AC945" s="2" t="s">
        <v>58</v>
      </c>
      <c r="AF945" s="2">
        <f t="shared" si="112"/>
        <v>0</v>
      </c>
      <c r="AJ945" s="2">
        <f t="shared" si="113"/>
        <v>0</v>
      </c>
      <c r="AK945" s="2">
        <f t="shared" si="114"/>
        <v>39.904200000000003</v>
      </c>
      <c r="AL945" s="5">
        <f t="shared" si="118"/>
        <v>0.61391076923076926</v>
      </c>
    </row>
    <row r="946" spans="1:38" hidden="1" x14ac:dyDescent="0.2">
      <c r="A946" s="2">
        <v>2025</v>
      </c>
      <c r="B946" s="2">
        <v>4</v>
      </c>
      <c r="D946" s="2" t="s">
        <v>930</v>
      </c>
      <c r="E946" s="2" t="s">
        <v>38</v>
      </c>
      <c r="F946" s="2" t="s">
        <v>39</v>
      </c>
      <c r="G946" s="2" t="s">
        <v>931</v>
      </c>
      <c r="H946" s="2" t="s">
        <v>41</v>
      </c>
      <c r="I946" s="2" t="s">
        <v>627</v>
      </c>
      <c r="J946" s="2" t="s">
        <v>932</v>
      </c>
      <c r="L946" s="2" t="s">
        <v>627</v>
      </c>
      <c r="M946" s="2" t="s">
        <v>41</v>
      </c>
      <c r="P946" s="2" t="s">
        <v>43</v>
      </c>
      <c r="Q946" s="2" t="s">
        <v>1321</v>
      </c>
      <c r="R946" s="2" t="s">
        <v>1322</v>
      </c>
      <c r="S946" s="2">
        <v>1</v>
      </c>
      <c r="T946" s="2">
        <v>9</v>
      </c>
      <c r="V946" s="2">
        <f t="shared" si="120"/>
        <v>9</v>
      </c>
      <c r="W946" s="2">
        <v>5.04</v>
      </c>
      <c r="X946" s="5">
        <f t="shared" si="119"/>
        <v>0.44</v>
      </c>
      <c r="Z946" s="2" t="s">
        <v>3231</v>
      </c>
      <c r="AA946" s="2" t="s">
        <v>46</v>
      </c>
      <c r="AB946" s="2" t="s">
        <v>68</v>
      </c>
      <c r="AC946" s="2" t="s">
        <v>58</v>
      </c>
      <c r="AF946" s="2">
        <f t="shared" si="112"/>
        <v>0</v>
      </c>
      <c r="AJ946" s="2">
        <f t="shared" si="113"/>
        <v>0</v>
      </c>
      <c r="AK946" s="2">
        <f t="shared" si="114"/>
        <v>3.96</v>
      </c>
      <c r="AL946" s="5">
        <f t="shared" si="118"/>
        <v>0.44</v>
      </c>
    </row>
    <row r="947" spans="1:38" hidden="1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1207</v>
      </c>
      <c r="R947" s="2" t="s">
        <v>1208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9"/>
        <v>0.52200000000000002</v>
      </c>
      <c r="Z947" s="2" t="s">
        <v>3231</v>
      </c>
      <c r="AA947" s="2" t="s">
        <v>72</v>
      </c>
      <c r="AB947" s="2" t="s">
        <v>120</v>
      </c>
      <c r="AC947" s="2" t="s">
        <v>120</v>
      </c>
      <c r="AF947" s="2">
        <f t="shared" si="112"/>
        <v>0</v>
      </c>
      <c r="AG947" s="2">
        <v>14.34</v>
      </c>
      <c r="AJ947" s="2">
        <f t="shared" si="113"/>
        <v>0</v>
      </c>
      <c r="AK947" s="2">
        <f t="shared" si="114"/>
        <v>15.66</v>
      </c>
      <c r="AL947" s="5">
        <f t="shared" si="118"/>
        <v>0.52200000000000002</v>
      </c>
    </row>
    <row r="948" spans="1:38" hidden="1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1323</v>
      </c>
      <c r="L948" s="2" t="s">
        <v>100</v>
      </c>
      <c r="M948" s="2" t="s">
        <v>81</v>
      </c>
      <c r="O948" s="2" t="s">
        <v>1324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9"/>
        <v>0.48333333333333328</v>
      </c>
      <c r="Z948" s="2" t="s">
        <v>3231</v>
      </c>
      <c r="AA948" s="2" t="s">
        <v>46</v>
      </c>
      <c r="AB948" s="2" t="s">
        <v>47</v>
      </c>
      <c r="AC948" s="2" t="s">
        <v>48</v>
      </c>
      <c r="AF948" s="2">
        <f t="shared" si="112"/>
        <v>0</v>
      </c>
      <c r="AG948" s="2">
        <v>9.3000000000000007</v>
      </c>
      <c r="AH948" s="2">
        <v>21</v>
      </c>
      <c r="AJ948" s="2">
        <f t="shared" si="113"/>
        <v>0</v>
      </c>
      <c r="AK948" s="2">
        <f t="shared" si="114"/>
        <v>8.6999999999999993</v>
      </c>
      <c r="AL948" s="5">
        <f t="shared" si="118"/>
        <v>0.48333333333333328</v>
      </c>
    </row>
    <row r="949" spans="1:38" hidden="1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9"/>
        <v>0.52105128205128204</v>
      </c>
      <c r="Z949" s="2" t="s">
        <v>3231</v>
      </c>
      <c r="AA949" s="2" t="s">
        <v>46</v>
      </c>
      <c r="AB949" s="2" t="s">
        <v>47</v>
      </c>
      <c r="AC949" s="2" t="s">
        <v>48</v>
      </c>
      <c r="AF949" s="2">
        <f t="shared" si="112"/>
        <v>0</v>
      </c>
      <c r="AG949" s="2">
        <v>3.7357999999999998</v>
      </c>
      <c r="AH949" s="2">
        <v>9</v>
      </c>
      <c r="AJ949" s="2">
        <f t="shared" si="113"/>
        <v>0</v>
      </c>
      <c r="AK949" s="2">
        <f t="shared" si="114"/>
        <v>4.0641999999999996</v>
      </c>
      <c r="AL949" s="5">
        <f t="shared" si="118"/>
        <v>0.52105128205128204</v>
      </c>
    </row>
    <row r="950" spans="1:38" hidden="1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9"/>
        <v>1</v>
      </c>
      <c r="Z950" s="2" t="s">
        <v>3231</v>
      </c>
      <c r="AA950" s="2" t="s">
        <v>46</v>
      </c>
      <c r="AB950" s="2" t="s">
        <v>57</v>
      </c>
      <c r="AC950" s="2" t="s">
        <v>58</v>
      </c>
      <c r="AF950" s="2">
        <f t="shared" si="112"/>
        <v>0</v>
      </c>
      <c r="AJ950" s="2">
        <f t="shared" si="113"/>
        <v>0</v>
      </c>
      <c r="AK950" s="2">
        <f t="shared" si="114"/>
        <v>24</v>
      </c>
      <c r="AL950" s="5">
        <f t="shared" si="118"/>
        <v>1</v>
      </c>
    </row>
    <row r="951" spans="1:38" hidden="1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19"/>
        <v>0.45683760683760677</v>
      </c>
      <c r="Z951" s="2" t="s">
        <v>3231</v>
      </c>
      <c r="AA951" s="2" t="s">
        <v>46</v>
      </c>
      <c r="AB951" s="2" t="s">
        <v>57</v>
      </c>
      <c r="AC951" s="2" t="s">
        <v>58</v>
      </c>
      <c r="AF951" s="2">
        <f t="shared" si="112"/>
        <v>0</v>
      </c>
      <c r="AJ951" s="2">
        <f t="shared" si="113"/>
        <v>0</v>
      </c>
      <c r="AK951" s="2">
        <f t="shared" si="114"/>
        <v>10.689999999999998</v>
      </c>
      <c r="AL951" s="5">
        <f t="shared" si="118"/>
        <v>0.45683760683760677</v>
      </c>
    </row>
    <row r="952" spans="1:38" hidden="1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9"/>
        <v>0.16315789473684211</v>
      </c>
      <c r="Z952" s="2" t="s">
        <v>3231</v>
      </c>
      <c r="AA952" s="2" t="s">
        <v>46</v>
      </c>
      <c r="AB952" s="2" t="s">
        <v>57</v>
      </c>
      <c r="AC952" s="2" t="s">
        <v>58</v>
      </c>
      <c r="AF952" s="2">
        <f t="shared" si="112"/>
        <v>0</v>
      </c>
      <c r="AG952" s="2">
        <v>10.6</v>
      </c>
      <c r="AH952" s="2">
        <v>18</v>
      </c>
      <c r="AJ952" s="2">
        <f t="shared" si="113"/>
        <v>0</v>
      </c>
      <c r="AK952" s="2">
        <f t="shared" si="114"/>
        <v>31</v>
      </c>
      <c r="AL952" s="5">
        <f t="shared" si="118"/>
        <v>0.16315789473684211</v>
      </c>
    </row>
    <row r="953" spans="1:38" hidden="1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9"/>
        <v>0.23833333333333342</v>
      </c>
      <c r="Z953" s="2" t="s">
        <v>3231</v>
      </c>
      <c r="AA953" s="2" t="s">
        <v>46</v>
      </c>
      <c r="AB953" s="2" t="s">
        <v>61</v>
      </c>
      <c r="AC953" s="2" t="s">
        <v>58</v>
      </c>
      <c r="AF953" s="2">
        <f t="shared" si="112"/>
        <v>0</v>
      </c>
      <c r="AG953" s="2">
        <v>9.14</v>
      </c>
      <c r="AH953" s="2">
        <v>16</v>
      </c>
      <c r="AJ953" s="2">
        <f t="shared" si="113"/>
        <v>0</v>
      </c>
      <c r="AK953" s="2">
        <f t="shared" si="114"/>
        <v>25.740000000000009</v>
      </c>
      <c r="AL953" s="5">
        <f t="shared" si="118"/>
        <v>0.23833333333333342</v>
      </c>
    </row>
    <row r="954" spans="1:38" hidden="1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9"/>
        <v>0.20216216216216221</v>
      </c>
      <c r="Z954" s="2" t="s">
        <v>3231</v>
      </c>
      <c r="AA954" s="2" t="s">
        <v>46</v>
      </c>
      <c r="AB954" s="2" t="s">
        <v>61</v>
      </c>
      <c r="AC954" s="2" t="s">
        <v>58</v>
      </c>
      <c r="AF954" s="2">
        <f t="shared" si="112"/>
        <v>0</v>
      </c>
      <c r="AG954" s="2">
        <v>8.1999999999999993</v>
      </c>
      <c r="AH954" s="2">
        <v>13</v>
      </c>
      <c r="AJ954" s="2">
        <f t="shared" si="113"/>
        <v>0</v>
      </c>
      <c r="AK954" s="2">
        <f t="shared" si="114"/>
        <v>37.400000000000006</v>
      </c>
      <c r="AL954" s="5">
        <f t="shared" si="118"/>
        <v>0.20216216216216221</v>
      </c>
    </row>
    <row r="955" spans="1:38" hidden="1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9"/>
        <v>0.25825679012345676</v>
      </c>
      <c r="Z955" s="2" t="s">
        <v>3231</v>
      </c>
      <c r="AA955" s="2" t="s">
        <v>46</v>
      </c>
      <c r="AB955" s="2" t="s">
        <v>68</v>
      </c>
      <c r="AC955" s="2" t="s">
        <v>58</v>
      </c>
      <c r="AF955" s="2">
        <f t="shared" si="112"/>
        <v>0</v>
      </c>
      <c r="AG955" s="2">
        <v>15.020300000000001</v>
      </c>
      <c r="AH955" s="2">
        <v>27.6</v>
      </c>
      <c r="AJ955" s="2">
        <f t="shared" si="113"/>
        <v>0</v>
      </c>
      <c r="AK955" s="2">
        <f t="shared" si="114"/>
        <v>10.459399999999999</v>
      </c>
      <c r="AL955" s="5">
        <f t="shared" si="118"/>
        <v>0.25825679012345676</v>
      </c>
    </row>
    <row r="956" spans="1:38" hidden="1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914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9"/>
        <v>0.4516274051429599</v>
      </c>
      <c r="Z956" s="2" t="s">
        <v>3231</v>
      </c>
      <c r="AA956" s="2" t="s">
        <v>76</v>
      </c>
      <c r="AB956" s="2" t="s">
        <v>77</v>
      </c>
      <c r="AC956" s="2" t="s">
        <v>78</v>
      </c>
      <c r="AF956" s="2">
        <f t="shared" si="112"/>
        <v>0</v>
      </c>
      <c r="AJ956" s="2">
        <f t="shared" si="113"/>
        <v>0</v>
      </c>
      <c r="AK956" s="2">
        <f t="shared" si="114"/>
        <v>100.46</v>
      </c>
      <c r="AL956" s="5">
        <f t="shared" si="118"/>
        <v>0.4516274051429599</v>
      </c>
    </row>
    <row r="957" spans="1:38" hidden="1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9"/>
        <v>0.46318750606266368</v>
      </c>
      <c r="Z957" s="2" t="s">
        <v>3231</v>
      </c>
      <c r="AA957" s="2" t="s">
        <v>76</v>
      </c>
      <c r="AB957" s="2" t="s">
        <v>77</v>
      </c>
      <c r="AC957" s="2" t="s">
        <v>78</v>
      </c>
      <c r="AF957" s="2">
        <f t="shared" si="112"/>
        <v>0</v>
      </c>
      <c r="AG957" s="2">
        <v>110.68</v>
      </c>
      <c r="AH957" s="2">
        <v>210</v>
      </c>
      <c r="AJ957" s="2">
        <f t="shared" si="113"/>
        <v>0</v>
      </c>
      <c r="AK957" s="2">
        <f t="shared" si="114"/>
        <v>95.5</v>
      </c>
      <c r="AL957" s="5">
        <f t="shared" si="118"/>
        <v>0.46318750606266368</v>
      </c>
    </row>
    <row r="958" spans="1:38" hidden="1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9"/>
        <v>0.36481481481481481</v>
      </c>
      <c r="Z958" s="2" t="s">
        <v>3231</v>
      </c>
      <c r="AA958" s="2" t="s">
        <v>88</v>
      </c>
      <c r="AB958" s="2" t="s">
        <v>91</v>
      </c>
      <c r="AC958" s="2" t="s">
        <v>85</v>
      </c>
      <c r="AF958" s="2">
        <f t="shared" si="112"/>
        <v>0</v>
      </c>
      <c r="AG958" s="2">
        <v>6.86</v>
      </c>
      <c r="AH958" s="2">
        <v>13.2</v>
      </c>
      <c r="AJ958" s="2">
        <f t="shared" si="113"/>
        <v>0</v>
      </c>
      <c r="AK958" s="2">
        <f t="shared" si="114"/>
        <v>3.9400000000000004</v>
      </c>
      <c r="AL958" s="5">
        <f t="shared" si="118"/>
        <v>0.36481481481481481</v>
      </c>
    </row>
    <row r="959" spans="1:38" hidden="1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9"/>
        <v>0</v>
      </c>
      <c r="Z959" s="2" t="s">
        <v>3231</v>
      </c>
      <c r="AA959" s="2" t="s">
        <v>97</v>
      </c>
      <c r="AB959" s="2" t="s">
        <v>77</v>
      </c>
      <c r="AC959" s="2" t="s">
        <v>94</v>
      </c>
      <c r="AF959" s="2">
        <f t="shared" si="112"/>
        <v>0</v>
      </c>
      <c r="AG959" s="2">
        <v>1.1399999999999999</v>
      </c>
      <c r="AH959" s="2">
        <v>1.1399999999999999</v>
      </c>
      <c r="AJ959" s="2">
        <f t="shared" si="113"/>
        <v>0</v>
      </c>
      <c r="AK959" s="2">
        <f t="shared" si="114"/>
        <v>0</v>
      </c>
      <c r="AL959" s="5">
        <f t="shared" si="118"/>
        <v>0</v>
      </c>
    </row>
    <row r="960" spans="1:38" hidden="1" x14ac:dyDescent="0.2">
      <c r="A960" s="2">
        <v>2025</v>
      </c>
      <c r="B960" s="2">
        <v>5</v>
      </c>
      <c r="D960" s="2" t="s">
        <v>1325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9"/>
        <v>0.41111111111111115</v>
      </c>
      <c r="Z960" s="2" t="s">
        <v>3231</v>
      </c>
      <c r="AA960" s="2" t="s">
        <v>46</v>
      </c>
      <c r="AB960" s="2" t="s">
        <v>57</v>
      </c>
      <c r="AC960" s="2" t="s">
        <v>58</v>
      </c>
      <c r="AF960" s="2">
        <f t="shared" si="112"/>
        <v>0</v>
      </c>
      <c r="AG960" s="2">
        <v>10.6</v>
      </c>
      <c r="AH960" s="2">
        <v>18</v>
      </c>
      <c r="AJ960" s="2">
        <f t="shared" si="113"/>
        <v>0</v>
      </c>
      <c r="AK960" s="2">
        <f t="shared" si="114"/>
        <v>14.8</v>
      </c>
      <c r="AL960" s="5">
        <f t="shared" si="118"/>
        <v>0.41111111111111115</v>
      </c>
    </row>
    <row r="961" spans="1:38" hidden="1" x14ac:dyDescent="0.2">
      <c r="A961" s="2">
        <v>2025</v>
      </c>
      <c r="B961" s="2">
        <v>5</v>
      </c>
      <c r="D961" s="2" t="s">
        <v>1325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9"/>
        <v>0.36923076923076914</v>
      </c>
      <c r="Z961" s="2" t="s">
        <v>3231</v>
      </c>
      <c r="AA961" s="2" t="s">
        <v>46</v>
      </c>
      <c r="AB961" s="2" t="s">
        <v>61</v>
      </c>
      <c r="AC961" s="2" t="s">
        <v>58</v>
      </c>
      <c r="AF961" s="2">
        <f t="shared" ref="AF961:AF1024" si="121">AJ961</f>
        <v>0</v>
      </c>
      <c r="AG961" s="2">
        <v>8.1999999999999993</v>
      </c>
      <c r="AH961" s="2">
        <v>13</v>
      </c>
      <c r="AJ961" s="2">
        <f t="shared" ref="AJ961:AJ1024" si="122">AI961*T961</f>
        <v>0</v>
      </c>
      <c r="AK961" s="2">
        <f t="shared" ref="AK961:AK1024" si="123">T961-W961</f>
        <v>4.7999999999999989</v>
      </c>
      <c r="AL961" s="5">
        <f t="shared" si="118"/>
        <v>0.36923076923076914</v>
      </c>
    </row>
    <row r="962" spans="1:38" hidden="1" x14ac:dyDescent="0.2">
      <c r="A962" s="2">
        <v>2025</v>
      </c>
      <c r="B962" s="2">
        <v>5</v>
      </c>
      <c r="D962" s="2" t="s">
        <v>1326</v>
      </c>
      <c r="P962" s="2" t="s">
        <v>283</v>
      </c>
      <c r="Q962" s="2" t="s">
        <v>1327</v>
      </c>
      <c r="R962" s="2" t="s">
        <v>1328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3231</v>
      </c>
      <c r="AA962" s="2" t="s">
        <v>579</v>
      </c>
      <c r="AB962" s="2" t="s">
        <v>120</v>
      </c>
      <c r="AC962" s="2" t="s">
        <v>1329</v>
      </c>
      <c r="AF962" s="2">
        <f t="shared" si="121"/>
        <v>0</v>
      </c>
      <c r="AJ962" s="2">
        <f t="shared" si="122"/>
        <v>0</v>
      </c>
      <c r="AK962" s="2">
        <f t="shared" si="123"/>
        <v>-25.9</v>
      </c>
      <c r="AL962" s="5">
        <v>0</v>
      </c>
    </row>
    <row r="963" spans="1:38" hidden="1" x14ac:dyDescent="0.2">
      <c r="A963" s="2">
        <v>2025</v>
      </c>
      <c r="B963" s="2">
        <v>5</v>
      </c>
      <c r="D963" s="2" t="s">
        <v>1326</v>
      </c>
      <c r="P963" s="2" t="s">
        <v>283</v>
      </c>
      <c r="Q963" s="2" t="s">
        <v>1330</v>
      </c>
      <c r="R963" s="2" t="s">
        <v>1331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4">(T963-W963)/T963</f>
        <v>0.25932173913043483</v>
      </c>
      <c r="Z963" s="2" t="s">
        <v>105</v>
      </c>
      <c r="AA963" s="2" t="s">
        <v>388</v>
      </c>
      <c r="AB963" s="2" t="s">
        <v>1332</v>
      </c>
      <c r="AC963" s="2" t="s">
        <v>1329</v>
      </c>
      <c r="AF963" s="2">
        <f t="shared" si="121"/>
        <v>0</v>
      </c>
      <c r="AG963" s="2">
        <v>1703.56</v>
      </c>
      <c r="AJ963" s="2">
        <f t="shared" si="122"/>
        <v>0</v>
      </c>
      <c r="AK963" s="2">
        <f t="shared" si="123"/>
        <v>596.44000000000005</v>
      </c>
      <c r="AL963" s="5">
        <f t="shared" si="118"/>
        <v>0.25932173913043483</v>
      </c>
    </row>
    <row r="964" spans="1:38" hidden="1" x14ac:dyDescent="0.2">
      <c r="A964" s="2">
        <v>2025</v>
      </c>
      <c r="B964" s="2">
        <v>5</v>
      </c>
      <c r="D964" s="2" t="s">
        <v>1333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4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1"/>
        <v>0</v>
      </c>
      <c r="AG964" s="2">
        <v>22.2</v>
      </c>
      <c r="AJ964" s="2">
        <f t="shared" si="122"/>
        <v>0</v>
      </c>
      <c r="AK964" s="2">
        <f t="shared" si="123"/>
        <v>22.027999999999999</v>
      </c>
      <c r="AL964" s="5">
        <f t="shared" si="118"/>
        <v>0.48875083203905034</v>
      </c>
    </row>
    <row r="965" spans="1:38" hidden="1" x14ac:dyDescent="0.2">
      <c r="A965" s="2">
        <v>2025</v>
      </c>
      <c r="B965" s="2">
        <v>5</v>
      </c>
      <c r="D965" s="2" t="s">
        <v>1333</v>
      </c>
      <c r="P965" s="2" t="s">
        <v>115</v>
      </c>
      <c r="Q965" s="2" t="s">
        <v>1334</v>
      </c>
      <c r="R965" s="2" t="s">
        <v>1335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4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1"/>
        <v>0</v>
      </c>
      <c r="AG965" s="2">
        <v>33.728900000000003</v>
      </c>
      <c r="AJ965" s="2">
        <f t="shared" si="122"/>
        <v>0</v>
      </c>
      <c r="AK965" s="2">
        <f t="shared" si="123"/>
        <v>31.781100000000002</v>
      </c>
      <c r="AL965" s="5">
        <f t="shared" si="118"/>
        <v>0.48513356739429092</v>
      </c>
    </row>
    <row r="966" spans="1:38" hidden="1" x14ac:dyDescent="0.2">
      <c r="A966" s="2">
        <v>2025</v>
      </c>
      <c r="B966" s="2">
        <v>5</v>
      </c>
      <c r="D966" s="2" t="s">
        <v>690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691</v>
      </c>
      <c r="K966" s="2">
        <v>913036545</v>
      </c>
      <c r="L966" s="2" t="s">
        <v>178</v>
      </c>
      <c r="M966" s="2" t="s">
        <v>41</v>
      </c>
      <c r="O966" s="2" t="s">
        <v>1336</v>
      </c>
      <c r="P966" s="2" t="s">
        <v>43</v>
      </c>
      <c r="Q966" s="2" t="s">
        <v>1337</v>
      </c>
      <c r="R966" s="2" t="s">
        <v>1338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4"/>
        <v>1</v>
      </c>
      <c r="Z966" s="2" t="s">
        <v>3231</v>
      </c>
      <c r="AA966" s="2" t="s">
        <v>46</v>
      </c>
      <c r="AB966" s="2" t="s">
        <v>61</v>
      </c>
      <c r="AC966" s="2" t="s">
        <v>58</v>
      </c>
      <c r="AF966" s="2">
        <f t="shared" si="121"/>
        <v>0</v>
      </c>
      <c r="AJ966" s="2">
        <f t="shared" si="122"/>
        <v>0</v>
      </c>
      <c r="AK966" s="2">
        <f t="shared" si="123"/>
        <v>21.6</v>
      </c>
      <c r="AL966" s="5">
        <f t="shared" si="118"/>
        <v>1</v>
      </c>
    </row>
    <row r="967" spans="1:38" hidden="1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1339</v>
      </c>
      <c r="P967" s="2" t="s">
        <v>115</v>
      </c>
      <c r="Q967" s="2" t="s">
        <v>1340</v>
      </c>
      <c r="R967" s="2" t="s">
        <v>1341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4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1"/>
        <v>0</v>
      </c>
      <c r="AG967" s="2">
        <v>11.99</v>
      </c>
      <c r="AJ967" s="2">
        <f t="shared" si="122"/>
        <v>0</v>
      </c>
      <c r="AK967" s="2">
        <f t="shared" si="123"/>
        <v>10.9</v>
      </c>
      <c r="AL967" s="5">
        <f t="shared" si="118"/>
        <v>0.47619047619047622</v>
      </c>
    </row>
    <row r="968" spans="1:38" hidden="1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1342</v>
      </c>
      <c r="P968" s="2" t="s">
        <v>115</v>
      </c>
      <c r="Q968" s="2" t="s">
        <v>1343</v>
      </c>
      <c r="R968" s="2" t="s">
        <v>1344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4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1"/>
        <v>0</v>
      </c>
      <c r="AG968" s="2">
        <v>15.902100000000001</v>
      </c>
      <c r="AJ968" s="2">
        <f t="shared" si="122"/>
        <v>0</v>
      </c>
      <c r="AK968" s="2">
        <f t="shared" si="123"/>
        <v>18.647899999999996</v>
      </c>
      <c r="AL968" s="5">
        <f t="shared" si="118"/>
        <v>0.53973661360347314</v>
      </c>
    </row>
    <row r="969" spans="1:38" hidden="1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1339</v>
      </c>
      <c r="P969" s="2" t="s">
        <v>115</v>
      </c>
      <c r="Q969" s="2" t="s">
        <v>1345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4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1"/>
        <v>0</v>
      </c>
      <c r="AG969" s="2">
        <v>20.49</v>
      </c>
      <c r="AJ969" s="2">
        <f t="shared" si="122"/>
        <v>0</v>
      </c>
      <c r="AK969" s="2">
        <f t="shared" si="123"/>
        <v>22.31</v>
      </c>
      <c r="AL969" s="5">
        <f t="shared" si="118"/>
        <v>0.52126168224299063</v>
      </c>
    </row>
    <row r="970" spans="1:38" hidden="1" x14ac:dyDescent="0.2">
      <c r="A970" s="2">
        <v>2025</v>
      </c>
      <c r="B970" s="2">
        <v>5</v>
      </c>
      <c r="D970" s="2" t="s">
        <v>1346</v>
      </c>
      <c r="P970" s="2" t="s">
        <v>73</v>
      </c>
      <c r="Q970" s="2" t="s">
        <v>1347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4"/>
        <v>0.54214285714285715</v>
      </c>
      <c r="Z970" s="2" t="s">
        <v>3231</v>
      </c>
      <c r="AA970" s="2" t="s">
        <v>76</v>
      </c>
      <c r="AB970" s="2" t="s">
        <v>77</v>
      </c>
      <c r="AC970" s="2" t="s">
        <v>78</v>
      </c>
      <c r="AF970" s="2">
        <f t="shared" si="121"/>
        <v>0</v>
      </c>
      <c r="AJ970" s="2">
        <f t="shared" si="122"/>
        <v>0</v>
      </c>
      <c r="AK970" s="2">
        <f t="shared" si="123"/>
        <v>113.85</v>
      </c>
      <c r="AL970" s="5">
        <f t="shared" si="118"/>
        <v>0.54214285714285715</v>
      </c>
    </row>
    <row r="971" spans="1:38" hidden="1" x14ac:dyDescent="0.2">
      <c r="A971" s="2">
        <v>2025</v>
      </c>
      <c r="B971" s="2">
        <v>5</v>
      </c>
      <c r="D971" s="2" t="s">
        <v>1346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4"/>
        <v>0</v>
      </c>
      <c r="Z971" s="2" t="s">
        <v>3231</v>
      </c>
      <c r="AA971" s="2" t="s">
        <v>97</v>
      </c>
      <c r="AB971" s="2" t="s">
        <v>77</v>
      </c>
      <c r="AC971" s="2" t="s">
        <v>94</v>
      </c>
      <c r="AF971" s="2">
        <f t="shared" si="121"/>
        <v>0</v>
      </c>
      <c r="AJ971" s="2">
        <f t="shared" si="122"/>
        <v>0</v>
      </c>
      <c r="AK971" s="2">
        <f t="shared" si="123"/>
        <v>0</v>
      </c>
      <c r="AL971" s="5">
        <f t="shared" si="118"/>
        <v>0</v>
      </c>
    </row>
    <row r="972" spans="1:38" hidden="1" x14ac:dyDescent="0.2">
      <c r="A972" s="2">
        <v>2025</v>
      </c>
      <c r="B972" s="2">
        <v>5</v>
      </c>
      <c r="D972" s="2" t="s">
        <v>1170</v>
      </c>
      <c r="E972" s="2" t="s">
        <v>753</v>
      </c>
      <c r="F972" s="2" t="s">
        <v>1171</v>
      </c>
      <c r="G972" s="2">
        <v>505760088</v>
      </c>
      <c r="H972" s="2" t="s">
        <v>291</v>
      </c>
      <c r="I972" s="2" t="s">
        <v>1172</v>
      </c>
      <c r="J972" s="2" t="s">
        <v>1173</v>
      </c>
      <c r="L972" s="2" t="s">
        <v>340</v>
      </c>
      <c r="M972" s="2" t="s">
        <v>40</v>
      </c>
      <c r="O972" s="2" t="s">
        <v>1348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4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1"/>
        <v>0</v>
      </c>
      <c r="AG972" s="2">
        <v>24.454000000000001</v>
      </c>
      <c r="AJ972" s="2">
        <f t="shared" si="122"/>
        <v>0</v>
      </c>
      <c r="AK972" s="2">
        <f t="shared" si="123"/>
        <v>50.712000000000003</v>
      </c>
      <c r="AL972" s="5">
        <f t="shared" si="118"/>
        <v>0.5090544067456334</v>
      </c>
    </row>
    <row r="973" spans="1:38" hidden="1" x14ac:dyDescent="0.2">
      <c r="A973" s="2">
        <v>2025</v>
      </c>
      <c r="B973" s="2">
        <v>5</v>
      </c>
      <c r="D973" s="2" t="s">
        <v>694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695</v>
      </c>
      <c r="J973" s="2" t="s">
        <v>696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4"/>
        <v>0.430969696969697</v>
      </c>
      <c r="Z973" s="2" t="s">
        <v>3231</v>
      </c>
      <c r="AA973" s="2" t="s">
        <v>46</v>
      </c>
      <c r="AB973" s="2" t="s">
        <v>61</v>
      </c>
      <c r="AC973" s="2" t="s">
        <v>58</v>
      </c>
      <c r="AF973" s="2">
        <f t="shared" si="121"/>
        <v>0</v>
      </c>
      <c r="AG973" s="2">
        <v>3.7555999999999998</v>
      </c>
      <c r="AH973" s="2">
        <v>7.2</v>
      </c>
      <c r="AJ973" s="2">
        <f t="shared" si="122"/>
        <v>0</v>
      </c>
      <c r="AK973" s="2">
        <f t="shared" si="123"/>
        <v>28.444000000000003</v>
      </c>
      <c r="AL973" s="5">
        <f t="shared" si="118"/>
        <v>0.430969696969697</v>
      </c>
    </row>
    <row r="974" spans="1:38" hidden="1" x14ac:dyDescent="0.2">
      <c r="A974" s="2">
        <v>2025</v>
      </c>
      <c r="B974" s="2">
        <v>5</v>
      </c>
      <c r="D974" s="2" t="s">
        <v>1349</v>
      </c>
      <c r="P974" s="2" t="s">
        <v>1040</v>
      </c>
      <c r="Q974" s="2" t="s">
        <v>1350</v>
      </c>
      <c r="R974" s="2" t="s">
        <v>1351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4"/>
        <v>0.29019607843137257</v>
      </c>
      <c r="Z974" s="2" t="s">
        <v>3231</v>
      </c>
      <c r="AA974" s="2" t="s">
        <v>1043</v>
      </c>
      <c r="AB974" s="2" t="s">
        <v>1320</v>
      </c>
      <c r="AC974" s="2" t="s">
        <v>1040</v>
      </c>
      <c r="AF974" s="2">
        <f t="shared" si="121"/>
        <v>0</v>
      </c>
      <c r="AJ974" s="2">
        <f t="shared" si="122"/>
        <v>0</v>
      </c>
      <c r="AK974" s="2">
        <f t="shared" si="123"/>
        <v>177.60000000000002</v>
      </c>
      <c r="AL974" s="5">
        <f t="shared" si="118"/>
        <v>0.29019607843137257</v>
      </c>
    </row>
    <row r="975" spans="1:38" hidden="1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4"/>
        <v>0.5243888888888889</v>
      </c>
      <c r="Z975" s="2" t="s">
        <v>3231</v>
      </c>
      <c r="AA975" s="2" t="s">
        <v>46</v>
      </c>
      <c r="AB975" s="2" t="s">
        <v>61</v>
      </c>
      <c r="AC975" s="2" t="s">
        <v>58</v>
      </c>
      <c r="AF975" s="2">
        <f t="shared" si="121"/>
        <v>0</v>
      </c>
      <c r="AG975" s="2">
        <v>0.85609999999999997</v>
      </c>
      <c r="AH975" s="2">
        <v>1.8</v>
      </c>
      <c r="AJ975" s="2">
        <f t="shared" si="122"/>
        <v>0</v>
      </c>
      <c r="AK975" s="2">
        <f t="shared" si="123"/>
        <v>18.878</v>
      </c>
      <c r="AL975" s="5">
        <f t="shared" si="118"/>
        <v>0.5243888888888889</v>
      </c>
    </row>
    <row r="976" spans="1:38" hidden="1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4"/>
        <v>0.28474761904761897</v>
      </c>
      <c r="Z976" s="2" t="s">
        <v>3231</v>
      </c>
      <c r="AA976" s="2" t="s">
        <v>46</v>
      </c>
      <c r="AB976" s="2" t="s">
        <v>68</v>
      </c>
      <c r="AC976" s="2" t="s">
        <v>58</v>
      </c>
      <c r="AF976" s="2">
        <f t="shared" si="121"/>
        <v>0</v>
      </c>
      <c r="AG976" s="2">
        <v>15.020300000000001</v>
      </c>
      <c r="AH976" s="2">
        <v>27.6</v>
      </c>
      <c r="AJ976" s="2">
        <f t="shared" si="122"/>
        <v>0</v>
      </c>
      <c r="AK976" s="2">
        <f t="shared" si="123"/>
        <v>17.939099999999996</v>
      </c>
      <c r="AL976" s="5">
        <f t="shared" si="118"/>
        <v>0.28474761904761897</v>
      </c>
    </row>
    <row r="977" spans="1:38" hidden="1" x14ac:dyDescent="0.2">
      <c r="A977" s="2">
        <v>2025</v>
      </c>
      <c r="B977" s="2">
        <v>5</v>
      </c>
      <c r="D977" s="2" t="s">
        <v>732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733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4"/>
        <v>0.44069999999999998</v>
      </c>
      <c r="Z977" s="2" t="s">
        <v>3231</v>
      </c>
      <c r="AA977" s="2" t="s">
        <v>76</v>
      </c>
      <c r="AB977" s="2" t="s">
        <v>77</v>
      </c>
      <c r="AC977" s="2" t="s">
        <v>78</v>
      </c>
      <c r="AF977" s="2">
        <f t="shared" si="121"/>
        <v>0</v>
      </c>
      <c r="AG977" s="2">
        <v>117.453</v>
      </c>
      <c r="AH977" s="2">
        <v>220</v>
      </c>
      <c r="AJ977" s="2">
        <f t="shared" si="122"/>
        <v>0</v>
      </c>
      <c r="AK977" s="2">
        <f t="shared" si="123"/>
        <v>92.546999999999997</v>
      </c>
      <c r="AL977" s="5">
        <f t="shared" ref="AL977:AL1040" si="125">(T977-W977)/T977</f>
        <v>0.44069999999999998</v>
      </c>
    </row>
    <row r="978" spans="1:38" hidden="1" x14ac:dyDescent="0.2">
      <c r="A978" s="2">
        <v>2025</v>
      </c>
      <c r="B978" s="2">
        <v>5</v>
      </c>
      <c r="D978" s="2" t="s">
        <v>732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733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4"/>
        <v>0</v>
      </c>
      <c r="Z978" s="2" t="s">
        <v>3231</v>
      </c>
      <c r="AA978" s="2" t="s">
        <v>97</v>
      </c>
      <c r="AB978" s="2" t="s">
        <v>77</v>
      </c>
      <c r="AC978" s="2" t="s">
        <v>94</v>
      </c>
      <c r="AF978" s="2">
        <f t="shared" si="121"/>
        <v>0</v>
      </c>
      <c r="AG978" s="2">
        <v>1.1399999999999999</v>
      </c>
      <c r="AH978" s="2">
        <v>1.1399999999999999</v>
      </c>
      <c r="AJ978" s="2">
        <f t="shared" si="122"/>
        <v>0</v>
      </c>
      <c r="AK978" s="2">
        <f t="shared" si="123"/>
        <v>0</v>
      </c>
      <c r="AL978" s="5">
        <f t="shared" si="125"/>
        <v>0</v>
      </c>
    </row>
    <row r="979" spans="1:38" hidden="1" x14ac:dyDescent="0.2">
      <c r="A979" s="2">
        <v>2025</v>
      </c>
      <c r="B979" s="2">
        <v>5</v>
      </c>
      <c r="D979" s="2" t="s">
        <v>1352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4"/>
        <v>0.30000000000000004</v>
      </c>
      <c r="Z979" s="2" t="s">
        <v>3231</v>
      </c>
      <c r="AA979" s="2" t="s">
        <v>72</v>
      </c>
      <c r="AB979" s="2" t="s">
        <v>120</v>
      </c>
      <c r="AC979" s="2" t="s">
        <v>120</v>
      </c>
      <c r="AF979" s="2">
        <f t="shared" si="121"/>
        <v>0</v>
      </c>
      <c r="AJ979" s="2">
        <f t="shared" si="122"/>
        <v>0</v>
      </c>
      <c r="AK979" s="2">
        <f t="shared" si="123"/>
        <v>26.700000000000003</v>
      </c>
      <c r="AL979" s="5">
        <f t="shared" si="125"/>
        <v>0.30000000000000004</v>
      </c>
    </row>
    <row r="980" spans="1:38" hidden="1" x14ac:dyDescent="0.2">
      <c r="A980" s="2">
        <v>2025</v>
      </c>
      <c r="B980" s="2">
        <v>5</v>
      </c>
      <c r="D980" s="2" t="s">
        <v>1352</v>
      </c>
      <c r="P980" s="2" t="s">
        <v>283</v>
      </c>
      <c r="Q980" s="2" t="s">
        <v>1353</v>
      </c>
      <c r="R980" s="2" t="s">
        <v>1354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4"/>
        <v>0.3</v>
      </c>
      <c r="Z980" s="2" t="s">
        <v>3231</v>
      </c>
      <c r="AA980" s="2" t="s">
        <v>72</v>
      </c>
      <c r="AB980" s="2" t="s">
        <v>120</v>
      </c>
      <c r="AC980" s="2" t="s">
        <v>120</v>
      </c>
      <c r="AF980" s="2">
        <f t="shared" si="121"/>
        <v>0</v>
      </c>
      <c r="AG980" s="2">
        <v>489.3</v>
      </c>
      <c r="AJ980" s="2">
        <f t="shared" si="122"/>
        <v>0</v>
      </c>
      <c r="AK980" s="2">
        <f t="shared" si="123"/>
        <v>209.7</v>
      </c>
      <c r="AL980" s="5">
        <f t="shared" si="125"/>
        <v>0.3</v>
      </c>
    </row>
    <row r="981" spans="1:38" hidden="1" x14ac:dyDescent="0.2">
      <c r="A981" s="2">
        <v>2025</v>
      </c>
      <c r="B981" s="2">
        <v>5</v>
      </c>
      <c r="D981" s="2" t="s">
        <v>983</v>
      </c>
      <c r="E981" s="2" t="s">
        <v>109</v>
      </c>
      <c r="F981" s="2" t="s">
        <v>718</v>
      </c>
      <c r="G981" s="2">
        <v>500594309</v>
      </c>
      <c r="H981" s="2" t="s">
        <v>291</v>
      </c>
      <c r="I981" s="2" t="s">
        <v>984</v>
      </c>
      <c r="J981" s="2" t="s">
        <v>985</v>
      </c>
      <c r="L981" s="2" t="s">
        <v>294</v>
      </c>
      <c r="M981" s="2" t="s">
        <v>81</v>
      </c>
      <c r="O981" s="2" t="s">
        <v>1355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4"/>
        <v>0.4575909090909091</v>
      </c>
      <c r="Z981" s="2" t="s">
        <v>3231</v>
      </c>
      <c r="AA981" s="2" t="s">
        <v>76</v>
      </c>
      <c r="AB981" s="2" t="s">
        <v>77</v>
      </c>
      <c r="AC981" s="2" t="s">
        <v>78</v>
      </c>
      <c r="AF981" s="2">
        <f t="shared" si="121"/>
        <v>0</v>
      </c>
      <c r="AG981" s="2">
        <v>119.33</v>
      </c>
      <c r="AH981" s="2">
        <v>220</v>
      </c>
      <c r="AJ981" s="2">
        <f t="shared" si="122"/>
        <v>0</v>
      </c>
      <c r="AK981" s="2">
        <f t="shared" si="123"/>
        <v>100.67</v>
      </c>
      <c r="AL981" s="5">
        <f t="shared" si="125"/>
        <v>0.4575909090909091</v>
      </c>
    </row>
    <row r="982" spans="1:38" hidden="1" x14ac:dyDescent="0.2">
      <c r="A982" s="2">
        <v>2025</v>
      </c>
      <c r="B982" s="2">
        <v>5</v>
      </c>
      <c r="D982" s="2" t="s">
        <v>983</v>
      </c>
      <c r="E982" s="2" t="s">
        <v>109</v>
      </c>
      <c r="F982" s="2" t="s">
        <v>718</v>
      </c>
      <c r="G982" s="2">
        <v>500594309</v>
      </c>
      <c r="H982" s="2" t="s">
        <v>291</v>
      </c>
      <c r="I982" s="2" t="s">
        <v>984</v>
      </c>
      <c r="J982" s="2" t="s">
        <v>985</v>
      </c>
      <c r="L982" s="2" t="s">
        <v>294</v>
      </c>
      <c r="M982" s="2" t="s">
        <v>81</v>
      </c>
      <c r="O982" s="2" t="s">
        <v>1355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4"/>
        <v>0</v>
      </c>
      <c r="Z982" s="2" t="s">
        <v>3231</v>
      </c>
      <c r="AA982" s="2" t="s">
        <v>97</v>
      </c>
      <c r="AB982" s="2" t="s">
        <v>77</v>
      </c>
      <c r="AC982" s="2" t="s">
        <v>94</v>
      </c>
      <c r="AF982" s="2">
        <f t="shared" si="121"/>
        <v>0</v>
      </c>
      <c r="AG982" s="2">
        <v>1.1399999999999999</v>
      </c>
      <c r="AH982" s="2">
        <v>1.1399999999999999</v>
      </c>
      <c r="AJ982" s="2">
        <f t="shared" si="122"/>
        <v>0</v>
      </c>
      <c r="AK982" s="2">
        <f t="shared" si="123"/>
        <v>0</v>
      </c>
      <c r="AL982" s="5">
        <f t="shared" si="125"/>
        <v>0</v>
      </c>
    </row>
    <row r="983" spans="1:38" hidden="1" x14ac:dyDescent="0.2">
      <c r="A983" s="2">
        <v>2025</v>
      </c>
      <c r="B983" s="2">
        <v>5</v>
      </c>
      <c r="D983" s="2" t="s">
        <v>1356</v>
      </c>
      <c r="P983" s="2" t="s">
        <v>115</v>
      </c>
      <c r="Q983" s="2" t="s">
        <v>736</v>
      </c>
      <c r="R983" s="2" t="s">
        <v>737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4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1"/>
        <v>0</v>
      </c>
      <c r="AJ983" s="2">
        <f t="shared" si="122"/>
        <v>0</v>
      </c>
      <c r="AK983" s="2">
        <f t="shared" si="123"/>
        <v>40.53</v>
      </c>
      <c r="AL983" s="5">
        <f t="shared" si="125"/>
        <v>1</v>
      </c>
    </row>
    <row r="984" spans="1:38" hidden="1" x14ac:dyDescent="0.2">
      <c r="A984" s="2">
        <v>2025</v>
      </c>
      <c r="B984" s="2">
        <v>5</v>
      </c>
      <c r="D984" s="2" t="s">
        <v>987</v>
      </c>
      <c r="Q984" s="2" t="s">
        <v>988</v>
      </c>
      <c r="R984" s="2" t="s">
        <v>989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C984" s="2" t="s">
        <v>476</v>
      </c>
      <c r="AF984" s="2">
        <f t="shared" si="121"/>
        <v>0</v>
      </c>
      <c r="AJ984" s="2">
        <f t="shared" si="122"/>
        <v>0</v>
      </c>
      <c r="AK984" s="2">
        <f t="shared" si="123"/>
        <v>0</v>
      </c>
      <c r="AL984" s="5">
        <v>0</v>
      </c>
    </row>
    <row r="985" spans="1:38" hidden="1" x14ac:dyDescent="0.2">
      <c r="A985" s="2">
        <v>2025</v>
      </c>
      <c r="B985" s="2">
        <v>5</v>
      </c>
      <c r="D985" s="2" t="s">
        <v>1357</v>
      </c>
      <c r="E985" s="2" t="s">
        <v>753</v>
      </c>
      <c r="F985" s="2" t="s">
        <v>39</v>
      </c>
      <c r="G985" s="2">
        <v>518238334</v>
      </c>
      <c r="H985" s="2" t="s">
        <v>41</v>
      </c>
      <c r="I985" s="2" t="s">
        <v>763</v>
      </c>
      <c r="J985" s="2" t="s">
        <v>1358</v>
      </c>
      <c r="L985" s="2" t="s">
        <v>419</v>
      </c>
      <c r="P985" s="2" t="s">
        <v>283</v>
      </c>
      <c r="Q985" s="2" t="s">
        <v>1237</v>
      </c>
      <c r="R985" s="2" t="s">
        <v>1238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1578</v>
      </c>
      <c r="AB985" s="2" t="s">
        <v>389</v>
      </c>
      <c r="AC985" s="2" t="s">
        <v>1329</v>
      </c>
      <c r="AF985" s="2">
        <f t="shared" si="121"/>
        <v>0</v>
      </c>
      <c r="AJ985" s="2">
        <f t="shared" si="122"/>
        <v>0</v>
      </c>
      <c r="AK985" s="2">
        <f t="shared" si="123"/>
        <v>703.15000000000009</v>
      </c>
      <c r="AL985" s="5">
        <f t="shared" si="125"/>
        <v>0.17801265822784812</v>
      </c>
    </row>
    <row r="986" spans="1:38" hidden="1" x14ac:dyDescent="0.2">
      <c r="A986" s="2">
        <v>2025</v>
      </c>
      <c r="B986" s="2">
        <v>5</v>
      </c>
      <c r="D986" s="2" t="s">
        <v>1357</v>
      </c>
      <c r="E986" s="2" t="s">
        <v>753</v>
      </c>
      <c r="F986" s="2" t="s">
        <v>39</v>
      </c>
      <c r="G986" s="2">
        <v>518238334</v>
      </c>
      <c r="H986" s="2" t="s">
        <v>41</v>
      </c>
      <c r="I986" s="2" t="s">
        <v>763</v>
      </c>
      <c r="J986" s="2" t="s">
        <v>1358</v>
      </c>
      <c r="L986" s="2" t="s">
        <v>419</v>
      </c>
      <c r="P986" s="2" t="s">
        <v>283</v>
      </c>
      <c r="Q986" s="2" t="s">
        <v>1156</v>
      </c>
      <c r="R986" s="2" t="s">
        <v>1157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1578</v>
      </c>
      <c r="AB986" s="2" t="s">
        <v>389</v>
      </c>
      <c r="AC986" s="2" t="s">
        <v>1329</v>
      </c>
      <c r="AF986" s="2">
        <f t="shared" si="121"/>
        <v>0</v>
      </c>
      <c r="AJ986" s="2">
        <f t="shared" si="122"/>
        <v>0</v>
      </c>
      <c r="AK986" s="2">
        <f t="shared" si="123"/>
        <v>1145</v>
      </c>
      <c r="AL986" s="5">
        <f t="shared" si="125"/>
        <v>0.34332833583208394</v>
      </c>
    </row>
    <row r="987" spans="1:38" hidden="1" x14ac:dyDescent="0.2">
      <c r="A987" s="2">
        <v>2025</v>
      </c>
      <c r="B987" s="2">
        <v>5</v>
      </c>
      <c r="D987" s="2" t="s">
        <v>1357</v>
      </c>
      <c r="E987" s="2" t="s">
        <v>753</v>
      </c>
      <c r="F987" s="2" t="s">
        <v>39</v>
      </c>
      <c r="G987" s="2">
        <v>518238334</v>
      </c>
      <c r="H987" s="2" t="s">
        <v>41</v>
      </c>
      <c r="I987" s="2" t="s">
        <v>763</v>
      </c>
      <c r="J987" s="2" t="s">
        <v>1358</v>
      </c>
      <c r="L987" s="2" t="s">
        <v>419</v>
      </c>
      <c r="P987" s="2" t="s">
        <v>283</v>
      </c>
      <c r="Q987" s="2" t="s">
        <v>1158</v>
      </c>
      <c r="R987" s="2" t="s">
        <v>1159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1578</v>
      </c>
      <c r="AB987" s="2" t="s">
        <v>389</v>
      </c>
      <c r="AC987" s="2" t="s">
        <v>1329</v>
      </c>
      <c r="AF987" s="2">
        <f t="shared" si="121"/>
        <v>0</v>
      </c>
      <c r="AJ987" s="2">
        <f t="shared" si="122"/>
        <v>0</v>
      </c>
      <c r="AK987" s="2">
        <f t="shared" si="123"/>
        <v>0</v>
      </c>
      <c r="AL987" s="5">
        <v>0</v>
      </c>
    </row>
    <row r="988" spans="1:38" hidden="1" x14ac:dyDescent="0.2">
      <c r="A988" s="2">
        <v>2025</v>
      </c>
      <c r="B988" s="2">
        <v>5</v>
      </c>
      <c r="D988" s="2" t="s">
        <v>750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751</v>
      </c>
      <c r="K988" s="2">
        <v>969042927</v>
      </c>
      <c r="L988" s="2" t="s">
        <v>572</v>
      </c>
      <c r="P988" s="2" t="s">
        <v>115</v>
      </c>
      <c r="Q988" s="2" t="s">
        <v>1153</v>
      </c>
      <c r="R988" s="2" t="s">
        <v>1154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6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1"/>
        <v>0</v>
      </c>
      <c r="AJ988" s="2">
        <f t="shared" si="122"/>
        <v>0</v>
      </c>
      <c r="AK988" s="2">
        <f t="shared" si="123"/>
        <v>141.87</v>
      </c>
      <c r="AL988" s="5">
        <f t="shared" si="125"/>
        <v>0.56148335773934388</v>
      </c>
    </row>
    <row r="989" spans="1:38" hidden="1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1359</v>
      </c>
      <c r="P989" s="2" t="s">
        <v>1360</v>
      </c>
      <c r="Q989" s="2" t="s">
        <v>1361</v>
      </c>
      <c r="R989" s="2" t="s">
        <v>1362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6"/>
        <v>0.54100000000000004</v>
      </c>
      <c r="Z989" s="2" t="s">
        <v>3231</v>
      </c>
      <c r="AA989" s="2" t="s">
        <v>76</v>
      </c>
      <c r="AB989" s="2" t="s">
        <v>77</v>
      </c>
      <c r="AC989" s="2" t="s">
        <v>1360</v>
      </c>
      <c r="AF989" s="2">
        <f t="shared" si="121"/>
        <v>0</v>
      </c>
      <c r="AJ989" s="2">
        <f t="shared" si="122"/>
        <v>0</v>
      </c>
      <c r="AK989" s="2">
        <f t="shared" si="123"/>
        <v>135.25</v>
      </c>
      <c r="AL989" s="5">
        <f t="shared" si="125"/>
        <v>0.54100000000000004</v>
      </c>
    </row>
    <row r="990" spans="1:38" hidden="1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1363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6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1"/>
        <v>0</v>
      </c>
      <c r="AJ990" s="2">
        <f t="shared" si="122"/>
        <v>0</v>
      </c>
      <c r="AK990" s="2">
        <f t="shared" si="123"/>
        <v>352.72999999999996</v>
      </c>
      <c r="AL990" s="5">
        <f t="shared" si="125"/>
        <v>0.50440440440440437</v>
      </c>
    </row>
    <row r="991" spans="1:38" hidden="1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1363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6"/>
        <v>0.6</v>
      </c>
      <c r="Z991" s="2" t="s">
        <v>118</v>
      </c>
      <c r="AA991" s="2" t="s">
        <v>191</v>
      </c>
      <c r="AB991" s="2" t="s">
        <v>190</v>
      </c>
      <c r="AC991" s="2" t="s">
        <v>40</v>
      </c>
      <c r="AF991" s="2">
        <f t="shared" si="121"/>
        <v>0</v>
      </c>
      <c r="AJ991" s="2">
        <f t="shared" si="122"/>
        <v>0</v>
      </c>
      <c r="AK991" s="2">
        <f t="shared" si="123"/>
        <v>30</v>
      </c>
      <c r="AL991" s="5">
        <f t="shared" si="125"/>
        <v>0.6</v>
      </c>
    </row>
    <row r="992" spans="1:38" hidden="1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1363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6"/>
        <v>0.5</v>
      </c>
      <c r="Z992" s="2" t="s">
        <v>118</v>
      </c>
      <c r="AA992" s="2" t="s">
        <v>191</v>
      </c>
      <c r="AB992" s="2" t="s">
        <v>191</v>
      </c>
      <c r="AC992" s="2" t="s">
        <v>40</v>
      </c>
      <c r="AF992" s="2">
        <f t="shared" si="121"/>
        <v>0</v>
      </c>
      <c r="AJ992" s="2">
        <f t="shared" si="122"/>
        <v>0</v>
      </c>
      <c r="AK992" s="2">
        <f t="shared" si="123"/>
        <v>25</v>
      </c>
      <c r="AL992" s="5">
        <f t="shared" si="125"/>
        <v>0.5</v>
      </c>
    </row>
    <row r="993" spans="1:38" hidden="1" x14ac:dyDescent="0.2">
      <c r="A993" s="2">
        <v>2025</v>
      </c>
      <c r="B993" s="2">
        <v>5</v>
      </c>
      <c r="D993" s="2" t="s">
        <v>1008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6"/>
        <v>0.4</v>
      </c>
      <c r="Z993" s="2" t="s">
        <v>3231</v>
      </c>
      <c r="AA993" s="2" t="s">
        <v>46</v>
      </c>
      <c r="AB993" s="2" t="s">
        <v>61</v>
      </c>
      <c r="AC993" s="2" t="s">
        <v>3336</v>
      </c>
      <c r="AF993" s="2">
        <f t="shared" si="121"/>
        <v>0</v>
      </c>
      <c r="AJ993" s="2">
        <f t="shared" si="122"/>
        <v>0</v>
      </c>
      <c r="AK993" s="2">
        <f t="shared" si="123"/>
        <v>58</v>
      </c>
      <c r="AL993" s="5">
        <f t="shared" si="125"/>
        <v>0.4</v>
      </c>
    </row>
    <row r="994" spans="1:38" hidden="1" x14ac:dyDescent="0.2">
      <c r="A994" s="2">
        <v>2025</v>
      </c>
      <c r="B994" s="2">
        <v>5</v>
      </c>
      <c r="D994" s="2" t="s">
        <v>1364</v>
      </c>
      <c r="P994" s="2" t="s">
        <v>43</v>
      </c>
      <c r="Q994" s="2" t="s">
        <v>1365</v>
      </c>
      <c r="R994" s="2" t="s">
        <v>1366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26"/>
        <v>0.57608695652173914</v>
      </c>
      <c r="Z994" s="2" t="s">
        <v>3231</v>
      </c>
      <c r="AA994" s="2" t="s">
        <v>46</v>
      </c>
      <c r="AB994" s="2" t="s">
        <v>47</v>
      </c>
      <c r="AC994" s="2" t="s">
        <v>48</v>
      </c>
      <c r="AF994" s="2">
        <f t="shared" si="121"/>
        <v>0</v>
      </c>
      <c r="AJ994" s="2">
        <f t="shared" si="122"/>
        <v>0</v>
      </c>
      <c r="AK994" s="2">
        <f t="shared" si="123"/>
        <v>26.5</v>
      </c>
      <c r="AL994" s="5">
        <f t="shared" si="125"/>
        <v>0.57608695652173914</v>
      </c>
    </row>
    <row r="995" spans="1:38" hidden="1" x14ac:dyDescent="0.2">
      <c r="A995" s="2">
        <v>2025</v>
      </c>
      <c r="B995" s="2">
        <v>5</v>
      </c>
      <c r="D995" s="2" t="s">
        <v>1364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6"/>
        <v>0.46631428571428574</v>
      </c>
      <c r="Z995" s="2" t="s">
        <v>3231</v>
      </c>
      <c r="AA995" s="2" t="s">
        <v>46</v>
      </c>
      <c r="AB995" s="2" t="s">
        <v>47</v>
      </c>
      <c r="AC995" s="2" t="s">
        <v>48</v>
      </c>
      <c r="AF995" s="2">
        <f t="shared" si="121"/>
        <v>0</v>
      </c>
      <c r="AG995" s="2">
        <v>3.7357999999999998</v>
      </c>
      <c r="AH995" s="2">
        <v>9</v>
      </c>
      <c r="AJ995" s="2">
        <f t="shared" si="122"/>
        <v>0</v>
      </c>
      <c r="AK995" s="2">
        <f t="shared" si="123"/>
        <v>3.2642000000000002</v>
      </c>
      <c r="AL995" s="5">
        <f t="shared" si="125"/>
        <v>0.46631428571428574</v>
      </c>
    </row>
    <row r="996" spans="1:38" hidden="1" x14ac:dyDescent="0.2">
      <c r="A996" s="2">
        <v>2025</v>
      </c>
      <c r="B996" s="2">
        <v>5</v>
      </c>
      <c r="D996" s="2" t="s">
        <v>1364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6"/>
        <v>0.25454545454545452</v>
      </c>
      <c r="Z996" s="2" t="s">
        <v>3231</v>
      </c>
      <c r="AA996" s="2" t="s">
        <v>46</v>
      </c>
      <c r="AB996" s="2" t="s">
        <v>61</v>
      </c>
      <c r="AC996" s="2" t="s">
        <v>58</v>
      </c>
      <c r="AF996" s="2">
        <f t="shared" si="121"/>
        <v>0</v>
      </c>
      <c r="AG996" s="2">
        <v>8.1999999999999993</v>
      </c>
      <c r="AH996" s="2">
        <v>13</v>
      </c>
      <c r="AJ996" s="2">
        <f t="shared" si="122"/>
        <v>0</v>
      </c>
      <c r="AK996" s="2">
        <f t="shared" si="123"/>
        <v>28</v>
      </c>
      <c r="AL996" s="5">
        <f t="shared" si="125"/>
        <v>0.25454545454545452</v>
      </c>
    </row>
    <row r="997" spans="1:38" hidden="1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1367</v>
      </c>
      <c r="P997" s="2" t="s">
        <v>85</v>
      </c>
      <c r="Q997" s="2" t="s">
        <v>1368</v>
      </c>
      <c r="R997" s="2" t="s">
        <v>1369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6"/>
        <v>0.29999999999999993</v>
      </c>
      <c r="Z997" s="2" t="s">
        <v>3231</v>
      </c>
      <c r="AA997" s="2" t="s">
        <v>72</v>
      </c>
      <c r="AB997" s="2" t="s">
        <v>85</v>
      </c>
      <c r="AC997" s="2" t="s">
        <v>85</v>
      </c>
      <c r="AF997" s="2">
        <f t="shared" si="121"/>
        <v>0</v>
      </c>
      <c r="AG997" s="2">
        <v>46.2</v>
      </c>
      <c r="AJ997" s="2">
        <f t="shared" si="122"/>
        <v>0</v>
      </c>
      <c r="AK997" s="2">
        <f t="shared" si="123"/>
        <v>19.799999999999997</v>
      </c>
      <c r="AL997" s="5">
        <f t="shared" si="125"/>
        <v>0.29999999999999993</v>
      </c>
    </row>
    <row r="998" spans="1:38" hidden="1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1367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6"/>
        <v>1</v>
      </c>
      <c r="Z998" s="2" t="s">
        <v>170</v>
      </c>
      <c r="AA998" s="2" t="s">
        <v>170</v>
      </c>
      <c r="AF998" s="2">
        <f t="shared" si="121"/>
        <v>0</v>
      </c>
      <c r="AJ998" s="2">
        <f t="shared" si="122"/>
        <v>0</v>
      </c>
      <c r="AK998" s="2">
        <f t="shared" si="123"/>
        <v>5</v>
      </c>
      <c r="AL998" s="5">
        <f t="shared" si="125"/>
        <v>1</v>
      </c>
    </row>
    <row r="999" spans="1:38" hidden="1" x14ac:dyDescent="0.2">
      <c r="A999" s="2">
        <v>2025</v>
      </c>
      <c r="B999" s="2">
        <v>5</v>
      </c>
      <c r="D999" s="2" t="s">
        <v>776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777</v>
      </c>
      <c r="J999" s="2" t="s">
        <v>778</v>
      </c>
      <c r="L999" s="2" t="s">
        <v>340</v>
      </c>
      <c r="M999" s="2" t="s">
        <v>40</v>
      </c>
      <c r="O999" s="2" t="s">
        <v>1370</v>
      </c>
      <c r="P999" s="2" t="s">
        <v>115</v>
      </c>
      <c r="Q999" s="2" t="s">
        <v>1153</v>
      </c>
      <c r="R999" s="2" t="s">
        <v>1154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6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1"/>
        <v>0</v>
      </c>
      <c r="AJ999" s="2">
        <f t="shared" si="122"/>
        <v>0</v>
      </c>
      <c r="AK999" s="2">
        <f t="shared" si="123"/>
        <v>141.87</v>
      </c>
      <c r="AL999" s="5">
        <f t="shared" si="125"/>
        <v>0.56148335773934388</v>
      </c>
    </row>
    <row r="1000" spans="1:38" hidden="1" x14ac:dyDescent="0.2">
      <c r="A1000" s="2">
        <v>2025</v>
      </c>
      <c r="B1000" s="2">
        <v>5</v>
      </c>
      <c r="D1000" s="2" t="s">
        <v>1371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6"/>
        <v>0.49690909090909086</v>
      </c>
      <c r="Z1000" s="2" t="s">
        <v>3231</v>
      </c>
      <c r="AA1000" s="2" t="s">
        <v>76</v>
      </c>
      <c r="AB1000" s="2" t="s">
        <v>77</v>
      </c>
      <c r="AC1000" s="2" t="s">
        <v>78</v>
      </c>
      <c r="AF1000" s="2">
        <f t="shared" si="121"/>
        <v>0</v>
      </c>
      <c r="AG1000" s="2">
        <v>110.68</v>
      </c>
      <c r="AH1000" s="2">
        <v>210</v>
      </c>
      <c r="AJ1000" s="2">
        <f t="shared" si="122"/>
        <v>0</v>
      </c>
      <c r="AK1000" s="2">
        <f t="shared" si="123"/>
        <v>109.32</v>
      </c>
      <c r="AL1000" s="5">
        <f t="shared" si="125"/>
        <v>0.49690909090909086</v>
      </c>
    </row>
    <row r="1001" spans="1:38" hidden="1" x14ac:dyDescent="0.2">
      <c r="A1001" s="2">
        <v>2025</v>
      </c>
      <c r="B1001" s="2">
        <v>5</v>
      </c>
      <c r="D1001" s="2" t="s">
        <v>1371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6"/>
        <v>0</v>
      </c>
      <c r="Z1001" s="2" t="s">
        <v>3231</v>
      </c>
      <c r="AA1001" s="2" t="s">
        <v>97</v>
      </c>
      <c r="AB1001" s="2" t="s">
        <v>77</v>
      </c>
      <c r="AC1001" s="2" t="s">
        <v>94</v>
      </c>
      <c r="AF1001" s="2">
        <f t="shared" si="121"/>
        <v>0</v>
      </c>
      <c r="AJ1001" s="2">
        <f t="shared" si="122"/>
        <v>0</v>
      </c>
      <c r="AK1001" s="2">
        <f t="shared" si="123"/>
        <v>0</v>
      </c>
      <c r="AL1001" s="5">
        <f t="shared" si="125"/>
        <v>0</v>
      </c>
    </row>
    <row r="1002" spans="1:38" hidden="1" x14ac:dyDescent="0.2">
      <c r="A1002" s="2">
        <v>2025</v>
      </c>
      <c r="B1002" s="2">
        <v>5</v>
      </c>
      <c r="D1002" s="2" t="s">
        <v>1010</v>
      </c>
      <c r="E1002" s="2" t="s">
        <v>109</v>
      </c>
      <c r="F1002" s="2" t="s">
        <v>39</v>
      </c>
      <c r="L1002" s="2" t="s">
        <v>419</v>
      </c>
      <c r="M1002" s="2" t="s">
        <v>41</v>
      </c>
      <c r="P1002" s="2" t="s">
        <v>283</v>
      </c>
      <c r="Q1002" s="2" t="s">
        <v>1372</v>
      </c>
      <c r="R1002" s="2" t="s">
        <v>1373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26"/>
        <v>0.26139999999999997</v>
      </c>
      <c r="Z1002" s="2" t="s">
        <v>3231</v>
      </c>
      <c r="AA1002" s="2" t="s">
        <v>72</v>
      </c>
      <c r="AB1002" s="2" t="s">
        <v>120</v>
      </c>
      <c r="AC1002" s="2" t="s">
        <v>120</v>
      </c>
      <c r="AF1002" s="2">
        <f t="shared" si="121"/>
        <v>0</v>
      </c>
      <c r="AJ1002" s="2">
        <f t="shared" si="122"/>
        <v>0</v>
      </c>
      <c r="AK1002" s="2">
        <f t="shared" si="123"/>
        <v>32.674999999999997</v>
      </c>
      <c r="AL1002" s="5">
        <f t="shared" si="125"/>
        <v>0.26139999999999997</v>
      </c>
    </row>
    <row r="1003" spans="1:38" hidden="1" x14ac:dyDescent="0.2">
      <c r="A1003" s="2">
        <v>2025</v>
      </c>
      <c r="B1003" s="2">
        <v>5</v>
      </c>
      <c r="D1003" s="2" t="s">
        <v>782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783</v>
      </c>
      <c r="J1003" s="2" t="s">
        <v>784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6"/>
        <v>0.58173666666666668</v>
      </c>
      <c r="Z1003" s="2" t="s">
        <v>3231</v>
      </c>
      <c r="AA1003" s="2" t="s">
        <v>46</v>
      </c>
      <c r="AB1003" s="2" t="s">
        <v>91</v>
      </c>
      <c r="AC1003" s="2" t="s">
        <v>58</v>
      </c>
      <c r="AF1003" s="2">
        <f t="shared" si="121"/>
        <v>0</v>
      </c>
      <c r="AJ1003" s="2">
        <f t="shared" si="122"/>
        <v>0</v>
      </c>
      <c r="AK1003" s="2">
        <f t="shared" si="123"/>
        <v>34.904200000000003</v>
      </c>
      <c r="AL1003" s="5">
        <f t="shared" si="125"/>
        <v>0.58173666666666668</v>
      </c>
    </row>
    <row r="1004" spans="1:38" hidden="1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6"/>
        <v>0.44819791666666664</v>
      </c>
      <c r="Z1004" s="2" t="s">
        <v>3231</v>
      </c>
      <c r="AA1004" s="2" t="s">
        <v>46</v>
      </c>
      <c r="AB1004" s="2" t="s">
        <v>47</v>
      </c>
      <c r="AC1004" s="2" t="s">
        <v>48</v>
      </c>
      <c r="AF1004" s="2">
        <f t="shared" si="121"/>
        <v>0</v>
      </c>
      <c r="AG1004" s="2">
        <v>5.2972999999999999</v>
      </c>
      <c r="AH1004" s="2">
        <v>10.8</v>
      </c>
      <c r="AJ1004" s="2">
        <f t="shared" si="122"/>
        <v>0</v>
      </c>
      <c r="AK1004" s="2">
        <f t="shared" si="123"/>
        <v>8.6053999999999995</v>
      </c>
      <c r="AL1004" s="5">
        <f t="shared" si="125"/>
        <v>0.44819791666666664</v>
      </c>
    </row>
    <row r="1005" spans="1:38" hidden="1" x14ac:dyDescent="0.2">
      <c r="A1005" s="2">
        <v>2025</v>
      </c>
      <c r="B1005" s="2">
        <v>5</v>
      </c>
      <c r="C1005" s="2" t="s">
        <v>3302</v>
      </c>
      <c r="D1005" s="2" t="s">
        <v>1374</v>
      </c>
      <c r="E1005" s="2" t="s">
        <v>38</v>
      </c>
      <c r="F1005" s="2" t="s">
        <v>39</v>
      </c>
      <c r="I1005" s="2" t="s">
        <v>3303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6"/>
        <v>0.40395634920634915</v>
      </c>
      <c r="Z1005" s="2" t="s">
        <v>3231</v>
      </c>
      <c r="AA1005" s="2" t="s">
        <v>46</v>
      </c>
      <c r="AB1005" s="2" t="s">
        <v>68</v>
      </c>
      <c r="AC1005" s="2" t="s">
        <v>58</v>
      </c>
      <c r="AF1005" s="2">
        <f t="shared" si="121"/>
        <v>0</v>
      </c>
      <c r="AG1005" s="2">
        <v>15.020300000000001</v>
      </c>
      <c r="AH1005" s="2">
        <v>27.6</v>
      </c>
      <c r="AJ1005" s="2">
        <f t="shared" si="122"/>
        <v>0</v>
      </c>
      <c r="AK1005" s="2">
        <f t="shared" si="123"/>
        <v>20.359399999999997</v>
      </c>
      <c r="AL1005" s="5">
        <f t="shared" si="125"/>
        <v>0.40395634920634915</v>
      </c>
    </row>
    <row r="1006" spans="1:38" hidden="1" x14ac:dyDescent="0.2">
      <c r="A1006" s="2">
        <v>2025</v>
      </c>
      <c r="B1006" s="2">
        <v>5</v>
      </c>
      <c r="C1006" s="2" t="s">
        <v>3302</v>
      </c>
      <c r="D1006" s="2" t="s">
        <v>1374</v>
      </c>
      <c r="E1006" s="2" t="s">
        <v>38</v>
      </c>
      <c r="F1006" s="2" t="s">
        <v>39</v>
      </c>
      <c r="I1006" s="2" t="s">
        <v>3303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6"/>
        <v>1</v>
      </c>
      <c r="Z1006" s="2" t="s">
        <v>118</v>
      </c>
      <c r="AA1006" s="2" t="s">
        <v>119</v>
      </c>
      <c r="AB1006" s="2" t="s">
        <v>120</v>
      </c>
      <c r="AC1006" s="2" t="s">
        <v>3301</v>
      </c>
      <c r="AF1006" s="2">
        <f t="shared" si="121"/>
        <v>0</v>
      </c>
      <c r="AJ1006" s="2">
        <f t="shared" si="122"/>
        <v>0</v>
      </c>
      <c r="AK1006" s="2">
        <f t="shared" si="123"/>
        <v>32.49</v>
      </c>
      <c r="AL1006" s="5">
        <f t="shared" si="125"/>
        <v>1</v>
      </c>
    </row>
    <row r="1007" spans="1:38" hidden="1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6"/>
        <v>0.40395634920634915</v>
      </c>
      <c r="Z1007" s="2" t="s">
        <v>3231</v>
      </c>
      <c r="AA1007" s="2" t="s">
        <v>46</v>
      </c>
      <c r="AB1007" s="2" t="s">
        <v>68</v>
      </c>
      <c r="AC1007" s="2" t="s">
        <v>58</v>
      </c>
      <c r="AF1007" s="2">
        <f t="shared" si="121"/>
        <v>0</v>
      </c>
      <c r="AG1007" s="2">
        <v>15.020300000000001</v>
      </c>
      <c r="AH1007" s="2">
        <v>27.6</v>
      </c>
      <c r="AJ1007" s="2">
        <f t="shared" si="122"/>
        <v>0</v>
      </c>
      <c r="AK1007" s="2">
        <f t="shared" si="123"/>
        <v>10.179699999999999</v>
      </c>
      <c r="AL1007" s="5">
        <f t="shared" si="125"/>
        <v>0.40395634920634915</v>
      </c>
    </row>
    <row r="1008" spans="1:38" hidden="1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6"/>
        <v>0.44777500000000003</v>
      </c>
      <c r="Z1008" s="2" t="s">
        <v>3231</v>
      </c>
      <c r="AA1008" s="2" t="s">
        <v>46</v>
      </c>
      <c r="AB1008" s="2" t="s">
        <v>47</v>
      </c>
      <c r="AC1008" s="2" t="s">
        <v>48</v>
      </c>
      <c r="AF1008" s="2">
        <f t="shared" si="121"/>
        <v>0</v>
      </c>
      <c r="AG1008" s="2">
        <v>6.6266999999999996</v>
      </c>
      <c r="AH1008" s="2">
        <v>12</v>
      </c>
      <c r="AJ1008" s="2">
        <f t="shared" si="122"/>
        <v>0</v>
      </c>
      <c r="AK1008" s="2">
        <f t="shared" si="123"/>
        <v>5.3733000000000004</v>
      </c>
      <c r="AL1008" s="5">
        <f t="shared" si="125"/>
        <v>0.44777500000000003</v>
      </c>
    </row>
    <row r="1009" spans="1:38" hidden="1" x14ac:dyDescent="0.2">
      <c r="A1009" s="2">
        <v>2025</v>
      </c>
      <c r="B1009" s="2">
        <v>5</v>
      </c>
      <c r="D1009" s="2" t="s">
        <v>1375</v>
      </c>
      <c r="P1009" s="2" t="s">
        <v>115</v>
      </c>
      <c r="Q1009" s="2" t="s">
        <v>1376</v>
      </c>
      <c r="R1009" s="2" t="s">
        <v>1377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6"/>
        <v>1</v>
      </c>
      <c r="Z1009" s="2" t="s">
        <v>118</v>
      </c>
      <c r="AF1009" s="2">
        <f t="shared" si="121"/>
        <v>0</v>
      </c>
      <c r="AJ1009" s="2">
        <f t="shared" si="122"/>
        <v>0</v>
      </c>
      <c r="AK1009" s="2">
        <f t="shared" si="123"/>
        <v>50.35</v>
      </c>
      <c r="AL1009" s="5">
        <f t="shared" si="125"/>
        <v>1</v>
      </c>
    </row>
    <row r="1010" spans="1:38" hidden="1" x14ac:dyDescent="0.2">
      <c r="A1010" s="2">
        <v>2025</v>
      </c>
      <c r="B1010" s="2">
        <v>5</v>
      </c>
      <c r="D1010" s="2" t="s">
        <v>1375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6"/>
        <v>0.6</v>
      </c>
      <c r="Z1010" s="2" t="s">
        <v>118</v>
      </c>
      <c r="AA1010" s="2" t="s">
        <v>191</v>
      </c>
      <c r="AB1010" s="2" t="s">
        <v>190</v>
      </c>
      <c r="AC1010" s="2" t="s">
        <v>40</v>
      </c>
      <c r="AF1010" s="2">
        <f t="shared" si="121"/>
        <v>0</v>
      </c>
      <c r="AJ1010" s="2">
        <f t="shared" si="122"/>
        <v>0</v>
      </c>
      <c r="AK1010" s="2">
        <f t="shared" si="123"/>
        <v>32.4</v>
      </c>
      <c r="AL1010" s="5">
        <f t="shared" si="125"/>
        <v>0.6</v>
      </c>
    </row>
    <row r="1011" spans="1:38" hidden="1" x14ac:dyDescent="0.2">
      <c r="A1011" s="2">
        <v>2025</v>
      </c>
      <c r="B1011" s="2">
        <v>5</v>
      </c>
      <c r="D1011" s="2" t="s">
        <v>1375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6"/>
        <v>0.5</v>
      </c>
      <c r="Z1011" s="2" t="s">
        <v>118</v>
      </c>
      <c r="AA1011" s="2" t="s">
        <v>191</v>
      </c>
      <c r="AB1011" s="2" t="s">
        <v>191</v>
      </c>
      <c r="AC1011" s="2" t="s">
        <v>40</v>
      </c>
      <c r="AF1011" s="2">
        <f t="shared" si="121"/>
        <v>0</v>
      </c>
      <c r="AJ1011" s="2">
        <f t="shared" si="122"/>
        <v>0</v>
      </c>
      <c r="AK1011" s="2">
        <f t="shared" si="123"/>
        <v>11.25</v>
      </c>
      <c r="AL1011" s="5">
        <f t="shared" si="125"/>
        <v>0.5</v>
      </c>
    </row>
    <row r="1012" spans="1:38" hidden="1" x14ac:dyDescent="0.2">
      <c r="A1012" s="2">
        <v>2025</v>
      </c>
      <c r="B1012" s="2">
        <v>5</v>
      </c>
      <c r="D1012" s="2" t="s">
        <v>1378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6"/>
        <v>0.44069999999999998</v>
      </c>
      <c r="Z1012" s="2" t="s">
        <v>3231</v>
      </c>
      <c r="AA1012" s="2" t="s">
        <v>76</v>
      </c>
      <c r="AB1012" s="2" t="s">
        <v>77</v>
      </c>
      <c r="AC1012" s="2" t="s">
        <v>78</v>
      </c>
      <c r="AF1012" s="2">
        <f t="shared" si="121"/>
        <v>0</v>
      </c>
      <c r="AG1012" s="2">
        <v>117.453</v>
      </c>
      <c r="AH1012" s="2">
        <v>220</v>
      </c>
      <c r="AJ1012" s="2">
        <f t="shared" si="122"/>
        <v>0</v>
      </c>
      <c r="AK1012" s="2">
        <f t="shared" si="123"/>
        <v>92.546999999999997</v>
      </c>
      <c r="AL1012" s="5">
        <f t="shared" si="125"/>
        <v>0.44069999999999998</v>
      </c>
    </row>
    <row r="1013" spans="1:38" hidden="1" x14ac:dyDescent="0.2">
      <c r="A1013" s="2">
        <v>2025</v>
      </c>
      <c r="B1013" s="2">
        <v>5</v>
      </c>
      <c r="D1013" s="2" t="s">
        <v>1378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6"/>
        <v>0</v>
      </c>
      <c r="Z1013" s="2" t="s">
        <v>3231</v>
      </c>
      <c r="AA1013" s="2" t="s">
        <v>97</v>
      </c>
      <c r="AB1013" s="2" t="s">
        <v>77</v>
      </c>
      <c r="AC1013" s="2" t="s">
        <v>94</v>
      </c>
      <c r="AF1013" s="2">
        <f t="shared" si="121"/>
        <v>0</v>
      </c>
      <c r="AJ1013" s="2">
        <f t="shared" si="122"/>
        <v>0</v>
      </c>
      <c r="AK1013" s="2">
        <f t="shared" si="123"/>
        <v>0</v>
      </c>
      <c r="AL1013" s="5">
        <f t="shared" si="125"/>
        <v>0</v>
      </c>
    </row>
    <row r="1014" spans="1:38" hidden="1" x14ac:dyDescent="0.2">
      <c r="A1014" s="2">
        <v>2025</v>
      </c>
      <c r="B1014" s="2">
        <v>5</v>
      </c>
      <c r="D1014" s="2" t="s">
        <v>1379</v>
      </c>
      <c r="P1014" s="2" t="s">
        <v>73</v>
      </c>
      <c r="Q1014" s="2" t="s">
        <v>1077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6"/>
        <v>0.38638461538461544</v>
      </c>
      <c r="Z1014" s="2" t="s">
        <v>3231</v>
      </c>
      <c r="AA1014" s="2" t="s">
        <v>76</v>
      </c>
      <c r="AB1014" s="2" t="s">
        <v>77</v>
      </c>
      <c r="AC1014" s="2" t="s">
        <v>78</v>
      </c>
      <c r="AF1014" s="2">
        <f t="shared" si="121"/>
        <v>0</v>
      </c>
      <c r="AG1014" s="2">
        <f>144.14+15.4</f>
        <v>159.54</v>
      </c>
      <c r="AH1014" s="2">
        <v>280</v>
      </c>
      <c r="AJ1014" s="2">
        <f t="shared" si="122"/>
        <v>0</v>
      </c>
      <c r="AK1014" s="2">
        <f t="shared" si="123"/>
        <v>100.46000000000001</v>
      </c>
      <c r="AL1014" s="5">
        <f t="shared" si="125"/>
        <v>0.38638461538461544</v>
      </c>
    </row>
    <row r="1015" spans="1:38" hidden="1" x14ac:dyDescent="0.2">
      <c r="A1015" s="2">
        <v>2025</v>
      </c>
      <c r="B1015" s="2">
        <v>5</v>
      </c>
      <c r="D1015" s="2" t="s">
        <v>1379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6"/>
        <v>0</v>
      </c>
      <c r="Z1015" s="2" t="s">
        <v>3231</v>
      </c>
      <c r="AA1015" s="2" t="s">
        <v>97</v>
      </c>
      <c r="AB1015" s="2" t="s">
        <v>77</v>
      </c>
      <c r="AC1015" s="2" t="s">
        <v>94</v>
      </c>
      <c r="AF1015" s="2">
        <f t="shared" si="121"/>
        <v>0</v>
      </c>
      <c r="AJ1015" s="2">
        <f t="shared" si="122"/>
        <v>0</v>
      </c>
      <c r="AK1015" s="2">
        <f t="shared" si="123"/>
        <v>0</v>
      </c>
      <c r="AL1015" s="5">
        <f t="shared" si="125"/>
        <v>0</v>
      </c>
    </row>
    <row r="1016" spans="1:38" hidden="1" x14ac:dyDescent="0.2">
      <c r="A1016" s="2">
        <v>2025</v>
      </c>
      <c r="B1016" s="2">
        <v>5</v>
      </c>
      <c r="D1016" s="2" t="s">
        <v>1244</v>
      </c>
      <c r="P1016" s="2" t="s">
        <v>1380</v>
      </c>
      <c r="Q1016" s="2" t="s">
        <v>1381</v>
      </c>
      <c r="R1016" s="2" t="s">
        <v>1382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6"/>
        <v>1</v>
      </c>
      <c r="Z1016" s="2" t="s">
        <v>3231</v>
      </c>
      <c r="AA1016" s="2" t="s">
        <v>1043</v>
      </c>
      <c r="AB1016" s="2" t="s">
        <v>1320</v>
      </c>
      <c r="AC1016" s="2" t="s">
        <v>1380</v>
      </c>
      <c r="AF1016" s="2">
        <f t="shared" si="121"/>
        <v>0</v>
      </c>
      <c r="AJ1016" s="2">
        <f t="shared" si="122"/>
        <v>0</v>
      </c>
      <c r="AK1016" s="2">
        <f t="shared" si="123"/>
        <v>340</v>
      </c>
      <c r="AL1016" s="5">
        <f t="shared" si="125"/>
        <v>1</v>
      </c>
    </row>
    <row r="1017" spans="1:38" hidden="1" x14ac:dyDescent="0.2">
      <c r="A1017" s="2">
        <v>2025</v>
      </c>
      <c r="B1017" s="2">
        <v>5</v>
      </c>
      <c r="D1017" s="2" t="s">
        <v>814</v>
      </c>
      <c r="E1017" s="2" t="s">
        <v>38</v>
      </c>
      <c r="F1017" s="2" t="s">
        <v>39</v>
      </c>
      <c r="G1017" s="2" t="s">
        <v>815</v>
      </c>
      <c r="H1017" s="2" t="s">
        <v>41</v>
      </c>
      <c r="I1017" s="2" t="s">
        <v>627</v>
      </c>
      <c r="L1017" s="2" t="s">
        <v>627</v>
      </c>
      <c r="M1017" s="2" t="s">
        <v>41</v>
      </c>
      <c r="O1017" s="2" t="s">
        <v>1383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26"/>
        <v>0.45495495495495497</v>
      </c>
      <c r="Z1017" s="2" t="s">
        <v>3231</v>
      </c>
      <c r="AA1017" s="2" t="s">
        <v>46</v>
      </c>
      <c r="AB1017" s="2" t="s">
        <v>47</v>
      </c>
      <c r="AC1017" s="2" t="s">
        <v>48</v>
      </c>
      <c r="AF1017" s="2">
        <f t="shared" si="121"/>
        <v>0</v>
      </c>
      <c r="AJ1017" s="2">
        <f t="shared" si="122"/>
        <v>0</v>
      </c>
      <c r="AK1017" s="2">
        <f t="shared" si="123"/>
        <v>10.1</v>
      </c>
      <c r="AL1017" s="5">
        <f t="shared" si="125"/>
        <v>0.45495495495495497</v>
      </c>
    </row>
    <row r="1018" spans="1:38" hidden="1" x14ac:dyDescent="0.2">
      <c r="A1018" s="2">
        <v>2025</v>
      </c>
      <c r="B1018" s="2">
        <v>5</v>
      </c>
      <c r="D1018" s="2" t="s">
        <v>814</v>
      </c>
      <c r="E1018" s="2" t="s">
        <v>38</v>
      </c>
      <c r="F1018" s="2" t="s">
        <v>39</v>
      </c>
      <c r="G1018" s="2" t="s">
        <v>815</v>
      </c>
      <c r="H1018" s="2" t="s">
        <v>41</v>
      </c>
      <c r="I1018" s="2" t="s">
        <v>627</v>
      </c>
      <c r="L1018" s="2" t="s">
        <v>627</v>
      </c>
      <c r="M1018" s="2" t="s">
        <v>41</v>
      </c>
      <c r="O1018" s="2" t="s">
        <v>1383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6"/>
        <v>1</v>
      </c>
      <c r="Z1018" s="2" t="s">
        <v>3231</v>
      </c>
      <c r="AA1018" s="2" t="s">
        <v>46</v>
      </c>
      <c r="AB1018" s="2" t="s">
        <v>57</v>
      </c>
      <c r="AC1018" s="2" t="s">
        <v>58</v>
      </c>
      <c r="AF1018" s="2">
        <f t="shared" si="121"/>
        <v>0</v>
      </c>
      <c r="AJ1018" s="2">
        <f t="shared" si="122"/>
        <v>0</v>
      </c>
      <c r="AK1018" s="2">
        <f t="shared" si="123"/>
        <v>27</v>
      </c>
      <c r="AL1018" s="5">
        <f t="shared" si="125"/>
        <v>1</v>
      </c>
    </row>
    <row r="1019" spans="1:38" hidden="1" x14ac:dyDescent="0.2">
      <c r="A1019" s="2">
        <v>2025</v>
      </c>
      <c r="B1019" s="2">
        <v>5</v>
      </c>
      <c r="D1019" s="2" t="s">
        <v>814</v>
      </c>
      <c r="E1019" s="2" t="s">
        <v>38</v>
      </c>
      <c r="F1019" s="2" t="s">
        <v>39</v>
      </c>
      <c r="G1019" s="2" t="s">
        <v>815</v>
      </c>
      <c r="H1019" s="2" t="s">
        <v>41</v>
      </c>
      <c r="I1019" s="2" t="s">
        <v>627</v>
      </c>
      <c r="L1019" s="2" t="s">
        <v>627</v>
      </c>
      <c r="M1019" s="2" t="s">
        <v>41</v>
      </c>
      <c r="O1019" s="2" t="s">
        <v>1383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6"/>
        <v>0.30138139534883718</v>
      </c>
      <c r="Z1019" s="2" t="s">
        <v>3231</v>
      </c>
      <c r="AA1019" s="2" t="s">
        <v>46</v>
      </c>
      <c r="AB1019" s="2" t="s">
        <v>68</v>
      </c>
      <c r="AC1019" s="2" t="s">
        <v>58</v>
      </c>
      <c r="AF1019" s="2">
        <f t="shared" si="121"/>
        <v>0</v>
      </c>
      <c r="AG1019" s="2">
        <v>15.020300000000001</v>
      </c>
      <c r="AH1019" s="2">
        <v>27.6</v>
      </c>
      <c r="AJ1019" s="2">
        <f t="shared" si="122"/>
        <v>0</v>
      </c>
      <c r="AK1019" s="2">
        <f t="shared" si="123"/>
        <v>6.4796999999999993</v>
      </c>
      <c r="AL1019" s="5">
        <f t="shared" si="125"/>
        <v>0.30138139534883718</v>
      </c>
    </row>
    <row r="1020" spans="1:38" hidden="1" x14ac:dyDescent="0.2">
      <c r="A1020" s="2">
        <v>2025</v>
      </c>
      <c r="B1020" s="2">
        <v>5</v>
      </c>
      <c r="D1020" s="2" t="s">
        <v>1023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27">(T1020-W1020)/T1020</f>
        <v>0.43981481481481483</v>
      </c>
      <c r="Z1020" s="2" t="s">
        <v>3231</v>
      </c>
      <c r="AA1020" s="2" t="s">
        <v>46</v>
      </c>
      <c r="AB1020" s="2" t="s">
        <v>57</v>
      </c>
      <c r="AC1020" s="2" t="s">
        <v>58</v>
      </c>
      <c r="AF1020" s="2">
        <f t="shared" si="121"/>
        <v>0</v>
      </c>
      <c r="AJ1020" s="2">
        <f t="shared" si="122"/>
        <v>0</v>
      </c>
      <c r="AK1020" s="2">
        <f t="shared" si="123"/>
        <v>7.125</v>
      </c>
      <c r="AL1020" s="5">
        <f t="shared" si="125"/>
        <v>0.43981481481481483</v>
      </c>
    </row>
    <row r="1021" spans="1:38" hidden="1" x14ac:dyDescent="0.2">
      <c r="A1021" s="2">
        <v>2025</v>
      </c>
      <c r="B1021" s="2">
        <v>5</v>
      </c>
      <c r="D1021" s="2" t="s">
        <v>1023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7"/>
        <v>1</v>
      </c>
      <c r="Z1021" s="2" t="s">
        <v>3231</v>
      </c>
      <c r="AA1021" s="2" t="s">
        <v>46</v>
      </c>
      <c r="AB1021" s="2" t="s">
        <v>57</v>
      </c>
      <c r="AC1021" s="2" t="s">
        <v>58</v>
      </c>
      <c r="AF1021" s="2">
        <f t="shared" si="121"/>
        <v>0</v>
      </c>
      <c r="AJ1021" s="2">
        <f t="shared" si="122"/>
        <v>0</v>
      </c>
      <c r="AK1021" s="2">
        <f t="shared" si="123"/>
        <v>19.8</v>
      </c>
      <c r="AL1021" s="5">
        <f t="shared" si="125"/>
        <v>1</v>
      </c>
    </row>
    <row r="1022" spans="1:38" hidden="1" x14ac:dyDescent="0.2">
      <c r="A1022" s="2">
        <v>2025</v>
      </c>
      <c r="B1022" s="2">
        <v>5</v>
      </c>
      <c r="D1022" s="2" t="s">
        <v>1023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7"/>
        <v>0.36923076923076914</v>
      </c>
      <c r="Z1022" s="2" t="s">
        <v>3231</v>
      </c>
      <c r="AA1022" s="2" t="s">
        <v>46</v>
      </c>
      <c r="AB1022" s="2" t="s">
        <v>61</v>
      </c>
      <c r="AC1022" s="2" t="s">
        <v>58</v>
      </c>
      <c r="AF1022" s="2">
        <f t="shared" si="121"/>
        <v>0</v>
      </c>
      <c r="AG1022" s="2">
        <v>8.1999999999999993</v>
      </c>
      <c r="AH1022" s="2">
        <v>13</v>
      </c>
      <c r="AJ1022" s="2">
        <f t="shared" si="122"/>
        <v>0</v>
      </c>
      <c r="AK1022" s="2">
        <f t="shared" si="123"/>
        <v>4.7999999999999989</v>
      </c>
      <c r="AL1022" s="5">
        <f t="shared" si="125"/>
        <v>0.36923076923076914</v>
      </c>
    </row>
    <row r="1023" spans="1:38" hidden="1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1384</v>
      </c>
      <c r="P1023" s="2" t="s">
        <v>73</v>
      </c>
      <c r="Q1023" s="2" t="s">
        <v>682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7"/>
        <v>0.50242857142857145</v>
      </c>
      <c r="Z1023" s="2" t="s">
        <v>3231</v>
      </c>
      <c r="AA1023" s="2" t="s">
        <v>76</v>
      </c>
      <c r="AB1023" s="2" t="s">
        <v>77</v>
      </c>
      <c r="AC1023" s="2" t="s">
        <v>78</v>
      </c>
      <c r="AF1023" s="2">
        <f t="shared" si="121"/>
        <v>0</v>
      </c>
      <c r="AG1023" s="2">
        <v>104.49</v>
      </c>
      <c r="AH1023" s="2">
        <v>220</v>
      </c>
      <c r="AJ1023" s="2">
        <f t="shared" si="122"/>
        <v>0</v>
      </c>
      <c r="AK1023" s="2">
        <f t="shared" si="123"/>
        <v>105.51</v>
      </c>
      <c r="AL1023" s="5">
        <f t="shared" si="125"/>
        <v>0.50242857142857145</v>
      </c>
    </row>
    <row r="1024" spans="1:38" hidden="1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7"/>
        <v>0</v>
      </c>
      <c r="Z1024" s="2" t="s">
        <v>3231</v>
      </c>
      <c r="AA1024" s="2" t="s">
        <v>97</v>
      </c>
      <c r="AB1024" s="2" t="s">
        <v>77</v>
      </c>
      <c r="AC1024" s="2" t="s">
        <v>94</v>
      </c>
      <c r="AF1024" s="2">
        <f t="shared" si="121"/>
        <v>0</v>
      </c>
      <c r="AG1024" s="2">
        <v>1.1399999999999999</v>
      </c>
      <c r="AH1024" s="2">
        <v>1.1399999999999999</v>
      </c>
      <c r="AJ1024" s="2">
        <f t="shared" si="122"/>
        <v>0</v>
      </c>
      <c r="AK1024" s="2">
        <f t="shared" si="123"/>
        <v>0</v>
      </c>
      <c r="AL1024" s="5">
        <f t="shared" si="125"/>
        <v>0</v>
      </c>
    </row>
    <row r="1025" spans="1:38" hidden="1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3180</v>
      </c>
      <c r="K1025" s="2">
        <v>911577458</v>
      </c>
      <c r="L1025" s="2" t="s">
        <v>178</v>
      </c>
      <c r="M1025" s="2" t="s">
        <v>41</v>
      </c>
      <c r="O1025" s="2" t="s">
        <v>3182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7"/>
        <v>0.44777500000000003</v>
      </c>
      <c r="Z1025" s="2" t="s">
        <v>3231</v>
      </c>
      <c r="AA1025" s="2" t="s">
        <v>46</v>
      </c>
      <c r="AB1025" s="2" t="s">
        <v>47</v>
      </c>
      <c r="AC1025" s="2" t="s">
        <v>48</v>
      </c>
      <c r="AF1025" s="2">
        <f t="shared" ref="AF1025:AF1088" si="128">AJ1025</f>
        <v>0</v>
      </c>
      <c r="AG1025" s="2">
        <v>6.6266999999999996</v>
      </c>
      <c r="AH1025" s="2">
        <v>12</v>
      </c>
      <c r="AJ1025" s="2">
        <f t="shared" ref="AJ1025:AJ1088" si="129">AI1025*T1025</f>
        <v>0</v>
      </c>
      <c r="AK1025" s="2">
        <f t="shared" ref="AK1025:AK1088" si="130">T1025-W1025</f>
        <v>16.119900000000001</v>
      </c>
      <c r="AL1025" s="5">
        <f t="shared" si="125"/>
        <v>0.44777500000000003</v>
      </c>
    </row>
    <row r="1026" spans="1:38" hidden="1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3180</v>
      </c>
      <c r="K1026" s="2">
        <v>911577458</v>
      </c>
      <c r="L1026" s="2" t="s">
        <v>178</v>
      </c>
      <c r="M1026" s="2" t="s">
        <v>41</v>
      </c>
      <c r="O1026" s="2" t="s">
        <v>3182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7"/>
        <v>0.52105128205128204</v>
      </c>
      <c r="Z1026" s="2" t="s">
        <v>3231</v>
      </c>
      <c r="AA1026" s="2" t="s">
        <v>46</v>
      </c>
      <c r="AB1026" s="2" t="s">
        <v>47</v>
      </c>
      <c r="AC1026" s="2" t="s">
        <v>48</v>
      </c>
      <c r="AF1026" s="2">
        <f t="shared" si="128"/>
        <v>0</v>
      </c>
      <c r="AG1026" s="2">
        <v>3.7357999999999998</v>
      </c>
      <c r="AH1026" s="2">
        <v>9</v>
      </c>
      <c r="AJ1026" s="2">
        <f t="shared" si="129"/>
        <v>0</v>
      </c>
      <c r="AK1026" s="2">
        <f t="shared" si="130"/>
        <v>4.0641999999999996</v>
      </c>
      <c r="AL1026" s="5">
        <f t="shared" si="125"/>
        <v>0.52105128205128204</v>
      </c>
    </row>
    <row r="1027" spans="1:38" hidden="1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3180</v>
      </c>
      <c r="K1027" s="2">
        <v>911577458</v>
      </c>
      <c r="L1027" s="2" t="s">
        <v>178</v>
      </c>
      <c r="M1027" s="2" t="s">
        <v>41</v>
      </c>
      <c r="O1027" s="2" t="s">
        <v>3182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7"/>
        <v>0.28474761904761903</v>
      </c>
      <c r="Z1027" s="2" t="s">
        <v>3231</v>
      </c>
      <c r="AA1027" s="2" t="s">
        <v>46</v>
      </c>
      <c r="AB1027" s="2" t="s">
        <v>68</v>
      </c>
      <c r="AC1027" s="2" t="s">
        <v>58</v>
      </c>
      <c r="AF1027" s="2">
        <f t="shared" si="128"/>
        <v>0</v>
      </c>
      <c r="AG1027" s="2">
        <v>15.020300000000001</v>
      </c>
      <c r="AH1027" s="2">
        <v>27.6</v>
      </c>
      <c r="AJ1027" s="2">
        <f t="shared" si="129"/>
        <v>0</v>
      </c>
      <c r="AK1027" s="2">
        <f t="shared" si="130"/>
        <v>5.9796999999999993</v>
      </c>
      <c r="AL1027" s="5">
        <f t="shared" si="125"/>
        <v>0.28474761904761903</v>
      </c>
    </row>
    <row r="1028" spans="1:38" hidden="1" x14ac:dyDescent="0.2">
      <c r="A1028" s="2">
        <v>2025</v>
      </c>
      <c r="B1028" s="2">
        <v>5</v>
      </c>
      <c r="D1028" s="2" t="s">
        <v>817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7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8"/>
        <v>0</v>
      </c>
      <c r="AJ1028" s="2">
        <f t="shared" si="129"/>
        <v>0</v>
      </c>
      <c r="AK1028" s="2">
        <f t="shared" si="130"/>
        <v>5320.6</v>
      </c>
      <c r="AL1028" s="5">
        <f t="shared" si="125"/>
        <v>0.33274546591619764</v>
      </c>
    </row>
    <row r="1029" spans="1:38" hidden="1" x14ac:dyDescent="0.2">
      <c r="A1029" s="2">
        <v>2025</v>
      </c>
      <c r="B1029" s="2">
        <v>5</v>
      </c>
      <c r="C1029" s="2" t="s">
        <v>3329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3185</v>
      </c>
      <c r="L1029" s="2" t="s">
        <v>134</v>
      </c>
      <c r="M1029" s="2" t="s">
        <v>40</v>
      </c>
      <c r="O1029" s="2" t="s">
        <v>3187</v>
      </c>
      <c r="P1029" s="2" t="s">
        <v>115</v>
      </c>
      <c r="Q1029" s="2" t="s">
        <v>640</v>
      </c>
      <c r="R1029" s="2" t="s">
        <v>641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7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8"/>
        <v>0</v>
      </c>
      <c r="AG1029" s="2">
        <f>576.8234+8.18</f>
        <v>585.00339999999994</v>
      </c>
      <c r="AJ1029" s="2">
        <f t="shared" si="129"/>
        <v>0</v>
      </c>
      <c r="AK1029" s="2">
        <f t="shared" si="130"/>
        <v>637.11659999999983</v>
      </c>
      <c r="AL1029" s="5">
        <f t="shared" si="125"/>
        <v>0.52132081955945397</v>
      </c>
    </row>
    <row r="1030" spans="1:38" hidden="1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3185</v>
      </c>
      <c r="L1030" s="2" t="s">
        <v>134</v>
      </c>
      <c r="M1030" s="2" t="s">
        <v>40</v>
      </c>
      <c r="O1030" s="2" t="s">
        <v>3187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7"/>
        <v>0.6</v>
      </c>
      <c r="Z1030" s="2" t="s">
        <v>118</v>
      </c>
      <c r="AA1030" s="2" t="s">
        <v>191</v>
      </c>
      <c r="AB1030" s="2" t="s">
        <v>190</v>
      </c>
      <c r="AC1030" s="2" t="s">
        <v>40</v>
      </c>
      <c r="AF1030" s="2">
        <f t="shared" si="128"/>
        <v>0</v>
      </c>
      <c r="AJ1030" s="2">
        <f t="shared" si="129"/>
        <v>0</v>
      </c>
      <c r="AK1030" s="2">
        <f t="shared" si="130"/>
        <v>72.599999999999994</v>
      </c>
      <c r="AL1030" s="5">
        <f t="shared" si="125"/>
        <v>0.6</v>
      </c>
    </row>
    <row r="1031" spans="1:38" hidden="1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3185</v>
      </c>
      <c r="L1031" s="2" t="s">
        <v>134</v>
      </c>
      <c r="M1031" s="2" t="s">
        <v>40</v>
      </c>
      <c r="O1031" s="2" t="s">
        <v>3187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7"/>
        <v>0.5</v>
      </c>
      <c r="Z1031" s="2" t="s">
        <v>118</v>
      </c>
      <c r="AA1031" s="2" t="s">
        <v>191</v>
      </c>
      <c r="AB1031" s="2" t="s">
        <v>191</v>
      </c>
      <c r="AC1031" s="2" t="s">
        <v>40</v>
      </c>
      <c r="AF1031" s="2">
        <f t="shared" si="128"/>
        <v>0</v>
      </c>
      <c r="AJ1031" s="2">
        <f t="shared" si="129"/>
        <v>0</v>
      </c>
      <c r="AK1031" s="2">
        <f t="shared" si="130"/>
        <v>25</v>
      </c>
      <c r="AL1031" s="5">
        <f t="shared" si="125"/>
        <v>0.5</v>
      </c>
    </row>
    <row r="1032" spans="1:38" hidden="1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1385</v>
      </c>
      <c r="R1032" s="2" t="s">
        <v>1386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7"/>
        <v>1</v>
      </c>
      <c r="Z1032" s="2" t="s">
        <v>118</v>
      </c>
      <c r="AA1032" s="2" t="s">
        <v>119</v>
      </c>
      <c r="AB1032" s="2" t="s">
        <v>120</v>
      </c>
      <c r="AC1032" s="2" t="s">
        <v>115</v>
      </c>
      <c r="AF1032" s="2">
        <f t="shared" si="128"/>
        <v>0</v>
      </c>
      <c r="AJ1032" s="2">
        <f t="shared" si="129"/>
        <v>0</v>
      </c>
      <c r="AK1032" s="2">
        <f t="shared" si="130"/>
        <v>128.09</v>
      </c>
      <c r="AL1032" s="5">
        <f t="shared" si="125"/>
        <v>1</v>
      </c>
    </row>
    <row r="1033" spans="1:38" hidden="1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1387</v>
      </c>
      <c r="R1033" s="2" t="s">
        <v>1082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7"/>
        <v>1</v>
      </c>
      <c r="Z1033" s="2" t="s">
        <v>118</v>
      </c>
      <c r="AA1033" s="2" t="s">
        <v>119</v>
      </c>
      <c r="AB1033" s="2" t="s">
        <v>120</v>
      </c>
      <c r="AC1033" s="2" t="s">
        <v>115</v>
      </c>
      <c r="AF1033" s="2">
        <f t="shared" si="128"/>
        <v>0</v>
      </c>
      <c r="AJ1033" s="2">
        <f t="shared" si="129"/>
        <v>0</v>
      </c>
      <c r="AK1033" s="2">
        <f t="shared" si="130"/>
        <v>81.16</v>
      </c>
      <c r="AL1033" s="5">
        <f t="shared" si="125"/>
        <v>1</v>
      </c>
    </row>
    <row r="1034" spans="1:38" hidden="1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1388</v>
      </c>
      <c r="R1034" s="2" t="s">
        <v>1389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7"/>
        <v>1</v>
      </c>
      <c r="Z1034" s="2" t="s">
        <v>118</v>
      </c>
      <c r="AA1034" s="2" t="s">
        <v>119</v>
      </c>
      <c r="AB1034" s="2" t="s">
        <v>120</v>
      </c>
      <c r="AC1034" s="2" t="s">
        <v>115</v>
      </c>
      <c r="AF1034" s="2">
        <f t="shared" si="128"/>
        <v>0</v>
      </c>
      <c r="AJ1034" s="2">
        <f t="shared" si="129"/>
        <v>0</v>
      </c>
      <c r="AK1034" s="2">
        <f t="shared" si="130"/>
        <v>399.92</v>
      </c>
      <c r="AL1034" s="5">
        <f t="shared" si="125"/>
        <v>1</v>
      </c>
    </row>
    <row r="1035" spans="1:38" hidden="1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7"/>
        <v>0.6</v>
      </c>
      <c r="Z1035" s="2" t="s">
        <v>118</v>
      </c>
      <c r="AA1035" s="2" t="s">
        <v>191</v>
      </c>
      <c r="AB1035" s="2" t="s">
        <v>190</v>
      </c>
      <c r="AC1035" s="2" t="s">
        <v>40</v>
      </c>
      <c r="AF1035" s="2">
        <f t="shared" si="128"/>
        <v>0</v>
      </c>
      <c r="AJ1035" s="2">
        <f t="shared" si="129"/>
        <v>0</v>
      </c>
      <c r="AK1035" s="2">
        <f t="shared" si="130"/>
        <v>53.55</v>
      </c>
      <c r="AL1035" s="5">
        <f t="shared" si="125"/>
        <v>0.6</v>
      </c>
    </row>
    <row r="1036" spans="1:38" hidden="1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7"/>
        <v>0.5</v>
      </c>
      <c r="Z1036" s="2" t="s">
        <v>118</v>
      </c>
      <c r="AA1036" s="2" t="s">
        <v>191</v>
      </c>
      <c r="AB1036" s="2" t="s">
        <v>191</v>
      </c>
      <c r="AC1036" s="2" t="s">
        <v>40</v>
      </c>
      <c r="AF1036" s="2">
        <f t="shared" si="128"/>
        <v>0</v>
      </c>
      <c r="AJ1036" s="2">
        <f t="shared" si="129"/>
        <v>0</v>
      </c>
      <c r="AK1036" s="2">
        <f t="shared" si="130"/>
        <v>45</v>
      </c>
      <c r="AL1036" s="5">
        <f t="shared" si="125"/>
        <v>0.5</v>
      </c>
    </row>
    <row r="1037" spans="1:38" hidden="1" x14ac:dyDescent="0.2">
      <c r="A1037" s="2">
        <v>2025</v>
      </c>
      <c r="B1037" s="2">
        <v>5</v>
      </c>
      <c r="D1037" s="2" t="s">
        <v>1390</v>
      </c>
      <c r="P1037" s="2" t="s">
        <v>115</v>
      </c>
      <c r="Q1037" s="2" t="s">
        <v>647</v>
      </c>
      <c r="R1037" s="2" t="s">
        <v>648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7"/>
        <v>1</v>
      </c>
      <c r="Z1037" s="2" t="s">
        <v>118</v>
      </c>
      <c r="AA1037" s="2" t="s">
        <v>119</v>
      </c>
      <c r="AB1037" s="2" t="s">
        <v>120</v>
      </c>
      <c r="AC1037" s="2" t="s">
        <v>115</v>
      </c>
      <c r="AF1037" s="2">
        <f t="shared" si="128"/>
        <v>0</v>
      </c>
      <c r="AJ1037" s="2">
        <f t="shared" si="129"/>
        <v>0</v>
      </c>
      <c r="AK1037" s="2">
        <f t="shared" si="130"/>
        <v>62.6</v>
      </c>
      <c r="AL1037" s="5">
        <f t="shared" si="125"/>
        <v>1</v>
      </c>
    </row>
    <row r="1038" spans="1:38" hidden="1" x14ac:dyDescent="0.2">
      <c r="A1038" s="2">
        <v>2025</v>
      </c>
      <c r="B1038" s="2">
        <v>5</v>
      </c>
      <c r="D1038" s="2" t="s">
        <v>829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830</v>
      </c>
      <c r="J1038" s="2" t="s">
        <v>831</v>
      </c>
      <c r="L1038" s="2" t="s">
        <v>100</v>
      </c>
      <c r="M1038" s="2" t="s">
        <v>81</v>
      </c>
      <c r="O1038" s="2" t="s">
        <v>1391</v>
      </c>
      <c r="P1038" s="2" t="s">
        <v>73</v>
      </c>
      <c r="Q1038" s="2" t="s">
        <v>1392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7"/>
        <v>0.4797142857142857</v>
      </c>
      <c r="Z1038" s="2" t="s">
        <v>3231</v>
      </c>
      <c r="AA1038" s="2" t="s">
        <v>76</v>
      </c>
      <c r="AB1038" s="2" t="s">
        <v>77</v>
      </c>
      <c r="AC1038" s="2" t="s">
        <v>78</v>
      </c>
      <c r="AF1038" s="2">
        <f t="shared" si="128"/>
        <v>0</v>
      </c>
      <c r="AJ1038" s="2">
        <f t="shared" si="129"/>
        <v>0</v>
      </c>
      <c r="AK1038" s="2">
        <f t="shared" si="130"/>
        <v>100.74</v>
      </c>
      <c r="AL1038" s="5">
        <f t="shared" si="125"/>
        <v>0.4797142857142857</v>
      </c>
    </row>
    <row r="1039" spans="1:38" hidden="1" x14ac:dyDescent="0.2">
      <c r="A1039" s="2">
        <v>2025</v>
      </c>
      <c r="B1039" s="2">
        <v>5</v>
      </c>
      <c r="D1039" s="2" t="s">
        <v>829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830</v>
      </c>
      <c r="J1039" s="2" t="s">
        <v>831</v>
      </c>
      <c r="L1039" s="2" t="s">
        <v>100</v>
      </c>
      <c r="M1039" s="2" t="s">
        <v>81</v>
      </c>
      <c r="O1039" s="2" t="s">
        <v>1391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7"/>
        <v>0</v>
      </c>
      <c r="Z1039" s="2" t="s">
        <v>3231</v>
      </c>
      <c r="AA1039" s="2" t="s">
        <v>97</v>
      </c>
      <c r="AB1039" s="2" t="s">
        <v>77</v>
      </c>
      <c r="AC1039" s="2" t="s">
        <v>94</v>
      </c>
      <c r="AF1039" s="2">
        <f t="shared" si="128"/>
        <v>0</v>
      </c>
      <c r="AG1039" s="2">
        <v>1.1399999999999999</v>
      </c>
      <c r="AH1039" s="2">
        <v>1.1399999999999999</v>
      </c>
      <c r="AJ1039" s="2">
        <f t="shared" si="129"/>
        <v>0</v>
      </c>
      <c r="AK1039" s="2">
        <f t="shared" si="130"/>
        <v>0</v>
      </c>
      <c r="AL1039" s="5">
        <f t="shared" si="125"/>
        <v>0</v>
      </c>
    </row>
    <row r="1040" spans="1:38" hidden="1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27"/>
        <v>0.43981481481481483</v>
      </c>
      <c r="Z1040" s="2" t="s">
        <v>3231</v>
      </c>
      <c r="AA1040" s="2" t="s">
        <v>46</v>
      </c>
      <c r="AB1040" s="2" t="s">
        <v>57</v>
      </c>
      <c r="AC1040" s="2" t="s">
        <v>58</v>
      </c>
      <c r="AF1040" s="2">
        <f t="shared" si="128"/>
        <v>0</v>
      </c>
      <c r="AJ1040" s="2">
        <f t="shared" si="129"/>
        <v>0</v>
      </c>
      <c r="AK1040" s="2">
        <f t="shared" si="130"/>
        <v>7.125</v>
      </c>
      <c r="AL1040" s="5">
        <f t="shared" si="125"/>
        <v>0.43981481481481483</v>
      </c>
    </row>
    <row r="1041" spans="1:38" hidden="1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7"/>
        <v>1</v>
      </c>
      <c r="Z1041" s="2" t="s">
        <v>3231</v>
      </c>
      <c r="AA1041" s="2" t="s">
        <v>46</v>
      </c>
      <c r="AB1041" s="2" t="s">
        <v>57</v>
      </c>
      <c r="AC1041" s="2" t="s">
        <v>58</v>
      </c>
      <c r="AF1041" s="2">
        <f t="shared" si="128"/>
        <v>0</v>
      </c>
      <c r="AJ1041" s="2">
        <f t="shared" si="129"/>
        <v>0</v>
      </c>
      <c r="AK1041" s="2">
        <f t="shared" si="130"/>
        <v>16.8</v>
      </c>
      <c r="AL1041" s="5">
        <f t="shared" ref="AL1041:AL1100" si="131">(T1041-W1041)/T1041</f>
        <v>1</v>
      </c>
    </row>
    <row r="1042" spans="1:38" hidden="1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7"/>
        <v>0.21904761904761905</v>
      </c>
      <c r="Z1042" s="2" t="s">
        <v>3231</v>
      </c>
      <c r="AA1042" s="2" t="s">
        <v>46</v>
      </c>
      <c r="AB1042" s="2" t="s">
        <v>61</v>
      </c>
      <c r="AC1042" s="2" t="s">
        <v>58</v>
      </c>
      <c r="AF1042" s="2">
        <f t="shared" si="128"/>
        <v>0</v>
      </c>
      <c r="AG1042" s="2">
        <v>8.1999999999999993</v>
      </c>
      <c r="AH1042" s="2">
        <v>13</v>
      </c>
      <c r="AJ1042" s="2">
        <f t="shared" si="129"/>
        <v>0</v>
      </c>
      <c r="AK1042" s="2">
        <f t="shared" si="130"/>
        <v>23</v>
      </c>
      <c r="AL1042" s="5">
        <f t="shared" si="131"/>
        <v>0.21904761904761905</v>
      </c>
    </row>
    <row r="1043" spans="1:38" hidden="1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7"/>
        <v>0.29692307692307701</v>
      </c>
      <c r="Z1043" s="2" t="s">
        <v>3231</v>
      </c>
      <c r="AA1043" s="2" t="s">
        <v>46</v>
      </c>
      <c r="AB1043" s="2" t="s">
        <v>61</v>
      </c>
      <c r="AC1043" s="2" t="s">
        <v>58</v>
      </c>
      <c r="AF1043" s="2">
        <f t="shared" si="128"/>
        <v>0</v>
      </c>
      <c r="AJ1043" s="2">
        <f t="shared" si="129"/>
        <v>0</v>
      </c>
      <c r="AK1043" s="2">
        <f t="shared" si="130"/>
        <v>7.7200000000000024</v>
      </c>
      <c r="AL1043" s="5">
        <f t="shared" si="131"/>
        <v>0.29692307692307701</v>
      </c>
    </row>
    <row r="1044" spans="1:38" hidden="1" x14ac:dyDescent="0.2">
      <c r="A1044" s="2">
        <v>2025</v>
      </c>
      <c r="B1044" s="2">
        <v>5</v>
      </c>
      <c r="C1044" s="2" t="s">
        <v>3329</v>
      </c>
      <c r="D1044" s="15" t="s">
        <v>3341</v>
      </c>
      <c r="E1044" s="2" t="s">
        <v>109</v>
      </c>
      <c r="F1044" s="2" t="s">
        <v>39</v>
      </c>
      <c r="L1044" s="2" t="s">
        <v>462</v>
      </c>
      <c r="M1044" s="2" t="s">
        <v>81</v>
      </c>
      <c r="P1044" s="2" t="s">
        <v>73</v>
      </c>
      <c r="Q1044" s="2" t="s">
        <v>1392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7"/>
        <v>0.50336363636363635</v>
      </c>
      <c r="Z1044" s="2" t="s">
        <v>3231</v>
      </c>
      <c r="AA1044" s="2" t="s">
        <v>76</v>
      </c>
      <c r="AB1044" s="2" t="s">
        <v>77</v>
      </c>
      <c r="AC1044" s="2" t="s">
        <v>78</v>
      </c>
      <c r="AF1044" s="2">
        <f t="shared" si="128"/>
        <v>0</v>
      </c>
      <c r="AJ1044" s="2">
        <f t="shared" si="129"/>
        <v>0</v>
      </c>
      <c r="AK1044" s="2">
        <f t="shared" si="130"/>
        <v>110.74</v>
      </c>
      <c r="AL1044" s="5">
        <f t="shared" si="131"/>
        <v>0.50336363636363635</v>
      </c>
    </row>
    <row r="1045" spans="1:38" hidden="1" x14ac:dyDescent="0.2">
      <c r="A1045" s="2">
        <v>2025</v>
      </c>
      <c r="B1045" s="2">
        <v>5</v>
      </c>
      <c r="C1045" s="2" t="s">
        <v>3329</v>
      </c>
      <c r="D1045" s="15" t="s">
        <v>3341</v>
      </c>
      <c r="E1045" s="2" t="s">
        <v>109</v>
      </c>
      <c r="F1045" s="2" t="s">
        <v>39</v>
      </c>
      <c r="L1045" s="2" t="s">
        <v>462</v>
      </c>
      <c r="M1045" s="2" t="s">
        <v>81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7"/>
        <v>0</v>
      </c>
      <c r="Z1045" s="2" t="s">
        <v>3231</v>
      </c>
      <c r="AA1045" s="2" t="s">
        <v>97</v>
      </c>
      <c r="AB1045" s="2" t="s">
        <v>77</v>
      </c>
      <c r="AC1045" s="2" t="s">
        <v>94</v>
      </c>
      <c r="AF1045" s="2">
        <f t="shared" si="128"/>
        <v>0</v>
      </c>
      <c r="AJ1045" s="2">
        <f t="shared" si="129"/>
        <v>0</v>
      </c>
      <c r="AK1045" s="2">
        <f t="shared" si="130"/>
        <v>0</v>
      </c>
      <c r="AL1045" s="5">
        <f t="shared" si="131"/>
        <v>0</v>
      </c>
    </row>
    <row r="1046" spans="1:38" hidden="1" x14ac:dyDescent="0.2">
      <c r="A1046" s="2">
        <v>2025</v>
      </c>
      <c r="B1046" s="2">
        <v>5</v>
      </c>
      <c r="C1046" s="2" t="s">
        <v>3319</v>
      </c>
      <c r="D1046" s="2" t="s">
        <v>3318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957</v>
      </c>
      <c r="R1046" s="2" t="s">
        <v>958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7"/>
        <v>0.39657369402985077</v>
      </c>
      <c r="Z1046" s="2" t="s">
        <v>105</v>
      </c>
      <c r="AA1046" s="2" t="s">
        <v>617</v>
      </c>
      <c r="AB1046" s="2" t="s">
        <v>959</v>
      </c>
      <c r="AC1046" s="2" t="s">
        <v>115</v>
      </c>
      <c r="AF1046" s="2">
        <f t="shared" si="128"/>
        <v>0</v>
      </c>
      <c r="AG1046" s="2">
        <v>6468.73</v>
      </c>
      <c r="AJ1046" s="2">
        <f t="shared" si="129"/>
        <v>0</v>
      </c>
      <c r="AK1046" s="2">
        <f t="shared" si="130"/>
        <v>4251.2700000000004</v>
      </c>
      <c r="AL1046" s="5">
        <f t="shared" si="131"/>
        <v>0.39657369402985077</v>
      </c>
    </row>
    <row r="1047" spans="1:38" hidden="1" x14ac:dyDescent="0.2">
      <c r="A1047" s="2">
        <v>2025</v>
      </c>
      <c r="B1047" s="2">
        <v>5</v>
      </c>
      <c r="C1047" s="2" t="s">
        <v>3302</v>
      </c>
      <c r="D1047" s="2" t="s">
        <v>3317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7"/>
        <v>1.2376237623762377E-2</v>
      </c>
      <c r="Z1047" s="2" t="s">
        <v>3231</v>
      </c>
      <c r="AA1047" s="2" t="s">
        <v>72</v>
      </c>
      <c r="AB1047" s="2" t="s">
        <v>120</v>
      </c>
      <c r="AC1047" s="2" t="s">
        <v>120</v>
      </c>
      <c r="AF1047" s="2">
        <f t="shared" si="128"/>
        <v>0</v>
      </c>
      <c r="AG1047" s="2">
        <v>299.25</v>
      </c>
      <c r="AJ1047" s="2">
        <f t="shared" si="129"/>
        <v>0</v>
      </c>
      <c r="AK1047" s="2">
        <f t="shared" si="130"/>
        <v>3.75</v>
      </c>
      <c r="AL1047" s="5">
        <f t="shared" si="131"/>
        <v>1.2376237623762377E-2</v>
      </c>
    </row>
    <row r="1048" spans="1:38" hidden="1" x14ac:dyDescent="0.2">
      <c r="A1048" s="2">
        <v>2025</v>
      </c>
      <c r="B1048" s="2">
        <v>5</v>
      </c>
      <c r="C1048" s="2" t="s">
        <v>3302</v>
      </c>
      <c r="D1048" s="2" t="s">
        <v>3317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1393</v>
      </c>
      <c r="R1048" s="2" t="s">
        <v>1394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7"/>
        <v>0.17048770320967069</v>
      </c>
      <c r="Z1048" s="2" t="s">
        <v>3231</v>
      </c>
      <c r="AA1048" s="2" t="s">
        <v>72</v>
      </c>
      <c r="AB1048" s="2" t="s">
        <v>1604</v>
      </c>
      <c r="AC1048" s="2" t="s">
        <v>1604</v>
      </c>
      <c r="AF1048" s="2">
        <f t="shared" si="128"/>
        <v>0</v>
      </c>
      <c r="AG1048" s="2">
        <v>1990</v>
      </c>
      <c r="AJ1048" s="2">
        <f t="shared" si="129"/>
        <v>0</v>
      </c>
      <c r="AK1048" s="2">
        <f t="shared" si="130"/>
        <v>409</v>
      </c>
      <c r="AL1048" s="5">
        <f t="shared" si="131"/>
        <v>0.17048770320967069</v>
      </c>
    </row>
    <row r="1049" spans="1:38" hidden="1" x14ac:dyDescent="0.2">
      <c r="A1049" s="2">
        <v>2025</v>
      </c>
      <c r="B1049" s="2">
        <v>5</v>
      </c>
      <c r="C1049" s="2" t="s">
        <v>3302</v>
      </c>
      <c r="D1049" s="2" t="s">
        <v>3317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7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8"/>
        <v>0</v>
      </c>
      <c r="AG1049" s="2">
        <v>417</v>
      </c>
      <c r="AJ1049" s="2">
        <f t="shared" si="129"/>
        <v>0</v>
      </c>
      <c r="AK1049" s="2">
        <f t="shared" si="130"/>
        <v>145.75</v>
      </c>
      <c r="AL1049" s="5">
        <f t="shared" si="131"/>
        <v>0.25899600177698801</v>
      </c>
    </row>
    <row r="1050" spans="1:38" hidden="1" x14ac:dyDescent="0.2">
      <c r="A1050" s="2">
        <v>2025</v>
      </c>
      <c r="B1050" s="2">
        <v>5</v>
      </c>
      <c r="D1050" s="2" t="s">
        <v>845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846</v>
      </c>
      <c r="L1050" s="2" t="s">
        <v>419</v>
      </c>
      <c r="M1050" s="2" t="s">
        <v>41</v>
      </c>
      <c r="O1050" s="2" t="s">
        <v>1395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27"/>
        <v>0.60781250000000009</v>
      </c>
      <c r="Z1050" s="2" t="s">
        <v>3231</v>
      </c>
      <c r="AA1050" s="2" t="s">
        <v>46</v>
      </c>
      <c r="AB1050" s="2" t="s">
        <v>47</v>
      </c>
      <c r="AC1050" s="2" t="s">
        <v>48</v>
      </c>
      <c r="AF1050" s="2">
        <f t="shared" si="128"/>
        <v>0</v>
      </c>
      <c r="AJ1050" s="2">
        <f t="shared" si="129"/>
        <v>0</v>
      </c>
      <c r="AK1050" s="2">
        <f t="shared" si="130"/>
        <v>17.505000000000003</v>
      </c>
      <c r="AL1050" s="5">
        <f t="shared" si="131"/>
        <v>0.60781250000000009</v>
      </c>
    </row>
    <row r="1051" spans="1:38" hidden="1" x14ac:dyDescent="0.2">
      <c r="A1051" s="2">
        <v>2025</v>
      </c>
      <c r="B1051" s="2">
        <v>5</v>
      </c>
      <c r="D1051" s="2" t="s">
        <v>1257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7"/>
        <v>0.41273499999999996</v>
      </c>
      <c r="Z1051" s="2" t="s">
        <v>3231</v>
      </c>
      <c r="AA1051" s="2" t="s">
        <v>76</v>
      </c>
      <c r="AB1051" s="2" t="s">
        <v>77</v>
      </c>
      <c r="AC1051" s="2" t="s">
        <v>78</v>
      </c>
      <c r="AF1051" s="2">
        <f t="shared" si="128"/>
        <v>0</v>
      </c>
      <c r="AG1051" s="2">
        <v>117.453</v>
      </c>
      <c r="AH1051" s="2">
        <v>220</v>
      </c>
      <c r="AJ1051" s="2">
        <f t="shared" si="129"/>
        <v>0</v>
      </c>
      <c r="AK1051" s="2">
        <f t="shared" si="130"/>
        <v>82.546999999999997</v>
      </c>
      <c r="AL1051" s="5">
        <f t="shared" si="131"/>
        <v>0.41273499999999996</v>
      </c>
    </row>
    <row r="1052" spans="1:38" hidden="1" x14ac:dyDescent="0.2">
      <c r="A1052" s="2">
        <v>2025</v>
      </c>
      <c r="B1052" s="2">
        <v>5</v>
      </c>
      <c r="D1052" s="2" t="s">
        <v>1257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3231</v>
      </c>
      <c r="AA1052" s="2" t="s">
        <v>97</v>
      </c>
      <c r="AB1052" s="2" t="s">
        <v>77</v>
      </c>
      <c r="AC1052" s="2" t="s">
        <v>94</v>
      </c>
      <c r="AF1052" s="2">
        <f t="shared" si="128"/>
        <v>0</v>
      </c>
      <c r="AJ1052" s="2">
        <f t="shared" si="129"/>
        <v>0</v>
      </c>
      <c r="AK1052" s="2">
        <f t="shared" si="130"/>
        <v>0</v>
      </c>
      <c r="AL1052" s="5">
        <f t="shared" si="131"/>
        <v>0</v>
      </c>
    </row>
    <row r="1053" spans="1:38" hidden="1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8"/>
        <v>0</v>
      </c>
      <c r="AJ1053" s="2">
        <f t="shared" si="129"/>
        <v>0</v>
      </c>
      <c r="AK1053" s="2">
        <f t="shared" si="130"/>
        <v>664.04</v>
      </c>
      <c r="AL1053" s="5">
        <f t="shared" si="131"/>
        <v>1</v>
      </c>
    </row>
    <row r="1054" spans="1:38" hidden="1" x14ac:dyDescent="0.2">
      <c r="A1054" s="2">
        <v>2025</v>
      </c>
      <c r="B1054" s="2">
        <v>5</v>
      </c>
      <c r="C1054" s="2" t="s">
        <v>3319</v>
      </c>
      <c r="D1054" s="2" t="s">
        <v>1396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1397</v>
      </c>
      <c r="R1054" s="2" t="s">
        <v>1398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3235</v>
      </c>
      <c r="AF1054" s="2">
        <f t="shared" si="128"/>
        <v>0</v>
      </c>
      <c r="AJ1054" s="2">
        <f t="shared" si="129"/>
        <v>0</v>
      </c>
      <c r="AK1054" s="2">
        <f t="shared" si="130"/>
        <v>791</v>
      </c>
      <c r="AL1054" s="5">
        <f t="shared" si="131"/>
        <v>0.36118721461187214</v>
      </c>
    </row>
    <row r="1055" spans="1:38" hidden="1" x14ac:dyDescent="0.2">
      <c r="A1055" s="2">
        <v>2025</v>
      </c>
      <c r="B1055" s="2">
        <v>5</v>
      </c>
      <c r="D1055" s="2" t="s">
        <v>1399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3221</v>
      </c>
      <c r="J1055" s="2" t="s">
        <v>3220</v>
      </c>
      <c r="K1055" s="2">
        <v>913814877</v>
      </c>
      <c r="L1055" s="2" t="s">
        <v>202</v>
      </c>
      <c r="M1055" s="2" t="s">
        <v>81</v>
      </c>
      <c r="O1055" s="2" t="s">
        <v>3212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3231</v>
      </c>
      <c r="AA1055" s="2" t="s">
        <v>46</v>
      </c>
      <c r="AB1055" s="2" t="s">
        <v>57</v>
      </c>
      <c r="AC1055" s="2" t="s">
        <v>58</v>
      </c>
      <c r="AF1055" s="2">
        <f t="shared" si="128"/>
        <v>0</v>
      </c>
      <c r="AG1055" s="2">
        <v>10.6</v>
      </c>
      <c r="AH1055" s="2">
        <v>18</v>
      </c>
      <c r="AJ1055" s="2">
        <f t="shared" si="129"/>
        <v>0</v>
      </c>
      <c r="AK1055" s="2">
        <f t="shared" si="130"/>
        <v>22.200000000000003</v>
      </c>
      <c r="AL1055" s="5">
        <f t="shared" si="131"/>
        <v>0.41111111111111115</v>
      </c>
    </row>
    <row r="1056" spans="1:38" hidden="1" x14ac:dyDescent="0.2">
      <c r="A1056" s="2">
        <v>2025</v>
      </c>
      <c r="B1056" s="2">
        <v>5</v>
      </c>
      <c r="D1056" s="2" t="s">
        <v>1399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3221</v>
      </c>
      <c r="J1056" s="2" t="s">
        <v>3220</v>
      </c>
      <c r="K1056" s="2">
        <v>913814877</v>
      </c>
      <c r="L1056" s="2" t="s">
        <v>202</v>
      </c>
      <c r="M1056" s="2" t="s">
        <v>81</v>
      </c>
      <c r="O1056" s="2" t="s">
        <v>3212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3231</v>
      </c>
      <c r="AA1056" s="2" t="s">
        <v>46</v>
      </c>
      <c r="AB1056" s="2" t="s">
        <v>68</v>
      </c>
      <c r="AC1056" s="2" t="s">
        <v>58</v>
      </c>
      <c r="AF1056" s="2">
        <f t="shared" si="128"/>
        <v>0</v>
      </c>
      <c r="AG1056" s="2">
        <v>15.020300000000001</v>
      </c>
      <c r="AH1056" s="2">
        <v>27.6</v>
      </c>
      <c r="AJ1056" s="2">
        <f t="shared" si="129"/>
        <v>0</v>
      </c>
      <c r="AK1056" s="2">
        <f t="shared" si="130"/>
        <v>10.179699999999999</v>
      </c>
      <c r="AL1056" s="5">
        <f t="shared" si="131"/>
        <v>0.40395634920634915</v>
      </c>
    </row>
    <row r="1057" spans="1:38" hidden="1" x14ac:dyDescent="0.2">
      <c r="A1057" s="2">
        <v>2025</v>
      </c>
      <c r="B1057" s="2">
        <v>5</v>
      </c>
      <c r="D1057" s="2" t="s">
        <v>1399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3221</v>
      </c>
      <c r="J1057" s="2" t="s">
        <v>3220</v>
      </c>
      <c r="K1057" s="2">
        <v>913814877</v>
      </c>
      <c r="L1057" s="2" t="s">
        <v>202</v>
      </c>
      <c r="M1057" s="2" t="s">
        <v>40</v>
      </c>
      <c r="O1057" s="2" t="s">
        <v>3213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B1057" s="2" t="s">
        <v>190</v>
      </c>
      <c r="AC1057" s="2" t="s">
        <v>40</v>
      </c>
      <c r="AF1057" s="2">
        <f t="shared" si="128"/>
        <v>0</v>
      </c>
      <c r="AJ1057" s="2">
        <f t="shared" si="129"/>
        <v>0</v>
      </c>
      <c r="AK1057" s="2">
        <f t="shared" si="130"/>
        <v>0</v>
      </c>
      <c r="AL1057" s="5" t="e">
        <f t="shared" si="131"/>
        <v>#DIV/0!</v>
      </c>
    </row>
    <row r="1058" spans="1:38" hidden="1" x14ac:dyDescent="0.2">
      <c r="A1058" s="2">
        <v>2025</v>
      </c>
      <c r="B1058" s="2">
        <v>5</v>
      </c>
      <c r="D1058" s="2" t="s">
        <v>1399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3221</v>
      </c>
      <c r="J1058" s="2" t="s">
        <v>3220</v>
      </c>
      <c r="K1058" s="2">
        <v>913814877</v>
      </c>
      <c r="L1058" s="2" t="s">
        <v>202</v>
      </c>
      <c r="M1058" s="2" t="s">
        <v>40</v>
      </c>
      <c r="O1058" s="2" t="s">
        <v>3213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B1058" s="2" t="s">
        <v>191</v>
      </c>
      <c r="AC1058" s="2" t="s">
        <v>40</v>
      </c>
      <c r="AF1058" s="2">
        <f t="shared" si="128"/>
        <v>0</v>
      </c>
      <c r="AJ1058" s="2">
        <f t="shared" si="129"/>
        <v>0</v>
      </c>
      <c r="AK1058" s="2">
        <f t="shared" si="130"/>
        <v>0</v>
      </c>
      <c r="AL1058" s="5">
        <v>0</v>
      </c>
    </row>
    <row r="1059" spans="1:38" hidden="1" x14ac:dyDescent="0.2">
      <c r="A1059" s="2">
        <v>2025</v>
      </c>
      <c r="B1059" s="2">
        <v>5</v>
      </c>
      <c r="D1059" s="2" t="s">
        <v>1399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3221</v>
      </c>
      <c r="J1059" s="2" t="s">
        <v>3220</v>
      </c>
      <c r="K1059" s="2">
        <v>913814877</v>
      </c>
      <c r="L1059" s="2" t="s">
        <v>202</v>
      </c>
      <c r="M1059" s="2" t="s">
        <v>40</v>
      </c>
      <c r="O1059" s="2" t="s">
        <v>3213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2">(T1059-W1059)/T1059</f>
        <v>1</v>
      </c>
      <c r="Z1059" s="2" t="s">
        <v>120</v>
      </c>
      <c r="AA1059" s="2" t="s">
        <v>3385</v>
      </c>
      <c r="AF1059" s="2">
        <f t="shared" si="128"/>
        <v>0</v>
      </c>
      <c r="AJ1059" s="2">
        <f t="shared" si="129"/>
        <v>0</v>
      </c>
      <c r="AK1059" s="2">
        <f t="shared" si="130"/>
        <v>142.51</v>
      </c>
      <c r="AL1059" s="5">
        <f t="shared" si="131"/>
        <v>1</v>
      </c>
    </row>
    <row r="1060" spans="1:38" hidden="1" x14ac:dyDescent="0.2">
      <c r="A1060" s="2">
        <v>2025</v>
      </c>
      <c r="B1060" s="2">
        <v>5</v>
      </c>
      <c r="D1060" s="2" t="s">
        <v>1400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2"/>
        <v>0.44069999999999998</v>
      </c>
      <c r="Z1060" s="2" t="s">
        <v>3231</v>
      </c>
      <c r="AA1060" s="2" t="s">
        <v>76</v>
      </c>
      <c r="AB1060" s="2" t="s">
        <v>77</v>
      </c>
      <c r="AC1060" s="2" t="s">
        <v>78</v>
      </c>
      <c r="AF1060" s="2">
        <f t="shared" si="128"/>
        <v>0</v>
      </c>
      <c r="AG1060" s="2">
        <v>117.453</v>
      </c>
      <c r="AH1060" s="2">
        <v>220</v>
      </c>
      <c r="AJ1060" s="2">
        <f t="shared" si="129"/>
        <v>0</v>
      </c>
      <c r="AK1060" s="2">
        <f t="shared" si="130"/>
        <v>185.09399999999999</v>
      </c>
      <c r="AL1060" s="5">
        <f t="shared" si="131"/>
        <v>0.44069999999999998</v>
      </c>
    </row>
    <row r="1061" spans="1:38" hidden="1" x14ac:dyDescent="0.2">
      <c r="A1061" s="2">
        <v>2025</v>
      </c>
      <c r="B1061" s="2">
        <v>5</v>
      </c>
      <c r="D1061" s="2" t="s">
        <v>1400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2"/>
        <v>0</v>
      </c>
      <c r="Z1061" s="2" t="s">
        <v>3231</v>
      </c>
      <c r="AA1061" s="2" t="s">
        <v>97</v>
      </c>
      <c r="AB1061" s="2" t="s">
        <v>77</v>
      </c>
      <c r="AC1061" s="2" t="s">
        <v>94</v>
      </c>
      <c r="AF1061" s="2">
        <f t="shared" si="128"/>
        <v>0</v>
      </c>
      <c r="AJ1061" s="2">
        <f t="shared" si="129"/>
        <v>0</v>
      </c>
      <c r="AK1061" s="2">
        <f t="shared" si="130"/>
        <v>0</v>
      </c>
      <c r="AL1061" s="5">
        <f t="shared" si="131"/>
        <v>0</v>
      </c>
    </row>
    <row r="1062" spans="1:38" hidden="1" x14ac:dyDescent="0.2">
      <c r="A1062" s="2">
        <v>2025</v>
      </c>
      <c r="B1062" s="2">
        <v>5</v>
      </c>
      <c r="D1062" s="2" t="s">
        <v>1401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1402</v>
      </c>
      <c r="J1062" s="2" t="s">
        <v>1403</v>
      </c>
      <c r="L1062" s="2" t="s">
        <v>178</v>
      </c>
      <c r="M1062" s="2" t="s">
        <v>40</v>
      </c>
      <c r="O1062" s="2" t="s">
        <v>1404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2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8"/>
        <v>0</v>
      </c>
      <c r="AG1062" s="2">
        <v>3.3595999999999999</v>
      </c>
      <c r="AJ1062" s="2">
        <f t="shared" si="129"/>
        <v>0</v>
      </c>
      <c r="AK1062" s="2">
        <f t="shared" si="130"/>
        <v>7.490800000000001</v>
      </c>
      <c r="AL1062" s="5">
        <f t="shared" si="131"/>
        <v>0.52714989444053484</v>
      </c>
    </row>
    <row r="1063" spans="1:38" hidden="1" x14ac:dyDescent="0.2">
      <c r="A1063" s="2">
        <v>2025</v>
      </c>
      <c r="B1063" s="2">
        <v>5</v>
      </c>
      <c r="D1063" s="2" t="s">
        <v>1401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1402</v>
      </c>
      <c r="J1063" s="2" t="s">
        <v>1403</v>
      </c>
      <c r="L1063" s="2" t="s">
        <v>178</v>
      </c>
      <c r="M1063" s="2" t="s">
        <v>40</v>
      </c>
      <c r="P1063" s="2" t="s">
        <v>115</v>
      </c>
      <c r="Q1063" s="2" t="s">
        <v>1405</v>
      </c>
      <c r="R1063" s="2" t="s">
        <v>1406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2"/>
        <v>1</v>
      </c>
      <c r="Z1063" s="2" t="s">
        <v>118</v>
      </c>
      <c r="AA1063" s="2" t="s">
        <v>119</v>
      </c>
      <c r="AB1063" s="2" t="s">
        <v>120</v>
      </c>
      <c r="AC1063" s="2" t="s">
        <v>115</v>
      </c>
      <c r="AF1063" s="2">
        <f t="shared" si="128"/>
        <v>0</v>
      </c>
      <c r="AJ1063" s="2">
        <f t="shared" si="129"/>
        <v>0</v>
      </c>
      <c r="AK1063" s="2">
        <f t="shared" si="130"/>
        <v>28.14</v>
      </c>
      <c r="AL1063" s="5">
        <f t="shared" si="131"/>
        <v>1</v>
      </c>
    </row>
    <row r="1064" spans="1:38" hidden="1" x14ac:dyDescent="0.2">
      <c r="A1064" s="2">
        <v>2025</v>
      </c>
      <c r="B1064" s="2">
        <v>5</v>
      </c>
      <c r="D1064" s="2" t="s">
        <v>1401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1402</v>
      </c>
      <c r="J1064" s="2" t="s">
        <v>1403</v>
      </c>
      <c r="L1064" s="2" t="s">
        <v>178</v>
      </c>
      <c r="M1064" s="2" t="s">
        <v>40</v>
      </c>
      <c r="P1064" s="2" t="s">
        <v>115</v>
      </c>
      <c r="Q1064" s="2" t="s">
        <v>647</v>
      </c>
      <c r="R1064" s="2" t="s">
        <v>648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2"/>
        <v>1</v>
      </c>
      <c r="Z1064" s="2" t="s">
        <v>118</v>
      </c>
      <c r="AA1064" s="2" t="s">
        <v>119</v>
      </c>
      <c r="AB1064" s="2" t="s">
        <v>120</v>
      </c>
      <c r="AC1064" s="2" t="s">
        <v>115</v>
      </c>
      <c r="AF1064" s="2">
        <f t="shared" si="128"/>
        <v>0</v>
      </c>
      <c r="AJ1064" s="2">
        <f t="shared" si="129"/>
        <v>0</v>
      </c>
      <c r="AK1064" s="2">
        <f t="shared" si="130"/>
        <v>62.6</v>
      </c>
      <c r="AL1064" s="5">
        <f t="shared" si="131"/>
        <v>1</v>
      </c>
    </row>
    <row r="1065" spans="1:38" hidden="1" x14ac:dyDescent="0.2">
      <c r="A1065" s="2">
        <v>2025</v>
      </c>
      <c r="B1065" s="2">
        <v>5</v>
      </c>
      <c r="D1065" s="2" t="s">
        <v>1401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1402</v>
      </c>
      <c r="J1065" s="2" t="s">
        <v>1403</v>
      </c>
      <c r="L1065" s="2" t="s">
        <v>178</v>
      </c>
      <c r="M1065" s="2" t="s">
        <v>40</v>
      </c>
      <c r="P1065" s="2" t="s">
        <v>115</v>
      </c>
      <c r="Q1065" s="2" t="s">
        <v>1407</v>
      </c>
      <c r="R1065" s="2" t="s">
        <v>1408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2"/>
        <v>1</v>
      </c>
      <c r="Z1065" s="2" t="s">
        <v>118</v>
      </c>
      <c r="AA1065" s="2" t="s">
        <v>119</v>
      </c>
      <c r="AB1065" s="2" t="s">
        <v>120</v>
      </c>
      <c r="AC1065" s="2" t="s">
        <v>115</v>
      </c>
      <c r="AF1065" s="2">
        <f t="shared" si="128"/>
        <v>0</v>
      </c>
      <c r="AJ1065" s="2">
        <f t="shared" si="129"/>
        <v>0</v>
      </c>
      <c r="AK1065" s="2">
        <f t="shared" si="130"/>
        <v>65.209999999999994</v>
      </c>
      <c r="AL1065" s="5">
        <f t="shared" si="131"/>
        <v>1</v>
      </c>
    </row>
    <row r="1066" spans="1:38" hidden="1" x14ac:dyDescent="0.2">
      <c r="A1066" s="2">
        <v>2025</v>
      </c>
      <c r="B1066" s="2">
        <v>5</v>
      </c>
      <c r="D1066" s="2" t="s">
        <v>1401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1402</v>
      </c>
      <c r="J1066" s="2" t="s">
        <v>1403</v>
      </c>
      <c r="L1066" s="2" t="s">
        <v>178</v>
      </c>
      <c r="M1066" s="2" t="s">
        <v>40</v>
      </c>
      <c r="P1066" s="2" t="s">
        <v>115</v>
      </c>
      <c r="Q1066" s="2" t="s">
        <v>1409</v>
      </c>
      <c r="R1066" s="2" t="s">
        <v>1410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2"/>
        <v>1</v>
      </c>
      <c r="Z1066" s="2" t="s">
        <v>118</v>
      </c>
      <c r="AA1066" s="2" t="s">
        <v>119</v>
      </c>
      <c r="AB1066" s="2" t="s">
        <v>120</v>
      </c>
      <c r="AC1066" s="2" t="s">
        <v>115</v>
      </c>
      <c r="AF1066" s="2">
        <f t="shared" si="128"/>
        <v>0</v>
      </c>
      <c r="AJ1066" s="2">
        <f t="shared" si="129"/>
        <v>0</v>
      </c>
      <c r="AK1066" s="2">
        <f t="shared" si="130"/>
        <v>41.56</v>
      </c>
      <c r="AL1066" s="5">
        <f t="shared" si="131"/>
        <v>1</v>
      </c>
    </row>
    <row r="1067" spans="1:38" hidden="1" x14ac:dyDescent="0.2">
      <c r="A1067" s="2">
        <v>2025</v>
      </c>
      <c r="B1067" s="2">
        <v>5</v>
      </c>
      <c r="D1067" s="2" t="s">
        <v>1401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1402</v>
      </c>
      <c r="J1067" s="2" t="s">
        <v>1403</v>
      </c>
      <c r="L1067" s="2" t="s">
        <v>178</v>
      </c>
      <c r="M1067" s="2" t="s">
        <v>40</v>
      </c>
      <c r="P1067" s="2" t="s">
        <v>115</v>
      </c>
      <c r="Q1067" s="2" t="s">
        <v>1411</v>
      </c>
      <c r="R1067" s="2" t="s">
        <v>1412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2"/>
        <v>1</v>
      </c>
      <c r="Z1067" s="2" t="s">
        <v>118</v>
      </c>
      <c r="AA1067" s="2" t="s">
        <v>119</v>
      </c>
      <c r="AB1067" s="2" t="s">
        <v>120</v>
      </c>
      <c r="AC1067" s="2" t="s">
        <v>115</v>
      </c>
      <c r="AF1067" s="2">
        <f t="shared" si="128"/>
        <v>0</v>
      </c>
      <c r="AJ1067" s="2">
        <f t="shared" si="129"/>
        <v>0</v>
      </c>
      <c r="AK1067" s="2">
        <f t="shared" si="130"/>
        <v>172.63</v>
      </c>
      <c r="AL1067" s="5">
        <f t="shared" si="131"/>
        <v>1</v>
      </c>
    </row>
    <row r="1068" spans="1:38" hidden="1" x14ac:dyDescent="0.2">
      <c r="A1068" s="2">
        <v>2025</v>
      </c>
      <c r="B1068" s="2">
        <v>5</v>
      </c>
      <c r="D1068" s="2" t="s">
        <v>1401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1402</v>
      </c>
      <c r="J1068" s="2" t="s">
        <v>1403</v>
      </c>
      <c r="L1068" s="2" t="s">
        <v>178</v>
      </c>
      <c r="M1068" s="2" t="s">
        <v>40</v>
      </c>
      <c r="P1068" s="2" t="s">
        <v>115</v>
      </c>
      <c r="Q1068" s="2" t="s">
        <v>980</v>
      </c>
      <c r="R1068" s="2" t="s">
        <v>981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2"/>
        <v>1</v>
      </c>
      <c r="Z1068" s="2" t="s">
        <v>118</v>
      </c>
      <c r="AA1068" s="2" t="s">
        <v>119</v>
      </c>
      <c r="AB1068" s="2" t="s">
        <v>120</v>
      </c>
      <c r="AC1068" s="2" t="s">
        <v>115</v>
      </c>
      <c r="AF1068" s="2">
        <f t="shared" si="128"/>
        <v>0</v>
      </c>
      <c r="AJ1068" s="2">
        <f t="shared" si="129"/>
        <v>0</v>
      </c>
      <c r="AK1068" s="2">
        <f t="shared" si="130"/>
        <v>76.930000000000007</v>
      </c>
      <c r="AL1068" s="5">
        <f t="shared" si="131"/>
        <v>1</v>
      </c>
    </row>
    <row r="1069" spans="1:38" hidden="1" x14ac:dyDescent="0.2">
      <c r="A1069" s="2">
        <v>2025</v>
      </c>
      <c r="B1069" s="2">
        <v>5</v>
      </c>
      <c r="D1069" s="2" t="s">
        <v>1401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1402</v>
      </c>
      <c r="J1069" s="2" t="s">
        <v>1403</v>
      </c>
      <c r="L1069" s="2" t="s">
        <v>178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2"/>
        <v>0.6</v>
      </c>
      <c r="Z1069" s="2" t="s">
        <v>118</v>
      </c>
      <c r="AA1069" s="2" t="s">
        <v>191</v>
      </c>
      <c r="AB1069" s="2" t="s">
        <v>190</v>
      </c>
      <c r="AC1069" s="2" t="s">
        <v>40</v>
      </c>
      <c r="AF1069" s="2">
        <f t="shared" si="128"/>
        <v>0</v>
      </c>
      <c r="AJ1069" s="2">
        <f t="shared" si="129"/>
        <v>0</v>
      </c>
      <c r="AK1069" s="2">
        <f t="shared" si="130"/>
        <v>36</v>
      </c>
      <c r="AL1069" s="5">
        <f t="shared" si="131"/>
        <v>0.6</v>
      </c>
    </row>
    <row r="1070" spans="1:38" hidden="1" x14ac:dyDescent="0.2">
      <c r="A1070" s="2">
        <v>2025</v>
      </c>
      <c r="B1070" s="2">
        <v>5</v>
      </c>
      <c r="D1070" s="2" t="s">
        <v>1401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1402</v>
      </c>
      <c r="J1070" s="2" t="s">
        <v>1403</v>
      </c>
      <c r="L1070" s="2" t="s">
        <v>178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2"/>
        <v>0.5</v>
      </c>
      <c r="Z1070" s="2" t="s">
        <v>118</v>
      </c>
      <c r="AA1070" s="2" t="s">
        <v>191</v>
      </c>
      <c r="AB1070" s="2" t="s">
        <v>191</v>
      </c>
      <c r="AC1070" s="2" t="s">
        <v>40</v>
      </c>
      <c r="AF1070" s="2">
        <f t="shared" si="128"/>
        <v>0</v>
      </c>
      <c r="AJ1070" s="2">
        <f t="shared" si="129"/>
        <v>0</v>
      </c>
      <c r="AK1070" s="2">
        <f t="shared" si="130"/>
        <v>50</v>
      </c>
      <c r="AL1070" s="5">
        <f t="shared" si="131"/>
        <v>0.5</v>
      </c>
    </row>
    <row r="1071" spans="1:38" hidden="1" x14ac:dyDescent="0.2">
      <c r="A1071" s="2">
        <v>2025</v>
      </c>
      <c r="B1071" s="2">
        <v>5</v>
      </c>
      <c r="D1071" s="2" t="s">
        <v>1055</v>
      </c>
      <c r="E1071" s="2" t="s">
        <v>184</v>
      </c>
      <c r="F1071" s="2" t="s">
        <v>1056</v>
      </c>
      <c r="G1071" s="2">
        <v>500199523</v>
      </c>
      <c r="H1071" s="2" t="s">
        <v>291</v>
      </c>
      <c r="I1071" s="2" t="s">
        <v>294</v>
      </c>
      <c r="J1071" s="2" t="s">
        <v>1057</v>
      </c>
      <c r="L1071" s="2" t="s">
        <v>294</v>
      </c>
      <c r="M1071" s="2" t="s">
        <v>81</v>
      </c>
      <c r="O1071" s="2" t="s">
        <v>1413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2"/>
        <v>0.4729523809523809</v>
      </c>
      <c r="Z1071" s="2" t="s">
        <v>3231</v>
      </c>
      <c r="AA1071" s="2" t="s">
        <v>76</v>
      </c>
      <c r="AB1071" s="2" t="s">
        <v>77</v>
      </c>
      <c r="AC1071" s="2" t="s">
        <v>78</v>
      </c>
      <c r="AF1071" s="2">
        <f t="shared" si="128"/>
        <v>0</v>
      </c>
      <c r="AG1071" s="2">
        <v>110.68</v>
      </c>
      <c r="AH1071" s="2">
        <v>210</v>
      </c>
      <c r="AJ1071" s="2">
        <f t="shared" si="129"/>
        <v>0</v>
      </c>
      <c r="AK1071" s="2">
        <f t="shared" si="130"/>
        <v>99.32</v>
      </c>
      <c r="AL1071" s="5">
        <f t="shared" si="131"/>
        <v>0.4729523809523809</v>
      </c>
    </row>
    <row r="1072" spans="1:38" hidden="1" x14ac:dyDescent="0.2">
      <c r="A1072" s="2">
        <v>2025</v>
      </c>
      <c r="B1072" s="2">
        <v>5</v>
      </c>
      <c r="D1072" s="2" t="s">
        <v>1055</v>
      </c>
      <c r="E1072" s="2" t="s">
        <v>184</v>
      </c>
      <c r="F1072" s="2" t="s">
        <v>1056</v>
      </c>
      <c r="G1072" s="2">
        <v>500199523</v>
      </c>
      <c r="H1072" s="2" t="s">
        <v>291</v>
      </c>
      <c r="I1072" s="2" t="s">
        <v>294</v>
      </c>
      <c r="J1072" s="2" t="s">
        <v>1057</v>
      </c>
      <c r="L1072" s="2" t="s">
        <v>294</v>
      </c>
      <c r="M1072" s="2" t="s">
        <v>81</v>
      </c>
      <c r="O1072" s="2" t="s">
        <v>1413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2"/>
        <v>0</v>
      </c>
      <c r="Z1072" s="2" t="s">
        <v>3231</v>
      </c>
      <c r="AA1072" s="2" t="s">
        <v>97</v>
      </c>
      <c r="AB1072" s="2" t="s">
        <v>77</v>
      </c>
      <c r="AC1072" s="2" t="s">
        <v>94</v>
      </c>
      <c r="AF1072" s="2">
        <f t="shared" si="128"/>
        <v>0</v>
      </c>
      <c r="AJ1072" s="2">
        <f t="shared" si="129"/>
        <v>0</v>
      </c>
      <c r="AK1072" s="2">
        <f t="shared" si="130"/>
        <v>0</v>
      </c>
      <c r="AL1072" s="5">
        <f t="shared" si="131"/>
        <v>0</v>
      </c>
    </row>
    <row r="1073" spans="1:38" hidden="1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1372</v>
      </c>
      <c r="R1073" s="2" t="s">
        <v>1373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2"/>
        <v>0.26139999999999997</v>
      </c>
      <c r="Z1073" s="2" t="s">
        <v>3231</v>
      </c>
      <c r="AA1073" s="2" t="s">
        <v>72</v>
      </c>
      <c r="AB1073" s="2" t="s">
        <v>120</v>
      </c>
      <c r="AC1073" s="2" t="s">
        <v>120</v>
      </c>
      <c r="AF1073" s="2">
        <f t="shared" si="128"/>
        <v>0</v>
      </c>
      <c r="AJ1073" s="2">
        <f t="shared" si="129"/>
        <v>0</v>
      </c>
      <c r="AK1073" s="2">
        <f t="shared" si="130"/>
        <v>32.674999999999997</v>
      </c>
      <c r="AL1073" s="5">
        <f t="shared" si="131"/>
        <v>0.26139999999999997</v>
      </c>
    </row>
    <row r="1074" spans="1:38" hidden="1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2"/>
        <v>0.58173666666666668</v>
      </c>
      <c r="Z1074" s="2" t="s">
        <v>3231</v>
      </c>
      <c r="AA1074" s="2" t="s">
        <v>46</v>
      </c>
      <c r="AB1074" s="2" t="s">
        <v>91</v>
      </c>
      <c r="AC1074" s="2" t="s">
        <v>58</v>
      </c>
      <c r="AF1074" s="2">
        <f t="shared" si="128"/>
        <v>0</v>
      </c>
      <c r="AJ1074" s="2">
        <f t="shared" si="129"/>
        <v>0</v>
      </c>
      <c r="AK1074" s="2">
        <f t="shared" si="130"/>
        <v>34.904200000000003</v>
      </c>
      <c r="AL1074" s="5">
        <f t="shared" si="131"/>
        <v>0.58173666666666668</v>
      </c>
    </row>
    <row r="1075" spans="1:38" hidden="1" x14ac:dyDescent="0.2">
      <c r="A1075" s="2">
        <v>2025</v>
      </c>
      <c r="B1075" s="2">
        <v>5</v>
      </c>
      <c r="D1075" s="2" t="s">
        <v>1414</v>
      </c>
      <c r="P1075" s="2" t="s">
        <v>115</v>
      </c>
      <c r="Q1075" s="2" t="s">
        <v>1415</v>
      </c>
      <c r="R1075" s="2" t="s">
        <v>1416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2"/>
        <v>1</v>
      </c>
      <c r="Z1075" s="2" t="s">
        <v>118</v>
      </c>
      <c r="AF1075" s="2">
        <f t="shared" si="128"/>
        <v>0</v>
      </c>
      <c r="AJ1075" s="2">
        <f t="shared" si="129"/>
        <v>0</v>
      </c>
      <c r="AK1075" s="2">
        <f t="shared" si="130"/>
        <v>215.94</v>
      </c>
      <c r="AL1075" s="5">
        <f t="shared" si="131"/>
        <v>1</v>
      </c>
    </row>
    <row r="1076" spans="1:38" hidden="1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1417</v>
      </c>
      <c r="R1076" s="2" t="s">
        <v>1418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2"/>
        <v>0.45957446808510638</v>
      </c>
      <c r="Z1076" s="2" t="s">
        <v>3231</v>
      </c>
      <c r="AA1076" s="2" t="s">
        <v>76</v>
      </c>
      <c r="AB1076" s="2" t="s">
        <v>77</v>
      </c>
      <c r="AC1076" s="2" t="s">
        <v>78</v>
      </c>
      <c r="AF1076" s="2">
        <f t="shared" si="128"/>
        <v>0</v>
      </c>
      <c r="AJ1076" s="2">
        <f t="shared" si="129"/>
        <v>0</v>
      </c>
      <c r="AK1076" s="2">
        <f t="shared" si="130"/>
        <v>108</v>
      </c>
      <c r="AL1076" s="5">
        <f t="shared" si="131"/>
        <v>0.45957446808510638</v>
      </c>
    </row>
    <row r="1077" spans="1:38" hidden="1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3197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2"/>
        <v>0.41954761904761906</v>
      </c>
      <c r="Z1077" s="2" t="s">
        <v>3231</v>
      </c>
      <c r="AA1077" s="2" t="s">
        <v>76</v>
      </c>
      <c r="AB1077" s="2" t="s">
        <v>77</v>
      </c>
      <c r="AC1077" s="2" t="s">
        <v>78</v>
      </c>
      <c r="AF1077" s="2">
        <f t="shared" si="128"/>
        <v>0</v>
      </c>
      <c r="AG1077" s="2">
        <f>110.125+11.77</f>
        <v>121.895</v>
      </c>
      <c r="AJ1077" s="2">
        <f t="shared" si="129"/>
        <v>0</v>
      </c>
      <c r="AK1077" s="2">
        <f t="shared" si="130"/>
        <v>88.105000000000004</v>
      </c>
      <c r="AL1077" s="5">
        <f t="shared" si="131"/>
        <v>0.41954761904761906</v>
      </c>
    </row>
    <row r="1078" spans="1:38" hidden="1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2"/>
        <v>0.23333333333333334</v>
      </c>
      <c r="Z1078" s="2" t="s">
        <v>170</v>
      </c>
      <c r="AA1078" s="2" t="s">
        <v>170</v>
      </c>
      <c r="AF1078" s="2">
        <f t="shared" si="128"/>
        <v>0</v>
      </c>
      <c r="AJ1078" s="2">
        <f t="shared" si="129"/>
        <v>0</v>
      </c>
      <c r="AK1078" s="2">
        <f t="shared" si="130"/>
        <v>7</v>
      </c>
      <c r="AL1078" s="5">
        <f t="shared" si="131"/>
        <v>0.23333333333333334</v>
      </c>
    </row>
    <row r="1079" spans="1:38" hidden="1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8"/>
        <v>0</v>
      </c>
      <c r="AJ1079" s="2">
        <f t="shared" si="129"/>
        <v>0</v>
      </c>
    </row>
    <row r="1080" spans="1:38" hidden="1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2"/>
        <v>0</v>
      </c>
      <c r="Z1080" s="2" t="s">
        <v>3231</v>
      </c>
      <c r="AA1080" s="2" t="s">
        <v>97</v>
      </c>
      <c r="AB1080" s="2" t="s">
        <v>77</v>
      </c>
      <c r="AC1080" s="2" t="s">
        <v>94</v>
      </c>
      <c r="AF1080" s="2">
        <f t="shared" si="128"/>
        <v>0</v>
      </c>
      <c r="AJ1080" s="2">
        <f t="shared" si="129"/>
        <v>0</v>
      </c>
      <c r="AK1080" s="2">
        <f t="shared" si="130"/>
        <v>0</v>
      </c>
      <c r="AL1080" s="5">
        <f t="shared" si="131"/>
        <v>0</v>
      </c>
    </row>
    <row r="1081" spans="1:38" hidden="1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1419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2"/>
        <v>0.44342727272727273</v>
      </c>
      <c r="Z1081" s="2" t="s">
        <v>3231</v>
      </c>
      <c r="AA1081" s="2" t="s">
        <v>76</v>
      </c>
      <c r="AB1081" s="2" t="s">
        <v>77</v>
      </c>
      <c r="AC1081" s="2" t="s">
        <v>78</v>
      </c>
      <c r="AF1081" s="2">
        <f t="shared" si="128"/>
        <v>0</v>
      </c>
      <c r="AG1081" s="2">
        <v>122.446</v>
      </c>
      <c r="AH1081" s="2">
        <v>230</v>
      </c>
      <c r="AJ1081" s="2">
        <f t="shared" si="129"/>
        <v>0</v>
      </c>
      <c r="AK1081" s="2">
        <f t="shared" si="130"/>
        <v>97.554000000000002</v>
      </c>
      <c r="AL1081" s="5">
        <f t="shared" si="131"/>
        <v>0.44342727272727273</v>
      </c>
    </row>
    <row r="1082" spans="1:38" hidden="1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1419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2"/>
        <v>0</v>
      </c>
      <c r="Z1082" s="2" t="s">
        <v>3231</v>
      </c>
      <c r="AA1082" s="2" t="s">
        <v>97</v>
      </c>
      <c r="AB1082" s="2" t="s">
        <v>77</v>
      </c>
      <c r="AC1082" s="2" t="s">
        <v>94</v>
      </c>
      <c r="AF1082" s="2">
        <f t="shared" si="128"/>
        <v>0</v>
      </c>
      <c r="AG1082" s="2">
        <v>1.1399999999999999</v>
      </c>
      <c r="AH1082" s="2">
        <v>1.1399999999999999</v>
      </c>
      <c r="AJ1082" s="2">
        <f t="shared" si="129"/>
        <v>0</v>
      </c>
      <c r="AK1082" s="2">
        <f t="shared" si="130"/>
        <v>0</v>
      </c>
      <c r="AL1082" s="5">
        <f t="shared" si="131"/>
        <v>0</v>
      </c>
    </row>
    <row r="1083" spans="1:38" hidden="1" x14ac:dyDescent="0.2">
      <c r="A1083" s="2">
        <v>2025</v>
      </c>
      <c r="B1083" s="2">
        <v>5</v>
      </c>
      <c r="D1083" s="2" t="s">
        <v>1420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2415</v>
      </c>
      <c r="J1083" s="2" t="s">
        <v>2416</v>
      </c>
      <c r="L1083" s="2" t="s">
        <v>202</v>
      </c>
      <c r="M1083" s="2" t="s">
        <v>81</v>
      </c>
      <c r="P1083" s="2" t="s">
        <v>73</v>
      </c>
      <c r="Q1083" s="2" t="s">
        <v>665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2"/>
        <v>0.37422499999999997</v>
      </c>
      <c r="Z1083" s="2" t="s">
        <v>3231</v>
      </c>
      <c r="AA1083" s="2" t="s">
        <v>76</v>
      </c>
      <c r="AB1083" s="2" t="s">
        <v>77</v>
      </c>
      <c r="AC1083" s="2" t="s">
        <v>78</v>
      </c>
      <c r="AF1083" s="2">
        <f t="shared" si="128"/>
        <v>0</v>
      </c>
      <c r="AJ1083" s="2">
        <f t="shared" si="129"/>
        <v>0</v>
      </c>
      <c r="AK1083" s="2">
        <f t="shared" si="130"/>
        <v>74.844999999999999</v>
      </c>
      <c r="AL1083" s="5">
        <f t="shared" si="131"/>
        <v>0.37422499999999997</v>
      </c>
    </row>
    <row r="1084" spans="1:38" hidden="1" x14ac:dyDescent="0.2">
      <c r="A1084" s="2">
        <v>2025</v>
      </c>
      <c r="B1084" s="2">
        <v>5</v>
      </c>
      <c r="D1084" s="2" t="s">
        <v>1420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2415</v>
      </c>
      <c r="J1084" s="2" t="s">
        <v>2416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2"/>
        <v>0</v>
      </c>
      <c r="Z1084" s="2" t="s">
        <v>3231</v>
      </c>
      <c r="AA1084" s="2" t="s">
        <v>97</v>
      </c>
      <c r="AB1084" s="2" t="s">
        <v>77</v>
      </c>
      <c r="AC1084" s="2" t="s">
        <v>94</v>
      </c>
      <c r="AF1084" s="2">
        <f t="shared" si="128"/>
        <v>0</v>
      </c>
      <c r="AJ1084" s="2">
        <f t="shared" si="129"/>
        <v>0</v>
      </c>
      <c r="AK1084" s="2">
        <f t="shared" si="130"/>
        <v>0</v>
      </c>
      <c r="AL1084" s="5">
        <f t="shared" si="131"/>
        <v>0</v>
      </c>
    </row>
    <row r="1085" spans="1:38" hidden="1" x14ac:dyDescent="0.2">
      <c r="A1085" s="2">
        <v>2025</v>
      </c>
      <c r="B1085" s="2">
        <v>5</v>
      </c>
      <c r="D1085" s="2" t="s">
        <v>1421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2"/>
        <v>0.44069999999999998</v>
      </c>
      <c r="Z1085" s="2" t="s">
        <v>3231</v>
      </c>
      <c r="AA1085" s="2" t="s">
        <v>76</v>
      </c>
      <c r="AB1085" s="2" t="s">
        <v>77</v>
      </c>
      <c r="AC1085" s="2" t="s">
        <v>78</v>
      </c>
      <c r="AF1085" s="2">
        <f t="shared" si="128"/>
        <v>0</v>
      </c>
      <c r="AG1085" s="2">
        <v>117.453</v>
      </c>
      <c r="AH1085" s="2">
        <v>220</v>
      </c>
      <c r="AJ1085" s="2">
        <f t="shared" si="129"/>
        <v>0</v>
      </c>
      <c r="AK1085" s="2">
        <f t="shared" si="130"/>
        <v>92.546999999999997</v>
      </c>
      <c r="AL1085" s="5">
        <f t="shared" si="131"/>
        <v>0.44069999999999998</v>
      </c>
    </row>
    <row r="1086" spans="1:38" hidden="1" x14ac:dyDescent="0.2">
      <c r="A1086" s="2">
        <v>2025</v>
      </c>
      <c r="B1086" s="2">
        <v>5</v>
      </c>
      <c r="D1086" s="2" t="s">
        <v>1421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2"/>
        <v>0</v>
      </c>
      <c r="Z1086" s="2" t="s">
        <v>3231</v>
      </c>
      <c r="AA1086" s="2" t="s">
        <v>97</v>
      </c>
      <c r="AB1086" s="2" t="s">
        <v>77</v>
      </c>
      <c r="AC1086" s="2" t="s">
        <v>94</v>
      </c>
      <c r="AF1086" s="2">
        <f t="shared" si="128"/>
        <v>0</v>
      </c>
      <c r="AJ1086" s="2">
        <f t="shared" si="129"/>
        <v>0</v>
      </c>
      <c r="AK1086" s="2">
        <f t="shared" si="130"/>
        <v>0</v>
      </c>
      <c r="AL1086" s="5">
        <f t="shared" si="131"/>
        <v>0</v>
      </c>
    </row>
    <row r="1087" spans="1:38" hidden="1" x14ac:dyDescent="0.2">
      <c r="A1087" s="2">
        <v>2025</v>
      </c>
      <c r="B1087" s="2">
        <v>5</v>
      </c>
      <c r="D1087" s="2" t="s">
        <v>883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884</v>
      </c>
      <c r="J1087" s="2" t="s">
        <v>885</v>
      </c>
      <c r="L1087" s="2" t="s">
        <v>178</v>
      </c>
      <c r="M1087" s="2" t="s">
        <v>41</v>
      </c>
      <c r="O1087" s="2" t="s">
        <v>1422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2"/>
        <v>0.21904761904761905</v>
      </c>
      <c r="Z1087" s="2" t="s">
        <v>3231</v>
      </c>
      <c r="AA1087" s="2" t="s">
        <v>46</v>
      </c>
      <c r="AB1087" s="2" t="s">
        <v>61</v>
      </c>
      <c r="AC1087" s="2" t="s">
        <v>58</v>
      </c>
      <c r="AF1087" s="2">
        <f t="shared" si="128"/>
        <v>0</v>
      </c>
      <c r="AG1087" s="2">
        <v>8.1999999999999993</v>
      </c>
      <c r="AH1087" s="2">
        <v>13</v>
      </c>
      <c r="AJ1087" s="2">
        <f t="shared" si="129"/>
        <v>0</v>
      </c>
      <c r="AK1087" s="2">
        <f t="shared" si="130"/>
        <v>23</v>
      </c>
      <c r="AL1087" s="5">
        <f t="shared" si="131"/>
        <v>0.21904761904761905</v>
      </c>
    </row>
    <row r="1088" spans="1:38" hidden="1" x14ac:dyDescent="0.2">
      <c r="A1088" s="2">
        <v>2025</v>
      </c>
      <c r="B1088" s="2">
        <v>5</v>
      </c>
      <c r="D1088" s="2" t="s">
        <v>883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884</v>
      </c>
      <c r="J1088" s="2" t="s">
        <v>885</v>
      </c>
      <c r="L1088" s="2" t="s">
        <v>178</v>
      </c>
      <c r="M1088" s="2" t="s">
        <v>41</v>
      </c>
      <c r="O1088" s="2" t="s">
        <v>1422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2"/>
        <v>1</v>
      </c>
      <c r="Z1088" s="2" t="s">
        <v>3231</v>
      </c>
      <c r="AA1088" s="2" t="s">
        <v>88</v>
      </c>
      <c r="AB1088" s="2" t="s">
        <v>61</v>
      </c>
      <c r="AC1088" s="2" t="s">
        <v>85</v>
      </c>
      <c r="AF1088" s="2">
        <f t="shared" si="128"/>
        <v>0</v>
      </c>
      <c r="AJ1088" s="2">
        <f t="shared" si="129"/>
        <v>0</v>
      </c>
      <c r="AK1088" s="2">
        <f t="shared" si="130"/>
        <v>27</v>
      </c>
      <c r="AL1088" s="5">
        <f t="shared" si="131"/>
        <v>1</v>
      </c>
    </row>
    <row r="1089" spans="1:38" hidden="1" x14ac:dyDescent="0.2">
      <c r="A1089" s="2">
        <v>2025</v>
      </c>
      <c r="B1089" s="2">
        <v>5</v>
      </c>
      <c r="D1089" s="2" t="s">
        <v>1423</v>
      </c>
      <c r="P1089" s="2" t="s">
        <v>115</v>
      </c>
      <c r="Q1089" s="2" t="s">
        <v>1424</v>
      </c>
      <c r="R1089" s="2" t="s">
        <v>1425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2"/>
        <v>1</v>
      </c>
      <c r="Z1089" s="2" t="s">
        <v>118</v>
      </c>
      <c r="AF1089" s="2">
        <f t="shared" ref="AF1089:AF1154" si="133">AJ1089</f>
        <v>0</v>
      </c>
      <c r="AJ1089" s="2">
        <f t="shared" ref="AJ1089:AJ1154" si="134">AI1089*T1089</f>
        <v>0</v>
      </c>
      <c r="AK1089" s="2">
        <f t="shared" ref="AK1089:AK1154" si="135">T1089-W1089</f>
        <v>12.12</v>
      </c>
      <c r="AL1089" s="5">
        <f t="shared" si="131"/>
        <v>1</v>
      </c>
    </row>
    <row r="1090" spans="1:38" hidden="1" x14ac:dyDescent="0.2">
      <c r="A1090" s="2">
        <v>2025</v>
      </c>
      <c r="B1090" s="2">
        <v>5</v>
      </c>
      <c r="D1090" s="2" t="s">
        <v>1423</v>
      </c>
      <c r="P1090" s="2" t="s">
        <v>115</v>
      </c>
      <c r="Q1090" s="2" t="s">
        <v>1426</v>
      </c>
      <c r="R1090" s="2" t="s">
        <v>1427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2"/>
        <v>1</v>
      </c>
      <c r="Z1090" s="2" t="s">
        <v>118</v>
      </c>
      <c r="AF1090" s="2">
        <f t="shared" si="133"/>
        <v>0</v>
      </c>
      <c r="AJ1090" s="2">
        <f t="shared" si="134"/>
        <v>0</v>
      </c>
      <c r="AK1090" s="2">
        <f t="shared" si="135"/>
        <v>2515.37</v>
      </c>
      <c r="AL1090" s="5">
        <f t="shared" si="131"/>
        <v>1</v>
      </c>
    </row>
    <row r="1091" spans="1:38" hidden="1" x14ac:dyDescent="0.2">
      <c r="A1091" s="2">
        <v>2025</v>
      </c>
      <c r="B1091" s="2">
        <v>5</v>
      </c>
      <c r="D1091" s="2" t="s">
        <v>1423</v>
      </c>
      <c r="P1091" s="2" t="s">
        <v>115</v>
      </c>
      <c r="Q1091" s="2" t="s">
        <v>1428</v>
      </c>
      <c r="R1091" s="2" t="s">
        <v>1429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2"/>
        <v>1</v>
      </c>
      <c r="Z1091" s="2" t="s">
        <v>118</v>
      </c>
      <c r="AF1091" s="2">
        <f t="shared" si="133"/>
        <v>0</v>
      </c>
      <c r="AJ1091" s="2">
        <f t="shared" si="134"/>
        <v>0</v>
      </c>
      <c r="AK1091" s="2">
        <f t="shared" si="135"/>
        <v>200.25</v>
      </c>
      <c r="AL1091" s="5">
        <f t="shared" si="131"/>
        <v>1</v>
      </c>
    </row>
    <row r="1092" spans="1:38" hidden="1" x14ac:dyDescent="0.2">
      <c r="A1092" s="2">
        <v>2025</v>
      </c>
      <c r="B1092" s="2">
        <v>5</v>
      </c>
      <c r="D1092" s="2" t="s">
        <v>1423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2"/>
        <v>0.6</v>
      </c>
      <c r="Z1092" s="2" t="s">
        <v>118</v>
      </c>
      <c r="AA1092" s="2" t="s">
        <v>191</v>
      </c>
      <c r="AB1092" s="2" t="s">
        <v>190</v>
      </c>
      <c r="AC1092" s="2" t="s">
        <v>40</v>
      </c>
      <c r="AF1092" s="2">
        <f t="shared" si="133"/>
        <v>0</v>
      </c>
      <c r="AJ1092" s="2">
        <f t="shared" si="134"/>
        <v>0</v>
      </c>
      <c r="AK1092" s="2">
        <f t="shared" si="135"/>
        <v>43.8</v>
      </c>
      <c r="AL1092" s="5">
        <f t="shared" si="131"/>
        <v>0.6</v>
      </c>
    </row>
    <row r="1093" spans="1:38" hidden="1" x14ac:dyDescent="0.2">
      <c r="A1093" s="2">
        <v>2025</v>
      </c>
      <c r="B1093" s="2">
        <v>5</v>
      </c>
      <c r="D1093" s="2" t="s">
        <v>1423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2"/>
        <v>0.5</v>
      </c>
      <c r="Z1093" s="2" t="s">
        <v>118</v>
      </c>
      <c r="AA1093" s="2" t="s">
        <v>191</v>
      </c>
      <c r="AB1093" s="2" t="s">
        <v>191</v>
      </c>
      <c r="AC1093" s="2" t="s">
        <v>40</v>
      </c>
      <c r="AF1093" s="2">
        <f t="shared" si="133"/>
        <v>0</v>
      </c>
      <c r="AJ1093" s="2">
        <f t="shared" si="134"/>
        <v>0</v>
      </c>
      <c r="AK1093" s="2">
        <f t="shared" si="135"/>
        <v>50</v>
      </c>
      <c r="AL1093" s="5">
        <f t="shared" si="131"/>
        <v>0.5</v>
      </c>
    </row>
    <row r="1094" spans="1:38" hidden="1" x14ac:dyDescent="0.2">
      <c r="A1094" s="2">
        <v>2025</v>
      </c>
      <c r="B1094" s="2">
        <v>5</v>
      </c>
      <c r="D1094" s="2" t="s">
        <v>1423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3"/>
        <v>0</v>
      </c>
      <c r="AJ1094" s="2">
        <f t="shared" si="134"/>
        <v>0</v>
      </c>
    </row>
    <row r="1095" spans="1:38" hidden="1" x14ac:dyDescent="0.2">
      <c r="A1095" s="2">
        <v>2025</v>
      </c>
      <c r="B1095" s="2">
        <v>5</v>
      </c>
      <c r="D1095" s="2" t="s">
        <v>891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892</v>
      </c>
      <c r="J1095" s="2" t="s">
        <v>893</v>
      </c>
      <c r="L1095" s="2" t="s">
        <v>100</v>
      </c>
      <c r="P1095" s="2" t="s">
        <v>115</v>
      </c>
      <c r="Q1095" s="2" t="s">
        <v>1430</v>
      </c>
      <c r="R1095" s="2" t="s">
        <v>1431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2"/>
        <v>1</v>
      </c>
      <c r="Z1095" s="2" t="s">
        <v>118</v>
      </c>
      <c r="AF1095" s="2">
        <f t="shared" si="133"/>
        <v>0</v>
      </c>
      <c r="AJ1095" s="2">
        <f t="shared" si="134"/>
        <v>0</v>
      </c>
      <c r="AK1095" s="2">
        <f t="shared" si="135"/>
        <v>120.92</v>
      </c>
      <c r="AL1095" s="5">
        <f t="shared" si="131"/>
        <v>1</v>
      </c>
    </row>
    <row r="1096" spans="1:38" hidden="1" x14ac:dyDescent="0.2">
      <c r="A1096" s="2">
        <v>2025</v>
      </c>
      <c r="B1096" s="2">
        <v>5</v>
      </c>
      <c r="D1096" s="2" t="s">
        <v>891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892</v>
      </c>
      <c r="J1096" s="2" t="s">
        <v>893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2"/>
        <v>0.44777500000000003</v>
      </c>
      <c r="Z1096" s="2" t="s">
        <v>3231</v>
      </c>
      <c r="AA1096" s="2" t="s">
        <v>46</v>
      </c>
      <c r="AB1096" s="2" t="s">
        <v>47</v>
      </c>
      <c r="AC1096" s="2" t="s">
        <v>48</v>
      </c>
      <c r="AF1096" s="2">
        <f t="shared" si="133"/>
        <v>0</v>
      </c>
      <c r="AG1096" s="2">
        <v>6.6266999999999996</v>
      </c>
      <c r="AH1096" s="2">
        <v>12</v>
      </c>
      <c r="AJ1096" s="2">
        <f t="shared" si="134"/>
        <v>0</v>
      </c>
      <c r="AK1096" s="2">
        <f t="shared" si="135"/>
        <v>10.746600000000001</v>
      </c>
      <c r="AL1096" s="5">
        <f t="shared" si="131"/>
        <v>0.44777500000000003</v>
      </c>
    </row>
    <row r="1097" spans="1:38" hidden="1" x14ac:dyDescent="0.2">
      <c r="A1097" s="2">
        <v>2025</v>
      </c>
      <c r="B1097" s="2">
        <v>5</v>
      </c>
      <c r="D1097" s="2" t="s">
        <v>891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892</v>
      </c>
      <c r="J1097" s="2" t="s">
        <v>893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2"/>
        <v>0.24285714285714285</v>
      </c>
      <c r="Z1097" s="2" t="s">
        <v>3231</v>
      </c>
      <c r="AA1097" s="2" t="s">
        <v>46</v>
      </c>
      <c r="AB1097" s="2" t="s">
        <v>57</v>
      </c>
      <c r="AC1097" s="2" t="s">
        <v>58</v>
      </c>
      <c r="AF1097" s="2">
        <f t="shared" si="133"/>
        <v>0</v>
      </c>
      <c r="AG1097" s="2">
        <v>10.6</v>
      </c>
      <c r="AH1097" s="2">
        <v>18</v>
      </c>
      <c r="AJ1097" s="2">
        <f t="shared" si="134"/>
        <v>0</v>
      </c>
      <c r="AK1097" s="2">
        <f t="shared" si="135"/>
        <v>136</v>
      </c>
      <c r="AL1097" s="5">
        <f t="shared" si="131"/>
        <v>0.24285714285714285</v>
      </c>
    </row>
    <row r="1098" spans="1:38" hidden="1" x14ac:dyDescent="0.2">
      <c r="A1098" s="2">
        <v>2025</v>
      </c>
      <c r="B1098" s="2">
        <v>5</v>
      </c>
      <c r="D1098" s="2" t="s">
        <v>1432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B1098" s="2" t="s">
        <v>190</v>
      </c>
      <c r="AC1098" s="2" t="s">
        <v>40</v>
      </c>
      <c r="AF1098" s="2">
        <f t="shared" si="133"/>
        <v>0</v>
      </c>
      <c r="AJ1098" s="2">
        <f t="shared" si="134"/>
        <v>0</v>
      </c>
      <c r="AK1098" s="2">
        <f t="shared" si="135"/>
        <v>-164.39999999999998</v>
      </c>
    </row>
    <row r="1099" spans="1:38" hidden="1" x14ac:dyDescent="0.2">
      <c r="A1099" s="2">
        <v>2025</v>
      </c>
      <c r="B1099" s="2">
        <v>5</v>
      </c>
      <c r="D1099" s="2" t="s">
        <v>1432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B1099" s="2" t="s">
        <v>191</v>
      </c>
      <c r="AC1099" s="2" t="s">
        <v>40</v>
      </c>
      <c r="AF1099" s="2">
        <f t="shared" si="133"/>
        <v>0</v>
      </c>
      <c r="AJ1099" s="2">
        <f t="shared" si="134"/>
        <v>0</v>
      </c>
      <c r="AK1099" s="2">
        <f t="shared" si="135"/>
        <v>-50</v>
      </c>
      <c r="AL1099" s="5">
        <f t="shared" si="131"/>
        <v>1</v>
      </c>
    </row>
    <row r="1100" spans="1:38" hidden="1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2"/>
        <v>0.41191666666666665</v>
      </c>
      <c r="Z1100" s="2" t="s">
        <v>3231</v>
      </c>
      <c r="AA1100" s="2" t="s">
        <v>46</v>
      </c>
      <c r="AB1100" s="2" t="s">
        <v>61</v>
      </c>
      <c r="AC1100" s="2" t="s">
        <v>58</v>
      </c>
      <c r="AF1100" s="2">
        <f t="shared" si="133"/>
        <v>0</v>
      </c>
      <c r="AG1100" s="2">
        <v>1.4114</v>
      </c>
      <c r="AH1100" s="2">
        <v>3</v>
      </c>
      <c r="AJ1100" s="2">
        <f t="shared" si="134"/>
        <v>0</v>
      </c>
      <c r="AK1100" s="2">
        <f t="shared" si="135"/>
        <v>19.771999999999998</v>
      </c>
      <c r="AL1100" s="5">
        <f t="shared" si="131"/>
        <v>0.41191666666666665</v>
      </c>
    </row>
    <row r="1101" spans="1:38" hidden="1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3231</v>
      </c>
      <c r="AA1101" s="2" t="s">
        <v>46</v>
      </c>
      <c r="AB1101" s="2" t="s">
        <v>47</v>
      </c>
      <c r="AC1101" s="2" t="s">
        <v>48</v>
      </c>
      <c r="AF1101" s="2">
        <f t="shared" si="133"/>
        <v>0</v>
      </c>
      <c r="AG1101" s="2">
        <v>3.7357999999999998</v>
      </c>
      <c r="AH1101" s="2">
        <v>9</v>
      </c>
      <c r="AJ1101" s="2">
        <f t="shared" si="134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hidden="1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6">(T1102-W1102)/T1102</f>
        <v>0.21904761904761905</v>
      </c>
      <c r="Z1102" s="2" t="s">
        <v>3231</v>
      </c>
      <c r="AA1102" s="2" t="s">
        <v>46</v>
      </c>
      <c r="AB1102" s="2" t="s">
        <v>61</v>
      </c>
      <c r="AC1102" s="2" t="s">
        <v>58</v>
      </c>
      <c r="AF1102" s="2">
        <f t="shared" si="133"/>
        <v>0</v>
      </c>
      <c r="AG1102" s="2">
        <v>8.1999999999999993</v>
      </c>
      <c r="AH1102" s="2">
        <v>13</v>
      </c>
      <c r="AJ1102" s="2">
        <f t="shared" si="134"/>
        <v>0</v>
      </c>
      <c r="AK1102" s="2">
        <f t="shared" si="135"/>
        <v>23</v>
      </c>
      <c r="AL1102" s="5">
        <f t="shared" ref="AL1102:AL1167" si="137">(T1102-W1102)/T1102</f>
        <v>0.21904761904761905</v>
      </c>
    </row>
    <row r="1103" spans="1:38" hidden="1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1433</v>
      </c>
      <c r="R1103" s="2" t="s">
        <v>1434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6"/>
        <v>1</v>
      </c>
      <c r="Z1103" s="2" t="s">
        <v>3231</v>
      </c>
      <c r="AA1103" s="2" t="s">
        <v>46</v>
      </c>
      <c r="AB1103" s="2" t="s">
        <v>61</v>
      </c>
      <c r="AC1103" s="2" t="s">
        <v>58</v>
      </c>
      <c r="AF1103" s="2">
        <f t="shared" si="133"/>
        <v>0</v>
      </c>
      <c r="AJ1103" s="2">
        <f t="shared" si="134"/>
        <v>0</v>
      </c>
      <c r="AK1103" s="2">
        <f t="shared" si="135"/>
        <v>16.8</v>
      </c>
      <c r="AL1103" s="5">
        <f t="shared" si="137"/>
        <v>1</v>
      </c>
    </row>
    <row r="1104" spans="1:38" hidden="1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6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3"/>
        <v>0</v>
      </c>
      <c r="AJ1104" s="2">
        <f t="shared" si="134"/>
        <v>0</v>
      </c>
      <c r="AK1104" s="2">
        <f t="shared" si="135"/>
        <v>22.027999999999999</v>
      </c>
      <c r="AL1104" s="5">
        <f t="shared" si="137"/>
        <v>0.48875083203905034</v>
      </c>
    </row>
    <row r="1105" spans="1:38" hidden="1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6"/>
        <v>0.44777500000000003</v>
      </c>
      <c r="Z1105" s="2" t="s">
        <v>3231</v>
      </c>
      <c r="AA1105" s="2" t="s">
        <v>46</v>
      </c>
      <c r="AB1105" s="2" t="s">
        <v>47</v>
      </c>
      <c r="AC1105" s="2" t="s">
        <v>48</v>
      </c>
      <c r="AF1105" s="2">
        <f t="shared" si="133"/>
        <v>0</v>
      </c>
      <c r="AG1105" s="2">
        <v>6.6266999999999996</v>
      </c>
      <c r="AH1105" s="2">
        <v>12</v>
      </c>
      <c r="AJ1105" s="2">
        <f t="shared" si="134"/>
        <v>0</v>
      </c>
      <c r="AK1105" s="2">
        <f t="shared" si="135"/>
        <v>10.746600000000001</v>
      </c>
      <c r="AL1105" s="5">
        <f t="shared" si="137"/>
        <v>0.44777500000000003</v>
      </c>
    </row>
    <row r="1106" spans="1:38" hidden="1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1435</v>
      </c>
      <c r="R1106" s="2" t="s">
        <v>1436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6"/>
        <v>1</v>
      </c>
      <c r="Z1106" s="2" t="s">
        <v>118</v>
      </c>
      <c r="AF1106" s="2">
        <f t="shared" si="133"/>
        <v>0</v>
      </c>
      <c r="AJ1106" s="2">
        <f t="shared" si="134"/>
        <v>0</v>
      </c>
      <c r="AK1106" s="2">
        <f t="shared" si="135"/>
        <v>42.6</v>
      </c>
      <c r="AL1106" s="5">
        <f t="shared" si="137"/>
        <v>1</v>
      </c>
    </row>
    <row r="1107" spans="1:38" hidden="1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6"/>
        <v>0.6</v>
      </c>
      <c r="Z1107" s="2" t="s">
        <v>118</v>
      </c>
      <c r="AA1107" s="2" t="s">
        <v>191</v>
      </c>
      <c r="AB1107" s="2" t="s">
        <v>190</v>
      </c>
      <c r="AC1107" s="2" t="s">
        <v>40</v>
      </c>
      <c r="AF1107" s="2">
        <f t="shared" si="133"/>
        <v>0</v>
      </c>
      <c r="AJ1107" s="2">
        <f t="shared" si="134"/>
        <v>0</v>
      </c>
      <c r="AK1107" s="2">
        <f t="shared" si="135"/>
        <v>30</v>
      </c>
      <c r="AL1107" s="5">
        <f t="shared" si="137"/>
        <v>0.6</v>
      </c>
    </row>
    <row r="1108" spans="1:38" hidden="1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6"/>
        <v>0.5</v>
      </c>
      <c r="Z1108" s="2" t="s">
        <v>118</v>
      </c>
      <c r="AA1108" s="2" t="s">
        <v>191</v>
      </c>
      <c r="AB1108" s="2" t="s">
        <v>191</v>
      </c>
      <c r="AC1108" s="2" t="s">
        <v>40</v>
      </c>
      <c r="AF1108" s="2">
        <f t="shared" si="133"/>
        <v>0</v>
      </c>
      <c r="AJ1108" s="2">
        <f t="shared" si="134"/>
        <v>0</v>
      </c>
      <c r="AK1108" s="2">
        <f t="shared" si="135"/>
        <v>18.75</v>
      </c>
      <c r="AL1108" s="5">
        <f t="shared" si="137"/>
        <v>0.5</v>
      </c>
    </row>
    <row r="1109" spans="1:38" hidden="1" x14ac:dyDescent="0.2">
      <c r="A1109" s="2">
        <v>2025</v>
      </c>
      <c r="B1109" s="2">
        <v>5</v>
      </c>
      <c r="D1109" s="2" t="s">
        <v>1297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1298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6"/>
        <v>0.42340206185567003</v>
      </c>
      <c r="Z1109" s="2" t="s">
        <v>3231</v>
      </c>
      <c r="AA1109" s="2" t="s">
        <v>76</v>
      </c>
      <c r="AB1109" s="2" t="s">
        <v>77</v>
      </c>
      <c r="AC1109" s="2" t="s">
        <v>78</v>
      </c>
      <c r="AF1109" s="2">
        <f t="shared" si="133"/>
        <v>0</v>
      </c>
      <c r="AG1109" s="2">
        <v>117.453</v>
      </c>
      <c r="AH1109" s="2">
        <v>220</v>
      </c>
      <c r="AJ1109" s="2">
        <f t="shared" si="134"/>
        <v>0</v>
      </c>
      <c r="AK1109" s="2">
        <f t="shared" si="135"/>
        <v>86.246999999999986</v>
      </c>
      <c r="AL1109" s="5">
        <f t="shared" si="137"/>
        <v>0.42340206185567003</v>
      </c>
    </row>
    <row r="1110" spans="1:38" hidden="1" x14ac:dyDescent="0.2">
      <c r="A1110" s="2">
        <v>2025</v>
      </c>
      <c r="B1110" s="2">
        <v>5</v>
      </c>
      <c r="D1110" s="2" t="s">
        <v>1297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1298</v>
      </c>
      <c r="L1110" s="2" t="s">
        <v>340</v>
      </c>
      <c r="M1110" s="2" t="s">
        <v>81</v>
      </c>
      <c r="O1110" s="2" t="s">
        <v>3204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6"/>
        <v>0.45027000490918012</v>
      </c>
      <c r="Z1110" s="2" t="s">
        <v>3231</v>
      </c>
      <c r="AA1110" s="2" t="s">
        <v>76</v>
      </c>
      <c r="AB1110" s="2" t="s">
        <v>77</v>
      </c>
      <c r="AC1110" s="2" t="s">
        <v>78</v>
      </c>
      <c r="AF1110" s="2">
        <f t="shared" si="133"/>
        <v>0</v>
      </c>
      <c r="AG1110" s="2">
        <v>111.98</v>
      </c>
      <c r="AH1110" s="2">
        <v>210</v>
      </c>
      <c r="AJ1110" s="2">
        <f t="shared" si="134"/>
        <v>0</v>
      </c>
      <c r="AK1110" s="2">
        <f t="shared" si="135"/>
        <v>91.719999999999985</v>
      </c>
      <c r="AL1110" s="5">
        <f t="shared" si="137"/>
        <v>0.45027000490918012</v>
      </c>
    </row>
    <row r="1111" spans="1:38" hidden="1" x14ac:dyDescent="0.2">
      <c r="A1111" s="2">
        <v>2025</v>
      </c>
      <c r="B1111" s="2">
        <v>5</v>
      </c>
      <c r="D1111" s="2" t="s">
        <v>1297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1298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6"/>
        <v>0</v>
      </c>
      <c r="Z1111" s="2" t="s">
        <v>3231</v>
      </c>
      <c r="AA1111" s="2" t="s">
        <v>97</v>
      </c>
      <c r="AB1111" s="2" t="s">
        <v>77</v>
      </c>
      <c r="AC1111" s="2" t="s">
        <v>94</v>
      </c>
      <c r="AF1111" s="2">
        <f t="shared" si="133"/>
        <v>0</v>
      </c>
      <c r="AJ1111" s="2">
        <f t="shared" si="134"/>
        <v>0</v>
      </c>
      <c r="AK1111" s="2">
        <f t="shared" si="135"/>
        <v>0</v>
      </c>
      <c r="AL1111" s="5">
        <f t="shared" si="137"/>
        <v>0</v>
      </c>
    </row>
    <row r="1112" spans="1:38" hidden="1" x14ac:dyDescent="0.2">
      <c r="A1112" s="2">
        <v>2025</v>
      </c>
      <c r="B1112" s="2">
        <v>5</v>
      </c>
      <c r="D1112" s="2" t="s">
        <v>1437</v>
      </c>
      <c r="P1112" s="2" t="s">
        <v>283</v>
      </c>
      <c r="Q1112" s="2" t="s">
        <v>1438</v>
      </c>
      <c r="R1112" s="2" t="s">
        <v>1439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6"/>
        <v>0.35000000000000009</v>
      </c>
      <c r="Z1112" s="2" t="s">
        <v>3231</v>
      </c>
      <c r="AA1112" s="2" t="s">
        <v>72</v>
      </c>
      <c r="AB1112" s="2" t="s">
        <v>120</v>
      </c>
      <c r="AC1112" s="2" t="s">
        <v>120</v>
      </c>
      <c r="AF1112" s="2">
        <f t="shared" si="133"/>
        <v>0</v>
      </c>
      <c r="AJ1112" s="2">
        <f t="shared" si="134"/>
        <v>0</v>
      </c>
      <c r="AK1112" s="2">
        <f t="shared" si="135"/>
        <v>27.650000000000006</v>
      </c>
      <c r="AL1112" s="5">
        <f t="shared" si="137"/>
        <v>0.35000000000000009</v>
      </c>
    </row>
    <row r="1113" spans="1:38" hidden="1" x14ac:dyDescent="0.2">
      <c r="A1113" s="2">
        <v>2025</v>
      </c>
      <c r="B1113" s="2">
        <v>5</v>
      </c>
      <c r="D1113" s="2" t="s">
        <v>618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619</v>
      </c>
      <c r="J1113" s="2" t="s">
        <v>620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6"/>
        <v>0.4</v>
      </c>
      <c r="Z1113" s="2" t="s">
        <v>3231</v>
      </c>
      <c r="AA1113" s="2" t="s">
        <v>46</v>
      </c>
      <c r="AB1113" s="2" t="s">
        <v>61</v>
      </c>
      <c r="AC1113" s="2" t="s">
        <v>3336</v>
      </c>
      <c r="AF1113" s="2">
        <f t="shared" si="133"/>
        <v>0</v>
      </c>
      <c r="AJ1113" s="2">
        <f t="shared" si="134"/>
        <v>0</v>
      </c>
      <c r="AK1113" s="2">
        <f t="shared" si="135"/>
        <v>23.200000000000003</v>
      </c>
      <c r="AL1113" s="5">
        <f t="shared" si="137"/>
        <v>0.4</v>
      </c>
    </row>
    <row r="1114" spans="1:38" hidden="1" x14ac:dyDescent="0.2">
      <c r="A1114" s="2">
        <v>2025</v>
      </c>
      <c r="B1114" s="2">
        <v>5</v>
      </c>
      <c r="D1114" s="2" t="s">
        <v>618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619</v>
      </c>
      <c r="J1114" s="2" t="s">
        <v>620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6"/>
        <v>0.31666666666666665</v>
      </c>
      <c r="Z1114" s="2" t="s">
        <v>3231</v>
      </c>
      <c r="AA1114" s="2" t="s">
        <v>46</v>
      </c>
      <c r="AB1114" s="2" t="s">
        <v>61</v>
      </c>
      <c r="AC1114" s="2" t="s">
        <v>58</v>
      </c>
      <c r="AF1114" s="2">
        <f t="shared" si="133"/>
        <v>0</v>
      </c>
      <c r="AG1114" s="2">
        <v>8.1999999999999993</v>
      </c>
      <c r="AH1114" s="2">
        <v>13</v>
      </c>
      <c r="AJ1114" s="2">
        <f t="shared" si="134"/>
        <v>0</v>
      </c>
      <c r="AK1114" s="2">
        <f t="shared" si="135"/>
        <v>11.399999999999999</v>
      </c>
      <c r="AL1114" s="5">
        <f t="shared" si="137"/>
        <v>0.31666666666666665</v>
      </c>
    </row>
    <row r="1115" spans="1:38" hidden="1" x14ac:dyDescent="0.2">
      <c r="A1115" s="2">
        <v>2025</v>
      </c>
      <c r="B1115" s="2">
        <v>5</v>
      </c>
      <c r="D1115" s="2" t="s">
        <v>618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619</v>
      </c>
      <c r="J1115" s="2" t="s">
        <v>620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6"/>
        <v>0.32745098039215681</v>
      </c>
      <c r="Z1115" s="2" t="s">
        <v>3231</v>
      </c>
      <c r="AA1115" s="2" t="s">
        <v>88</v>
      </c>
      <c r="AB1115" s="2" t="s">
        <v>91</v>
      </c>
      <c r="AC1115" s="2" t="s">
        <v>85</v>
      </c>
      <c r="AF1115" s="2">
        <f t="shared" si="133"/>
        <v>0</v>
      </c>
      <c r="AG1115" s="2">
        <v>6.86</v>
      </c>
      <c r="AJ1115" s="2">
        <f t="shared" si="134"/>
        <v>0</v>
      </c>
      <c r="AK1115" s="2">
        <f t="shared" si="135"/>
        <v>3.339999999999999</v>
      </c>
      <c r="AL1115" s="5">
        <f t="shared" si="137"/>
        <v>0.32745098039215681</v>
      </c>
    </row>
    <row r="1116" spans="1:38" hidden="1" x14ac:dyDescent="0.2">
      <c r="A1116" s="2">
        <v>2025</v>
      </c>
      <c r="B1116" s="2">
        <v>5</v>
      </c>
      <c r="D1116" s="2" t="s">
        <v>625</v>
      </c>
      <c r="E1116" s="2" t="s">
        <v>38</v>
      </c>
      <c r="F1116" s="2" t="s">
        <v>39</v>
      </c>
      <c r="G1116" s="2" t="s">
        <v>626</v>
      </c>
      <c r="H1116" s="2" t="s">
        <v>40</v>
      </c>
      <c r="I1116" s="2" t="s">
        <v>627</v>
      </c>
      <c r="J1116" s="2" t="s">
        <v>628</v>
      </c>
      <c r="L1116" s="2" t="s">
        <v>627</v>
      </c>
      <c r="M1116" s="2" t="s">
        <v>40</v>
      </c>
      <c r="P1116" s="2" t="s">
        <v>115</v>
      </c>
      <c r="Q1116" s="2" t="s">
        <v>906</v>
      </c>
      <c r="R1116" s="2" t="s">
        <v>907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36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3"/>
        <v>0</v>
      </c>
      <c r="AJ1116" s="2">
        <f t="shared" si="134"/>
        <v>0</v>
      </c>
      <c r="AK1116" s="2">
        <f t="shared" si="135"/>
        <v>120.4966</v>
      </c>
      <c r="AL1116" s="5">
        <f t="shared" si="137"/>
        <v>0.25874296757569254</v>
      </c>
    </row>
    <row r="1117" spans="1:38" hidden="1" x14ac:dyDescent="0.2">
      <c r="A1117" s="2">
        <v>2025</v>
      </c>
      <c r="B1117" s="2">
        <v>5</v>
      </c>
      <c r="D1117" s="2" t="s">
        <v>1121</v>
      </c>
      <c r="P1117" s="2" t="s">
        <v>115</v>
      </c>
      <c r="Q1117" s="2" t="s">
        <v>809</v>
      </c>
      <c r="R1117" s="2" t="s">
        <v>810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6"/>
        <v>1</v>
      </c>
      <c r="Z1117" s="2" t="s">
        <v>118</v>
      </c>
      <c r="AF1117" s="2">
        <f t="shared" si="133"/>
        <v>0</v>
      </c>
      <c r="AJ1117" s="2">
        <f t="shared" si="134"/>
        <v>0</v>
      </c>
      <c r="AK1117" s="2">
        <f t="shared" si="135"/>
        <v>83.79</v>
      </c>
      <c r="AL1117" s="5">
        <f t="shared" si="137"/>
        <v>1</v>
      </c>
    </row>
    <row r="1118" spans="1:38" hidden="1" x14ac:dyDescent="0.2">
      <c r="A1118" s="2">
        <v>2025</v>
      </c>
      <c r="B1118" s="2">
        <v>5</v>
      </c>
      <c r="D1118" s="2" t="s">
        <v>1440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6"/>
        <v>1</v>
      </c>
      <c r="Z1118" s="2" t="s">
        <v>120</v>
      </c>
      <c r="AA1118" s="2" t="s">
        <v>3385</v>
      </c>
      <c r="AF1118" s="2">
        <f t="shared" si="133"/>
        <v>0</v>
      </c>
      <c r="AJ1118" s="2">
        <f t="shared" si="134"/>
        <v>0</v>
      </c>
      <c r="AK1118" s="2">
        <f t="shared" si="135"/>
        <v>205</v>
      </c>
      <c r="AL1118" s="5">
        <f t="shared" si="137"/>
        <v>1</v>
      </c>
    </row>
    <row r="1119" spans="1:38" hidden="1" x14ac:dyDescent="0.2">
      <c r="A1119" s="2">
        <v>2025</v>
      </c>
      <c r="B1119" s="2">
        <v>5</v>
      </c>
      <c r="D1119" s="2" t="s">
        <v>644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645</v>
      </c>
      <c r="J1119" s="2" t="s">
        <v>646</v>
      </c>
      <c r="K1119" s="2">
        <v>964495536</v>
      </c>
      <c r="L1119" s="2" t="s">
        <v>113</v>
      </c>
      <c r="P1119" s="2" t="s">
        <v>283</v>
      </c>
      <c r="Q1119" s="2" t="s">
        <v>1438</v>
      </c>
      <c r="R1119" s="2" t="s">
        <v>1439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6"/>
        <v>0.35000000000000009</v>
      </c>
      <c r="Z1119" s="2" t="s">
        <v>3231</v>
      </c>
      <c r="AA1119" s="2" t="s">
        <v>72</v>
      </c>
      <c r="AB1119" s="2" t="s">
        <v>120</v>
      </c>
      <c r="AC1119" s="2" t="s">
        <v>120</v>
      </c>
      <c r="AF1119" s="2">
        <f t="shared" si="133"/>
        <v>0</v>
      </c>
      <c r="AJ1119" s="2">
        <f t="shared" si="134"/>
        <v>0</v>
      </c>
      <c r="AK1119" s="2">
        <f t="shared" si="135"/>
        <v>27.650000000000006</v>
      </c>
      <c r="AL1119" s="5">
        <f t="shared" si="137"/>
        <v>0.35000000000000009</v>
      </c>
    </row>
    <row r="1120" spans="1:38" hidden="1" x14ac:dyDescent="0.2">
      <c r="A1120" s="2">
        <v>2025</v>
      </c>
      <c r="B1120" s="2">
        <v>5</v>
      </c>
      <c r="D1120" s="2" t="s">
        <v>649</v>
      </c>
      <c r="P1120" s="2" t="s">
        <v>115</v>
      </c>
      <c r="Q1120" s="2" t="s">
        <v>824</v>
      </c>
      <c r="R1120" s="2" t="s">
        <v>825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6"/>
        <v>1</v>
      </c>
      <c r="Z1120" s="2" t="s">
        <v>118</v>
      </c>
      <c r="AF1120" s="2">
        <f t="shared" si="133"/>
        <v>0</v>
      </c>
      <c r="AJ1120" s="2">
        <f t="shared" si="134"/>
        <v>0</v>
      </c>
      <c r="AK1120" s="2">
        <f t="shared" si="135"/>
        <v>255.02</v>
      </c>
      <c r="AL1120" s="5">
        <f t="shared" si="137"/>
        <v>1</v>
      </c>
    </row>
    <row r="1121" spans="1:38" hidden="1" x14ac:dyDescent="0.2">
      <c r="A1121" s="2">
        <v>2025</v>
      </c>
      <c r="B1121" s="2">
        <v>4</v>
      </c>
      <c r="C1121" s="2" t="s">
        <v>3413</v>
      </c>
      <c r="D1121" s="2" t="s">
        <v>1122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3249</v>
      </c>
      <c r="J1121" s="2" t="s">
        <v>3250</v>
      </c>
      <c r="K1121" s="2">
        <v>96179412</v>
      </c>
      <c r="L1121" s="2" t="s">
        <v>462</v>
      </c>
      <c r="M1121" s="2" t="s">
        <v>40</v>
      </c>
      <c r="O1121" s="2" t="s">
        <v>3253</v>
      </c>
      <c r="P1121" s="2" t="s">
        <v>40</v>
      </c>
      <c r="Q1121" s="2" t="s">
        <v>1310</v>
      </c>
      <c r="R1121" s="2" t="s">
        <v>3254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6"/>
        <v>1</v>
      </c>
      <c r="Z1121" s="2" t="s">
        <v>105</v>
      </c>
      <c r="AA1121" s="2" t="s">
        <v>579</v>
      </c>
      <c r="AF1121" s="2">
        <f t="shared" si="133"/>
        <v>0</v>
      </c>
      <c r="AJ1121" s="2">
        <f t="shared" si="134"/>
        <v>0</v>
      </c>
      <c r="AK1121" s="2">
        <f t="shared" si="135"/>
        <v>1235</v>
      </c>
      <c r="AL1121" s="5">
        <f t="shared" si="137"/>
        <v>1</v>
      </c>
    </row>
    <row r="1122" spans="1:38" hidden="1" x14ac:dyDescent="0.2">
      <c r="A1122" s="2">
        <v>2025</v>
      </c>
      <c r="B1122" s="2">
        <v>4</v>
      </c>
      <c r="C1122" s="2" t="s">
        <v>3413</v>
      </c>
      <c r="D1122" s="2" t="s">
        <v>1122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3249</v>
      </c>
      <c r="J1122" s="2" t="s">
        <v>3250</v>
      </c>
      <c r="K1122" s="2">
        <v>96179412</v>
      </c>
      <c r="L1122" s="2" t="s">
        <v>462</v>
      </c>
      <c r="M1122" s="2" t="s">
        <v>40</v>
      </c>
      <c r="O1122" s="2" t="s">
        <v>3253</v>
      </c>
      <c r="P1122" s="2" t="s">
        <v>40</v>
      </c>
      <c r="Q1122" s="2" t="s">
        <v>1310</v>
      </c>
      <c r="R1122" s="2" t="s">
        <v>3255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6"/>
        <v>1</v>
      </c>
      <c r="Z1122" s="2" t="s">
        <v>105</v>
      </c>
      <c r="AA1122" s="2" t="s">
        <v>579</v>
      </c>
      <c r="AF1122" s="2">
        <f t="shared" si="133"/>
        <v>0</v>
      </c>
      <c r="AJ1122" s="2">
        <f t="shared" si="134"/>
        <v>0</v>
      </c>
      <c r="AK1122" s="2">
        <f t="shared" si="135"/>
        <v>1805</v>
      </c>
      <c r="AL1122" s="5">
        <f t="shared" si="137"/>
        <v>1</v>
      </c>
    </row>
    <row r="1123" spans="1:38" hidden="1" x14ac:dyDescent="0.2">
      <c r="A1123" s="2">
        <v>2025</v>
      </c>
      <c r="B1123" s="2">
        <v>5</v>
      </c>
      <c r="C1123" s="2" t="s">
        <v>3319</v>
      </c>
      <c r="D1123" s="2" t="s">
        <v>1122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3249</v>
      </c>
      <c r="J1123" s="2" t="s">
        <v>3250</v>
      </c>
      <c r="K1123" s="2">
        <v>96179412</v>
      </c>
      <c r="L1123" s="2" t="s">
        <v>462</v>
      </c>
      <c r="M1123" s="2" t="s">
        <v>40</v>
      </c>
      <c r="O1123" s="2" t="s">
        <v>3256</v>
      </c>
      <c r="P1123" s="2" t="s">
        <v>115</v>
      </c>
      <c r="Q1123" s="2" t="s">
        <v>824</v>
      </c>
      <c r="R1123" s="2" t="s">
        <v>825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6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3"/>
        <v>0</v>
      </c>
      <c r="AJ1123" s="2">
        <f t="shared" si="134"/>
        <v>0</v>
      </c>
      <c r="AK1123" s="2">
        <f t="shared" si="135"/>
        <v>127.45250000000001</v>
      </c>
      <c r="AL1123" s="5">
        <f t="shared" si="137"/>
        <v>0.49977452748804019</v>
      </c>
    </row>
    <row r="1124" spans="1:38" hidden="1" x14ac:dyDescent="0.2">
      <c r="A1124" s="2">
        <v>2025</v>
      </c>
      <c r="B1124" s="2">
        <v>5</v>
      </c>
      <c r="C1124" s="2" t="s">
        <v>3329</v>
      </c>
      <c r="D1124" s="2" t="s">
        <v>656</v>
      </c>
      <c r="E1124" s="2" t="s">
        <v>38</v>
      </c>
      <c r="G1124" s="2">
        <v>509116590</v>
      </c>
      <c r="H1124" s="2" t="s">
        <v>291</v>
      </c>
      <c r="I1124" s="2" t="s">
        <v>657</v>
      </c>
      <c r="J1124" s="2" t="s">
        <v>658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6"/>
        <v>0.41211538461538466</v>
      </c>
      <c r="Z1124" s="2" t="s">
        <v>3231</v>
      </c>
      <c r="AA1124" s="2" t="s">
        <v>76</v>
      </c>
      <c r="AB1124" s="2" t="s">
        <v>77</v>
      </c>
      <c r="AC1124" s="2" t="s">
        <v>78</v>
      </c>
      <c r="AF1124" s="2">
        <f t="shared" si="133"/>
        <v>0</v>
      </c>
      <c r="AG1124" s="2">
        <v>152.85</v>
      </c>
      <c r="AH1124" s="2">
        <v>260</v>
      </c>
      <c r="AJ1124" s="2">
        <f t="shared" si="134"/>
        <v>0</v>
      </c>
      <c r="AK1124" s="2">
        <f t="shared" si="135"/>
        <v>107.15</v>
      </c>
      <c r="AL1124" s="5">
        <f t="shared" si="137"/>
        <v>0.41211538461538466</v>
      </c>
    </row>
    <row r="1125" spans="1:38" hidden="1" x14ac:dyDescent="0.2">
      <c r="A1125" s="2">
        <v>2025</v>
      </c>
      <c r="B1125" s="2">
        <v>5</v>
      </c>
      <c r="C1125" s="2" t="s">
        <v>3329</v>
      </c>
      <c r="D1125" s="2" t="s">
        <v>656</v>
      </c>
      <c r="E1125" s="2" t="s">
        <v>38</v>
      </c>
      <c r="G1125" s="2">
        <v>509116590</v>
      </c>
      <c r="H1125" s="2" t="s">
        <v>291</v>
      </c>
      <c r="I1125" s="2" t="s">
        <v>657</v>
      </c>
      <c r="J1125" s="2" t="s">
        <v>658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6"/>
        <v>0</v>
      </c>
      <c r="Z1125" s="2" t="s">
        <v>3231</v>
      </c>
      <c r="AA1125" s="2" t="s">
        <v>97</v>
      </c>
      <c r="AB1125" s="2" t="s">
        <v>77</v>
      </c>
      <c r="AC1125" s="2" t="s">
        <v>94</v>
      </c>
      <c r="AF1125" s="2">
        <f t="shared" si="133"/>
        <v>0</v>
      </c>
      <c r="AG1125" s="2">
        <v>1.1399999999999999</v>
      </c>
      <c r="AH1125" s="2">
        <v>1.1399999999999999</v>
      </c>
      <c r="AJ1125" s="2">
        <f t="shared" si="134"/>
        <v>0</v>
      </c>
      <c r="AK1125" s="2">
        <f t="shared" si="135"/>
        <v>0</v>
      </c>
      <c r="AL1125" s="5">
        <f t="shared" si="137"/>
        <v>0</v>
      </c>
    </row>
    <row r="1126" spans="1:38" hidden="1" x14ac:dyDescent="0.2">
      <c r="A1126" s="2">
        <v>2025</v>
      </c>
      <c r="B1126" s="2">
        <v>5</v>
      </c>
      <c r="D1126" s="2" t="s">
        <v>1441</v>
      </c>
      <c r="P1126" s="2" t="s">
        <v>115</v>
      </c>
      <c r="Q1126" s="2" t="s">
        <v>1442</v>
      </c>
      <c r="R1126" s="2" t="s">
        <v>1443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6"/>
        <v>1</v>
      </c>
      <c r="AF1126" s="2">
        <f t="shared" si="133"/>
        <v>0</v>
      </c>
      <c r="AJ1126" s="2">
        <f t="shared" si="134"/>
        <v>0</v>
      </c>
      <c r="AK1126" s="2">
        <f t="shared" si="135"/>
        <v>35.74</v>
      </c>
      <c r="AL1126" s="5">
        <f t="shared" si="137"/>
        <v>1</v>
      </c>
    </row>
    <row r="1127" spans="1:38" hidden="1" x14ac:dyDescent="0.2">
      <c r="A1127" s="2">
        <v>2025</v>
      </c>
      <c r="B1127" s="2">
        <v>5</v>
      </c>
      <c r="D1127" s="2" t="s">
        <v>1441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6"/>
        <v>1</v>
      </c>
      <c r="Z1127" s="2" t="s">
        <v>120</v>
      </c>
      <c r="AA1127" s="2" t="s">
        <v>3385</v>
      </c>
      <c r="AF1127" s="2">
        <f t="shared" si="133"/>
        <v>0</v>
      </c>
      <c r="AJ1127" s="2">
        <f t="shared" si="134"/>
        <v>0</v>
      </c>
      <c r="AK1127" s="2">
        <f t="shared" si="135"/>
        <v>99.75</v>
      </c>
      <c r="AL1127" s="5">
        <f t="shared" si="137"/>
        <v>1</v>
      </c>
    </row>
    <row r="1128" spans="1:38" hidden="1" x14ac:dyDescent="0.2">
      <c r="A1128" s="2">
        <v>2025</v>
      </c>
      <c r="B1128" s="2">
        <v>5</v>
      </c>
      <c r="D1128" s="2" t="s">
        <v>1126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2298</v>
      </c>
      <c r="J1128" s="2" t="s">
        <v>2299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794</v>
      </c>
      <c r="R1128" s="2" t="s">
        <v>795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6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3"/>
        <v>0</v>
      </c>
      <c r="AJ1128" s="2">
        <f t="shared" si="134"/>
        <v>0</v>
      </c>
      <c r="AK1128" s="2">
        <f t="shared" si="135"/>
        <v>512.94000000000005</v>
      </c>
      <c r="AL1128" s="5">
        <f t="shared" si="137"/>
        <v>0.66594827586206906</v>
      </c>
    </row>
    <row r="1129" spans="1:38" hidden="1" x14ac:dyDescent="0.2">
      <c r="A1129" s="2">
        <v>2025</v>
      </c>
      <c r="B1129" s="2">
        <v>5</v>
      </c>
      <c r="D1129" s="2" t="s">
        <v>1126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2298</v>
      </c>
      <c r="J1129" s="2" t="s">
        <v>2299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6"/>
        <v>0.6</v>
      </c>
      <c r="Z1129" s="2" t="s">
        <v>118</v>
      </c>
      <c r="AA1129" s="2" t="s">
        <v>191</v>
      </c>
      <c r="AB1129" s="2" t="s">
        <v>190</v>
      </c>
      <c r="AC1129" s="2" t="s">
        <v>40</v>
      </c>
      <c r="AF1129" s="2">
        <f t="shared" si="133"/>
        <v>0</v>
      </c>
      <c r="AJ1129" s="2">
        <f t="shared" si="134"/>
        <v>0</v>
      </c>
      <c r="AK1129" s="2">
        <f t="shared" si="135"/>
        <v>30</v>
      </c>
      <c r="AL1129" s="5">
        <f t="shared" si="137"/>
        <v>0.6</v>
      </c>
    </row>
    <row r="1130" spans="1:38" hidden="1" x14ac:dyDescent="0.2">
      <c r="A1130" s="2">
        <v>2025</v>
      </c>
      <c r="B1130" s="2">
        <v>5</v>
      </c>
      <c r="D1130" s="2" t="s">
        <v>1126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2298</v>
      </c>
      <c r="J1130" s="2" t="s">
        <v>2299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6"/>
        <v>0.5</v>
      </c>
      <c r="Z1130" s="2" t="s">
        <v>118</v>
      </c>
      <c r="AA1130" s="2" t="s">
        <v>191</v>
      </c>
      <c r="AB1130" s="2" t="s">
        <v>191</v>
      </c>
      <c r="AC1130" s="2" t="s">
        <v>40</v>
      </c>
      <c r="AF1130" s="2">
        <f t="shared" si="133"/>
        <v>0</v>
      </c>
      <c r="AJ1130" s="2">
        <f t="shared" si="134"/>
        <v>0</v>
      </c>
      <c r="AK1130" s="2">
        <f t="shared" si="135"/>
        <v>50</v>
      </c>
      <c r="AL1130" s="5">
        <f t="shared" si="137"/>
        <v>0.5</v>
      </c>
    </row>
    <row r="1131" spans="1:38" hidden="1" x14ac:dyDescent="0.2">
      <c r="A1131" s="2">
        <v>2025</v>
      </c>
      <c r="B1131" s="2">
        <v>5</v>
      </c>
      <c r="D1131" s="2" t="s">
        <v>1126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2298</v>
      </c>
      <c r="J1131" s="2" t="s">
        <v>2299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3"/>
        <v>0</v>
      </c>
      <c r="AJ1131" s="2">
        <f t="shared" si="134"/>
        <v>0</v>
      </c>
    </row>
    <row r="1132" spans="1:38" hidden="1" x14ac:dyDescent="0.2">
      <c r="A1132" s="2">
        <v>2025</v>
      </c>
      <c r="B1132" s="2">
        <v>5</v>
      </c>
      <c r="D1132" s="2" t="s">
        <v>1314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1315</v>
      </c>
      <c r="L1132" s="2" t="s">
        <v>178</v>
      </c>
      <c r="M1132" s="2" t="s">
        <v>41</v>
      </c>
      <c r="O1132" s="2" t="s">
        <v>1444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8">(T1132-W1132)/T1132</f>
        <v>0.33750000000000002</v>
      </c>
      <c r="Z1132" s="2" t="s">
        <v>3231</v>
      </c>
      <c r="AA1132" s="2" t="s">
        <v>46</v>
      </c>
      <c r="AB1132" s="2" t="s">
        <v>57</v>
      </c>
      <c r="AC1132" s="2" t="s">
        <v>58</v>
      </c>
      <c r="AF1132" s="2">
        <f t="shared" si="133"/>
        <v>0</v>
      </c>
      <c r="AG1132" s="2">
        <v>10.6</v>
      </c>
      <c r="AH1132" s="2">
        <v>18</v>
      </c>
      <c r="AJ1132" s="2">
        <f t="shared" si="134"/>
        <v>0</v>
      </c>
      <c r="AK1132" s="2">
        <f t="shared" si="135"/>
        <v>10.8</v>
      </c>
      <c r="AL1132" s="5">
        <f t="shared" si="137"/>
        <v>0.33750000000000002</v>
      </c>
    </row>
    <row r="1133" spans="1:38" hidden="1" x14ac:dyDescent="0.2">
      <c r="A1133" s="2">
        <v>2025</v>
      </c>
      <c r="B1133" s="2">
        <v>5</v>
      </c>
      <c r="D1133" s="2" t="s">
        <v>1314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1315</v>
      </c>
      <c r="L1133" s="2" t="s">
        <v>178</v>
      </c>
      <c r="M1133" s="2" t="s">
        <v>41</v>
      </c>
      <c r="O1133" s="2" t="s">
        <v>1444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8"/>
        <v>0.34714285714285725</v>
      </c>
      <c r="Z1133" s="2" t="s">
        <v>3231</v>
      </c>
      <c r="AA1133" s="2" t="s">
        <v>46</v>
      </c>
      <c r="AB1133" s="2" t="s">
        <v>61</v>
      </c>
      <c r="AC1133" s="2" t="s">
        <v>58</v>
      </c>
      <c r="AF1133" s="2">
        <f t="shared" si="133"/>
        <v>0</v>
      </c>
      <c r="AG1133" s="2">
        <v>9.1399999999999995E-2</v>
      </c>
      <c r="AJ1133" s="2">
        <f t="shared" si="134"/>
        <v>0</v>
      </c>
      <c r="AK1133" s="2">
        <f t="shared" si="135"/>
        <v>4.8600000000000012</v>
      </c>
      <c r="AL1133" s="5">
        <f t="shared" si="137"/>
        <v>0.34714285714285725</v>
      </c>
    </row>
    <row r="1134" spans="1:38" hidden="1" x14ac:dyDescent="0.2">
      <c r="A1134" s="2">
        <v>2025</v>
      </c>
      <c r="B1134" s="2">
        <v>5</v>
      </c>
      <c r="D1134" s="2" t="s">
        <v>1127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1128</v>
      </c>
      <c r="J1134" s="2" t="s">
        <v>1129</v>
      </c>
      <c r="L1134" s="2" t="s">
        <v>462</v>
      </c>
      <c r="M1134" s="2" t="s">
        <v>40</v>
      </c>
      <c r="O1134" s="2" t="s">
        <v>1445</v>
      </c>
      <c r="P1134" s="2" t="s">
        <v>115</v>
      </c>
      <c r="Q1134" s="2" t="s">
        <v>839</v>
      </c>
      <c r="R1134" s="2" t="s">
        <v>840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8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3"/>
        <v>0</v>
      </c>
      <c r="AG1134" s="2">
        <v>3345.125</v>
      </c>
      <c r="AJ1134" s="2">
        <f t="shared" si="134"/>
        <v>0</v>
      </c>
      <c r="AK1134" s="2">
        <f t="shared" si="135"/>
        <v>1154.875</v>
      </c>
      <c r="AL1134" s="5">
        <f t="shared" si="137"/>
        <v>0.25663888888888892</v>
      </c>
    </row>
    <row r="1135" spans="1:38" hidden="1" x14ac:dyDescent="0.2">
      <c r="A1135" s="2">
        <v>2025</v>
      </c>
      <c r="B1135" s="2">
        <v>5</v>
      </c>
      <c r="D1135" s="2" t="s">
        <v>930</v>
      </c>
      <c r="E1135" s="2" t="s">
        <v>38</v>
      </c>
      <c r="F1135" s="2" t="s">
        <v>39</v>
      </c>
      <c r="G1135" s="2" t="s">
        <v>931</v>
      </c>
      <c r="H1135" s="2" t="s">
        <v>41</v>
      </c>
      <c r="I1135" s="2" t="s">
        <v>627</v>
      </c>
      <c r="J1135" s="2" t="s">
        <v>932</v>
      </c>
      <c r="L1135" s="2" t="s">
        <v>627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38"/>
        <v>0.44777500000000003</v>
      </c>
      <c r="Z1135" s="2" t="s">
        <v>3231</v>
      </c>
      <c r="AA1135" s="2" t="s">
        <v>46</v>
      </c>
      <c r="AB1135" s="2" t="s">
        <v>47</v>
      </c>
      <c r="AC1135" s="2" t="s">
        <v>48</v>
      </c>
      <c r="AF1135" s="2">
        <f t="shared" si="133"/>
        <v>0</v>
      </c>
      <c r="AG1135" s="2">
        <v>6.6266999999999996</v>
      </c>
      <c r="AH1135" s="2">
        <v>12</v>
      </c>
      <c r="AJ1135" s="2">
        <f t="shared" si="134"/>
        <v>0</v>
      </c>
      <c r="AK1135" s="2">
        <f t="shared" si="135"/>
        <v>26.866500000000002</v>
      </c>
      <c r="AL1135" s="5">
        <f t="shared" si="137"/>
        <v>0.44777500000000003</v>
      </c>
    </row>
    <row r="1136" spans="1:38" hidden="1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1438</v>
      </c>
      <c r="R1136" s="2" t="s">
        <v>1439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8"/>
        <v>0.35000000000000003</v>
      </c>
      <c r="Z1136" s="2" t="s">
        <v>3231</v>
      </c>
      <c r="AA1136" s="2" t="s">
        <v>72</v>
      </c>
      <c r="AB1136" s="2" t="s">
        <v>120</v>
      </c>
      <c r="AC1136" s="2" t="s">
        <v>120</v>
      </c>
      <c r="AF1136" s="2">
        <f t="shared" si="133"/>
        <v>0</v>
      </c>
      <c r="AJ1136" s="2">
        <f t="shared" si="134"/>
        <v>0</v>
      </c>
      <c r="AK1136" s="2">
        <f t="shared" si="135"/>
        <v>2.7650000000000006</v>
      </c>
      <c r="AL1136" s="5">
        <f t="shared" si="137"/>
        <v>0.35000000000000003</v>
      </c>
    </row>
    <row r="1137" spans="1:38" hidden="1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1446</v>
      </c>
      <c r="R1137" s="2" t="s">
        <v>1447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8"/>
        <v>0.10075000000000003</v>
      </c>
      <c r="Z1137" s="2" t="s">
        <v>3231</v>
      </c>
      <c r="AA1137" s="2" t="s">
        <v>72</v>
      </c>
      <c r="AB1137" s="2" t="s">
        <v>1604</v>
      </c>
      <c r="AC1137" s="2" t="s">
        <v>1604</v>
      </c>
      <c r="AF1137" s="2">
        <f t="shared" si="133"/>
        <v>0</v>
      </c>
      <c r="AJ1137" s="2">
        <f t="shared" si="134"/>
        <v>0</v>
      </c>
      <c r="AK1137" s="2">
        <f t="shared" si="135"/>
        <v>8.0600000000000023</v>
      </c>
      <c r="AL1137" s="5">
        <f t="shared" si="137"/>
        <v>0.10075000000000003</v>
      </c>
    </row>
    <row r="1138" spans="1:38" hidden="1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1448</v>
      </c>
      <c r="R1138" s="2" t="s">
        <v>1449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8"/>
        <v>8.9826041117554031E-2</v>
      </c>
      <c r="Z1138" s="2" t="s">
        <v>3231</v>
      </c>
      <c r="AA1138" s="2" t="s">
        <v>72</v>
      </c>
      <c r="AB1138" s="2" t="s">
        <v>120</v>
      </c>
      <c r="AC1138" s="2" t="s">
        <v>120</v>
      </c>
      <c r="AF1138" s="2">
        <f t="shared" si="133"/>
        <v>0</v>
      </c>
      <c r="AJ1138" s="2">
        <f t="shared" si="134"/>
        <v>0</v>
      </c>
      <c r="AK1138" s="2">
        <f t="shared" si="135"/>
        <v>25.560000000000002</v>
      </c>
      <c r="AL1138" s="5">
        <f t="shared" si="137"/>
        <v>8.9826041117554031E-2</v>
      </c>
    </row>
    <row r="1139" spans="1:38" hidden="1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650</v>
      </c>
      <c r="R1139" s="2" t="s">
        <v>651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8"/>
        <v>1</v>
      </c>
      <c r="AF1139" s="2">
        <f t="shared" si="133"/>
        <v>0</v>
      </c>
      <c r="AJ1139" s="2">
        <f t="shared" si="134"/>
        <v>0</v>
      </c>
      <c r="AK1139" s="2">
        <f t="shared" si="135"/>
        <v>371</v>
      </c>
      <c r="AL1139" s="5">
        <f t="shared" si="137"/>
        <v>1</v>
      </c>
    </row>
    <row r="1140" spans="1:38" hidden="1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8"/>
        <v>0.43841525423728817</v>
      </c>
      <c r="Z1140" s="2" t="s">
        <v>3231</v>
      </c>
      <c r="AA1140" s="2" t="s">
        <v>46</v>
      </c>
      <c r="AB1140" s="2" t="s">
        <v>47</v>
      </c>
      <c r="AC1140" s="2" t="s">
        <v>48</v>
      </c>
      <c r="AF1140" s="2">
        <f t="shared" si="133"/>
        <v>0</v>
      </c>
      <c r="AG1140" s="2">
        <v>6.6266999999999996</v>
      </c>
      <c r="AH1140" s="2">
        <v>12</v>
      </c>
      <c r="AJ1140" s="2">
        <f t="shared" si="134"/>
        <v>0</v>
      </c>
      <c r="AK1140" s="2">
        <f t="shared" si="135"/>
        <v>25.866500000000002</v>
      </c>
      <c r="AL1140" s="5">
        <f t="shared" si="137"/>
        <v>0.43841525423728817</v>
      </c>
    </row>
    <row r="1141" spans="1:38" hidden="1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8"/>
        <v>0.52105128205128204</v>
      </c>
      <c r="Z1141" s="2" t="s">
        <v>3231</v>
      </c>
      <c r="AA1141" s="2" t="s">
        <v>46</v>
      </c>
      <c r="AB1141" s="2" t="s">
        <v>47</v>
      </c>
      <c r="AC1141" s="2" t="s">
        <v>48</v>
      </c>
      <c r="AF1141" s="2">
        <f t="shared" si="133"/>
        <v>0</v>
      </c>
      <c r="AG1141" s="2">
        <v>3.7357999999999998</v>
      </c>
      <c r="AH1141" s="2">
        <v>9</v>
      </c>
      <c r="AJ1141" s="2">
        <f t="shared" si="134"/>
        <v>0</v>
      </c>
      <c r="AK1141" s="2">
        <f t="shared" si="135"/>
        <v>4.0641999999999996</v>
      </c>
      <c r="AL1141" s="5">
        <f t="shared" si="137"/>
        <v>0.52105128205128204</v>
      </c>
    </row>
    <row r="1142" spans="1:38" hidden="1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8"/>
        <v>0.33750000000000008</v>
      </c>
      <c r="Z1142" s="2" t="s">
        <v>3231</v>
      </c>
      <c r="AA1142" s="2" t="s">
        <v>46</v>
      </c>
      <c r="AB1142" s="2" t="s">
        <v>57</v>
      </c>
      <c r="AC1142" s="2" t="s">
        <v>58</v>
      </c>
      <c r="AF1142" s="2">
        <f t="shared" si="133"/>
        <v>0</v>
      </c>
      <c r="AG1142" s="2">
        <v>10.6</v>
      </c>
      <c r="AH1142" s="2">
        <v>18</v>
      </c>
      <c r="AJ1142" s="2">
        <f t="shared" si="134"/>
        <v>0</v>
      </c>
      <c r="AK1142" s="2">
        <f t="shared" si="135"/>
        <v>16.200000000000003</v>
      </c>
      <c r="AL1142" s="5">
        <f t="shared" si="137"/>
        <v>0.33750000000000008</v>
      </c>
    </row>
    <row r="1143" spans="1:38" hidden="1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8"/>
        <v>0.34714285714285725</v>
      </c>
      <c r="Z1143" s="2" t="s">
        <v>3231</v>
      </c>
      <c r="AA1143" s="2" t="s">
        <v>46</v>
      </c>
      <c r="AB1143" s="2" t="s">
        <v>61</v>
      </c>
      <c r="AC1143" s="2" t="s">
        <v>58</v>
      </c>
      <c r="AF1143" s="2">
        <f t="shared" si="133"/>
        <v>0</v>
      </c>
      <c r="AG1143" s="2">
        <v>9.14</v>
      </c>
      <c r="AH1143" s="2">
        <v>16</v>
      </c>
      <c r="AJ1143" s="2">
        <f t="shared" si="134"/>
        <v>0</v>
      </c>
      <c r="AK1143" s="2">
        <f t="shared" si="135"/>
        <v>4.8600000000000012</v>
      </c>
      <c r="AL1143" s="5">
        <f t="shared" si="137"/>
        <v>0.34714285714285725</v>
      </c>
    </row>
    <row r="1144" spans="1:38" hidden="1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8"/>
        <v>0.36923076923076914</v>
      </c>
      <c r="Z1144" s="2" t="s">
        <v>3231</v>
      </c>
      <c r="AA1144" s="2" t="s">
        <v>46</v>
      </c>
      <c r="AB1144" s="2" t="s">
        <v>61</v>
      </c>
      <c r="AC1144" s="2" t="s">
        <v>58</v>
      </c>
      <c r="AF1144" s="2">
        <f t="shared" si="133"/>
        <v>0</v>
      </c>
      <c r="AG1144" s="2">
        <v>8.1999999999999993</v>
      </c>
      <c r="AH1144" s="2">
        <v>13</v>
      </c>
      <c r="AJ1144" s="2">
        <f t="shared" si="134"/>
        <v>0</v>
      </c>
      <c r="AK1144" s="2">
        <f t="shared" si="135"/>
        <v>4.7999999999999989</v>
      </c>
      <c r="AL1144" s="5">
        <f t="shared" si="137"/>
        <v>0.36923076923076914</v>
      </c>
    </row>
    <row r="1145" spans="1:38" hidden="1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8"/>
        <v>0.30138139534883718</v>
      </c>
      <c r="Z1145" s="2" t="s">
        <v>3231</v>
      </c>
      <c r="AA1145" s="2" t="s">
        <v>46</v>
      </c>
      <c r="AB1145" s="2" t="s">
        <v>68</v>
      </c>
      <c r="AC1145" s="2" t="s">
        <v>58</v>
      </c>
      <c r="AF1145" s="2">
        <f t="shared" si="133"/>
        <v>0</v>
      </c>
      <c r="AG1145" s="2">
        <v>15.020300000000001</v>
      </c>
      <c r="AH1145" s="2">
        <v>27.6</v>
      </c>
      <c r="AJ1145" s="2">
        <f t="shared" si="134"/>
        <v>0</v>
      </c>
      <c r="AK1145" s="2">
        <f t="shared" si="135"/>
        <v>12.959399999999999</v>
      </c>
      <c r="AL1145" s="5">
        <f t="shared" si="137"/>
        <v>0.30138139534883718</v>
      </c>
    </row>
    <row r="1146" spans="1:38" hidden="1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1450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8"/>
        <v>0.33041650000000006</v>
      </c>
      <c r="Z1146" s="2" t="s">
        <v>3231</v>
      </c>
      <c r="AA1146" s="2" t="s">
        <v>76</v>
      </c>
      <c r="AB1146" s="2" t="s">
        <v>77</v>
      </c>
      <c r="AC1146" s="2" t="s">
        <v>78</v>
      </c>
      <c r="AF1146" s="2">
        <f t="shared" si="133"/>
        <v>0</v>
      </c>
      <c r="AJ1146" s="2">
        <f t="shared" si="134"/>
        <v>0</v>
      </c>
      <c r="AK1146" s="2">
        <f t="shared" si="135"/>
        <v>66.083300000000008</v>
      </c>
      <c r="AL1146" s="5">
        <f t="shared" si="137"/>
        <v>0.33041650000000006</v>
      </c>
    </row>
    <row r="1147" spans="1:38" hidden="1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1451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8"/>
        <v>0.58000274404884411</v>
      </c>
      <c r="Z1147" s="2" t="s">
        <v>3231</v>
      </c>
      <c r="AA1147" s="2" t="s">
        <v>76</v>
      </c>
      <c r="AB1147" s="2" t="s">
        <v>77</v>
      </c>
      <c r="AC1147" s="2" t="s">
        <v>78</v>
      </c>
      <c r="AF1147" s="2">
        <f t="shared" si="133"/>
        <v>0</v>
      </c>
      <c r="AG1147" s="2">
        <v>122.446</v>
      </c>
      <c r="AH1147" s="2">
        <v>230</v>
      </c>
      <c r="AJ1147" s="2">
        <f t="shared" si="134"/>
        <v>0</v>
      </c>
      <c r="AK1147" s="2">
        <f t="shared" si="135"/>
        <v>169.09400000000002</v>
      </c>
      <c r="AL1147" s="5">
        <f t="shared" si="137"/>
        <v>0.58000274404884411</v>
      </c>
    </row>
    <row r="1148" spans="1:38" hidden="1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1213</v>
      </c>
      <c r="R1148" s="2" t="s">
        <v>1214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8"/>
        <v>1</v>
      </c>
      <c r="Z1148" s="2" t="s">
        <v>3231</v>
      </c>
      <c r="AA1148" s="2" t="s">
        <v>88</v>
      </c>
      <c r="AB1148" s="2" t="s">
        <v>91</v>
      </c>
      <c r="AC1148" s="2" t="s">
        <v>85</v>
      </c>
      <c r="AF1148" s="2">
        <f t="shared" si="133"/>
        <v>0</v>
      </c>
      <c r="AJ1148" s="2">
        <f t="shared" si="134"/>
        <v>0</v>
      </c>
      <c r="AK1148" s="2">
        <f t="shared" si="135"/>
        <v>12</v>
      </c>
      <c r="AL1148" s="5">
        <f t="shared" si="137"/>
        <v>1</v>
      </c>
    </row>
    <row r="1149" spans="1:38" hidden="1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8"/>
        <v>0.79724137931034489</v>
      </c>
      <c r="Z1149" s="2" t="s">
        <v>3231</v>
      </c>
      <c r="AA1149" s="2" t="s">
        <v>88</v>
      </c>
      <c r="AB1149" s="2" t="s">
        <v>91</v>
      </c>
      <c r="AC1149" s="2" t="s">
        <v>85</v>
      </c>
      <c r="AF1149" s="2">
        <f t="shared" si="133"/>
        <v>0</v>
      </c>
      <c r="AJ1149" s="2">
        <f t="shared" si="134"/>
        <v>0</v>
      </c>
      <c r="AK1149" s="2">
        <f t="shared" si="135"/>
        <v>11.56</v>
      </c>
      <c r="AL1149" s="5">
        <f t="shared" si="137"/>
        <v>0.79724137931034489</v>
      </c>
    </row>
    <row r="1150" spans="1:38" hidden="1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8"/>
        <v>1</v>
      </c>
      <c r="Z1150" s="2" t="s">
        <v>3231</v>
      </c>
      <c r="AA1150" s="2" t="s">
        <v>88</v>
      </c>
      <c r="AB1150" s="2" t="s">
        <v>91</v>
      </c>
      <c r="AC1150" s="2" t="s">
        <v>85</v>
      </c>
      <c r="AF1150" s="2">
        <f t="shared" si="133"/>
        <v>0</v>
      </c>
      <c r="AJ1150" s="2">
        <f t="shared" si="134"/>
        <v>0</v>
      </c>
      <c r="AK1150" s="2">
        <f t="shared" si="135"/>
        <v>5</v>
      </c>
      <c r="AL1150" s="5">
        <f t="shared" si="137"/>
        <v>1</v>
      </c>
    </row>
    <row r="1151" spans="1:38" hidden="1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8"/>
        <v>0</v>
      </c>
      <c r="Z1151" s="2" t="s">
        <v>3231</v>
      </c>
      <c r="AA1151" s="2" t="s">
        <v>97</v>
      </c>
      <c r="AB1151" s="2" t="s">
        <v>77</v>
      </c>
      <c r="AC1151" s="2" t="s">
        <v>94</v>
      </c>
      <c r="AF1151" s="2">
        <f t="shared" si="133"/>
        <v>0</v>
      </c>
      <c r="AJ1151" s="2">
        <f t="shared" si="134"/>
        <v>0</v>
      </c>
      <c r="AK1151" s="2">
        <f t="shared" si="135"/>
        <v>0</v>
      </c>
      <c r="AL1151" s="5">
        <f t="shared" si="137"/>
        <v>0</v>
      </c>
    </row>
    <row r="1152" spans="1:38" hidden="1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8"/>
        <v>1</v>
      </c>
      <c r="Z1152" s="2" t="s">
        <v>120</v>
      </c>
      <c r="AA1152" s="2" t="s">
        <v>3385</v>
      </c>
      <c r="AF1152" s="2">
        <f t="shared" si="133"/>
        <v>0</v>
      </c>
      <c r="AJ1152" s="2">
        <f t="shared" si="134"/>
        <v>0</v>
      </c>
      <c r="AK1152" s="2">
        <f t="shared" si="135"/>
        <v>28588.61</v>
      </c>
      <c r="AL1152" s="5">
        <f t="shared" si="137"/>
        <v>1</v>
      </c>
    </row>
    <row r="1153" spans="1:38" hidden="1" x14ac:dyDescent="0.2">
      <c r="A1153" s="2">
        <v>2025</v>
      </c>
      <c r="B1153" s="2">
        <v>7</v>
      </c>
      <c r="D1153" s="2" t="s">
        <v>1452</v>
      </c>
      <c r="E1153" s="2" t="s">
        <v>38</v>
      </c>
      <c r="F1153" s="2" t="s">
        <v>478</v>
      </c>
      <c r="L1153" s="2" t="s">
        <v>113</v>
      </c>
      <c r="M1153" s="2" t="s">
        <v>40</v>
      </c>
      <c r="P1153" s="2" t="s">
        <v>115</v>
      </c>
      <c r="Q1153" s="2" t="s">
        <v>980</v>
      </c>
      <c r="R1153" s="2" t="s">
        <v>981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8"/>
        <v>1</v>
      </c>
      <c r="Z1153" s="2" t="s">
        <v>118</v>
      </c>
      <c r="AA1153" s="2" t="s">
        <v>119</v>
      </c>
      <c r="AB1153" s="2" t="s">
        <v>120</v>
      </c>
      <c r="AC1153" s="2" t="s">
        <v>115</v>
      </c>
      <c r="AF1153" s="2">
        <f t="shared" si="133"/>
        <v>0</v>
      </c>
      <c r="AJ1153" s="2">
        <f t="shared" si="134"/>
        <v>0</v>
      </c>
      <c r="AK1153" s="2">
        <f t="shared" si="135"/>
        <v>79.819999999999993</v>
      </c>
      <c r="AL1153" s="5">
        <f t="shared" si="137"/>
        <v>1</v>
      </c>
    </row>
    <row r="1154" spans="1:38" hidden="1" x14ac:dyDescent="0.2">
      <c r="A1154" s="2">
        <v>2025</v>
      </c>
      <c r="B1154" s="2">
        <v>7</v>
      </c>
      <c r="D1154" s="2" t="s">
        <v>1452</v>
      </c>
      <c r="E1154" s="2" t="s">
        <v>38</v>
      </c>
      <c r="F1154" s="2" t="s">
        <v>478</v>
      </c>
      <c r="L1154" s="2" t="s">
        <v>113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8"/>
        <v>0.6</v>
      </c>
      <c r="Z1154" s="2" t="s">
        <v>118</v>
      </c>
      <c r="AA1154" s="2" t="s">
        <v>191</v>
      </c>
      <c r="AB1154" s="2" t="s">
        <v>190</v>
      </c>
      <c r="AC1154" s="2" t="s">
        <v>40</v>
      </c>
      <c r="AF1154" s="2">
        <f t="shared" si="133"/>
        <v>0</v>
      </c>
      <c r="AJ1154" s="2">
        <f t="shared" si="134"/>
        <v>0</v>
      </c>
      <c r="AK1154" s="2">
        <f t="shared" si="135"/>
        <v>60.599999999999994</v>
      </c>
      <c r="AL1154" s="5">
        <f t="shared" si="137"/>
        <v>0.6</v>
      </c>
    </row>
    <row r="1155" spans="1:38" hidden="1" x14ac:dyDescent="0.2">
      <c r="A1155" s="2">
        <v>2025</v>
      </c>
      <c r="B1155" s="2">
        <v>7</v>
      </c>
      <c r="D1155" s="2" t="s">
        <v>1452</v>
      </c>
      <c r="E1155" s="2" t="s">
        <v>38</v>
      </c>
      <c r="F1155" s="2" t="s">
        <v>478</v>
      </c>
      <c r="L1155" s="2" t="s">
        <v>113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8"/>
        <v>0.5</v>
      </c>
      <c r="Z1155" s="2" t="s">
        <v>118</v>
      </c>
      <c r="AA1155" s="2" t="s">
        <v>191</v>
      </c>
      <c r="AB1155" s="2" t="s">
        <v>191</v>
      </c>
      <c r="AC1155" s="2" t="s">
        <v>40</v>
      </c>
      <c r="AF1155" s="2">
        <f t="shared" ref="AF1155:AF1218" si="139">AJ1155</f>
        <v>0</v>
      </c>
      <c r="AJ1155" s="2">
        <f t="shared" ref="AJ1155:AJ1218" si="140">AI1155*T1155</f>
        <v>0</v>
      </c>
      <c r="AK1155" s="2">
        <f t="shared" ref="AK1155:AK1218" si="141">T1155-W1155</f>
        <v>50</v>
      </c>
      <c r="AL1155" s="5">
        <f t="shared" si="137"/>
        <v>0.5</v>
      </c>
    </row>
    <row r="1156" spans="1:38" hidden="1" x14ac:dyDescent="0.2">
      <c r="A1156" s="2">
        <v>2025</v>
      </c>
      <c r="B1156" s="2">
        <v>7</v>
      </c>
      <c r="D1156" s="2" t="s">
        <v>1453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1454</v>
      </c>
      <c r="J1156" s="2" t="s">
        <v>1455</v>
      </c>
      <c r="K1156" s="2">
        <v>917563471</v>
      </c>
      <c r="L1156" s="2" t="s">
        <v>100</v>
      </c>
      <c r="M1156" s="2" t="s">
        <v>81</v>
      </c>
      <c r="O1156" s="2" t="s">
        <v>1456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8"/>
        <v>0.44790909090909092</v>
      </c>
      <c r="Z1156" s="2" t="s">
        <v>3231</v>
      </c>
      <c r="AA1156" s="2" t="s">
        <v>76</v>
      </c>
      <c r="AB1156" s="2" t="s">
        <v>77</v>
      </c>
      <c r="AC1156" s="2" t="s">
        <v>78</v>
      </c>
      <c r="AF1156" s="2">
        <f t="shared" si="139"/>
        <v>0</v>
      </c>
      <c r="AG1156" s="2">
        <v>121.46</v>
      </c>
      <c r="AH1156" s="2">
        <v>210</v>
      </c>
      <c r="AJ1156" s="2">
        <f t="shared" si="140"/>
        <v>0</v>
      </c>
      <c r="AK1156" s="2">
        <f t="shared" si="141"/>
        <v>98.54</v>
      </c>
      <c r="AL1156" s="5">
        <f t="shared" si="137"/>
        <v>0.44790909090909092</v>
      </c>
    </row>
    <row r="1157" spans="1:38" hidden="1" x14ac:dyDescent="0.2">
      <c r="A1157" s="2">
        <v>2025</v>
      </c>
      <c r="B1157" s="2">
        <v>7</v>
      </c>
      <c r="D1157" s="2" t="s">
        <v>1453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1454</v>
      </c>
      <c r="J1157" s="2" t="s">
        <v>1455</v>
      </c>
      <c r="K1157" s="2">
        <v>917563471</v>
      </c>
      <c r="L1157" s="2" t="s">
        <v>100</v>
      </c>
      <c r="M1157" s="2" t="s">
        <v>81</v>
      </c>
      <c r="O1157" s="2" t="s">
        <v>1456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8"/>
        <v>0</v>
      </c>
      <c r="Z1157" s="2" t="s">
        <v>3231</v>
      </c>
      <c r="AA1157" s="2" t="s">
        <v>97</v>
      </c>
      <c r="AB1157" s="2" t="s">
        <v>77</v>
      </c>
      <c r="AC1157" s="2" t="s">
        <v>94</v>
      </c>
      <c r="AF1157" s="2">
        <f t="shared" si="139"/>
        <v>0</v>
      </c>
      <c r="AG1157" s="2">
        <v>1.1399999999999999</v>
      </c>
      <c r="AH1157" s="2">
        <v>1.1399999999999999</v>
      </c>
      <c r="AJ1157" s="2">
        <f t="shared" si="140"/>
        <v>0</v>
      </c>
      <c r="AK1157" s="2">
        <f t="shared" si="141"/>
        <v>0</v>
      </c>
      <c r="AL1157" s="5">
        <f t="shared" si="137"/>
        <v>0</v>
      </c>
    </row>
    <row r="1158" spans="1:38" hidden="1" x14ac:dyDescent="0.2">
      <c r="A1158" s="2">
        <v>2025</v>
      </c>
      <c r="B1158" s="2">
        <v>7</v>
      </c>
      <c r="D1158" s="2" t="s">
        <v>1142</v>
      </c>
      <c r="E1158" s="2" t="s">
        <v>109</v>
      </c>
      <c r="G1158" s="2">
        <v>504576658</v>
      </c>
      <c r="H1158" s="2" t="s">
        <v>41</v>
      </c>
      <c r="I1158" s="2" t="s">
        <v>1143</v>
      </c>
      <c r="J1158" s="2" t="s">
        <v>1144</v>
      </c>
      <c r="L1158" s="2" t="s">
        <v>100</v>
      </c>
      <c r="M1158" s="2" t="s">
        <v>41</v>
      </c>
      <c r="O1158" s="2" t="s">
        <v>1457</v>
      </c>
      <c r="P1158" s="2" t="s">
        <v>73</v>
      </c>
      <c r="Q1158" s="2" t="s">
        <v>1077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8"/>
        <v>0.38638461538461544</v>
      </c>
      <c r="Z1158" s="2" t="s">
        <v>3231</v>
      </c>
      <c r="AA1158" s="2" t="s">
        <v>76</v>
      </c>
      <c r="AB1158" s="2" t="s">
        <v>77</v>
      </c>
      <c r="AC1158" s="2" t="s">
        <v>78</v>
      </c>
      <c r="AF1158" s="2">
        <f t="shared" si="139"/>
        <v>0</v>
      </c>
      <c r="AG1158" s="2">
        <f>144.14+15.4</f>
        <v>159.54</v>
      </c>
      <c r="AH1158" s="2">
        <v>280</v>
      </c>
      <c r="AJ1158" s="2">
        <f t="shared" si="140"/>
        <v>0</v>
      </c>
      <c r="AK1158" s="2">
        <f t="shared" si="141"/>
        <v>100.46000000000001</v>
      </c>
      <c r="AL1158" s="5">
        <f t="shared" si="137"/>
        <v>0.38638461538461544</v>
      </c>
    </row>
    <row r="1159" spans="1:38" hidden="1" x14ac:dyDescent="0.2">
      <c r="A1159" s="2">
        <v>2025</v>
      </c>
      <c r="B1159" s="2">
        <v>7</v>
      </c>
      <c r="D1159" s="2" t="s">
        <v>1142</v>
      </c>
      <c r="E1159" s="2" t="s">
        <v>109</v>
      </c>
      <c r="G1159" s="2">
        <v>504576658</v>
      </c>
      <c r="H1159" s="2" t="s">
        <v>41</v>
      </c>
      <c r="I1159" s="2" t="s">
        <v>1143</v>
      </c>
      <c r="J1159" s="2" t="s">
        <v>1144</v>
      </c>
      <c r="L1159" s="2" t="s">
        <v>100</v>
      </c>
      <c r="M1159" s="2" t="s">
        <v>41</v>
      </c>
      <c r="O1159" s="2" t="s">
        <v>1457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8"/>
        <v>0</v>
      </c>
      <c r="Z1159" s="2" t="s">
        <v>3231</v>
      </c>
      <c r="AA1159" s="2" t="s">
        <v>97</v>
      </c>
      <c r="AB1159" s="2" t="s">
        <v>77</v>
      </c>
      <c r="AC1159" s="2" t="s">
        <v>94</v>
      </c>
      <c r="AF1159" s="2">
        <f t="shared" si="139"/>
        <v>0</v>
      </c>
      <c r="AJ1159" s="2">
        <f t="shared" si="140"/>
        <v>0</v>
      </c>
      <c r="AK1159" s="2">
        <f t="shared" si="141"/>
        <v>0</v>
      </c>
      <c r="AL1159" s="5">
        <f t="shared" si="137"/>
        <v>0</v>
      </c>
    </row>
    <row r="1160" spans="1:38" hidden="1" x14ac:dyDescent="0.2">
      <c r="A1160" s="2">
        <v>2025</v>
      </c>
      <c r="B1160" s="2">
        <v>7</v>
      </c>
      <c r="D1160" s="2" t="s">
        <v>1458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8"/>
        <v>0.6</v>
      </c>
      <c r="Z1160" s="2" t="s">
        <v>118</v>
      </c>
      <c r="AA1160" s="2" t="s">
        <v>191</v>
      </c>
      <c r="AB1160" s="2" t="s">
        <v>190</v>
      </c>
      <c r="AC1160" s="2" t="s">
        <v>40</v>
      </c>
      <c r="AF1160" s="2">
        <f t="shared" si="139"/>
        <v>0</v>
      </c>
      <c r="AJ1160" s="2">
        <f t="shared" si="140"/>
        <v>0</v>
      </c>
      <c r="AK1160" s="2">
        <f t="shared" si="141"/>
        <v>94.199999999999989</v>
      </c>
      <c r="AL1160" s="5">
        <f t="shared" si="137"/>
        <v>0.6</v>
      </c>
    </row>
    <row r="1161" spans="1:38" hidden="1" x14ac:dyDescent="0.2">
      <c r="A1161" s="2">
        <v>2025</v>
      </c>
      <c r="B1161" s="2">
        <v>7</v>
      </c>
      <c r="D1161" s="2" t="s">
        <v>1458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8"/>
        <v>0.5</v>
      </c>
      <c r="Z1161" s="2" t="s">
        <v>118</v>
      </c>
      <c r="AA1161" s="2" t="s">
        <v>191</v>
      </c>
      <c r="AB1161" s="2" t="s">
        <v>191</v>
      </c>
      <c r="AC1161" s="2" t="s">
        <v>40</v>
      </c>
      <c r="AF1161" s="2">
        <f t="shared" si="139"/>
        <v>0</v>
      </c>
      <c r="AJ1161" s="2">
        <f t="shared" si="140"/>
        <v>0</v>
      </c>
      <c r="AK1161" s="2">
        <f t="shared" si="141"/>
        <v>25</v>
      </c>
      <c r="AL1161" s="5">
        <f t="shared" si="137"/>
        <v>0.5</v>
      </c>
    </row>
    <row r="1162" spans="1:38" hidden="1" x14ac:dyDescent="0.2">
      <c r="A1162" s="2">
        <v>2025</v>
      </c>
      <c r="B1162" s="2">
        <v>7</v>
      </c>
      <c r="D1162" s="2" t="s">
        <v>1459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B1162" s="2" t="s">
        <v>190</v>
      </c>
      <c r="AC1162" s="2" t="s">
        <v>40</v>
      </c>
      <c r="AF1162" s="2">
        <f t="shared" si="139"/>
        <v>0</v>
      </c>
      <c r="AJ1162" s="2">
        <f t="shared" si="140"/>
        <v>0</v>
      </c>
      <c r="AK1162" s="2">
        <f t="shared" si="141"/>
        <v>0</v>
      </c>
      <c r="AL1162" s="5" t="e">
        <f t="shared" si="137"/>
        <v>#DIV/0!</v>
      </c>
    </row>
    <row r="1163" spans="1:38" hidden="1" x14ac:dyDescent="0.2">
      <c r="A1163" s="2">
        <v>2025</v>
      </c>
      <c r="B1163" s="2">
        <v>7</v>
      </c>
      <c r="D1163" s="2" t="s">
        <v>1459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B1163" s="2" t="s">
        <v>191</v>
      </c>
      <c r="AC1163" s="2" t="s">
        <v>40</v>
      </c>
      <c r="AF1163" s="2">
        <f t="shared" si="139"/>
        <v>0</v>
      </c>
      <c r="AJ1163" s="2">
        <f t="shared" si="140"/>
        <v>0</v>
      </c>
      <c r="AK1163" s="2">
        <f t="shared" si="141"/>
        <v>0</v>
      </c>
      <c r="AL1163" s="5">
        <v>0</v>
      </c>
    </row>
    <row r="1164" spans="1:38" hidden="1" x14ac:dyDescent="0.2">
      <c r="A1164" s="2">
        <v>2025</v>
      </c>
      <c r="B1164" s="2">
        <v>7</v>
      </c>
      <c r="C1164" s="2" t="s">
        <v>3475</v>
      </c>
      <c r="D1164" s="2" t="s">
        <v>1460</v>
      </c>
      <c r="E1164" s="2" t="s">
        <v>38</v>
      </c>
      <c r="F1164" s="2" t="s">
        <v>39</v>
      </c>
      <c r="L1164" s="2" t="s">
        <v>340</v>
      </c>
      <c r="M1164" s="2" t="s">
        <v>81</v>
      </c>
      <c r="P1164" s="2" t="s">
        <v>43</v>
      </c>
      <c r="Q1164" s="2" t="s">
        <v>971</v>
      </c>
      <c r="R1164" s="2" t="s">
        <v>972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42">(T1164-W1164)/T1164</f>
        <v>0.3664862068965517</v>
      </c>
      <c r="Z1164" s="2" t="s">
        <v>3231</v>
      </c>
      <c r="AA1164" s="2" t="s">
        <v>46</v>
      </c>
      <c r="AB1164" s="2" t="s">
        <v>61</v>
      </c>
      <c r="AC1164" s="2" t="s">
        <v>58</v>
      </c>
      <c r="AF1164" s="2">
        <f t="shared" si="139"/>
        <v>0</v>
      </c>
      <c r="AJ1164" s="2">
        <f t="shared" si="140"/>
        <v>0</v>
      </c>
      <c r="AK1164" s="2">
        <f t="shared" si="141"/>
        <v>63.768599999999992</v>
      </c>
      <c r="AL1164" s="5">
        <f t="shared" si="137"/>
        <v>0.3664862068965517</v>
      </c>
    </row>
    <row r="1165" spans="1:38" hidden="1" x14ac:dyDescent="0.2">
      <c r="A1165" s="2">
        <v>2025</v>
      </c>
      <c r="B1165" s="2">
        <v>7</v>
      </c>
      <c r="C1165" s="2" t="s">
        <v>3475</v>
      </c>
      <c r="D1165" s="2" t="s">
        <v>1460</v>
      </c>
      <c r="E1165" s="2" t="s">
        <v>38</v>
      </c>
      <c r="F1165" s="2" t="s">
        <v>39</v>
      </c>
      <c r="L1165" s="2" t="s">
        <v>340</v>
      </c>
      <c r="M1165" s="2" t="s">
        <v>81</v>
      </c>
      <c r="P1165" s="2" t="s">
        <v>43</v>
      </c>
      <c r="Q1165" s="2" t="s">
        <v>973</v>
      </c>
      <c r="R1165" s="2" t="s">
        <v>974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2"/>
        <v>1</v>
      </c>
      <c r="Z1165" s="2" t="s">
        <v>3231</v>
      </c>
      <c r="AA1165" s="2" t="s">
        <v>46</v>
      </c>
      <c r="AB1165" s="2" t="s">
        <v>61</v>
      </c>
      <c r="AC1165" s="2" t="s">
        <v>58</v>
      </c>
      <c r="AF1165" s="2">
        <f t="shared" si="139"/>
        <v>0</v>
      </c>
      <c r="AJ1165" s="2">
        <f t="shared" si="140"/>
        <v>0</v>
      </c>
      <c r="AK1165" s="2">
        <f t="shared" si="141"/>
        <v>174</v>
      </c>
      <c r="AL1165" s="5">
        <f t="shared" si="137"/>
        <v>1</v>
      </c>
    </row>
    <row r="1166" spans="1:38" hidden="1" x14ac:dyDescent="0.2">
      <c r="A1166" s="2">
        <v>2025</v>
      </c>
      <c r="B1166" s="2">
        <v>7</v>
      </c>
      <c r="D1166" s="2" t="s">
        <v>1461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1462</v>
      </c>
      <c r="J1166" s="2" t="s">
        <v>1463</v>
      </c>
      <c r="K1166" s="2">
        <v>925788716</v>
      </c>
      <c r="L1166" s="2" t="s">
        <v>1464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2"/>
        <v>0.44777500000000003</v>
      </c>
      <c r="Z1166" s="2" t="s">
        <v>3231</v>
      </c>
      <c r="AA1166" s="2" t="s">
        <v>46</v>
      </c>
      <c r="AB1166" s="2" t="s">
        <v>47</v>
      </c>
      <c r="AC1166" s="2" t="s">
        <v>48</v>
      </c>
      <c r="AF1166" s="2">
        <f t="shared" si="139"/>
        <v>0</v>
      </c>
      <c r="AG1166" s="2">
        <v>6.6266999999999996</v>
      </c>
      <c r="AH1166" s="2">
        <v>12</v>
      </c>
      <c r="AJ1166" s="2">
        <f t="shared" si="140"/>
        <v>0</v>
      </c>
      <c r="AK1166" s="2">
        <f t="shared" si="141"/>
        <v>16.119900000000001</v>
      </c>
      <c r="AL1166" s="5">
        <f t="shared" si="137"/>
        <v>0.44777500000000003</v>
      </c>
    </row>
    <row r="1167" spans="1:38" hidden="1" x14ac:dyDescent="0.2">
      <c r="A1167" s="2">
        <v>2025</v>
      </c>
      <c r="B1167" s="2">
        <v>7</v>
      </c>
      <c r="D1167" s="2" t="s">
        <v>1461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1462</v>
      </c>
      <c r="J1167" s="2" t="s">
        <v>1463</v>
      </c>
      <c r="K1167" s="2">
        <v>925788716</v>
      </c>
      <c r="L1167" s="2" t="s">
        <v>1464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2"/>
        <v>0.41111111111111115</v>
      </c>
      <c r="Z1167" s="2" t="s">
        <v>3231</v>
      </c>
      <c r="AA1167" s="2" t="s">
        <v>46</v>
      </c>
      <c r="AB1167" s="2" t="s">
        <v>57</v>
      </c>
      <c r="AC1167" s="2" t="s">
        <v>58</v>
      </c>
      <c r="AF1167" s="2">
        <f t="shared" si="139"/>
        <v>0</v>
      </c>
      <c r="AG1167" s="2">
        <v>10.6</v>
      </c>
      <c r="AH1167" s="2">
        <v>18</v>
      </c>
      <c r="AJ1167" s="2">
        <f t="shared" si="140"/>
        <v>0</v>
      </c>
      <c r="AK1167" s="2">
        <f t="shared" si="141"/>
        <v>7.4</v>
      </c>
      <c r="AL1167" s="5">
        <f t="shared" si="137"/>
        <v>0.41111111111111115</v>
      </c>
    </row>
    <row r="1168" spans="1:38" hidden="1" x14ac:dyDescent="0.2">
      <c r="A1168" s="2">
        <v>2025</v>
      </c>
      <c r="B1168" s="2">
        <v>7</v>
      </c>
      <c r="D1168" s="2" t="s">
        <v>1461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1462</v>
      </c>
      <c r="J1168" s="2" t="s">
        <v>1463</v>
      </c>
      <c r="K1168" s="2">
        <v>925788716</v>
      </c>
      <c r="L1168" s="2" t="s">
        <v>1464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2"/>
        <v>0.39066666666666677</v>
      </c>
      <c r="Z1168" s="2" t="s">
        <v>3231</v>
      </c>
      <c r="AA1168" s="2" t="s">
        <v>46</v>
      </c>
      <c r="AB1168" s="2" t="s">
        <v>61</v>
      </c>
      <c r="AC1168" s="2" t="s">
        <v>58</v>
      </c>
      <c r="AF1168" s="2">
        <f t="shared" si="139"/>
        <v>0</v>
      </c>
      <c r="AG1168" s="2">
        <v>9.14</v>
      </c>
      <c r="AH1168" s="2">
        <v>16</v>
      </c>
      <c r="AJ1168" s="2">
        <f t="shared" si="140"/>
        <v>0</v>
      </c>
      <c r="AK1168" s="2">
        <f t="shared" si="141"/>
        <v>11.720000000000002</v>
      </c>
      <c r="AL1168" s="5">
        <f t="shared" ref="AL1168:AL1231" si="143">(T1168-W1168)/T1168</f>
        <v>0.39066666666666677</v>
      </c>
    </row>
    <row r="1169" spans="1:38" hidden="1" x14ac:dyDescent="0.2">
      <c r="A1169" s="2">
        <v>2025</v>
      </c>
      <c r="B1169" s="2">
        <v>7</v>
      </c>
      <c r="D1169" s="2" t="s">
        <v>1461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1462</v>
      </c>
      <c r="J1169" s="2" t="s">
        <v>1463</v>
      </c>
      <c r="K1169" s="2">
        <v>925788716</v>
      </c>
      <c r="L1169" s="2" t="s">
        <v>1464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2"/>
        <v>0.36923076923076914</v>
      </c>
      <c r="Z1169" s="2" t="s">
        <v>3231</v>
      </c>
      <c r="AA1169" s="2" t="s">
        <v>46</v>
      </c>
      <c r="AB1169" s="2" t="s">
        <v>61</v>
      </c>
      <c r="AC1169" s="2" t="s">
        <v>58</v>
      </c>
      <c r="AF1169" s="2">
        <f t="shared" si="139"/>
        <v>0</v>
      </c>
      <c r="AG1169" s="2">
        <v>8.1999999999999993</v>
      </c>
      <c r="AH1169" s="2">
        <v>13</v>
      </c>
      <c r="AJ1169" s="2">
        <f t="shared" si="140"/>
        <v>0</v>
      </c>
      <c r="AK1169" s="2">
        <f t="shared" si="141"/>
        <v>9.5999999999999979</v>
      </c>
      <c r="AL1169" s="5">
        <f t="shared" si="143"/>
        <v>0.36923076923076914</v>
      </c>
    </row>
    <row r="1170" spans="1:38" hidden="1" x14ac:dyDescent="0.2">
      <c r="A1170" s="2">
        <v>2025</v>
      </c>
      <c r="B1170" s="2">
        <v>7</v>
      </c>
      <c r="D1170" s="2" t="s">
        <v>1461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1462</v>
      </c>
      <c r="J1170" s="2" t="s">
        <v>1463</v>
      </c>
      <c r="K1170" s="2">
        <v>925788716</v>
      </c>
      <c r="L1170" s="2" t="s">
        <v>1464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2"/>
        <v>0.46925333333333336</v>
      </c>
      <c r="Z1170" s="2" t="s">
        <v>3231</v>
      </c>
      <c r="AA1170" s="2" t="s">
        <v>46</v>
      </c>
      <c r="AB1170" s="2" t="s">
        <v>68</v>
      </c>
      <c r="AC1170" s="2" t="s">
        <v>58</v>
      </c>
      <c r="AF1170" s="2">
        <f t="shared" si="139"/>
        <v>0</v>
      </c>
      <c r="AG1170" s="2">
        <v>7.9611999999999998</v>
      </c>
      <c r="AH1170" s="2">
        <v>14.4</v>
      </c>
      <c r="AJ1170" s="2">
        <f t="shared" si="140"/>
        <v>0</v>
      </c>
      <c r="AK1170" s="2">
        <f t="shared" si="141"/>
        <v>14.0776</v>
      </c>
      <c r="AL1170" s="5">
        <f t="shared" si="143"/>
        <v>0.46925333333333336</v>
      </c>
    </row>
    <row r="1171" spans="1:38" hidden="1" x14ac:dyDescent="0.2">
      <c r="A1171" s="2">
        <v>2025</v>
      </c>
      <c r="B1171" s="2">
        <v>7</v>
      </c>
      <c r="D1171" s="2" t="s">
        <v>1461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1462</v>
      </c>
      <c r="J1171" s="2" t="s">
        <v>1463</v>
      </c>
      <c r="K1171" s="2">
        <v>925788716</v>
      </c>
      <c r="L1171" s="2" t="s">
        <v>1464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2"/>
        <v>0.25</v>
      </c>
      <c r="Z1171" s="2" t="s">
        <v>170</v>
      </c>
      <c r="AA1171" s="2" t="s">
        <v>170</v>
      </c>
      <c r="AF1171" s="2">
        <f t="shared" si="139"/>
        <v>0</v>
      </c>
      <c r="AJ1171" s="2">
        <f t="shared" si="140"/>
        <v>0</v>
      </c>
      <c r="AK1171" s="2">
        <f t="shared" si="141"/>
        <v>10</v>
      </c>
      <c r="AL1171" s="5">
        <f t="shared" si="143"/>
        <v>0.25</v>
      </c>
    </row>
    <row r="1172" spans="1:38" hidden="1" x14ac:dyDescent="0.2">
      <c r="A1172" s="2">
        <v>2025</v>
      </c>
      <c r="B1172" s="2">
        <v>7</v>
      </c>
      <c r="D1172" s="2" t="s">
        <v>1465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1466</v>
      </c>
      <c r="J1172" s="2" t="s">
        <v>1467</v>
      </c>
      <c r="K1172" s="2">
        <v>962823313</v>
      </c>
      <c r="L1172" s="2" t="s">
        <v>601</v>
      </c>
      <c r="M1172" s="2" t="s">
        <v>41</v>
      </c>
      <c r="O1172" s="2" t="s">
        <v>1468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2"/>
        <v>0.42634408602150542</v>
      </c>
      <c r="Z1172" s="2" t="s">
        <v>3231</v>
      </c>
      <c r="AA1172" s="2" t="s">
        <v>46</v>
      </c>
      <c r="AB1172" s="2" t="s">
        <v>47</v>
      </c>
      <c r="AC1172" s="2" t="s">
        <v>48</v>
      </c>
      <c r="AF1172" s="2">
        <f t="shared" si="139"/>
        <v>0</v>
      </c>
      <c r="AG1172" s="2">
        <v>10.67</v>
      </c>
      <c r="AH1172" s="2">
        <v>21</v>
      </c>
      <c r="AJ1172" s="2">
        <f t="shared" si="140"/>
        <v>0</v>
      </c>
      <c r="AK1172" s="2">
        <f t="shared" si="141"/>
        <v>7.9300000000000015</v>
      </c>
      <c r="AL1172" s="5">
        <f t="shared" si="143"/>
        <v>0.42634408602150542</v>
      </c>
    </row>
    <row r="1173" spans="1:38" hidden="1" x14ac:dyDescent="0.2">
      <c r="A1173" s="2">
        <v>2025</v>
      </c>
      <c r="B1173" s="2">
        <v>7</v>
      </c>
      <c r="D1173" s="2" t="s">
        <v>1465</v>
      </c>
      <c r="L1173" s="2" t="s">
        <v>601</v>
      </c>
      <c r="M1173" s="2" t="s">
        <v>41</v>
      </c>
      <c r="O1173" s="2" t="s">
        <v>1468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2"/>
        <v>0.5</v>
      </c>
      <c r="Z1173" s="2" t="s">
        <v>3231</v>
      </c>
      <c r="AA1173" s="2" t="s">
        <v>46</v>
      </c>
      <c r="AB1173" s="2" t="s">
        <v>47</v>
      </c>
      <c r="AC1173" s="2" t="s">
        <v>48</v>
      </c>
      <c r="AF1173" s="2">
        <f t="shared" si="139"/>
        <v>0</v>
      </c>
      <c r="AG1173" s="2">
        <v>9.3000000000000007</v>
      </c>
      <c r="AH1173" s="2">
        <v>21</v>
      </c>
      <c r="AJ1173" s="2">
        <f t="shared" si="140"/>
        <v>0</v>
      </c>
      <c r="AK1173" s="2">
        <f t="shared" si="141"/>
        <v>9.3000000000000007</v>
      </c>
      <c r="AL1173" s="5">
        <f t="shared" si="143"/>
        <v>0.5</v>
      </c>
    </row>
    <row r="1174" spans="1:38" hidden="1" x14ac:dyDescent="0.2">
      <c r="A1174" s="2">
        <v>2025</v>
      </c>
      <c r="B1174" s="2">
        <v>7</v>
      </c>
      <c r="D1174" s="2" t="s">
        <v>1465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2"/>
        <v>0.52105128205128204</v>
      </c>
      <c r="Z1174" s="2" t="s">
        <v>3231</v>
      </c>
      <c r="AA1174" s="2" t="s">
        <v>46</v>
      </c>
      <c r="AB1174" s="2" t="s">
        <v>47</v>
      </c>
      <c r="AC1174" s="2" t="s">
        <v>48</v>
      </c>
      <c r="AF1174" s="2">
        <f t="shared" si="139"/>
        <v>0</v>
      </c>
      <c r="AG1174" s="2">
        <v>3.7357999999999998</v>
      </c>
      <c r="AH1174" s="2">
        <v>9</v>
      </c>
      <c r="AJ1174" s="2">
        <f t="shared" si="140"/>
        <v>0</v>
      </c>
      <c r="AK1174" s="2">
        <f t="shared" si="141"/>
        <v>8.1283999999999992</v>
      </c>
      <c r="AL1174" s="5">
        <f t="shared" si="143"/>
        <v>0.52105128205128204</v>
      </c>
    </row>
    <row r="1175" spans="1:38" hidden="1" x14ac:dyDescent="0.2">
      <c r="A1175" s="2">
        <v>2025</v>
      </c>
      <c r="B1175" s="2">
        <v>7</v>
      </c>
      <c r="D1175" s="2" t="s">
        <v>1465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2"/>
        <v>0.44819791666666664</v>
      </c>
      <c r="Z1175" s="2" t="s">
        <v>3231</v>
      </c>
      <c r="AA1175" s="2" t="s">
        <v>46</v>
      </c>
      <c r="AB1175" s="2" t="s">
        <v>47</v>
      </c>
      <c r="AC1175" s="2" t="s">
        <v>48</v>
      </c>
      <c r="AF1175" s="2">
        <f t="shared" si="139"/>
        <v>0</v>
      </c>
      <c r="AG1175" s="2">
        <v>5.2972999999999999</v>
      </c>
      <c r="AH1175" s="2">
        <v>10.8</v>
      </c>
      <c r="AJ1175" s="2">
        <f t="shared" si="140"/>
        <v>0</v>
      </c>
      <c r="AK1175" s="2">
        <f t="shared" si="141"/>
        <v>8.6053999999999995</v>
      </c>
      <c r="AL1175" s="5">
        <f t="shared" si="143"/>
        <v>0.44819791666666664</v>
      </c>
    </row>
    <row r="1176" spans="1:38" hidden="1" x14ac:dyDescent="0.2">
      <c r="A1176" s="2">
        <v>2025</v>
      </c>
      <c r="B1176" s="2">
        <v>7</v>
      </c>
      <c r="D1176" s="2" t="s">
        <v>1465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2"/>
        <v>1</v>
      </c>
      <c r="Z1176" s="2" t="s">
        <v>170</v>
      </c>
      <c r="AA1176" s="2" t="s">
        <v>170</v>
      </c>
      <c r="AF1176" s="2">
        <f t="shared" si="139"/>
        <v>0</v>
      </c>
      <c r="AJ1176" s="2">
        <f t="shared" si="140"/>
        <v>0</v>
      </c>
      <c r="AK1176" s="2">
        <f t="shared" si="141"/>
        <v>8</v>
      </c>
      <c r="AL1176" s="5">
        <f t="shared" si="143"/>
        <v>1</v>
      </c>
    </row>
    <row r="1177" spans="1:38" hidden="1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879</v>
      </c>
      <c r="R1177" s="2" t="s">
        <v>880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2"/>
        <v>1</v>
      </c>
      <c r="Z1177" s="2" t="s">
        <v>118</v>
      </c>
      <c r="AF1177" s="2">
        <f t="shared" si="139"/>
        <v>0</v>
      </c>
      <c r="AJ1177" s="2">
        <f t="shared" si="140"/>
        <v>0</v>
      </c>
      <c r="AK1177" s="2">
        <f t="shared" si="141"/>
        <v>800</v>
      </c>
      <c r="AL1177" s="5">
        <f t="shared" si="143"/>
        <v>1</v>
      </c>
    </row>
    <row r="1178" spans="1:38" hidden="1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2"/>
        <v>0.41111111111111115</v>
      </c>
      <c r="Z1178" s="2" t="s">
        <v>3231</v>
      </c>
      <c r="AA1178" s="2" t="s">
        <v>46</v>
      </c>
      <c r="AB1178" s="2" t="s">
        <v>57</v>
      </c>
      <c r="AC1178" s="2" t="s">
        <v>58</v>
      </c>
      <c r="AF1178" s="2">
        <f t="shared" si="139"/>
        <v>0</v>
      </c>
      <c r="AG1178" s="2">
        <v>10.6</v>
      </c>
      <c r="AH1178" s="2">
        <v>18</v>
      </c>
      <c r="AJ1178" s="2">
        <f t="shared" si="140"/>
        <v>0</v>
      </c>
      <c r="AK1178" s="2">
        <f t="shared" si="141"/>
        <v>22.200000000000003</v>
      </c>
      <c r="AL1178" s="5">
        <f t="shared" si="143"/>
        <v>0.41111111111111115</v>
      </c>
    </row>
    <row r="1179" spans="1:38" hidden="1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2"/>
        <v>0.40395634920634915</v>
      </c>
      <c r="Z1179" s="2" t="s">
        <v>3231</v>
      </c>
      <c r="AA1179" s="2" t="s">
        <v>46</v>
      </c>
      <c r="AB1179" s="2" t="s">
        <v>68</v>
      </c>
      <c r="AC1179" s="2" t="s">
        <v>58</v>
      </c>
      <c r="AF1179" s="2">
        <f t="shared" si="139"/>
        <v>0</v>
      </c>
      <c r="AG1179" s="2">
        <v>15.020300000000001</v>
      </c>
      <c r="AH1179" s="2">
        <v>27.6</v>
      </c>
      <c r="AJ1179" s="2">
        <f t="shared" si="140"/>
        <v>0</v>
      </c>
      <c r="AK1179" s="2">
        <f t="shared" si="141"/>
        <v>10.179699999999999</v>
      </c>
      <c r="AL1179" s="5">
        <f t="shared" si="143"/>
        <v>0.40395634920634915</v>
      </c>
    </row>
    <row r="1180" spans="1:38" hidden="1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2"/>
        <v>1</v>
      </c>
      <c r="Z1180" s="2" t="s">
        <v>120</v>
      </c>
      <c r="AA1180" s="2" t="s">
        <v>3385</v>
      </c>
      <c r="AF1180" s="2">
        <f t="shared" si="139"/>
        <v>0</v>
      </c>
      <c r="AJ1180" s="2">
        <f t="shared" si="140"/>
        <v>0</v>
      </c>
      <c r="AK1180" s="2">
        <f t="shared" si="141"/>
        <v>45</v>
      </c>
      <c r="AL1180" s="5">
        <f t="shared" si="143"/>
        <v>1</v>
      </c>
    </row>
    <row r="1181" spans="1:38" hidden="1" x14ac:dyDescent="0.2">
      <c r="A1181" s="2">
        <v>2025</v>
      </c>
      <c r="B1181" s="2">
        <v>7</v>
      </c>
      <c r="D1181" s="2" t="s">
        <v>1469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1470</v>
      </c>
      <c r="J1181" s="2" t="s">
        <v>1471</v>
      </c>
      <c r="L1181" s="2" t="s">
        <v>361</v>
      </c>
      <c r="M1181" s="2" t="s">
        <v>40</v>
      </c>
      <c r="O1181" s="2" t="s">
        <v>1472</v>
      </c>
      <c r="P1181" s="2" t="s">
        <v>115</v>
      </c>
      <c r="Q1181" s="2" t="s">
        <v>1473</v>
      </c>
      <c r="R1181" s="2" t="s">
        <v>1474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2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9"/>
        <v>0</v>
      </c>
      <c r="AG1181" s="2">
        <v>343.38</v>
      </c>
      <c r="AJ1181" s="2">
        <f t="shared" si="140"/>
        <v>0</v>
      </c>
      <c r="AK1181" s="2">
        <f t="shared" si="141"/>
        <v>347.23</v>
      </c>
      <c r="AL1181" s="5">
        <f t="shared" si="143"/>
        <v>0.50278739085735802</v>
      </c>
    </row>
    <row r="1182" spans="1:38" hidden="1" x14ac:dyDescent="0.2">
      <c r="A1182" s="2">
        <v>2025</v>
      </c>
      <c r="B1182" s="2">
        <v>7</v>
      </c>
      <c r="D1182" s="2" t="s">
        <v>1469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1470</v>
      </c>
      <c r="J1182" s="2" t="s">
        <v>1471</v>
      </c>
      <c r="L1182" s="2" t="s">
        <v>361</v>
      </c>
      <c r="M1182" s="2" t="s">
        <v>40</v>
      </c>
      <c r="O1182" s="2" t="s">
        <v>1472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2"/>
        <v>0.6</v>
      </c>
      <c r="Z1182" s="2" t="s">
        <v>118</v>
      </c>
      <c r="AA1182" s="2" t="s">
        <v>191</v>
      </c>
      <c r="AB1182" s="2" t="s">
        <v>190</v>
      </c>
      <c r="AC1182" s="2" t="s">
        <v>40</v>
      </c>
      <c r="AF1182" s="2">
        <f t="shared" si="139"/>
        <v>0</v>
      </c>
      <c r="AJ1182" s="2">
        <f t="shared" si="140"/>
        <v>0</v>
      </c>
      <c r="AK1182" s="2">
        <f t="shared" si="141"/>
        <v>108</v>
      </c>
      <c r="AL1182" s="5">
        <f t="shared" si="143"/>
        <v>0.6</v>
      </c>
    </row>
    <row r="1183" spans="1:38" hidden="1" x14ac:dyDescent="0.2">
      <c r="A1183" s="2">
        <v>2025</v>
      </c>
      <c r="B1183" s="2">
        <v>7</v>
      </c>
      <c r="D1183" s="2" t="s">
        <v>1469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1470</v>
      </c>
      <c r="J1183" s="2" t="s">
        <v>1471</v>
      </c>
      <c r="L1183" s="2" t="s">
        <v>361</v>
      </c>
      <c r="M1183" s="2" t="s">
        <v>40</v>
      </c>
      <c r="O1183" s="2" t="s">
        <v>1472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2"/>
        <v>0.5</v>
      </c>
      <c r="Z1183" s="2" t="s">
        <v>118</v>
      </c>
      <c r="AA1183" s="2" t="s">
        <v>191</v>
      </c>
      <c r="AB1183" s="2" t="s">
        <v>191</v>
      </c>
      <c r="AC1183" s="2" t="s">
        <v>40</v>
      </c>
      <c r="AF1183" s="2">
        <f t="shared" si="139"/>
        <v>0</v>
      </c>
      <c r="AJ1183" s="2">
        <f t="shared" si="140"/>
        <v>0</v>
      </c>
      <c r="AK1183" s="2">
        <f t="shared" si="141"/>
        <v>25</v>
      </c>
      <c r="AL1183" s="5">
        <f t="shared" si="143"/>
        <v>0.5</v>
      </c>
    </row>
    <row r="1184" spans="1:38" hidden="1" x14ac:dyDescent="0.2">
      <c r="A1184" s="2">
        <v>2025</v>
      </c>
      <c r="B1184" s="2">
        <v>7</v>
      </c>
      <c r="D1184" s="2" t="s">
        <v>1152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1475</v>
      </c>
      <c r="K1184" s="2">
        <v>938183284</v>
      </c>
      <c r="L1184" s="2" t="s">
        <v>134</v>
      </c>
      <c r="M1184" s="2" t="s">
        <v>110</v>
      </c>
      <c r="O1184" s="2" t="s">
        <v>1476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2"/>
        <v>0.44342727272727273</v>
      </c>
      <c r="Z1184" s="2" t="s">
        <v>3231</v>
      </c>
      <c r="AA1184" s="2" t="s">
        <v>76</v>
      </c>
      <c r="AB1184" s="2" t="s">
        <v>77</v>
      </c>
      <c r="AC1184" s="2" t="s">
        <v>78</v>
      </c>
      <c r="AF1184" s="2">
        <f t="shared" si="139"/>
        <v>0</v>
      </c>
      <c r="AG1184" s="2">
        <v>122.446</v>
      </c>
      <c r="AH1184" s="2">
        <v>230</v>
      </c>
      <c r="AJ1184" s="2">
        <f t="shared" si="140"/>
        <v>0</v>
      </c>
      <c r="AK1184" s="2">
        <f t="shared" si="141"/>
        <v>97.554000000000002</v>
      </c>
      <c r="AL1184" s="5">
        <f t="shared" si="143"/>
        <v>0.44342727272727273</v>
      </c>
    </row>
    <row r="1185" spans="1:38" hidden="1" x14ac:dyDescent="0.2">
      <c r="A1185" s="2">
        <v>2025</v>
      </c>
      <c r="B1185" s="2">
        <v>7</v>
      </c>
      <c r="D1185" s="2" t="s">
        <v>1152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2"/>
        <v>0</v>
      </c>
      <c r="Z1185" s="2" t="s">
        <v>3231</v>
      </c>
      <c r="AA1185" s="2" t="s">
        <v>97</v>
      </c>
      <c r="AB1185" s="2" t="s">
        <v>77</v>
      </c>
      <c r="AC1185" s="2" t="s">
        <v>94</v>
      </c>
      <c r="AF1185" s="2">
        <f t="shared" si="139"/>
        <v>0</v>
      </c>
      <c r="AJ1185" s="2">
        <f t="shared" si="140"/>
        <v>0</v>
      </c>
      <c r="AK1185" s="2">
        <f t="shared" si="141"/>
        <v>0</v>
      </c>
      <c r="AL1185" s="5">
        <f t="shared" si="143"/>
        <v>0</v>
      </c>
    </row>
    <row r="1186" spans="1:38" hidden="1" x14ac:dyDescent="0.2">
      <c r="A1186" s="2">
        <v>2025</v>
      </c>
      <c r="B1186" s="2">
        <v>7</v>
      </c>
      <c r="D1186" s="2" t="s">
        <v>1477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2"/>
        <v>0.44777500000000003</v>
      </c>
      <c r="Z1186" s="2" t="s">
        <v>3231</v>
      </c>
      <c r="AA1186" s="2" t="s">
        <v>46</v>
      </c>
      <c r="AB1186" s="2" t="s">
        <v>47</v>
      </c>
      <c r="AC1186" s="2" t="s">
        <v>48</v>
      </c>
      <c r="AF1186" s="2">
        <f t="shared" si="139"/>
        <v>0</v>
      </c>
      <c r="AG1186" s="2">
        <v>6.6266999999999996</v>
      </c>
      <c r="AH1186" s="2">
        <v>12</v>
      </c>
      <c r="AJ1186" s="2">
        <f t="shared" si="140"/>
        <v>0</v>
      </c>
      <c r="AK1186" s="2">
        <f t="shared" si="141"/>
        <v>32.239800000000002</v>
      </c>
      <c r="AL1186" s="5">
        <f t="shared" si="143"/>
        <v>0.44777500000000003</v>
      </c>
    </row>
    <row r="1187" spans="1:38" hidden="1" x14ac:dyDescent="0.2">
      <c r="A1187" s="2">
        <v>2025</v>
      </c>
      <c r="B1187" s="2">
        <v>7</v>
      </c>
      <c r="D1187" s="2" t="s">
        <v>1477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2"/>
        <v>0.52105128205128204</v>
      </c>
      <c r="Z1187" s="2" t="s">
        <v>3231</v>
      </c>
      <c r="AA1187" s="2" t="s">
        <v>46</v>
      </c>
      <c r="AB1187" s="2" t="s">
        <v>47</v>
      </c>
      <c r="AC1187" s="2" t="s">
        <v>48</v>
      </c>
      <c r="AF1187" s="2">
        <f t="shared" si="139"/>
        <v>0</v>
      </c>
      <c r="AG1187" s="2">
        <v>3.7357999999999998</v>
      </c>
      <c r="AH1187" s="2">
        <v>9</v>
      </c>
      <c r="AJ1187" s="2">
        <f t="shared" si="140"/>
        <v>0</v>
      </c>
      <c r="AK1187" s="2">
        <f t="shared" si="141"/>
        <v>4.0641999999999996</v>
      </c>
      <c r="AL1187" s="5">
        <f t="shared" si="143"/>
        <v>0.52105128205128204</v>
      </c>
    </row>
    <row r="1188" spans="1:38" hidden="1" x14ac:dyDescent="0.2">
      <c r="A1188" s="2">
        <v>2025</v>
      </c>
      <c r="B1188" s="2">
        <v>7</v>
      </c>
      <c r="D1188" s="2" t="s">
        <v>1478</v>
      </c>
      <c r="E1188" s="2" t="s">
        <v>753</v>
      </c>
      <c r="F1188" s="2" t="s">
        <v>1479</v>
      </c>
      <c r="G1188" s="2">
        <v>506123758</v>
      </c>
      <c r="H1188" s="2" t="s">
        <v>110</v>
      </c>
      <c r="I1188" s="2" t="s">
        <v>1480</v>
      </c>
      <c r="J1188" s="2" t="s">
        <v>1481</v>
      </c>
      <c r="K1188" s="2">
        <v>936406952</v>
      </c>
      <c r="L1188" s="2" t="s">
        <v>462</v>
      </c>
      <c r="M1188" s="2" t="s">
        <v>40</v>
      </c>
      <c r="O1188" s="2" t="s">
        <v>1482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2"/>
        <v>0.6</v>
      </c>
      <c r="Z1188" s="2" t="s">
        <v>118</v>
      </c>
      <c r="AA1188" s="2" t="s">
        <v>191</v>
      </c>
      <c r="AB1188" s="2" t="s">
        <v>190</v>
      </c>
      <c r="AC1188" s="2" t="s">
        <v>40</v>
      </c>
      <c r="AF1188" s="2">
        <f t="shared" si="139"/>
        <v>0</v>
      </c>
      <c r="AJ1188" s="2">
        <f t="shared" si="140"/>
        <v>0</v>
      </c>
      <c r="AK1188" s="2">
        <f t="shared" si="141"/>
        <v>111.6</v>
      </c>
      <c r="AL1188" s="5">
        <f t="shared" si="143"/>
        <v>0.6</v>
      </c>
    </row>
    <row r="1189" spans="1:38" hidden="1" x14ac:dyDescent="0.2">
      <c r="A1189" s="2">
        <v>2025</v>
      </c>
      <c r="B1189" s="2">
        <v>7</v>
      </c>
      <c r="D1189" s="2" t="s">
        <v>1478</v>
      </c>
      <c r="E1189" s="2" t="s">
        <v>753</v>
      </c>
      <c r="F1189" s="2" t="s">
        <v>1479</v>
      </c>
      <c r="G1189" s="2">
        <v>506123758</v>
      </c>
      <c r="H1189" s="2" t="s">
        <v>110</v>
      </c>
      <c r="I1189" s="2" t="s">
        <v>1480</v>
      </c>
      <c r="J1189" s="2" t="s">
        <v>1481</v>
      </c>
      <c r="K1189" s="2">
        <v>936406952</v>
      </c>
      <c r="L1189" s="2" t="s">
        <v>462</v>
      </c>
      <c r="M1189" s="2" t="s">
        <v>40</v>
      </c>
      <c r="O1189" s="2" t="s">
        <v>1482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2"/>
        <v>0.5</v>
      </c>
      <c r="Z1189" s="2" t="s">
        <v>118</v>
      </c>
      <c r="AA1189" s="2" t="s">
        <v>191</v>
      </c>
      <c r="AB1189" s="2" t="s">
        <v>191</v>
      </c>
      <c r="AC1189" s="2" t="s">
        <v>40</v>
      </c>
      <c r="AF1189" s="2">
        <f t="shared" si="139"/>
        <v>0</v>
      </c>
      <c r="AJ1189" s="2">
        <f t="shared" si="140"/>
        <v>0</v>
      </c>
      <c r="AK1189" s="2">
        <f t="shared" si="141"/>
        <v>18.75</v>
      </c>
      <c r="AL1189" s="5">
        <f t="shared" si="143"/>
        <v>0.5</v>
      </c>
    </row>
    <row r="1190" spans="1:38" hidden="1" x14ac:dyDescent="0.2">
      <c r="A1190" s="2">
        <v>2025</v>
      </c>
      <c r="B1190" s="2">
        <v>7</v>
      </c>
      <c r="D1190" s="2" t="s">
        <v>1483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2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9"/>
        <v>0</v>
      </c>
      <c r="AJ1190" s="2">
        <f t="shared" si="140"/>
        <v>0</v>
      </c>
      <c r="AK1190" s="2">
        <f t="shared" si="141"/>
        <v>5997.2699999999986</v>
      </c>
      <c r="AL1190" s="5">
        <f t="shared" si="143"/>
        <v>0.35983612803277437</v>
      </c>
    </row>
    <row r="1191" spans="1:38" hidden="1" x14ac:dyDescent="0.2">
      <c r="A1191" s="2">
        <v>2025</v>
      </c>
      <c r="B1191" s="2">
        <v>7</v>
      </c>
      <c r="D1191" s="2" t="s">
        <v>690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691</v>
      </c>
      <c r="K1191" s="2">
        <v>913036545</v>
      </c>
      <c r="L1191" s="2" t="s">
        <v>178</v>
      </c>
      <c r="M1191" s="2" t="s">
        <v>41</v>
      </c>
      <c r="O1191" s="2" t="s">
        <v>1484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2"/>
        <v>0.44777500000000003</v>
      </c>
      <c r="Z1191" s="2" t="s">
        <v>3231</v>
      </c>
      <c r="AA1191" s="2" t="s">
        <v>46</v>
      </c>
      <c r="AB1191" s="2" t="s">
        <v>47</v>
      </c>
      <c r="AC1191" s="2" t="s">
        <v>48</v>
      </c>
      <c r="AF1191" s="2">
        <f t="shared" si="139"/>
        <v>0</v>
      </c>
      <c r="AG1191" s="2">
        <v>6.6266999999999996</v>
      </c>
      <c r="AH1191" s="2">
        <v>12</v>
      </c>
      <c r="AJ1191" s="2">
        <f t="shared" si="140"/>
        <v>0</v>
      </c>
      <c r="AK1191" s="2">
        <f t="shared" si="141"/>
        <v>5.3733000000000004</v>
      </c>
      <c r="AL1191" s="5">
        <f t="shared" si="143"/>
        <v>0.44777500000000003</v>
      </c>
    </row>
    <row r="1192" spans="1:38" hidden="1" x14ac:dyDescent="0.2">
      <c r="A1192" s="2">
        <v>2025</v>
      </c>
      <c r="B1192" s="2">
        <v>7</v>
      </c>
      <c r="D1192" s="2" t="s">
        <v>690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691</v>
      </c>
      <c r="K1192" s="2">
        <v>913036545</v>
      </c>
      <c r="L1192" s="2" t="s">
        <v>178</v>
      </c>
      <c r="M1192" s="2" t="s">
        <v>41</v>
      </c>
      <c r="O1192" s="2" t="s">
        <v>1485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2"/>
        <v>0.21904761904761905</v>
      </c>
      <c r="Z1192" s="2" t="s">
        <v>3231</v>
      </c>
      <c r="AA1192" s="2" t="s">
        <v>46</v>
      </c>
      <c r="AB1192" s="2" t="s">
        <v>61</v>
      </c>
      <c r="AC1192" s="2" t="s">
        <v>58</v>
      </c>
      <c r="AF1192" s="2">
        <f t="shared" si="139"/>
        <v>0</v>
      </c>
      <c r="AG1192" s="2">
        <v>8.1999999999999993</v>
      </c>
      <c r="AH1192" s="2">
        <v>13</v>
      </c>
      <c r="AJ1192" s="2">
        <f t="shared" si="140"/>
        <v>0</v>
      </c>
      <c r="AK1192" s="2">
        <f t="shared" si="141"/>
        <v>46</v>
      </c>
      <c r="AL1192" s="5">
        <f t="shared" si="143"/>
        <v>0.21904761904761905</v>
      </c>
    </row>
    <row r="1193" spans="1:38" hidden="1" x14ac:dyDescent="0.2">
      <c r="A1193" s="2">
        <v>2025</v>
      </c>
      <c r="B1193" s="2">
        <v>7</v>
      </c>
      <c r="D1193" s="2" t="s">
        <v>690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691</v>
      </c>
      <c r="K1193" s="2">
        <v>913036545</v>
      </c>
      <c r="L1193" s="2" t="s">
        <v>178</v>
      </c>
      <c r="M1193" s="2" t="s">
        <v>41</v>
      </c>
      <c r="O1193" s="2" t="s">
        <v>1484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2"/>
        <v>0.51</v>
      </c>
      <c r="Z1193" s="2" t="s">
        <v>3231</v>
      </c>
      <c r="AA1193" s="2" t="s">
        <v>88</v>
      </c>
      <c r="AB1193" s="2" t="s">
        <v>91</v>
      </c>
      <c r="AC1193" s="2" t="s">
        <v>85</v>
      </c>
      <c r="AF1193" s="2">
        <f t="shared" si="139"/>
        <v>0</v>
      </c>
      <c r="AJ1193" s="2">
        <f t="shared" si="140"/>
        <v>0</v>
      </c>
      <c r="AK1193" s="2">
        <f t="shared" si="141"/>
        <v>3.06</v>
      </c>
      <c r="AL1193" s="5">
        <f t="shared" si="143"/>
        <v>0.51</v>
      </c>
    </row>
    <row r="1194" spans="1:38" hidden="1" x14ac:dyDescent="0.2">
      <c r="A1194" s="2">
        <v>2025</v>
      </c>
      <c r="B1194" s="2">
        <v>7</v>
      </c>
      <c r="D1194" s="2" t="s">
        <v>690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691</v>
      </c>
      <c r="K1194" s="2">
        <v>913036545</v>
      </c>
      <c r="L1194" s="2" t="s">
        <v>178</v>
      </c>
      <c r="M1194" s="2" t="s">
        <v>41</v>
      </c>
      <c r="O1194" s="2" t="s">
        <v>1484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2"/>
        <v>1</v>
      </c>
      <c r="Z1194" s="2" t="s">
        <v>3231</v>
      </c>
      <c r="AA1194" s="2" t="s">
        <v>88</v>
      </c>
      <c r="AB1194" s="2" t="s">
        <v>91</v>
      </c>
      <c r="AC1194" s="2" t="s">
        <v>85</v>
      </c>
      <c r="AF1194" s="2">
        <f t="shared" si="139"/>
        <v>0</v>
      </c>
      <c r="AJ1194" s="2">
        <f t="shared" si="140"/>
        <v>0</v>
      </c>
      <c r="AK1194" s="2">
        <f t="shared" si="141"/>
        <v>6</v>
      </c>
      <c r="AL1194" s="5">
        <f t="shared" si="143"/>
        <v>1</v>
      </c>
    </row>
    <row r="1195" spans="1:38" hidden="1" x14ac:dyDescent="0.2">
      <c r="A1195" s="2">
        <v>2025</v>
      </c>
      <c r="B1195" s="2">
        <v>7</v>
      </c>
      <c r="D1195" s="2" t="s">
        <v>1486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9"/>
        <v>0</v>
      </c>
      <c r="AJ1195" s="2">
        <f t="shared" si="140"/>
        <v>0</v>
      </c>
    </row>
    <row r="1196" spans="1:38" hidden="1" x14ac:dyDescent="0.2">
      <c r="A1196" s="2">
        <v>2025</v>
      </c>
      <c r="B1196" s="2">
        <v>7</v>
      </c>
      <c r="D1196" s="2" t="s">
        <v>1487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4">(T1196-W1196)/T1196</f>
        <v>0.25</v>
      </c>
      <c r="Z1196" s="2" t="s">
        <v>3231</v>
      </c>
      <c r="AA1196" s="2" t="s">
        <v>72</v>
      </c>
      <c r="AB1196" s="2" t="s">
        <v>120</v>
      </c>
      <c r="AC1196" s="2" t="s">
        <v>120</v>
      </c>
      <c r="AF1196" s="2">
        <f t="shared" si="139"/>
        <v>0</v>
      </c>
      <c r="AJ1196" s="2">
        <f t="shared" si="140"/>
        <v>0</v>
      </c>
      <c r="AK1196" s="2">
        <f t="shared" si="141"/>
        <v>99.75</v>
      </c>
      <c r="AL1196" s="5">
        <f t="shared" si="143"/>
        <v>0.25</v>
      </c>
    </row>
    <row r="1197" spans="1:38" hidden="1" x14ac:dyDescent="0.2">
      <c r="A1197" s="2">
        <v>2025</v>
      </c>
      <c r="B1197" s="2">
        <v>7</v>
      </c>
      <c r="D1197" s="2" t="s">
        <v>1346</v>
      </c>
      <c r="P1197" s="2" t="s">
        <v>73</v>
      </c>
      <c r="Q1197" s="2" t="s">
        <v>914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4"/>
        <v>0.44554545454545452</v>
      </c>
      <c r="Z1197" s="2" t="s">
        <v>3231</v>
      </c>
      <c r="AA1197" s="2" t="s">
        <v>76</v>
      </c>
      <c r="AB1197" s="2" t="s">
        <v>77</v>
      </c>
      <c r="AC1197" s="2" t="s">
        <v>78</v>
      </c>
      <c r="AF1197" s="2">
        <f t="shared" si="139"/>
        <v>0</v>
      </c>
      <c r="AJ1197" s="2">
        <f t="shared" si="140"/>
        <v>0</v>
      </c>
      <c r="AK1197" s="2">
        <f t="shared" si="141"/>
        <v>98.02</v>
      </c>
      <c r="AL1197" s="5">
        <f t="shared" si="143"/>
        <v>0.44554545454545452</v>
      </c>
    </row>
    <row r="1198" spans="1:38" hidden="1" x14ac:dyDescent="0.2">
      <c r="A1198" s="2">
        <v>2025</v>
      </c>
      <c r="B1198" s="2">
        <v>7</v>
      </c>
      <c r="D1198" s="2" t="s">
        <v>1346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4"/>
        <v>0</v>
      </c>
      <c r="Z1198" s="2" t="s">
        <v>3231</v>
      </c>
      <c r="AA1198" s="2" t="s">
        <v>97</v>
      </c>
      <c r="AB1198" s="2" t="s">
        <v>77</v>
      </c>
      <c r="AC1198" s="2" t="s">
        <v>94</v>
      </c>
      <c r="AF1198" s="2">
        <f t="shared" si="139"/>
        <v>0</v>
      </c>
      <c r="AJ1198" s="2">
        <f t="shared" si="140"/>
        <v>0</v>
      </c>
      <c r="AK1198" s="2">
        <f t="shared" si="141"/>
        <v>0</v>
      </c>
      <c r="AL1198" s="5">
        <f t="shared" si="143"/>
        <v>0</v>
      </c>
    </row>
    <row r="1199" spans="1:38" hidden="1" x14ac:dyDescent="0.2">
      <c r="A1199" s="2">
        <v>2025</v>
      </c>
      <c r="B1199" s="2">
        <v>7</v>
      </c>
      <c r="D1199" s="2" t="s">
        <v>694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695</v>
      </c>
      <c r="J1199" s="2" t="s">
        <v>696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4"/>
        <v>0.52105128205128204</v>
      </c>
      <c r="Z1199" s="2" t="s">
        <v>3231</v>
      </c>
      <c r="AA1199" s="2" t="s">
        <v>46</v>
      </c>
      <c r="AB1199" s="2" t="s">
        <v>47</v>
      </c>
      <c r="AC1199" s="2" t="s">
        <v>48</v>
      </c>
      <c r="AF1199" s="2">
        <f t="shared" si="139"/>
        <v>0</v>
      </c>
      <c r="AG1199" s="2">
        <v>3.7357999999999998</v>
      </c>
      <c r="AH1199" s="2">
        <v>9</v>
      </c>
      <c r="AJ1199" s="2">
        <f t="shared" si="140"/>
        <v>0</v>
      </c>
      <c r="AK1199" s="2">
        <f t="shared" si="141"/>
        <v>4.0641999999999996</v>
      </c>
      <c r="AL1199" s="5">
        <f t="shared" si="143"/>
        <v>0.52105128205128204</v>
      </c>
    </row>
    <row r="1200" spans="1:38" hidden="1" x14ac:dyDescent="0.2">
      <c r="A1200" s="2">
        <v>2025</v>
      </c>
      <c r="B1200" s="2">
        <v>7</v>
      </c>
      <c r="D1200" s="2" t="s">
        <v>694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695</v>
      </c>
      <c r="J1200" s="2" t="s">
        <v>696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4"/>
        <v>0.50777499999999998</v>
      </c>
      <c r="Z1200" s="2" t="s">
        <v>3231</v>
      </c>
      <c r="AA1200" s="2" t="s">
        <v>46</v>
      </c>
      <c r="AB1200" s="2" t="s">
        <v>57</v>
      </c>
      <c r="AC1200" s="2" t="s">
        <v>58</v>
      </c>
      <c r="AF1200" s="2">
        <f t="shared" si="139"/>
        <v>0</v>
      </c>
      <c r="AG1200" s="2">
        <v>5.9066999999999998</v>
      </c>
      <c r="AH1200" s="2">
        <v>12.6</v>
      </c>
      <c r="AJ1200" s="2">
        <f t="shared" si="140"/>
        <v>0</v>
      </c>
      <c r="AK1200" s="2">
        <f t="shared" si="141"/>
        <v>6.0933000000000002</v>
      </c>
      <c r="AL1200" s="5">
        <f t="shared" si="143"/>
        <v>0.50777499999999998</v>
      </c>
    </row>
    <row r="1201" spans="1:38" hidden="1" x14ac:dyDescent="0.2">
      <c r="A1201" s="2">
        <v>2025</v>
      </c>
      <c r="B1201" s="2">
        <v>7</v>
      </c>
      <c r="D1201" s="2" t="s">
        <v>694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695</v>
      </c>
      <c r="J1201" s="2" t="s">
        <v>696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4"/>
        <v>0.45290151515151511</v>
      </c>
      <c r="Z1201" s="2" t="s">
        <v>3231</v>
      </c>
      <c r="AA1201" s="2" t="s">
        <v>46</v>
      </c>
      <c r="AB1201" s="2" t="s">
        <v>57</v>
      </c>
      <c r="AC1201" s="2" t="s">
        <v>58</v>
      </c>
      <c r="AF1201" s="2">
        <f t="shared" si="139"/>
        <v>0</v>
      </c>
      <c r="AG1201" s="2">
        <v>7.2217000000000002</v>
      </c>
      <c r="AH1201" s="2">
        <v>14.4</v>
      </c>
      <c r="AJ1201" s="2">
        <f t="shared" si="140"/>
        <v>0</v>
      </c>
      <c r="AK1201" s="2">
        <f t="shared" si="141"/>
        <v>5.9782999999999991</v>
      </c>
      <c r="AL1201" s="5">
        <f t="shared" si="143"/>
        <v>0.45290151515151511</v>
      </c>
    </row>
    <row r="1202" spans="1:38" hidden="1" x14ac:dyDescent="0.2">
      <c r="A1202" s="2">
        <v>2025</v>
      </c>
      <c r="B1202" s="2">
        <v>7</v>
      </c>
      <c r="D1202" s="2" t="s">
        <v>694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695</v>
      </c>
      <c r="J1202" s="2" t="s">
        <v>696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44"/>
        <v>0.43981481481481483</v>
      </c>
      <c r="Z1202" s="2" t="s">
        <v>3231</v>
      </c>
      <c r="AA1202" s="2" t="s">
        <v>46</v>
      </c>
      <c r="AB1202" s="2" t="s">
        <v>57</v>
      </c>
      <c r="AC1202" s="2" t="s">
        <v>58</v>
      </c>
      <c r="AF1202" s="2">
        <f t="shared" si="139"/>
        <v>0</v>
      </c>
      <c r="AJ1202" s="2">
        <f t="shared" si="140"/>
        <v>0</v>
      </c>
      <c r="AK1202" s="2">
        <f t="shared" si="141"/>
        <v>7.125</v>
      </c>
      <c r="AL1202" s="5">
        <f t="shared" si="143"/>
        <v>0.43981481481481483</v>
      </c>
    </row>
    <row r="1203" spans="1:38" hidden="1" x14ac:dyDescent="0.2">
      <c r="A1203" s="2">
        <v>2025</v>
      </c>
      <c r="B1203" s="2">
        <v>7</v>
      </c>
      <c r="D1203" s="2" t="s">
        <v>694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695</v>
      </c>
      <c r="J1203" s="2" t="s">
        <v>696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4"/>
        <v>0.41111111111111115</v>
      </c>
      <c r="Z1203" s="2" t="s">
        <v>3231</v>
      </c>
      <c r="AA1203" s="2" t="s">
        <v>46</v>
      </c>
      <c r="AB1203" s="2" t="s">
        <v>57</v>
      </c>
      <c r="AC1203" s="2" t="s">
        <v>58</v>
      </c>
      <c r="AF1203" s="2">
        <f t="shared" si="139"/>
        <v>0</v>
      </c>
      <c r="AG1203" s="2">
        <v>10.6</v>
      </c>
      <c r="AH1203" s="2">
        <v>18</v>
      </c>
      <c r="AJ1203" s="2">
        <f t="shared" si="140"/>
        <v>0</v>
      </c>
      <c r="AK1203" s="2">
        <f t="shared" si="141"/>
        <v>14.8</v>
      </c>
      <c r="AL1203" s="5">
        <f t="shared" si="143"/>
        <v>0.41111111111111115</v>
      </c>
    </row>
    <row r="1204" spans="1:38" hidden="1" x14ac:dyDescent="0.2">
      <c r="A1204" s="2">
        <v>2025</v>
      </c>
      <c r="B1204" s="2">
        <v>7</v>
      </c>
      <c r="D1204" s="2" t="s">
        <v>694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695</v>
      </c>
      <c r="J1204" s="2" t="s">
        <v>696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4"/>
        <v>0.36923076923076914</v>
      </c>
      <c r="Z1204" s="2" t="s">
        <v>3231</v>
      </c>
      <c r="AA1204" s="2" t="s">
        <v>46</v>
      </c>
      <c r="AB1204" s="2" t="s">
        <v>61</v>
      </c>
      <c r="AC1204" s="2" t="s">
        <v>58</v>
      </c>
      <c r="AF1204" s="2">
        <f t="shared" si="139"/>
        <v>0</v>
      </c>
      <c r="AG1204" s="2">
        <v>8.1999999999999993</v>
      </c>
      <c r="AH1204" s="2">
        <v>13</v>
      </c>
      <c r="AJ1204" s="2">
        <f t="shared" si="140"/>
        <v>0</v>
      </c>
      <c r="AK1204" s="2">
        <f t="shared" si="141"/>
        <v>9.5999999999999979</v>
      </c>
      <c r="AL1204" s="5">
        <f t="shared" si="143"/>
        <v>0.36923076923076914</v>
      </c>
    </row>
    <row r="1205" spans="1:38" hidden="1" x14ac:dyDescent="0.2">
      <c r="A1205" s="2">
        <v>2025</v>
      </c>
      <c r="B1205" s="2">
        <v>7</v>
      </c>
      <c r="D1205" s="2" t="s">
        <v>1488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4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9"/>
        <v>0</v>
      </c>
      <c r="AJ1205" s="2">
        <f t="shared" si="140"/>
        <v>0</v>
      </c>
      <c r="AK1205" s="2">
        <f t="shared" si="141"/>
        <v>22.027999999999999</v>
      </c>
      <c r="AL1205" s="5">
        <f t="shared" si="143"/>
        <v>0.48875083203905034</v>
      </c>
    </row>
    <row r="1206" spans="1:38" hidden="1" x14ac:dyDescent="0.2">
      <c r="A1206" s="2">
        <v>2025</v>
      </c>
      <c r="B1206" s="2">
        <v>7</v>
      </c>
      <c r="D1206" s="2" t="s">
        <v>1488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4"/>
        <v>0.36923076923076914</v>
      </c>
      <c r="Z1206" s="2" t="s">
        <v>3231</v>
      </c>
      <c r="AA1206" s="2" t="s">
        <v>46</v>
      </c>
      <c r="AB1206" s="2" t="s">
        <v>61</v>
      </c>
      <c r="AC1206" s="2" t="s">
        <v>58</v>
      </c>
      <c r="AF1206" s="2">
        <f t="shared" si="139"/>
        <v>0</v>
      </c>
      <c r="AG1206" s="2">
        <v>8.1999999999999993</v>
      </c>
      <c r="AH1206" s="2">
        <v>13</v>
      </c>
      <c r="AJ1206" s="2">
        <f t="shared" si="140"/>
        <v>0</v>
      </c>
      <c r="AK1206" s="2">
        <f t="shared" si="141"/>
        <v>9.5999999999999979</v>
      </c>
      <c r="AL1206" s="5">
        <f t="shared" si="143"/>
        <v>0.36923076923076914</v>
      </c>
    </row>
    <row r="1207" spans="1:38" hidden="1" x14ac:dyDescent="0.2">
      <c r="A1207" s="2">
        <v>2025</v>
      </c>
      <c r="B1207" s="2">
        <v>7</v>
      </c>
      <c r="D1207" s="2" t="s">
        <v>1180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1181</v>
      </c>
      <c r="J1207" s="2" t="s">
        <v>1182</v>
      </c>
      <c r="L1207" s="2" t="s">
        <v>462</v>
      </c>
      <c r="M1207" s="2" t="s">
        <v>41</v>
      </c>
      <c r="O1207" s="2" t="s">
        <v>1489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4"/>
        <v>0.45290151515151511</v>
      </c>
      <c r="Z1207" s="2" t="s">
        <v>3231</v>
      </c>
      <c r="AA1207" s="2" t="s">
        <v>46</v>
      </c>
      <c r="AB1207" s="2" t="s">
        <v>57</v>
      </c>
      <c r="AC1207" s="2" t="s">
        <v>58</v>
      </c>
      <c r="AF1207" s="2">
        <f t="shared" si="139"/>
        <v>0</v>
      </c>
      <c r="AG1207" s="2">
        <v>7.2217000000000002</v>
      </c>
      <c r="AH1207" s="2">
        <v>14.4</v>
      </c>
      <c r="AJ1207" s="2">
        <f t="shared" si="140"/>
        <v>0</v>
      </c>
      <c r="AK1207" s="2">
        <f t="shared" si="141"/>
        <v>5.9782999999999991</v>
      </c>
      <c r="AL1207" s="5">
        <f t="shared" si="143"/>
        <v>0.45290151515151511</v>
      </c>
    </row>
    <row r="1208" spans="1:38" hidden="1" x14ac:dyDescent="0.2">
      <c r="A1208" s="2">
        <v>2025</v>
      </c>
      <c r="B1208" s="2">
        <v>7</v>
      </c>
      <c r="D1208" s="2" t="s">
        <v>1180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1181</v>
      </c>
      <c r="J1208" s="2" t="s">
        <v>1182</v>
      </c>
      <c r="L1208" s="2" t="s">
        <v>462</v>
      </c>
      <c r="M1208" s="2" t="s">
        <v>41</v>
      </c>
      <c r="O1208" s="2" t="s">
        <v>1489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4"/>
        <v>1</v>
      </c>
      <c r="Z1208" s="2" t="s">
        <v>3231</v>
      </c>
      <c r="AA1208" s="2" t="s">
        <v>46</v>
      </c>
      <c r="AB1208" s="2" t="s">
        <v>57</v>
      </c>
      <c r="AC1208" s="2" t="s">
        <v>58</v>
      </c>
      <c r="AF1208" s="2">
        <f t="shared" si="139"/>
        <v>0</v>
      </c>
      <c r="AJ1208" s="2">
        <f t="shared" si="140"/>
        <v>0</v>
      </c>
      <c r="AK1208" s="2">
        <f t="shared" si="141"/>
        <v>24</v>
      </c>
      <c r="AL1208" s="5">
        <f t="shared" si="143"/>
        <v>1</v>
      </c>
    </row>
    <row r="1209" spans="1:38" hidden="1" x14ac:dyDescent="0.2">
      <c r="A1209" s="2">
        <v>2025</v>
      </c>
      <c r="B1209" s="2">
        <v>7</v>
      </c>
      <c r="D1209" s="2" t="s">
        <v>1180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1181</v>
      </c>
      <c r="J1209" s="2" t="s">
        <v>1182</v>
      </c>
      <c r="L1209" s="2" t="s">
        <v>462</v>
      </c>
      <c r="M1209" s="2" t="s">
        <v>41</v>
      </c>
      <c r="O1209" s="2" t="s">
        <v>1489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4"/>
        <v>1</v>
      </c>
      <c r="Z1209" s="2" t="s">
        <v>3231</v>
      </c>
      <c r="AA1209" s="2" t="s">
        <v>46</v>
      </c>
      <c r="AB1209" s="2" t="s">
        <v>57</v>
      </c>
      <c r="AC1209" s="2" t="s">
        <v>58</v>
      </c>
      <c r="AF1209" s="2">
        <f t="shared" si="139"/>
        <v>0</v>
      </c>
      <c r="AJ1209" s="2">
        <f t="shared" si="140"/>
        <v>0</v>
      </c>
      <c r="AK1209" s="2">
        <f t="shared" si="141"/>
        <v>28.8</v>
      </c>
      <c r="AL1209" s="5">
        <f t="shared" si="143"/>
        <v>1</v>
      </c>
    </row>
    <row r="1210" spans="1:38" hidden="1" x14ac:dyDescent="0.2">
      <c r="A1210" s="2">
        <v>2025</v>
      </c>
      <c r="B1210" s="2">
        <v>7</v>
      </c>
      <c r="D1210" s="2" t="s">
        <v>1180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1181</v>
      </c>
      <c r="J1210" s="2" t="s">
        <v>1182</v>
      </c>
      <c r="L1210" s="2" t="s">
        <v>462</v>
      </c>
      <c r="M1210" s="2" t="s">
        <v>41</v>
      </c>
      <c r="O1210" s="2" t="s">
        <v>1489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4"/>
        <v>1</v>
      </c>
      <c r="Z1210" s="2" t="s">
        <v>3231</v>
      </c>
      <c r="AA1210" s="2" t="s">
        <v>46</v>
      </c>
      <c r="AB1210" s="2" t="s">
        <v>57</v>
      </c>
      <c r="AC1210" s="2" t="s">
        <v>58</v>
      </c>
      <c r="AF1210" s="2">
        <f t="shared" si="139"/>
        <v>0</v>
      </c>
      <c r="AJ1210" s="2">
        <f t="shared" si="140"/>
        <v>0</v>
      </c>
      <c r="AK1210" s="2">
        <f t="shared" si="141"/>
        <v>16.8</v>
      </c>
      <c r="AL1210" s="5">
        <f t="shared" si="143"/>
        <v>1</v>
      </c>
    </row>
    <row r="1211" spans="1:38" hidden="1" x14ac:dyDescent="0.2">
      <c r="A1211" s="2">
        <v>2025</v>
      </c>
      <c r="B1211" s="2">
        <v>7</v>
      </c>
      <c r="D1211" s="2" t="s">
        <v>1180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1181</v>
      </c>
      <c r="J1211" s="2" t="s">
        <v>1182</v>
      </c>
      <c r="L1211" s="2" t="s">
        <v>462</v>
      </c>
      <c r="M1211" s="2" t="s">
        <v>41</v>
      </c>
      <c r="O1211" s="2" t="s">
        <v>1489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4"/>
        <v>1</v>
      </c>
      <c r="Z1211" s="2" t="s">
        <v>3231</v>
      </c>
      <c r="AA1211" s="2" t="s">
        <v>46</v>
      </c>
      <c r="AB1211" s="2" t="s">
        <v>57</v>
      </c>
      <c r="AC1211" s="2" t="s">
        <v>58</v>
      </c>
      <c r="AF1211" s="2">
        <f t="shared" si="139"/>
        <v>0</v>
      </c>
      <c r="AJ1211" s="2">
        <f t="shared" si="140"/>
        <v>0</v>
      </c>
      <c r="AK1211" s="2">
        <f t="shared" si="141"/>
        <v>19.2</v>
      </c>
      <c r="AL1211" s="5">
        <f t="shared" si="143"/>
        <v>1</v>
      </c>
    </row>
    <row r="1212" spans="1:38" hidden="1" x14ac:dyDescent="0.2">
      <c r="A1212" s="2">
        <v>2025</v>
      </c>
      <c r="B1212" s="2">
        <v>7</v>
      </c>
      <c r="D1212" s="2" t="s">
        <v>1180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1181</v>
      </c>
      <c r="J1212" s="2" t="s">
        <v>1182</v>
      </c>
      <c r="L1212" s="2" t="s">
        <v>462</v>
      </c>
      <c r="M1212" s="2" t="s">
        <v>41</v>
      </c>
      <c r="O1212" s="2" t="s">
        <v>1489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4"/>
        <v>1</v>
      </c>
      <c r="Z1212" s="2" t="s">
        <v>3231</v>
      </c>
      <c r="AA1212" s="2" t="s">
        <v>46</v>
      </c>
      <c r="AB1212" s="2" t="s">
        <v>57</v>
      </c>
      <c r="AC1212" s="2" t="s">
        <v>58</v>
      </c>
      <c r="AF1212" s="2">
        <f t="shared" si="139"/>
        <v>0</v>
      </c>
      <c r="AJ1212" s="2">
        <f t="shared" si="140"/>
        <v>0</v>
      </c>
      <c r="AK1212" s="2">
        <f t="shared" si="141"/>
        <v>22.2</v>
      </c>
      <c r="AL1212" s="5">
        <f t="shared" si="143"/>
        <v>1</v>
      </c>
    </row>
    <row r="1213" spans="1:38" hidden="1" x14ac:dyDescent="0.2">
      <c r="A1213" s="2">
        <v>2025</v>
      </c>
      <c r="B1213" s="2">
        <v>7</v>
      </c>
      <c r="D1213" s="2" t="s">
        <v>1180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1181</v>
      </c>
      <c r="J1213" s="2" t="s">
        <v>1182</v>
      </c>
      <c r="L1213" s="2" t="s">
        <v>462</v>
      </c>
      <c r="M1213" s="2" t="s">
        <v>41</v>
      </c>
      <c r="O1213" s="2" t="s">
        <v>1489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4"/>
        <v>0.41111111111111115</v>
      </c>
      <c r="Z1213" s="2" t="s">
        <v>3231</v>
      </c>
      <c r="AA1213" s="2" t="s">
        <v>46</v>
      </c>
      <c r="AB1213" s="2" t="s">
        <v>57</v>
      </c>
      <c r="AC1213" s="2" t="s">
        <v>58</v>
      </c>
      <c r="AF1213" s="2">
        <f t="shared" si="139"/>
        <v>0</v>
      </c>
      <c r="AG1213" s="2">
        <v>10.6</v>
      </c>
      <c r="AH1213" s="2">
        <v>18</v>
      </c>
      <c r="AJ1213" s="2">
        <f t="shared" si="140"/>
        <v>0</v>
      </c>
      <c r="AK1213" s="2">
        <f t="shared" si="141"/>
        <v>14.8</v>
      </c>
      <c r="AL1213" s="5">
        <f t="shared" si="143"/>
        <v>0.41111111111111115</v>
      </c>
    </row>
    <row r="1214" spans="1:38" hidden="1" x14ac:dyDescent="0.2">
      <c r="A1214" s="2">
        <v>2025</v>
      </c>
      <c r="B1214" s="2">
        <v>7</v>
      </c>
      <c r="D1214" s="2" t="s">
        <v>1180</v>
      </c>
      <c r="E1214" s="2" t="s">
        <v>38</v>
      </c>
      <c r="G1214" s="2">
        <v>502089075</v>
      </c>
      <c r="H1214" s="2" t="s">
        <v>41</v>
      </c>
      <c r="I1214" s="2" t="s">
        <v>1181</v>
      </c>
      <c r="J1214" s="2" t="s">
        <v>1182</v>
      </c>
      <c r="L1214" s="2" t="s">
        <v>462</v>
      </c>
      <c r="M1214" s="2" t="s">
        <v>41</v>
      </c>
      <c r="O1214" s="2" t="s">
        <v>1490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4"/>
        <v>0.44342727272727273</v>
      </c>
      <c r="Z1214" s="2" t="s">
        <v>3231</v>
      </c>
      <c r="AA1214" s="2" t="s">
        <v>76</v>
      </c>
      <c r="AB1214" s="2" t="s">
        <v>77</v>
      </c>
      <c r="AC1214" s="2" t="s">
        <v>78</v>
      </c>
      <c r="AF1214" s="2">
        <f t="shared" si="139"/>
        <v>0</v>
      </c>
      <c r="AG1214" s="2">
        <v>122.446</v>
      </c>
      <c r="AH1214" s="2">
        <v>230</v>
      </c>
      <c r="AJ1214" s="2">
        <f t="shared" si="140"/>
        <v>0</v>
      </c>
      <c r="AK1214" s="2">
        <f t="shared" si="141"/>
        <v>97.554000000000002</v>
      </c>
      <c r="AL1214" s="5">
        <f t="shared" si="143"/>
        <v>0.44342727272727273</v>
      </c>
    </row>
    <row r="1215" spans="1:38" hidden="1" x14ac:dyDescent="0.2">
      <c r="A1215" s="2">
        <v>2025</v>
      </c>
      <c r="B1215" s="2">
        <v>7</v>
      </c>
      <c r="D1215" s="2" t="s">
        <v>1180</v>
      </c>
      <c r="E1215" s="2" t="s">
        <v>38</v>
      </c>
      <c r="G1215" s="2">
        <v>502089075</v>
      </c>
      <c r="H1215" s="2" t="s">
        <v>41</v>
      </c>
      <c r="I1215" s="2" t="s">
        <v>1181</v>
      </c>
      <c r="J1215" s="2" t="s">
        <v>1182</v>
      </c>
      <c r="L1215" s="2" t="s">
        <v>462</v>
      </c>
      <c r="M1215" s="2" t="s">
        <v>41</v>
      </c>
      <c r="O1215" s="2" t="s">
        <v>1490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4"/>
        <v>0</v>
      </c>
      <c r="Z1215" s="2" t="s">
        <v>3231</v>
      </c>
      <c r="AA1215" s="2" t="s">
        <v>97</v>
      </c>
      <c r="AB1215" s="2" t="s">
        <v>77</v>
      </c>
      <c r="AC1215" s="2" t="s">
        <v>94</v>
      </c>
      <c r="AF1215" s="2">
        <f t="shared" si="139"/>
        <v>0</v>
      </c>
      <c r="AJ1215" s="2">
        <f t="shared" si="140"/>
        <v>0</v>
      </c>
      <c r="AK1215" s="2">
        <f t="shared" si="141"/>
        <v>0</v>
      </c>
      <c r="AL1215" s="5">
        <f t="shared" si="143"/>
        <v>0</v>
      </c>
    </row>
    <row r="1216" spans="1:38" hidden="1" x14ac:dyDescent="0.2">
      <c r="A1216" s="2">
        <v>2025</v>
      </c>
      <c r="B1216" s="2">
        <v>7</v>
      </c>
      <c r="C1216" s="2" t="s">
        <v>3419</v>
      </c>
      <c r="D1216" s="2" t="s">
        <v>1491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1397</v>
      </c>
      <c r="R1216" s="2" t="s">
        <v>1398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4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3235</v>
      </c>
      <c r="AF1216" s="2">
        <f t="shared" si="139"/>
        <v>0</v>
      </c>
      <c r="AJ1216" s="2">
        <f t="shared" si="140"/>
        <v>0</v>
      </c>
      <c r="AK1216" s="2">
        <f t="shared" si="141"/>
        <v>401</v>
      </c>
      <c r="AL1216" s="5">
        <f t="shared" si="143"/>
        <v>0.22277777777777777</v>
      </c>
    </row>
    <row r="1217" spans="1:38" hidden="1" x14ac:dyDescent="0.2">
      <c r="A1217" s="2">
        <v>2025</v>
      </c>
      <c r="B1217" s="2">
        <v>7</v>
      </c>
      <c r="D1217" s="2" t="s">
        <v>1492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1493</v>
      </c>
      <c r="L1217" s="2" t="s">
        <v>340</v>
      </c>
      <c r="M1217" s="2" t="s">
        <v>40</v>
      </c>
      <c r="P1217" s="2" t="s">
        <v>115</v>
      </c>
      <c r="Q1217" s="16" t="s">
        <v>710</v>
      </c>
      <c r="R1217" s="2" t="s">
        <v>711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105</v>
      </c>
      <c r="AA1217" s="2" t="s">
        <v>579</v>
      </c>
      <c r="AB1217" s="2" t="s">
        <v>702</v>
      </c>
      <c r="AC1217" s="2" t="s">
        <v>115</v>
      </c>
      <c r="AF1217" s="2">
        <f t="shared" si="139"/>
        <v>0</v>
      </c>
      <c r="AJ1217" s="2">
        <f t="shared" si="140"/>
        <v>0</v>
      </c>
      <c r="AK1217" s="2">
        <v>0</v>
      </c>
      <c r="AL1217" s="5">
        <v>0</v>
      </c>
    </row>
    <row r="1218" spans="1:38" hidden="1" x14ac:dyDescent="0.2">
      <c r="A1218" s="2">
        <v>2025</v>
      </c>
      <c r="B1218" s="2">
        <v>7</v>
      </c>
      <c r="D1218" s="2" t="s">
        <v>1492</v>
      </c>
      <c r="P1218" s="2" t="s">
        <v>115</v>
      </c>
      <c r="Q1218" s="2" t="s">
        <v>1494</v>
      </c>
      <c r="R1218" s="2" t="s">
        <v>1495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 t="shared" ref="X1218:X1258" si="145">(T1218-W1218)/T1218</f>
        <v>0.32694751381215476</v>
      </c>
      <c r="Z1218" s="2" t="s">
        <v>105</v>
      </c>
      <c r="AA1218" s="2" t="s">
        <v>617</v>
      </c>
      <c r="AB1218" s="2" t="s">
        <v>152</v>
      </c>
      <c r="AC1218" s="2" t="s">
        <v>115</v>
      </c>
      <c r="AF1218" s="2">
        <f t="shared" si="139"/>
        <v>0</v>
      </c>
      <c r="AJ1218" s="2">
        <f t="shared" si="140"/>
        <v>0</v>
      </c>
      <c r="AK1218" s="2">
        <f t="shared" si="141"/>
        <v>2367.1000000000004</v>
      </c>
      <c r="AL1218" s="5">
        <f t="shared" si="143"/>
        <v>0.32694751381215476</v>
      </c>
    </row>
    <row r="1219" spans="1:38" hidden="1" x14ac:dyDescent="0.2">
      <c r="A1219" s="2">
        <v>2025</v>
      </c>
      <c r="B1219" s="2">
        <v>7</v>
      </c>
      <c r="D1219" s="2" t="s">
        <v>1492</v>
      </c>
      <c r="P1219" s="2" t="s">
        <v>115</v>
      </c>
      <c r="Q1219" s="2" t="s">
        <v>839</v>
      </c>
      <c r="R1219" s="2" t="s">
        <v>840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105</v>
      </c>
      <c r="AF1219" s="2">
        <f t="shared" ref="AF1219:AF1282" si="146">AJ1219</f>
        <v>0</v>
      </c>
      <c r="AJ1219" s="2">
        <f t="shared" ref="AJ1219:AJ1282" si="147">AI1219*T1219</f>
        <v>0</v>
      </c>
      <c r="AK1219" s="2">
        <f t="shared" ref="AK1219:AK1282" si="148">T1219-W1219</f>
        <v>0</v>
      </c>
      <c r="AL1219" s="5" t="e">
        <f t="shared" si="143"/>
        <v>#DIV/0!</v>
      </c>
    </row>
    <row r="1220" spans="1:38" hidden="1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1496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5"/>
        <v>0.6</v>
      </c>
      <c r="Z1220" s="2" t="s">
        <v>118</v>
      </c>
      <c r="AA1220" s="2" t="s">
        <v>191</v>
      </c>
      <c r="AB1220" s="2" t="s">
        <v>190</v>
      </c>
      <c r="AC1220" s="2" t="s">
        <v>40</v>
      </c>
      <c r="AF1220" s="2">
        <f t="shared" si="146"/>
        <v>0</v>
      </c>
      <c r="AJ1220" s="2">
        <f t="shared" si="147"/>
        <v>0</v>
      </c>
      <c r="AK1220" s="2">
        <f t="shared" si="148"/>
        <v>47.4</v>
      </c>
      <c r="AL1220" s="5">
        <f t="shared" si="143"/>
        <v>0.6</v>
      </c>
    </row>
    <row r="1221" spans="1:38" hidden="1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1496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5"/>
        <v>0.5</v>
      </c>
      <c r="Z1221" s="2" t="s">
        <v>118</v>
      </c>
      <c r="AA1221" s="2" t="s">
        <v>191</v>
      </c>
      <c r="AB1221" s="2" t="s">
        <v>191</v>
      </c>
      <c r="AC1221" s="2" t="s">
        <v>40</v>
      </c>
      <c r="AF1221" s="2">
        <f t="shared" si="146"/>
        <v>0</v>
      </c>
      <c r="AJ1221" s="2">
        <f t="shared" si="147"/>
        <v>0</v>
      </c>
      <c r="AK1221" s="2">
        <f t="shared" si="148"/>
        <v>25</v>
      </c>
      <c r="AL1221" s="5">
        <f t="shared" si="143"/>
        <v>0.5</v>
      </c>
    </row>
    <row r="1222" spans="1:38" hidden="1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1497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5"/>
        <v>1</v>
      </c>
      <c r="Z1222" s="2" t="s">
        <v>118</v>
      </c>
      <c r="AA1222" s="2" t="s">
        <v>119</v>
      </c>
      <c r="AB1222" s="2" t="s">
        <v>120</v>
      </c>
      <c r="AC1222" s="2" t="s">
        <v>1110</v>
      </c>
      <c r="AF1222" s="2">
        <f t="shared" si="146"/>
        <v>0</v>
      </c>
      <c r="AJ1222" s="2">
        <f t="shared" si="147"/>
        <v>0</v>
      </c>
      <c r="AK1222" s="2">
        <f t="shared" si="148"/>
        <v>176.32</v>
      </c>
      <c r="AL1222" s="5">
        <f t="shared" si="143"/>
        <v>1</v>
      </c>
    </row>
    <row r="1223" spans="1:38" hidden="1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1498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5"/>
        <v>0.46612272727272724</v>
      </c>
      <c r="Z1223" s="2" t="s">
        <v>3231</v>
      </c>
      <c r="AA1223" s="2" t="s">
        <v>76</v>
      </c>
      <c r="AB1223" s="2" t="s">
        <v>77</v>
      </c>
      <c r="AC1223" s="2" t="s">
        <v>78</v>
      </c>
      <c r="AF1223" s="2">
        <f t="shared" si="146"/>
        <v>0</v>
      </c>
      <c r="AG1223" s="2">
        <v>117.453</v>
      </c>
      <c r="AH1223" s="2">
        <v>220</v>
      </c>
      <c r="AJ1223" s="2">
        <f t="shared" si="147"/>
        <v>0</v>
      </c>
      <c r="AK1223" s="2">
        <f t="shared" si="148"/>
        <v>102.547</v>
      </c>
      <c r="AL1223" s="5">
        <f t="shared" si="143"/>
        <v>0.46612272727272724</v>
      </c>
    </row>
    <row r="1224" spans="1:38" hidden="1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1499</v>
      </c>
      <c r="P1224" s="2" t="s">
        <v>73</v>
      </c>
      <c r="Q1224" s="2" t="s">
        <v>833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5"/>
        <v>0.45165454545454548</v>
      </c>
      <c r="Z1224" s="2" t="s">
        <v>3231</v>
      </c>
      <c r="AA1224" s="2" t="s">
        <v>76</v>
      </c>
      <c r="AB1224" s="2" t="s">
        <v>77</v>
      </c>
      <c r="AC1224" s="2" t="s">
        <v>78</v>
      </c>
      <c r="AF1224" s="2">
        <f t="shared" si="146"/>
        <v>0</v>
      </c>
      <c r="AG1224" s="2">
        <v>120.636</v>
      </c>
      <c r="AH1224" s="2">
        <v>220</v>
      </c>
      <c r="AJ1224" s="2">
        <f t="shared" si="147"/>
        <v>0</v>
      </c>
      <c r="AK1224" s="2">
        <f t="shared" si="148"/>
        <v>99.364000000000004</v>
      </c>
      <c r="AL1224" s="5">
        <f t="shared" si="143"/>
        <v>0.45165454545454548</v>
      </c>
    </row>
    <row r="1225" spans="1:38" hidden="1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1500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5"/>
        <v>0</v>
      </c>
      <c r="Z1225" s="2" t="s">
        <v>3231</v>
      </c>
      <c r="AA1225" s="2" t="s">
        <v>97</v>
      </c>
      <c r="AB1225" s="2" t="s">
        <v>77</v>
      </c>
      <c r="AC1225" s="2" t="s">
        <v>94</v>
      </c>
      <c r="AF1225" s="2">
        <f t="shared" si="146"/>
        <v>0</v>
      </c>
      <c r="AJ1225" s="2">
        <f t="shared" si="147"/>
        <v>0</v>
      </c>
      <c r="AK1225" s="2">
        <f t="shared" si="148"/>
        <v>0</v>
      </c>
      <c r="AL1225" s="5">
        <f t="shared" si="143"/>
        <v>0</v>
      </c>
    </row>
    <row r="1226" spans="1:38" hidden="1" x14ac:dyDescent="0.2">
      <c r="A1226" s="2">
        <v>2025</v>
      </c>
      <c r="B1226" s="2">
        <v>7</v>
      </c>
      <c r="D1226" s="2" t="s">
        <v>729</v>
      </c>
      <c r="P1226" s="2" t="s">
        <v>73</v>
      </c>
      <c r="Q1226" s="2" t="s">
        <v>914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5"/>
        <v>0.44554545454545452</v>
      </c>
      <c r="Z1226" s="2" t="s">
        <v>3231</v>
      </c>
      <c r="AA1226" s="2" t="s">
        <v>76</v>
      </c>
      <c r="AB1226" s="2" t="s">
        <v>77</v>
      </c>
      <c r="AC1226" s="2" t="s">
        <v>78</v>
      </c>
      <c r="AF1226" s="2">
        <f t="shared" si="146"/>
        <v>0</v>
      </c>
      <c r="AJ1226" s="2">
        <f t="shared" si="147"/>
        <v>0</v>
      </c>
      <c r="AK1226" s="2">
        <f t="shared" si="148"/>
        <v>98.02</v>
      </c>
      <c r="AL1226" s="5">
        <f t="shared" si="143"/>
        <v>0.44554545454545452</v>
      </c>
    </row>
    <row r="1227" spans="1:38" hidden="1" x14ac:dyDescent="0.2">
      <c r="A1227" s="2">
        <v>2025</v>
      </c>
      <c r="B1227" s="2">
        <v>7</v>
      </c>
      <c r="D1227" s="2" t="s">
        <v>729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5"/>
        <v>0</v>
      </c>
      <c r="Z1227" s="2" t="s">
        <v>3231</v>
      </c>
      <c r="AA1227" s="2" t="s">
        <v>97</v>
      </c>
      <c r="AB1227" s="2" t="s">
        <v>77</v>
      </c>
      <c r="AC1227" s="2" t="s">
        <v>94</v>
      </c>
      <c r="AF1227" s="2">
        <f t="shared" si="146"/>
        <v>0</v>
      </c>
      <c r="AJ1227" s="2">
        <f t="shared" si="147"/>
        <v>0</v>
      </c>
      <c r="AK1227" s="2">
        <f t="shared" si="148"/>
        <v>0</v>
      </c>
      <c r="AL1227" s="5">
        <f t="shared" si="143"/>
        <v>0</v>
      </c>
    </row>
    <row r="1228" spans="1:38" hidden="1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5"/>
        <v>0.52105128205128204</v>
      </c>
      <c r="Z1228" s="2" t="s">
        <v>3231</v>
      </c>
      <c r="AA1228" s="2" t="s">
        <v>46</v>
      </c>
      <c r="AB1228" s="2" t="s">
        <v>47</v>
      </c>
      <c r="AC1228" s="2" t="s">
        <v>48</v>
      </c>
      <c r="AF1228" s="2">
        <f t="shared" si="146"/>
        <v>0</v>
      </c>
      <c r="AG1228" s="2">
        <v>3.7357999999999998</v>
      </c>
      <c r="AH1228" s="2">
        <v>9</v>
      </c>
      <c r="AJ1228" s="2">
        <f t="shared" si="147"/>
        <v>0</v>
      </c>
      <c r="AK1228" s="2">
        <f t="shared" si="148"/>
        <v>4.0641999999999996</v>
      </c>
      <c r="AL1228" s="5">
        <f t="shared" si="143"/>
        <v>0.52105128205128204</v>
      </c>
    </row>
    <row r="1229" spans="1:38" hidden="1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5"/>
        <v>0.24285714285714285</v>
      </c>
      <c r="Z1229" s="2" t="s">
        <v>3231</v>
      </c>
      <c r="AA1229" s="2" t="s">
        <v>46</v>
      </c>
      <c r="AB1229" s="2" t="s">
        <v>57</v>
      </c>
      <c r="AC1229" s="2" t="s">
        <v>58</v>
      </c>
      <c r="AF1229" s="2">
        <f t="shared" si="146"/>
        <v>0</v>
      </c>
      <c r="AG1229" s="2">
        <v>10.6</v>
      </c>
      <c r="AH1229" s="2">
        <v>18</v>
      </c>
      <c r="AJ1229" s="2">
        <f t="shared" si="147"/>
        <v>0</v>
      </c>
      <c r="AK1229" s="2">
        <f t="shared" si="148"/>
        <v>34</v>
      </c>
      <c r="AL1229" s="5">
        <f t="shared" si="143"/>
        <v>0.24285714285714285</v>
      </c>
    </row>
    <row r="1230" spans="1:38" hidden="1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5"/>
        <v>1</v>
      </c>
      <c r="Z1230" s="2" t="s">
        <v>3231</v>
      </c>
      <c r="AA1230" s="2" t="s">
        <v>46</v>
      </c>
      <c r="AB1230" s="2" t="s">
        <v>91</v>
      </c>
      <c r="AC1230" s="2" t="s">
        <v>58</v>
      </c>
      <c r="AF1230" s="2">
        <f t="shared" si="146"/>
        <v>0</v>
      </c>
      <c r="AJ1230" s="2">
        <f t="shared" si="147"/>
        <v>0</v>
      </c>
      <c r="AK1230" s="2">
        <f t="shared" si="148"/>
        <v>12</v>
      </c>
      <c r="AL1230" s="5">
        <f t="shared" si="143"/>
        <v>1</v>
      </c>
    </row>
    <row r="1231" spans="1:38" hidden="1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1501</v>
      </c>
      <c r="R1231" s="2" t="s">
        <v>1502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5"/>
        <v>1</v>
      </c>
      <c r="Z1231" s="2" t="s">
        <v>3231</v>
      </c>
      <c r="AA1231" s="2" t="s">
        <v>88</v>
      </c>
      <c r="AB1231" s="2" t="s">
        <v>120</v>
      </c>
      <c r="AC1231" s="2" t="s">
        <v>167</v>
      </c>
      <c r="AF1231" s="2">
        <f t="shared" si="146"/>
        <v>0</v>
      </c>
      <c r="AJ1231" s="2">
        <f t="shared" si="147"/>
        <v>0</v>
      </c>
      <c r="AK1231" s="2">
        <f t="shared" si="148"/>
        <v>8.2100000000000009</v>
      </c>
      <c r="AL1231" s="5">
        <f t="shared" si="143"/>
        <v>1</v>
      </c>
    </row>
    <row r="1232" spans="1:38" hidden="1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1048</v>
      </c>
      <c r="R1232" s="2" t="s">
        <v>1049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5"/>
        <v>1</v>
      </c>
      <c r="Z1232" s="2" t="s">
        <v>3231</v>
      </c>
      <c r="AA1232" s="2" t="s">
        <v>88</v>
      </c>
      <c r="AB1232" s="2" t="s">
        <v>120</v>
      </c>
      <c r="AC1232" s="2" t="s">
        <v>167</v>
      </c>
      <c r="AF1232" s="2">
        <f t="shared" si="146"/>
        <v>0</v>
      </c>
      <c r="AJ1232" s="2">
        <f t="shared" si="147"/>
        <v>0</v>
      </c>
      <c r="AK1232" s="2">
        <f t="shared" si="148"/>
        <v>9</v>
      </c>
      <c r="AL1232" s="5">
        <f t="shared" ref="AL1232:AL1295" si="149">(T1232-W1232)/T1232</f>
        <v>1</v>
      </c>
    </row>
    <row r="1233" spans="1:38" hidden="1" x14ac:dyDescent="0.2">
      <c r="A1233" s="2">
        <v>2025</v>
      </c>
      <c r="B1233" s="2">
        <v>7</v>
      </c>
      <c r="D1233" s="2" t="s">
        <v>732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733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5"/>
        <v>7.6600000000000001E-2</v>
      </c>
      <c r="Z1233" s="2" t="s">
        <v>3231</v>
      </c>
      <c r="AA1233" s="2" t="s">
        <v>156</v>
      </c>
      <c r="AB1233" s="2" t="s">
        <v>155</v>
      </c>
      <c r="AC1233" s="2" t="s">
        <v>153</v>
      </c>
      <c r="AF1233" s="2">
        <f t="shared" si="146"/>
        <v>0</v>
      </c>
      <c r="AG1233" s="2">
        <v>0.4617</v>
      </c>
      <c r="AJ1233" s="2">
        <f t="shared" si="147"/>
        <v>0</v>
      </c>
      <c r="AK1233" s="2">
        <f t="shared" si="148"/>
        <v>0.76600000000000001</v>
      </c>
      <c r="AL1233" s="5">
        <f t="shared" si="149"/>
        <v>7.6600000000000001E-2</v>
      </c>
    </row>
    <row r="1234" spans="1:38" hidden="1" x14ac:dyDescent="0.2">
      <c r="A1234" s="2">
        <v>2025</v>
      </c>
      <c r="B1234" s="2">
        <v>7</v>
      </c>
      <c r="D1234" s="2" t="s">
        <v>1352</v>
      </c>
      <c r="P1234" s="2" t="s">
        <v>115</v>
      </c>
      <c r="Q1234" s="2" t="s">
        <v>1503</v>
      </c>
      <c r="R1234" s="2" t="s">
        <v>1504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5"/>
        <v>1</v>
      </c>
      <c r="Z1234" s="2" t="s">
        <v>118</v>
      </c>
      <c r="AF1234" s="2">
        <f t="shared" si="146"/>
        <v>0</v>
      </c>
      <c r="AJ1234" s="2">
        <f t="shared" si="147"/>
        <v>0</v>
      </c>
      <c r="AK1234" s="2">
        <f t="shared" si="148"/>
        <v>691.03</v>
      </c>
      <c r="AL1234" s="5">
        <f t="shared" si="149"/>
        <v>1</v>
      </c>
    </row>
    <row r="1235" spans="1:38" hidden="1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5"/>
        <v>0.44777500000000003</v>
      </c>
      <c r="Z1235" s="2" t="s">
        <v>3231</v>
      </c>
      <c r="AA1235" s="2" t="s">
        <v>46</v>
      </c>
      <c r="AB1235" s="2" t="s">
        <v>47</v>
      </c>
      <c r="AC1235" s="2" t="s">
        <v>48</v>
      </c>
      <c r="AF1235" s="2">
        <f t="shared" si="146"/>
        <v>0</v>
      </c>
      <c r="AG1235" s="2">
        <v>6.6266999999999996</v>
      </c>
      <c r="AH1235" s="2">
        <v>12</v>
      </c>
      <c r="AJ1235" s="2">
        <f t="shared" si="147"/>
        <v>0</v>
      </c>
      <c r="AK1235" s="2">
        <f t="shared" si="148"/>
        <v>26.866500000000002</v>
      </c>
      <c r="AL1235" s="5">
        <f t="shared" si="149"/>
        <v>0.44777500000000003</v>
      </c>
    </row>
    <row r="1236" spans="1:38" hidden="1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5"/>
        <v>0.52105128205128204</v>
      </c>
      <c r="Z1236" s="2" t="s">
        <v>3231</v>
      </c>
      <c r="AA1236" s="2" t="s">
        <v>46</v>
      </c>
      <c r="AB1236" s="2" t="s">
        <v>47</v>
      </c>
      <c r="AC1236" s="2" t="s">
        <v>48</v>
      </c>
      <c r="AF1236" s="2">
        <f t="shared" si="146"/>
        <v>0</v>
      </c>
      <c r="AG1236" s="2">
        <v>3.7357999999999998</v>
      </c>
      <c r="AH1236" s="2">
        <v>9</v>
      </c>
      <c r="AJ1236" s="2">
        <f t="shared" si="147"/>
        <v>0</v>
      </c>
      <c r="AK1236" s="2">
        <f t="shared" si="148"/>
        <v>8.1283999999999992</v>
      </c>
      <c r="AL1236" s="5">
        <f t="shared" si="149"/>
        <v>0.52105128205128204</v>
      </c>
    </row>
    <row r="1237" spans="1:38" hidden="1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5"/>
        <v>0.44819791666666664</v>
      </c>
      <c r="Z1237" s="2" t="s">
        <v>3231</v>
      </c>
      <c r="AA1237" s="2" t="s">
        <v>46</v>
      </c>
      <c r="AB1237" s="2" t="s">
        <v>47</v>
      </c>
      <c r="AC1237" s="2" t="s">
        <v>48</v>
      </c>
      <c r="AF1237" s="2">
        <f t="shared" si="146"/>
        <v>0</v>
      </c>
      <c r="AG1237" s="2">
        <v>5.2972999999999999</v>
      </c>
      <c r="AH1237" s="2">
        <v>10.8</v>
      </c>
      <c r="AJ1237" s="2">
        <f t="shared" si="147"/>
        <v>0</v>
      </c>
      <c r="AK1237" s="2">
        <f t="shared" si="148"/>
        <v>8.6053999999999995</v>
      </c>
      <c r="AL1237" s="5">
        <f t="shared" si="149"/>
        <v>0.44819791666666664</v>
      </c>
    </row>
    <row r="1238" spans="1:38" hidden="1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5"/>
        <v>0.37647058823529411</v>
      </c>
      <c r="Z1238" s="2" t="s">
        <v>3231</v>
      </c>
      <c r="AA1238" s="2" t="s">
        <v>46</v>
      </c>
      <c r="AB1238" s="2" t="s">
        <v>57</v>
      </c>
      <c r="AC1238" s="2" t="s">
        <v>58</v>
      </c>
      <c r="AF1238" s="2">
        <f t="shared" si="146"/>
        <v>0</v>
      </c>
      <c r="AG1238" s="2">
        <v>10.6</v>
      </c>
      <c r="AH1238" s="2">
        <v>18</v>
      </c>
      <c r="AJ1238" s="2">
        <f t="shared" si="147"/>
        <v>0</v>
      </c>
      <c r="AK1238" s="2">
        <f t="shared" si="148"/>
        <v>32</v>
      </c>
      <c r="AL1238" s="5">
        <f t="shared" si="149"/>
        <v>0.37647058823529411</v>
      </c>
    </row>
    <row r="1239" spans="1:38" hidden="1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5"/>
        <v>0.36923076923076914</v>
      </c>
      <c r="Z1239" s="2" t="s">
        <v>3231</v>
      </c>
      <c r="AA1239" s="2" t="s">
        <v>46</v>
      </c>
      <c r="AB1239" s="2" t="s">
        <v>61</v>
      </c>
      <c r="AC1239" s="2" t="s">
        <v>58</v>
      </c>
      <c r="AF1239" s="2">
        <f t="shared" si="146"/>
        <v>0</v>
      </c>
      <c r="AG1239" s="2">
        <v>8.1999999999999993</v>
      </c>
      <c r="AH1239" s="2">
        <v>13</v>
      </c>
      <c r="AJ1239" s="2">
        <f t="shared" si="147"/>
        <v>0</v>
      </c>
      <c r="AK1239" s="2">
        <f t="shared" si="148"/>
        <v>9.5999999999999979</v>
      </c>
      <c r="AL1239" s="5">
        <f t="shared" si="149"/>
        <v>0.36923076923076914</v>
      </c>
    </row>
    <row r="1240" spans="1:38" hidden="1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5"/>
        <v>0.34714285714285725</v>
      </c>
      <c r="Z1240" s="2" t="s">
        <v>3231</v>
      </c>
      <c r="AA1240" s="2" t="s">
        <v>46</v>
      </c>
      <c r="AB1240" s="2" t="s">
        <v>61</v>
      </c>
      <c r="AC1240" s="2" t="s">
        <v>58</v>
      </c>
      <c r="AF1240" s="2">
        <f t="shared" si="146"/>
        <v>0</v>
      </c>
      <c r="AJ1240" s="2">
        <f t="shared" si="147"/>
        <v>0</v>
      </c>
      <c r="AK1240" s="2">
        <f t="shared" si="148"/>
        <v>9.7200000000000024</v>
      </c>
      <c r="AL1240" s="5">
        <f t="shared" si="149"/>
        <v>0.34714285714285725</v>
      </c>
    </row>
    <row r="1241" spans="1:38" hidden="1" x14ac:dyDescent="0.2">
      <c r="A1241" s="2">
        <v>2025</v>
      </c>
      <c r="B1241" s="2">
        <v>7</v>
      </c>
      <c r="D1241" s="2" t="s">
        <v>738</v>
      </c>
      <c r="E1241" s="2" t="s">
        <v>109</v>
      </c>
      <c r="F1241" s="2" t="s">
        <v>718</v>
      </c>
      <c r="G1241" s="2">
        <v>500331596</v>
      </c>
      <c r="H1241" s="2" t="s">
        <v>40</v>
      </c>
      <c r="I1241" s="2" t="s">
        <v>739</v>
      </c>
      <c r="J1241" s="2" t="s">
        <v>740</v>
      </c>
      <c r="L1241" s="2" t="s">
        <v>345</v>
      </c>
      <c r="M1241" s="2" t="s">
        <v>40</v>
      </c>
      <c r="O1241" s="2" t="s">
        <v>1505</v>
      </c>
      <c r="P1241" s="2" t="s">
        <v>115</v>
      </c>
      <c r="Q1241" s="2" t="s">
        <v>780</v>
      </c>
      <c r="R1241" s="2" t="s">
        <v>781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5"/>
        <v>1</v>
      </c>
      <c r="Z1241" s="2" t="s">
        <v>118</v>
      </c>
      <c r="AF1241" s="2">
        <f t="shared" si="146"/>
        <v>0</v>
      </c>
      <c r="AJ1241" s="2">
        <f t="shared" si="147"/>
        <v>0</v>
      </c>
      <c r="AK1241" s="2">
        <f t="shared" si="148"/>
        <v>153.34</v>
      </c>
      <c r="AL1241" s="5">
        <f t="shared" si="149"/>
        <v>1</v>
      </c>
    </row>
    <row r="1242" spans="1:38" hidden="1" x14ac:dyDescent="0.2">
      <c r="A1242" s="2">
        <v>2025</v>
      </c>
      <c r="B1242" s="2">
        <v>7</v>
      </c>
      <c r="D1242" s="2" t="s">
        <v>742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5"/>
        <v>1</v>
      </c>
      <c r="Z1242" s="2" t="s">
        <v>120</v>
      </c>
      <c r="AA1242" s="2" t="s">
        <v>3385</v>
      </c>
      <c r="AF1242" s="2">
        <f t="shared" si="146"/>
        <v>0</v>
      </c>
      <c r="AJ1242" s="2">
        <f t="shared" si="147"/>
        <v>0</v>
      </c>
      <c r="AK1242" s="2">
        <f t="shared" si="148"/>
        <v>70</v>
      </c>
      <c r="AL1242" s="5">
        <f t="shared" si="149"/>
        <v>1</v>
      </c>
    </row>
    <row r="1243" spans="1:38" hidden="1" x14ac:dyDescent="0.2">
      <c r="A1243" s="2">
        <v>2025</v>
      </c>
      <c r="B1243" s="2">
        <v>7</v>
      </c>
      <c r="D1243" s="2" t="s">
        <v>1356</v>
      </c>
      <c r="P1243" s="2" t="s">
        <v>283</v>
      </c>
      <c r="Q1243" s="2" t="s">
        <v>1438</v>
      </c>
      <c r="R1243" s="2" t="s">
        <v>1439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5"/>
        <v>0.35000000000000009</v>
      </c>
      <c r="Z1243" s="2" t="s">
        <v>3231</v>
      </c>
      <c r="AA1243" s="2" t="s">
        <v>72</v>
      </c>
      <c r="AB1243" s="2" t="s">
        <v>120</v>
      </c>
      <c r="AC1243" s="2" t="s">
        <v>120</v>
      </c>
      <c r="AF1243" s="2">
        <f t="shared" si="146"/>
        <v>0</v>
      </c>
      <c r="AJ1243" s="2">
        <f t="shared" si="147"/>
        <v>0</v>
      </c>
      <c r="AK1243" s="2">
        <f t="shared" si="148"/>
        <v>55.300000000000011</v>
      </c>
      <c r="AL1243" s="5">
        <f t="shared" si="149"/>
        <v>0.35000000000000009</v>
      </c>
    </row>
    <row r="1244" spans="1:38" hidden="1" x14ac:dyDescent="0.2">
      <c r="A1244" s="2">
        <v>2025</v>
      </c>
      <c r="B1244" s="2">
        <v>7</v>
      </c>
      <c r="D1244" s="2" t="s">
        <v>1506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1507</v>
      </c>
      <c r="J1244" s="2" t="s">
        <v>1508</v>
      </c>
      <c r="K1244" s="2">
        <v>961386655</v>
      </c>
      <c r="L1244" s="2" t="s">
        <v>134</v>
      </c>
      <c r="M1244" s="2" t="s">
        <v>40</v>
      </c>
      <c r="O1244" s="2" t="s">
        <v>1509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5"/>
        <v>0.41111111111111115</v>
      </c>
      <c r="Z1244" s="2" t="s">
        <v>3231</v>
      </c>
      <c r="AA1244" s="2" t="s">
        <v>46</v>
      </c>
      <c r="AB1244" s="2" t="s">
        <v>57</v>
      </c>
      <c r="AC1244" s="2" t="s">
        <v>58</v>
      </c>
      <c r="AF1244" s="2">
        <f t="shared" si="146"/>
        <v>0</v>
      </c>
      <c r="AG1244" s="2">
        <v>10.6</v>
      </c>
      <c r="AH1244" s="2">
        <v>18</v>
      </c>
      <c r="AJ1244" s="2">
        <f t="shared" si="147"/>
        <v>0</v>
      </c>
      <c r="AK1244" s="2">
        <f t="shared" si="148"/>
        <v>7.4</v>
      </c>
      <c r="AL1244" s="5">
        <f t="shared" si="149"/>
        <v>0.41111111111111115</v>
      </c>
    </row>
    <row r="1245" spans="1:38" hidden="1" x14ac:dyDescent="0.2">
      <c r="A1245" s="2">
        <v>2025</v>
      </c>
      <c r="B1245" s="2">
        <v>7</v>
      </c>
      <c r="D1245" s="2" t="s">
        <v>1506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1507</v>
      </c>
      <c r="J1245" s="2" t="s">
        <v>1508</v>
      </c>
      <c r="K1245" s="2">
        <v>961386655</v>
      </c>
      <c r="L1245" s="2" t="s">
        <v>134</v>
      </c>
      <c r="M1245" s="2" t="s">
        <v>40</v>
      </c>
      <c r="O1245" s="2" t="s">
        <v>1509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5"/>
        <v>0.36923076923076914</v>
      </c>
      <c r="Z1245" s="2" t="s">
        <v>3231</v>
      </c>
      <c r="AA1245" s="2" t="s">
        <v>46</v>
      </c>
      <c r="AB1245" s="2" t="s">
        <v>61</v>
      </c>
      <c r="AC1245" s="2" t="s">
        <v>58</v>
      </c>
      <c r="AF1245" s="2">
        <f t="shared" si="146"/>
        <v>0</v>
      </c>
      <c r="AG1245" s="2">
        <v>8.1999999999999993</v>
      </c>
      <c r="AH1245" s="2">
        <v>13</v>
      </c>
      <c r="AJ1245" s="2">
        <f t="shared" si="147"/>
        <v>0</v>
      </c>
      <c r="AK1245" s="2">
        <f t="shared" si="148"/>
        <v>4.7999999999999989</v>
      </c>
      <c r="AL1245" s="5">
        <f t="shared" si="149"/>
        <v>0.36923076923076914</v>
      </c>
    </row>
    <row r="1246" spans="1:38" hidden="1" x14ac:dyDescent="0.2">
      <c r="A1246" s="2">
        <v>2025</v>
      </c>
      <c r="B1246" s="2">
        <v>7</v>
      </c>
      <c r="D1246" s="2" t="s">
        <v>1506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1507</v>
      </c>
      <c r="J1246" s="2" t="s">
        <v>1508</v>
      </c>
      <c r="K1246" s="2">
        <v>961386655</v>
      </c>
      <c r="L1246" s="2" t="s">
        <v>134</v>
      </c>
      <c r="M1246" s="2" t="s">
        <v>40</v>
      </c>
      <c r="O1246" s="2" t="s">
        <v>1509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5"/>
        <v>0.67333333333333334</v>
      </c>
      <c r="Z1246" s="2" t="s">
        <v>3231</v>
      </c>
      <c r="AA1246" s="2" t="s">
        <v>46</v>
      </c>
      <c r="AB1246" s="2" t="s">
        <v>91</v>
      </c>
      <c r="AC1246" s="2" t="s">
        <v>58</v>
      </c>
      <c r="AF1246" s="2">
        <f t="shared" si="146"/>
        <v>0</v>
      </c>
      <c r="AG1246" s="2">
        <v>0.98</v>
      </c>
      <c r="AH1246" s="2">
        <v>1.8</v>
      </c>
      <c r="AJ1246" s="2">
        <f t="shared" si="147"/>
        <v>0</v>
      </c>
      <c r="AK1246" s="2">
        <f t="shared" si="148"/>
        <v>2.02</v>
      </c>
      <c r="AL1246" s="5">
        <f t="shared" si="149"/>
        <v>0.67333333333333334</v>
      </c>
    </row>
    <row r="1247" spans="1:38" hidden="1" x14ac:dyDescent="0.2">
      <c r="A1247" s="2">
        <v>2025</v>
      </c>
      <c r="B1247" s="2">
        <v>7</v>
      </c>
      <c r="D1247" s="2" t="s">
        <v>1506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1507</v>
      </c>
      <c r="J1247" s="2" t="s">
        <v>1508</v>
      </c>
      <c r="K1247" s="2">
        <v>961386655</v>
      </c>
      <c r="L1247" s="2" t="s">
        <v>134</v>
      </c>
      <c r="M1247" s="2" t="s">
        <v>40</v>
      </c>
      <c r="O1247" s="2" t="s">
        <v>1509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5"/>
        <v>0.46925333333333336</v>
      </c>
      <c r="Z1247" s="2" t="s">
        <v>3231</v>
      </c>
      <c r="AA1247" s="2" t="s">
        <v>46</v>
      </c>
      <c r="AB1247" s="2" t="s">
        <v>68</v>
      </c>
      <c r="AC1247" s="2" t="s">
        <v>58</v>
      </c>
      <c r="AF1247" s="2">
        <f t="shared" si="146"/>
        <v>0</v>
      </c>
      <c r="AG1247" s="2">
        <v>7.9611999999999998</v>
      </c>
      <c r="AH1247" s="2">
        <v>14.4</v>
      </c>
      <c r="AJ1247" s="2">
        <f t="shared" si="147"/>
        <v>0</v>
      </c>
      <c r="AK1247" s="2">
        <f t="shared" si="148"/>
        <v>7.0388000000000002</v>
      </c>
      <c r="AL1247" s="5">
        <f t="shared" si="149"/>
        <v>0.46925333333333336</v>
      </c>
    </row>
    <row r="1248" spans="1:38" hidden="1" x14ac:dyDescent="0.2">
      <c r="A1248" s="2">
        <v>2025</v>
      </c>
      <c r="B1248" s="2">
        <v>7</v>
      </c>
      <c r="D1248" s="2" t="s">
        <v>1506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1507</v>
      </c>
      <c r="J1248" s="2" t="s">
        <v>1508</v>
      </c>
      <c r="K1248" s="2">
        <v>961386655</v>
      </c>
      <c r="L1248" s="2" t="s">
        <v>134</v>
      </c>
      <c r="M1248" s="2" t="s">
        <v>40</v>
      </c>
      <c r="O1248" s="2" t="s">
        <v>1509</v>
      </c>
      <c r="P1248" s="2" t="s">
        <v>40</v>
      </c>
      <c r="Q1248" s="2" t="s">
        <v>909</v>
      </c>
      <c r="R1248" s="2" t="s">
        <v>910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45"/>
        <v>0.25</v>
      </c>
      <c r="Z1248" s="2" t="s">
        <v>105</v>
      </c>
      <c r="AA1248" s="2" t="s">
        <v>151</v>
      </c>
      <c r="AB1248" s="2" t="s">
        <v>476</v>
      </c>
      <c r="AC1248" s="2" t="s">
        <v>476</v>
      </c>
      <c r="AF1248" s="2">
        <f t="shared" si="146"/>
        <v>0</v>
      </c>
      <c r="AJ1248" s="2">
        <f t="shared" si="147"/>
        <v>0</v>
      </c>
      <c r="AK1248" s="2">
        <f t="shared" si="148"/>
        <v>375</v>
      </c>
      <c r="AL1248" s="5">
        <f t="shared" si="149"/>
        <v>0.25</v>
      </c>
    </row>
    <row r="1249" spans="1:38" hidden="1" x14ac:dyDescent="0.2">
      <c r="A1249" s="2">
        <v>2025</v>
      </c>
      <c r="B1249" s="2">
        <v>7</v>
      </c>
      <c r="D1249" s="2" t="s">
        <v>1506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1507</v>
      </c>
      <c r="J1249" s="2" t="s">
        <v>1508</v>
      </c>
      <c r="K1249" s="2">
        <v>961386655</v>
      </c>
      <c r="L1249" s="2" t="s">
        <v>134</v>
      </c>
      <c r="M1249" s="2" t="s">
        <v>40</v>
      </c>
      <c r="O1249" s="2" t="s">
        <v>1509</v>
      </c>
      <c r="P1249" s="2" t="s">
        <v>40</v>
      </c>
      <c r="Q1249" s="2" t="s">
        <v>1511</v>
      </c>
      <c r="R1249" s="2" t="s">
        <v>1512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5"/>
        <v>0.33333333333333331</v>
      </c>
      <c r="Z1249" s="2" t="s">
        <v>105</v>
      </c>
      <c r="AA1249" s="2" t="s">
        <v>1510</v>
      </c>
      <c r="AB1249" s="2" t="s">
        <v>1513</v>
      </c>
      <c r="AC1249" s="2" t="s">
        <v>115</v>
      </c>
      <c r="AF1249" s="2">
        <f t="shared" si="146"/>
        <v>0</v>
      </c>
      <c r="AG1249" s="2">
        <v>1000</v>
      </c>
      <c r="AJ1249" s="2">
        <f t="shared" si="147"/>
        <v>0</v>
      </c>
      <c r="AK1249" s="2">
        <f t="shared" si="148"/>
        <v>500</v>
      </c>
      <c r="AL1249" s="5">
        <f t="shared" si="149"/>
        <v>0.33333333333333331</v>
      </c>
    </row>
    <row r="1250" spans="1:38" hidden="1" x14ac:dyDescent="0.2">
      <c r="A1250" s="2">
        <v>2025</v>
      </c>
      <c r="B1250" s="2">
        <v>7</v>
      </c>
      <c r="D1250" s="2" t="s">
        <v>1357</v>
      </c>
      <c r="E1250" s="2" t="s">
        <v>753</v>
      </c>
      <c r="F1250" s="2" t="s">
        <v>39</v>
      </c>
      <c r="G1250" s="2">
        <v>518238334</v>
      </c>
      <c r="H1250" s="2" t="s">
        <v>41</v>
      </c>
      <c r="I1250" s="2" t="s">
        <v>763</v>
      </c>
      <c r="J1250" s="2" t="s">
        <v>1358</v>
      </c>
      <c r="L1250" s="2" t="s">
        <v>419</v>
      </c>
      <c r="P1250" s="2" t="s">
        <v>283</v>
      </c>
      <c r="Q1250" s="2" t="s">
        <v>1514</v>
      </c>
      <c r="R1250" s="2" t="s">
        <v>1515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5"/>
        <v>0.39011111111111113</v>
      </c>
      <c r="Z1250" s="2" t="s">
        <v>3231</v>
      </c>
      <c r="AA1250" s="2" t="s">
        <v>72</v>
      </c>
      <c r="AB1250" s="2" t="s">
        <v>1604</v>
      </c>
      <c r="AC1250" s="2" t="s">
        <v>1604</v>
      </c>
      <c r="AF1250" s="2">
        <f t="shared" si="146"/>
        <v>0</v>
      </c>
      <c r="AJ1250" s="2">
        <f t="shared" si="147"/>
        <v>0</v>
      </c>
      <c r="AK1250" s="2">
        <f t="shared" si="148"/>
        <v>17.555</v>
      </c>
      <c r="AL1250" s="5">
        <f t="shared" si="149"/>
        <v>0.39011111111111113</v>
      </c>
    </row>
    <row r="1251" spans="1:38" hidden="1" x14ac:dyDescent="0.2">
      <c r="A1251" s="2">
        <v>2025</v>
      </c>
      <c r="B1251" s="2">
        <v>7</v>
      </c>
      <c r="D1251" s="2" t="s">
        <v>1357</v>
      </c>
      <c r="E1251" s="2" t="s">
        <v>753</v>
      </c>
      <c r="F1251" s="2" t="s">
        <v>39</v>
      </c>
      <c r="G1251" s="2">
        <v>518238334</v>
      </c>
      <c r="H1251" s="2" t="s">
        <v>41</v>
      </c>
      <c r="I1251" s="2" t="s">
        <v>763</v>
      </c>
      <c r="J1251" s="2" t="s">
        <v>1358</v>
      </c>
      <c r="L1251" s="2" t="s">
        <v>419</v>
      </c>
      <c r="P1251" s="2" t="s">
        <v>283</v>
      </c>
      <c r="Q1251" s="2" t="s">
        <v>1516</v>
      </c>
      <c r="R1251" s="2" t="s">
        <v>1517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5"/>
        <v>1</v>
      </c>
      <c r="Z1251" s="2" t="s">
        <v>3231</v>
      </c>
      <c r="AF1251" s="2">
        <f t="shared" si="146"/>
        <v>0</v>
      </c>
      <c r="AJ1251" s="2">
        <f t="shared" si="147"/>
        <v>0</v>
      </c>
      <c r="AK1251" s="2">
        <f t="shared" si="148"/>
        <v>99.9</v>
      </c>
      <c r="AL1251" s="5">
        <f t="shared" si="149"/>
        <v>1</v>
      </c>
    </row>
    <row r="1252" spans="1:38" hidden="1" x14ac:dyDescent="0.2">
      <c r="A1252" s="2">
        <v>2025</v>
      </c>
      <c r="B1252" s="2">
        <v>7</v>
      </c>
      <c r="D1252" s="2" t="s">
        <v>745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746</v>
      </c>
      <c r="J1252" s="2" t="s">
        <v>747</v>
      </c>
      <c r="K1252" s="2">
        <v>962372760</v>
      </c>
      <c r="L1252" s="2" t="s">
        <v>202</v>
      </c>
      <c r="P1252" s="2" t="s">
        <v>115</v>
      </c>
      <c r="Q1252" s="2" t="s">
        <v>1518</v>
      </c>
      <c r="R1252" s="2" t="s">
        <v>1519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5"/>
        <v>1</v>
      </c>
      <c r="Z1252" s="2" t="s">
        <v>118</v>
      </c>
      <c r="AF1252" s="2">
        <f t="shared" si="146"/>
        <v>0</v>
      </c>
      <c r="AJ1252" s="2">
        <f t="shared" si="147"/>
        <v>0</v>
      </c>
      <c r="AK1252" s="2">
        <f t="shared" si="148"/>
        <v>23.33</v>
      </c>
      <c r="AL1252" s="5">
        <f t="shared" si="149"/>
        <v>1</v>
      </c>
    </row>
    <row r="1253" spans="1:38" hidden="1" x14ac:dyDescent="0.2">
      <c r="A1253" s="2">
        <v>2025</v>
      </c>
      <c r="B1253" s="2">
        <v>7</v>
      </c>
      <c r="D1253" s="2" t="s">
        <v>745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746</v>
      </c>
      <c r="J1253" s="2" t="s">
        <v>747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5"/>
        <v>0.6</v>
      </c>
      <c r="Z1253" s="2" t="s">
        <v>118</v>
      </c>
      <c r="AA1253" s="2" t="s">
        <v>191</v>
      </c>
      <c r="AB1253" s="2" t="s">
        <v>190</v>
      </c>
      <c r="AC1253" s="2" t="s">
        <v>40</v>
      </c>
      <c r="AF1253" s="2">
        <f t="shared" si="146"/>
        <v>0</v>
      </c>
      <c r="AJ1253" s="2">
        <f t="shared" si="147"/>
        <v>0</v>
      </c>
      <c r="AK1253" s="2">
        <f t="shared" si="148"/>
        <v>30</v>
      </c>
      <c r="AL1253" s="5">
        <f t="shared" si="149"/>
        <v>0.6</v>
      </c>
    </row>
    <row r="1254" spans="1:38" hidden="1" x14ac:dyDescent="0.2">
      <c r="A1254" s="2">
        <v>2025</v>
      </c>
      <c r="B1254" s="2">
        <v>7</v>
      </c>
      <c r="D1254" s="2" t="s">
        <v>745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746</v>
      </c>
      <c r="J1254" s="2" t="s">
        <v>747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5"/>
        <v>0.5</v>
      </c>
      <c r="Z1254" s="2" t="s">
        <v>118</v>
      </c>
      <c r="AA1254" s="2" t="s">
        <v>191</v>
      </c>
      <c r="AB1254" s="2" t="s">
        <v>191</v>
      </c>
      <c r="AC1254" s="2" t="s">
        <v>40</v>
      </c>
      <c r="AF1254" s="2">
        <f t="shared" si="146"/>
        <v>0</v>
      </c>
      <c r="AJ1254" s="2">
        <f t="shared" si="147"/>
        <v>0</v>
      </c>
      <c r="AK1254" s="2">
        <f t="shared" si="148"/>
        <v>50</v>
      </c>
      <c r="AL1254" s="5">
        <f t="shared" si="149"/>
        <v>0.5</v>
      </c>
    </row>
    <row r="1255" spans="1:38" hidden="1" x14ac:dyDescent="0.2">
      <c r="A1255" s="2">
        <v>2025</v>
      </c>
      <c r="B1255" s="2">
        <v>7</v>
      </c>
      <c r="D1255" s="2" t="s">
        <v>1520</v>
      </c>
      <c r="P1255" s="2" t="s">
        <v>283</v>
      </c>
      <c r="Q1255" s="2" t="s">
        <v>1448</v>
      </c>
      <c r="R1255" s="2" t="s">
        <v>1449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5"/>
        <v>1</v>
      </c>
      <c r="Z1255" s="2" t="s">
        <v>3231</v>
      </c>
      <c r="AF1255" s="2">
        <f t="shared" si="146"/>
        <v>0</v>
      </c>
      <c r="AJ1255" s="2">
        <f t="shared" si="147"/>
        <v>0</v>
      </c>
      <c r="AK1255" s="2">
        <f t="shared" si="148"/>
        <v>370</v>
      </c>
      <c r="AL1255" s="5">
        <f t="shared" si="149"/>
        <v>1</v>
      </c>
    </row>
    <row r="1256" spans="1:38" hidden="1" x14ac:dyDescent="0.2">
      <c r="A1256" s="2">
        <v>2025</v>
      </c>
      <c r="B1256" s="2">
        <v>7</v>
      </c>
      <c r="D1256" s="2" t="s">
        <v>1520</v>
      </c>
      <c r="P1256" s="2" t="s">
        <v>69</v>
      </c>
      <c r="Q1256" s="2" t="s">
        <v>1521</v>
      </c>
      <c r="R1256" s="2" t="s">
        <v>1522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5"/>
        <v>0.61117903225806447</v>
      </c>
      <c r="Z1256" s="2" t="s">
        <v>105</v>
      </c>
      <c r="AA1256" s="2" t="s">
        <v>265</v>
      </c>
      <c r="AB1256" s="2" t="s">
        <v>1097</v>
      </c>
      <c r="AC1256" s="2" t="s">
        <v>3235</v>
      </c>
      <c r="AF1256" s="2">
        <f t="shared" si="146"/>
        <v>0</v>
      </c>
      <c r="AG1256" s="2">
        <v>2410.69</v>
      </c>
      <c r="AJ1256" s="2">
        <f t="shared" si="147"/>
        <v>0</v>
      </c>
      <c r="AK1256" s="2">
        <f t="shared" si="148"/>
        <v>3789.31</v>
      </c>
      <c r="AL1256" s="5">
        <f t="shared" si="149"/>
        <v>0.61117903225806447</v>
      </c>
    </row>
    <row r="1257" spans="1:38" hidden="1" x14ac:dyDescent="0.2">
      <c r="A1257" s="2">
        <v>2025</v>
      </c>
      <c r="B1257" s="2">
        <v>7</v>
      </c>
      <c r="D1257" s="2" t="s">
        <v>750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751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5"/>
        <v>0.6</v>
      </c>
      <c r="Z1257" s="2" t="s">
        <v>118</v>
      </c>
      <c r="AA1257" s="2" t="s">
        <v>191</v>
      </c>
      <c r="AB1257" s="2" t="s">
        <v>190</v>
      </c>
      <c r="AC1257" s="2" t="s">
        <v>40</v>
      </c>
      <c r="AF1257" s="2">
        <f t="shared" si="146"/>
        <v>0</v>
      </c>
      <c r="AJ1257" s="2">
        <f t="shared" si="147"/>
        <v>0</v>
      </c>
      <c r="AK1257" s="2">
        <f t="shared" si="148"/>
        <v>110.39999999999999</v>
      </c>
      <c r="AL1257" s="5">
        <f t="shared" si="149"/>
        <v>0.6</v>
      </c>
    </row>
    <row r="1258" spans="1:38" hidden="1" x14ac:dyDescent="0.2">
      <c r="A1258" s="2">
        <v>2025</v>
      </c>
      <c r="B1258" s="2">
        <v>7</v>
      </c>
      <c r="D1258" s="2" t="s">
        <v>750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751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5"/>
        <v>0.5</v>
      </c>
      <c r="Z1258" s="2" t="s">
        <v>118</v>
      </c>
      <c r="AA1258" s="2" t="s">
        <v>191</v>
      </c>
      <c r="AB1258" s="2" t="s">
        <v>191</v>
      </c>
      <c r="AC1258" s="2" t="s">
        <v>40</v>
      </c>
      <c r="AF1258" s="2">
        <f t="shared" si="146"/>
        <v>0</v>
      </c>
      <c r="AJ1258" s="2">
        <f t="shared" si="147"/>
        <v>0</v>
      </c>
      <c r="AK1258" s="2">
        <f t="shared" si="148"/>
        <v>50</v>
      </c>
      <c r="AL1258" s="5">
        <f t="shared" si="149"/>
        <v>0.5</v>
      </c>
    </row>
    <row r="1259" spans="1:38" hidden="1" x14ac:dyDescent="0.2">
      <c r="A1259" s="2">
        <v>2025</v>
      </c>
      <c r="B1259" s="2">
        <v>7</v>
      </c>
      <c r="D1259" s="2" t="s">
        <v>1523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1524</v>
      </c>
      <c r="J1259" s="2" t="s">
        <v>1525</v>
      </c>
      <c r="K1259" s="2">
        <v>962461409</v>
      </c>
      <c r="L1259" s="2" t="s">
        <v>345</v>
      </c>
      <c r="P1259" s="2" t="s">
        <v>115</v>
      </c>
      <c r="Q1259" s="16" t="s">
        <v>710</v>
      </c>
      <c r="R1259" s="2" t="s">
        <v>711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105</v>
      </c>
      <c r="AA1259" s="2" t="s">
        <v>579</v>
      </c>
      <c r="AB1259" s="2" t="s">
        <v>702</v>
      </c>
      <c r="AC1259" s="2" t="s">
        <v>115</v>
      </c>
      <c r="AF1259" s="2">
        <f t="shared" si="146"/>
        <v>0</v>
      </c>
      <c r="AJ1259" s="2">
        <f t="shared" si="147"/>
        <v>0</v>
      </c>
      <c r="AK1259" s="2">
        <f t="shared" si="148"/>
        <v>-1244.2445</v>
      </c>
      <c r="AL1259" s="18">
        <v>-1</v>
      </c>
    </row>
    <row r="1260" spans="1:38" hidden="1" x14ac:dyDescent="0.2">
      <c r="A1260" s="2">
        <v>2025</v>
      </c>
      <c r="B1260" s="2">
        <v>7</v>
      </c>
      <c r="D1260" s="2" t="s">
        <v>1523</v>
      </c>
      <c r="P1260" s="2" t="s">
        <v>115</v>
      </c>
      <c r="Q1260" s="2" t="s">
        <v>1526</v>
      </c>
      <c r="R1260" s="2" t="s">
        <v>1527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118</v>
      </c>
      <c r="AF1260" s="2">
        <f t="shared" si="146"/>
        <v>0</v>
      </c>
      <c r="AJ1260" s="2">
        <f t="shared" si="147"/>
        <v>0</v>
      </c>
      <c r="AK1260" s="2">
        <f t="shared" si="148"/>
        <v>0</v>
      </c>
      <c r="AL1260" s="5" t="e">
        <f t="shared" si="149"/>
        <v>#DIV/0!</v>
      </c>
    </row>
    <row r="1261" spans="1:38" hidden="1" x14ac:dyDescent="0.2">
      <c r="A1261" s="2">
        <v>2025</v>
      </c>
      <c r="B1261" s="2">
        <v>7</v>
      </c>
      <c r="D1261" s="2" t="s">
        <v>1523</v>
      </c>
      <c r="P1261" s="2" t="s">
        <v>115</v>
      </c>
      <c r="Q1261" s="2" t="s">
        <v>839</v>
      </c>
      <c r="R1261" s="2" t="s">
        <v>840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50">(T1261-W1261)/T1261</f>
        <v>0.49200151975683887</v>
      </c>
      <c r="Z1261" s="2" t="s">
        <v>105</v>
      </c>
      <c r="AA1261" s="2" t="s">
        <v>151</v>
      </c>
      <c r="AB1261" s="2" t="s">
        <v>152</v>
      </c>
      <c r="AC1261" s="2" t="s">
        <v>115</v>
      </c>
      <c r="AF1261" s="2">
        <f t="shared" si="146"/>
        <v>0</v>
      </c>
      <c r="AJ1261" s="2">
        <f t="shared" si="147"/>
        <v>0</v>
      </c>
      <c r="AK1261" s="2">
        <f t="shared" si="148"/>
        <v>3237.37</v>
      </c>
      <c r="AL1261" s="5">
        <f t="shared" si="149"/>
        <v>0.49200151975683887</v>
      </c>
    </row>
    <row r="1262" spans="1:38" hidden="1" x14ac:dyDescent="0.2">
      <c r="A1262" s="2">
        <v>2025</v>
      </c>
      <c r="B1262" s="2">
        <v>7</v>
      </c>
      <c r="D1262" s="2" t="s">
        <v>1528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1529</v>
      </c>
      <c r="J1262" s="2" t="s">
        <v>1530</v>
      </c>
      <c r="K1262" s="2">
        <v>962461409</v>
      </c>
      <c r="L1262" s="2" t="s">
        <v>345</v>
      </c>
      <c r="M1262" s="2" t="s">
        <v>40</v>
      </c>
      <c r="O1262" s="2" t="s">
        <v>1531</v>
      </c>
      <c r="P1262" s="2" t="s">
        <v>283</v>
      </c>
      <c r="Q1262" s="2" t="s">
        <v>1532</v>
      </c>
      <c r="R1262" s="2" t="s">
        <v>1533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50"/>
        <v>0.3</v>
      </c>
      <c r="Z1262" s="2" t="s">
        <v>3231</v>
      </c>
      <c r="AA1262" s="2" t="s">
        <v>579</v>
      </c>
      <c r="AB1262" s="2" t="s">
        <v>120</v>
      </c>
      <c r="AC1262" s="2" t="s">
        <v>1329</v>
      </c>
      <c r="AF1262" s="2">
        <f t="shared" si="146"/>
        <v>0</v>
      </c>
      <c r="AJ1262" s="2">
        <f t="shared" si="147"/>
        <v>0</v>
      </c>
      <c r="AK1262" s="2">
        <f t="shared" si="148"/>
        <v>72.599999999999994</v>
      </c>
      <c r="AL1262" s="5">
        <f t="shared" si="149"/>
        <v>0.3</v>
      </c>
    </row>
    <row r="1263" spans="1:38" hidden="1" x14ac:dyDescent="0.2">
      <c r="A1263" s="2">
        <v>2025</v>
      </c>
      <c r="B1263" s="2">
        <v>7</v>
      </c>
      <c r="D1263" s="2" t="s">
        <v>1528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1529</v>
      </c>
      <c r="J1263" s="2" t="s">
        <v>1530</v>
      </c>
      <c r="K1263" s="2">
        <v>962461409</v>
      </c>
      <c r="L1263" s="2" t="s">
        <v>345</v>
      </c>
      <c r="M1263" s="2" t="s">
        <v>40</v>
      </c>
      <c r="O1263" s="2" t="s">
        <v>1531</v>
      </c>
      <c r="P1263" s="2" t="s">
        <v>283</v>
      </c>
      <c r="Q1263" s="2" t="s">
        <v>1534</v>
      </c>
      <c r="R1263" s="2" t="s">
        <v>1535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50"/>
        <v>0.88113207547169814</v>
      </c>
      <c r="Z1263" s="2" t="s">
        <v>3231</v>
      </c>
      <c r="AA1263" s="2" t="s">
        <v>156</v>
      </c>
      <c r="AB1263" s="2" t="s">
        <v>3408</v>
      </c>
      <c r="AC1263" s="2" t="s">
        <v>1329</v>
      </c>
      <c r="AF1263" s="2">
        <f t="shared" si="146"/>
        <v>0</v>
      </c>
      <c r="AJ1263" s="2">
        <f t="shared" si="147"/>
        <v>0</v>
      </c>
      <c r="AK1263" s="2">
        <f t="shared" si="148"/>
        <v>46.7</v>
      </c>
      <c r="AL1263" s="5">
        <f t="shared" si="149"/>
        <v>0.88113207547169814</v>
      </c>
    </row>
    <row r="1264" spans="1:38" hidden="1" x14ac:dyDescent="0.2">
      <c r="A1264" s="2">
        <v>2025</v>
      </c>
      <c r="B1264" s="2">
        <v>7</v>
      </c>
      <c r="D1264" s="2" t="s">
        <v>1528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1529</v>
      </c>
      <c r="J1264" s="2" t="s">
        <v>1530</v>
      </c>
      <c r="K1264" s="2">
        <v>962461409</v>
      </c>
      <c r="L1264" s="2" t="s">
        <v>345</v>
      </c>
      <c r="M1264" s="2" t="s">
        <v>40</v>
      </c>
      <c r="O1264" s="2" t="s">
        <v>1531</v>
      </c>
      <c r="P1264" s="2" t="s">
        <v>283</v>
      </c>
      <c r="Q1264" s="2" t="s">
        <v>1536</v>
      </c>
      <c r="R1264" s="2" t="s">
        <v>1537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50"/>
        <v>0.30000000000000004</v>
      </c>
      <c r="Z1264" s="2" t="s">
        <v>3231</v>
      </c>
      <c r="AA1264" s="2" t="s">
        <v>156</v>
      </c>
      <c r="AB1264" s="2" t="s">
        <v>3408</v>
      </c>
      <c r="AC1264" s="2" t="s">
        <v>1329</v>
      </c>
      <c r="AF1264" s="2">
        <f t="shared" si="146"/>
        <v>0</v>
      </c>
      <c r="AJ1264" s="2">
        <f t="shared" si="147"/>
        <v>0</v>
      </c>
      <c r="AK1264" s="2">
        <f t="shared" si="148"/>
        <v>8.1000000000000014</v>
      </c>
      <c r="AL1264" s="5">
        <f t="shared" si="149"/>
        <v>0.30000000000000004</v>
      </c>
    </row>
    <row r="1265" spans="1:38" hidden="1" x14ac:dyDescent="0.2">
      <c r="A1265" s="2">
        <v>2025</v>
      </c>
      <c r="B1265" s="2">
        <v>7</v>
      </c>
      <c r="D1265" s="2" t="s">
        <v>1528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1529</v>
      </c>
      <c r="J1265" s="2" t="s">
        <v>1530</v>
      </c>
      <c r="K1265" s="2">
        <v>962461409</v>
      </c>
      <c r="L1265" s="2" t="s">
        <v>345</v>
      </c>
      <c r="M1265" s="2" t="s">
        <v>40</v>
      </c>
      <c r="O1265" s="2" t="s">
        <v>1531</v>
      </c>
      <c r="P1265" s="2" t="s">
        <v>283</v>
      </c>
      <c r="Q1265" s="2" t="s">
        <v>1538</v>
      </c>
      <c r="R1265" s="2" t="s">
        <v>1539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50"/>
        <v>0.30000000000000004</v>
      </c>
      <c r="Z1265" s="2" t="s">
        <v>3231</v>
      </c>
      <c r="AA1265" s="2" t="s">
        <v>156</v>
      </c>
      <c r="AB1265" s="2" t="s">
        <v>3408</v>
      </c>
      <c r="AC1265" s="2" t="s">
        <v>1329</v>
      </c>
      <c r="AF1265" s="2">
        <f t="shared" si="146"/>
        <v>0</v>
      </c>
      <c r="AJ1265" s="2">
        <f t="shared" si="147"/>
        <v>0</v>
      </c>
      <c r="AK1265" s="2">
        <f t="shared" si="148"/>
        <v>8.1000000000000014</v>
      </c>
      <c r="AL1265" s="5">
        <f t="shared" si="149"/>
        <v>0.30000000000000004</v>
      </c>
    </row>
    <row r="1266" spans="1:38" hidden="1" x14ac:dyDescent="0.2">
      <c r="A1266" s="2">
        <v>2025</v>
      </c>
      <c r="B1266" s="2">
        <v>7</v>
      </c>
      <c r="D1266" s="2" t="s">
        <v>1528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1529</v>
      </c>
      <c r="J1266" s="2" t="s">
        <v>1530</v>
      </c>
      <c r="K1266" s="2">
        <v>962461409</v>
      </c>
      <c r="L1266" s="2" t="s">
        <v>345</v>
      </c>
      <c r="M1266" s="2" t="s">
        <v>40</v>
      </c>
      <c r="O1266" s="2" t="s">
        <v>1531</v>
      </c>
      <c r="P1266" s="2" t="s">
        <v>283</v>
      </c>
      <c r="Q1266" s="2" t="s">
        <v>1540</v>
      </c>
      <c r="R1266" s="2" t="s">
        <v>1541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50"/>
        <v>0.88336415094339626</v>
      </c>
      <c r="Z1266" s="2" t="s">
        <v>3231</v>
      </c>
      <c r="AA1266" s="2" t="s">
        <v>156</v>
      </c>
      <c r="AB1266" s="2" t="s">
        <v>3408</v>
      </c>
      <c r="AC1266" s="2" t="s">
        <v>1329</v>
      </c>
      <c r="AF1266" s="2">
        <f t="shared" si="146"/>
        <v>0</v>
      </c>
      <c r="AJ1266" s="2">
        <f t="shared" si="147"/>
        <v>0</v>
      </c>
      <c r="AK1266" s="2">
        <f t="shared" si="148"/>
        <v>46.818300000000001</v>
      </c>
      <c r="AL1266" s="5">
        <f t="shared" si="149"/>
        <v>0.88336415094339626</v>
      </c>
    </row>
    <row r="1267" spans="1:38" hidden="1" x14ac:dyDescent="0.2">
      <c r="A1267" s="2">
        <v>2025</v>
      </c>
      <c r="B1267" s="2">
        <v>7</v>
      </c>
      <c r="D1267" s="2" t="s">
        <v>1528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1529</v>
      </c>
      <c r="J1267" s="2" t="s">
        <v>1530</v>
      </c>
      <c r="K1267" s="2">
        <v>962461409</v>
      </c>
      <c r="L1267" s="2" t="s">
        <v>345</v>
      </c>
      <c r="M1267" s="2" t="s">
        <v>40</v>
      </c>
      <c r="O1267" s="2" t="s">
        <v>1531</v>
      </c>
      <c r="P1267" s="2" t="s">
        <v>283</v>
      </c>
      <c r="Q1267" s="2" t="s">
        <v>1542</v>
      </c>
      <c r="R1267" s="2" t="s">
        <v>1543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50"/>
        <v>0.30891364902506963</v>
      </c>
      <c r="Z1267" s="2" t="s">
        <v>105</v>
      </c>
      <c r="AA1267" s="2" t="s">
        <v>388</v>
      </c>
      <c r="AB1267" s="2" t="s">
        <v>1332</v>
      </c>
      <c r="AC1267" s="2" t="s">
        <v>1329</v>
      </c>
      <c r="AF1267" s="2">
        <f t="shared" si="146"/>
        <v>0</v>
      </c>
      <c r="AG1267" s="2">
        <v>2481</v>
      </c>
      <c r="AJ1267" s="2">
        <f t="shared" si="147"/>
        <v>0</v>
      </c>
      <c r="AK1267" s="2">
        <f t="shared" si="148"/>
        <v>1109</v>
      </c>
      <c r="AL1267" s="5">
        <f t="shared" si="149"/>
        <v>0.30891364902506963</v>
      </c>
    </row>
    <row r="1268" spans="1:38" hidden="1" x14ac:dyDescent="0.2">
      <c r="A1268" s="2">
        <v>2025</v>
      </c>
      <c r="B1268" s="2">
        <v>7</v>
      </c>
      <c r="D1268" s="2" t="s">
        <v>1528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1529</v>
      </c>
      <c r="J1268" s="2" t="s">
        <v>1530</v>
      </c>
      <c r="K1268" s="2">
        <v>962461409</v>
      </c>
      <c r="L1268" s="2" t="s">
        <v>345</v>
      </c>
      <c r="M1268" s="2" t="s">
        <v>40</v>
      </c>
      <c r="O1268" s="2" t="s">
        <v>1531</v>
      </c>
      <c r="P1268" s="2" t="s">
        <v>283</v>
      </c>
      <c r="Q1268" s="2" t="s">
        <v>1544</v>
      </c>
      <c r="R1268" s="2" t="s">
        <v>1545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50"/>
        <v>0.30891364902506963</v>
      </c>
      <c r="Z1268" s="2" t="s">
        <v>105</v>
      </c>
      <c r="AA1268" s="2" t="s">
        <v>388</v>
      </c>
      <c r="AB1268" s="2" t="s">
        <v>1332</v>
      </c>
      <c r="AC1268" s="2" t="s">
        <v>1329</v>
      </c>
      <c r="AF1268" s="2">
        <f t="shared" si="146"/>
        <v>0</v>
      </c>
      <c r="AG1268" s="2">
        <v>2481</v>
      </c>
      <c r="AJ1268" s="2">
        <f t="shared" si="147"/>
        <v>0</v>
      </c>
      <c r="AK1268" s="2">
        <f t="shared" si="148"/>
        <v>1109</v>
      </c>
      <c r="AL1268" s="5">
        <f t="shared" si="149"/>
        <v>0.30891364902506963</v>
      </c>
    </row>
    <row r="1269" spans="1:38" hidden="1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1546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50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6"/>
        <v>0</v>
      </c>
      <c r="AG1269" s="2">
        <v>386</v>
      </c>
      <c r="AJ1269" s="2">
        <f t="shared" si="147"/>
        <v>0</v>
      </c>
      <c r="AK1269" s="2">
        <f t="shared" si="148"/>
        <v>415.61</v>
      </c>
      <c r="AL1269" s="5">
        <f t="shared" si="149"/>
        <v>0.5184690809745387</v>
      </c>
    </row>
    <row r="1270" spans="1:38" hidden="1" x14ac:dyDescent="0.2">
      <c r="A1270" s="2">
        <v>2025</v>
      </c>
      <c r="B1270" s="2">
        <v>7</v>
      </c>
      <c r="D1270" s="2" t="s">
        <v>998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50"/>
        <v>0.6</v>
      </c>
      <c r="Z1270" s="2" t="s">
        <v>118</v>
      </c>
      <c r="AA1270" s="2" t="s">
        <v>191</v>
      </c>
      <c r="AB1270" s="2" t="s">
        <v>190</v>
      </c>
      <c r="AC1270" s="2" t="s">
        <v>40</v>
      </c>
      <c r="AF1270" s="2">
        <f t="shared" si="146"/>
        <v>0</v>
      </c>
      <c r="AJ1270" s="2">
        <f t="shared" si="147"/>
        <v>0</v>
      </c>
      <c r="AK1270" s="2">
        <f t="shared" si="148"/>
        <v>108.6</v>
      </c>
      <c r="AL1270" s="5">
        <f t="shared" si="149"/>
        <v>0.6</v>
      </c>
    </row>
    <row r="1271" spans="1:38" hidden="1" x14ac:dyDescent="0.2">
      <c r="A1271" s="2">
        <v>2025</v>
      </c>
      <c r="B1271" s="2">
        <v>7</v>
      </c>
      <c r="D1271" s="2" t="s">
        <v>998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50"/>
        <v>0.5</v>
      </c>
      <c r="Z1271" s="2" t="s">
        <v>118</v>
      </c>
      <c r="AA1271" s="2" t="s">
        <v>191</v>
      </c>
      <c r="AB1271" s="2" t="s">
        <v>191</v>
      </c>
      <c r="AC1271" s="2" t="s">
        <v>40</v>
      </c>
      <c r="AF1271" s="2">
        <f t="shared" si="146"/>
        <v>0</v>
      </c>
      <c r="AJ1271" s="2">
        <f t="shared" si="147"/>
        <v>0</v>
      </c>
      <c r="AK1271" s="2">
        <f t="shared" si="148"/>
        <v>50</v>
      </c>
      <c r="AL1271" s="5">
        <f t="shared" si="149"/>
        <v>0.5</v>
      </c>
    </row>
    <row r="1272" spans="1:38" hidden="1" x14ac:dyDescent="0.2">
      <c r="A1272" s="2">
        <v>2025</v>
      </c>
      <c r="B1272" s="2">
        <v>7</v>
      </c>
      <c r="C1272" s="2" t="s">
        <v>3429</v>
      </c>
      <c r="D1272" s="2" t="s">
        <v>1547</v>
      </c>
      <c r="E1272" s="2" t="s">
        <v>109</v>
      </c>
      <c r="F1272" s="2" t="s">
        <v>39</v>
      </c>
      <c r="L1272" s="2" t="s">
        <v>178</v>
      </c>
      <c r="M1272" s="2" t="s">
        <v>40</v>
      </c>
      <c r="P1272" s="2" t="s">
        <v>115</v>
      </c>
      <c r="Q1272" s="2" t="s">
        <v>673</v>
      </c>
      <c r="R1272" s="2" t="s">
        <v>674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50"/>
        <v>1</v>
      </c>
      <c r="Z1272" s="2" t="s">
        <v>118</v>
      </c>
      <c r="AF1272" s="2">
        <f t="shared" si="146"/>
        <v>0</v>
      </c>
      <c r="AJ1272" s="2">
        <f t="shared" si="147"/>
        <v>0</v>
      </c>
      <c r="AK1272" s="2">
        <f t="shared" si="148"/>
        <v>14.95</v>
      </c>
      <c r="AL1272" s="5">
        <f t="shared" si="149"/>
        <v>1</v>
      </c>
    </row>
    <row r="1273" spans="1:38" hidden="1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699</v>
      </c>
      <c r="Q1273" s="2" t="s">
        <v>1548</v>
      </c>
      <c r="R1273" s="2" t="s">
        <v>1549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50"/>
        <v>1</v>
      </c>
      <c r="Z1273" s="2" t="s">
        <v>118</v>
      </c>
      <c r="AA1273" s="2" t="s">
        <v>119</v>
      </c>
      <c r="AB1273" s="2" t="s">
        <v>120</v>
      </c>
      <c r="AC1273" s="2" t="s">
        <v>699</v>
      </c>
      <c r="AF1273" s="2">
        <f t="shared" si="146"/>
        <v>0</v>
      </c>
      <c r="AJ1273" s="2">
        <f t="shared" si="147"/>
        <v>0</v>
      </c>
      <c r="AK1273" s="2">
        <f t="shared" si="148"/>
        <v>525.22</v>
      </c>
      <c r="AL1273" s="5">
        <f t="shared" si="149"/>
        <v>1</v>
      </c>
    </row>
    <row r="1274" spans="1:38" hidden="1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50"/>
        <v>0.6</v>
      </c>
      <c r="Z1274" s="2" t="s">
        <v>118</v>
      </c>
      <c r="AA1274" s="2" t="s">
        <v>191</v>
      </c>
      <c r="AB1274" s="2" t="s">
        <v>190</v>
      </c>
      <c r="AC1274" s="2" t="s">
        <v>40</v>
      </c>
      <c r="AF1274" s="2">
        <f t="shared" si="146"/>
        <v>0</v>
      </c>
      <c r="AJ1274" s="2">
        <f t="shared" si="147"/>
        <v>0</v>
      </c>
      <c r="AK1274" s="2">
        <f t="shared" si="148"/>
        <v>30</v>
      </c>
      <c r="AL1274" s="5">
        <f t="shared" si="149"/>
        <v>0.6</v>
      </c>
    </row>
    <row r="1275" spans="1:38" hidden="1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50"/>
        <v>0.5</v>
      </c>
      <c r="Z1275" s="2" t="s">
        <v>118</v>
      </c>
      <c r="AA1275" s="2" t="s">
        <v>191</v>
      </c>
      <c r="AB1275" s="2" t="s">
        <v>191</v>
      </c>
      <c r="AC1275" s="2" t="s">
        <v>40</v>
      </c>
      <c r="AF1275" s="2">
        <f t="shared" si="146"/>
        <v>0</v>
      </c>
      <c r="AJ1275" s="2">
        <f t="shared" si="147"/>
        <v>0</v>
      </c>
      <c r="AK1275" s="2">
        <f t="shared" si="148"/>
        <v>25</v>
      </c>
      <c r="AL1275" s="5">
        <f t="shared" si="149"/>
        <v>0.5</v>
      </c>
    </row>
    <row r="1276" spans="1:38" hidden="1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50"/>
        <v>1</v>
      </c>
      <c r="Z1276" s="2" t="s">
        <v>120</v>
      </c>
      <c r="AA1276" s="2" t="s">
        <v>3385</v>
      </c>
      <c r="AF1276" s="2">
        <f t="shared" si="146"/>
        <v>0</v>
      </c>
      <c r="AJ1276" s="2">
        <f t="shared" si="147"/>
        <v>0</v>
      </c>
      <c r="AK1276" s="2">
        <f t="shared" si="148"/>
        <v>525.28</v>
      </c>
      <c r="AL1276" s="5">
        <f t="shared" si="149"/>
        <v>1</v>
      </c>
    </row>
    <row r="1277" spans="1:38" hidden="1" x14ac:dyDescent="0.2">
      <c r="A1277" s="2">
        <v>2025</v>
      </c>
      <c r="B1277" s="2">
        <v>7</v>
      </c>
      <c r="D1277" s="2" t="s">
        <v>1008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1">17.4*S1277</f>
        <v>69.599999999999994</v>
      </c>
      <c r="X1277" s="5">
        <f t="shared" si="150"/>
        <v>0.4</v>
      </c>
      <c r="Z1277" s="2" t="s">
        <v>3231</v>
      </c>
      <c r="AA1277" s="2" t="s">
        <v>46</v>
      </c>
      <c r="AB1277" s="2" t="s">
        <v>61</v>
      </c>
      <c r="AC1277" s="2" t="s">
        <v>3336</v>
      </c>
      <c r="AF1277" s="2">
        <f t="shared" si="146"/>
        <v>0</v>
      </c>
      <c r="AJ1277" s="2">
        <f t="shared" si="147"/>
        <v>0</v>
      </c>
      <c r="AK1277" s="2">
        <f t="shared" si="148"/>
        <v>46.400000000000006</v>
      </c>
      <c r="AL1277" s="5">
        <f t="shared" si="149"/>
        <v>0.4</v>
      </c>
    </row>
    <row r="1278" spans="1:38" hidden="1" x14ac:dyDescent="0.2">
      <c r="A1278" s="2">
        <v>2025</v>
      </c>
      <c r="B1278" s="2">
        <v>7</v>
      </c>
      <c r="D1278" s="2" t="s">
        <v>1008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1"/>
        <v>139.19999999999999</v>
      </c>
      <c r="X1278" s="5">
        <f t="shared" si="150"/>
        <v>0.4</v>
      </c>
      <c r="Z1278" s="2" t="s">
        <v>3231</v>
      </c>
      <c r="AA1278" s="2" t="s">
        <v>46</v>
      </c>
      <c r="AB1278" s="2" t="s">
        <v>61</v>
      </c>
      <c r="AC1278" s="2" t="s">
        <v>3336</v>
      </c>
      <c r="AF1278" s="2">
        <f t="shared" si="146"/>
        <v>0</v>
      </c>
      <c r="AJ1278" s="2">
        <f t="shared" si="147"/>
        <v>0</v>
      </c>
      <c r="AK1278" s="2">
        <f t="shared" si="148"/>
        <v>92.800000000000011</v>
      </c>
      <c r="AL1278" s="5">
        <f t="shared" si="149"/>
        <v>0.4</v>
      </c>
    </row>
    <row r="1279" spans="1:38" hidden="1" x14ac:dyDescent="0.2">
      <c r="A1279" s="2">
        <v>2025</v>
      </c>
      <c r="B1279" s="2">
        <v>7</v>
      </c>
      <c r="D1279" s="2" t="s">
        <v>770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771</v>
      </c>
      <c r="J1279" s="2" t="s">
        <v>772</v>
      </c>
      <c r="L1279" s="2" t="s">
        <v>340</v>
      </c>
      <c r="M1279" s="2" t="s">
        <v>81</v>
      </c>
      <c r="O1279" s="2" t="s">
        <v>1550</v>
      </c>
      <c r="P1279" s="2" t="s">
        <v>283</v>
      </c>
      <c r="Q1279" s="2" t="s">
        <v>1551</v>
      </c>
      <c r="R1279" s="2" t="s">
        <v>1552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6"/>
        <v>0</v>
      </c>
      <c r="AJ1279" s="2">
        <f t="shared" si="147"/>
        <v>0</v>
      </c>
      <c r="AK1279" s="2">
        <f t="shared" si="148"/>
        <v>0</v>
      </c>
      <c r="AL1279" s="20" t="s">
        <v>3406</v>
      </c>
    </row>
    <row r="1280" spans="1:38" hidden="1" x14ac:dyDescent="0.2">
      <c r="A1280" s="2">
        <v>2025</v>
      </c>
      <c r="B1280" s="2">
        <v>7</v>
      </c>
      <c r="D1280" s="2" t="s">
        <v>770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771</v>
      </c>
      <c r="J1280" s="2" t="s">
        <v>772</v>
      </c>
      <c r="L1280" s="2" t="s">
        <v>340</v>
      </c>
      <c r="M1280" s="2" t="s">
        <v>81</v>
      </c>
      <c r="O1280" s="2" t="s">
        <v>1550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2">17.4*S1280</f>
        <v>348</v>
      </c>
      <c r="X1280" s="5">
        <f t="shared" ref="X1280:X1311" si="153">(T1280-W1280)/T1280</f>
        <v>0.4</v>
      </c>
      <c r="Z1280" s="2" t="s">
        <v>3231</v>
      </c>
      <c r="AA1280" s="2" t="s">
        <v>46</v>
      </c>
      <c r="AB1280" s="2" t="s">
        <v>61</v>
      </c>
      <c r="AC1280" s="2" t="s">
        <v>3336</v>
      </c>
      <c r="AF1280" s="2">
        <f t="shared" si="146"/>
        <v>0</v>
      </c>
      <c r="AJ1280" s="2">
        <f t="shared" si="147"/>
        <v>0</v>
      </c>
      <c r="AK1280" s="2">
        <f t="shared" si="148"/>
        <v>232</v>
      </c>
      <c r="AL1280" s="5">
        <f t="shared" si="149"/>
        <v>0.4</v>
      </c>
    </row>
    <row r="1281" spans="1:38" hidden="1" x14ac:dyDescent="0.2">
      <c r="A1281" s="2">
        <v>2025</v>
      </c>
      <c r="B1281" s="2">
        <v>7</v>
      </c>
      <c r="D1281" s="2" t="s">
        <v>770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771</v>
      </c>
      <c r="J1281" s="2" t="s">
        <v>772</v>
      </c>
      <c r="L1281" s="2" t="s">
        <v>340</v>
      </c>
      <c r="M1281" s="2" t="s">
        <v>81</v>
      </c>
      <c r="O1281" s="2" t="s">
        <v>1550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2"/>
        <v>348</v>
      </c>
      <c r="X1281" s="5">
        <f t="shared" si="153"/>
        <v>0.4</v>
      </c>
      <c r="Z1281" s="2" t="s">
        <v>3231</v>
      </c>
      <c r="AA1281" s="2" t="s">
        <v>46</v>
      </c>
      <c r="AB1281" s="2" t="s">
        <v>61</v>
      </c>
      <c r="AC1281" s="2" t="s">
        <v>3336</v>
      </c>
      <c r="AF1281" s="2">
        <f t="shared" si="146"/>
        <v>0</v>
      </c>
      <c r="AJ1281" s="2">
        <f t="shared" si="147"/>
        <v>0</v>
      </c>
      <c r="AK1281" s="2">
        <f t="shared" si="148"/>
        <v>232</v>
      </c>
      <c r="AL1281" s="5">
        <f t="shared" si="149"/>
        <v>0.4</v>
      </c>
    </row>
    <row r="1282" spans="1:38" hidden="1" x14ac:dyDescent="0.2">
      <c r="A1282" s="2">
        <v>2025</v>
      </c>
      <c r="B1282" s="2">
        <v>7</v>
      </c>
      <c r="D1282" s="2" t="s">
        <v>770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771</v>
      </c>
      <c r="J1282" s="2" t="s">
        <v>772</v>
      </c>
      <c r="L1282" s="2" t="s">
        <v>340</v>
      </c>
      <c r="M1282" s="2" t="s">
        <v>81</v>
      </c>
      <c r="O1282" s="2" t="s">
        <v>1553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3"/>
        <v>0.46612272727272724</v>
      </c>
      <c r="Z1282" s="2" t="s">
        <v>3231</v>
      </c>
      <c r="AA1282" s="2" t="s">
        <v>76</v>
      </c>
      <c r="AB1282" s="2" t="s">
        <v>77</v>
      </c>
      <c r="AC1282" s="2" t="s">
        <v>78</v>
      </c>
      <c r="AF1282" s="2">
        <f t="shared" si="146"/>
        <v>0</v>
      </c>
      <c r="AG1282" s="2">
        <v>117.453</v>
      </c>
      <c r="AH1282" s="2">
        <v>220</v>
      </c>
      <c r="AJ1282" s="2">
        <f t="shared" si="147"/>
        <v>0</v>
      </c>
      <c r="AK1282" s="2">
        <f t="shared" si="148"/>
        <v>102.547</v>
      </c>
      <c r="AL1282" s="5">
        <f t="shared" si="149"/>
        <v>0.46612272727272724</v>
      </c>
    </row>
    <row r="1283" spans="1:38" hidden="1" x14ac:dyDescent="0.2">
      <c r="A1283" s="2">
        <v>2025</v>
      </c>
      <c r="B1283" s="2">
        <v>7</v>
      </c>
      <c r="D1283" s="2" t="s">
        <v>770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771</v>
      </c>
      <c r="J1283" s="2" t="s">
        <v>772</v>
      </c>
      <c r="L1283" s="2" t="s">
        <v>340</v>
      </c>
      <c r="M1283" s="2" t="s">
        <v>81</v>
      </c>
      <c r="O1283" s="2" t="s">
        <v>1553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3"/>
        <v>0</v>
      </c>
      <c r="Z1283" s="2" t="s">
        <v>3231</v>
      </c>
      <c r="AA1283" s="2" t="s">
        <v>97</v>
      </c>
      <c r="AB1283" s="2" t="s">
        <v>77</v>
      </c>
      <c r="AC1283" s="2" t="s">
        <v>94</v>
      </c>
      <c r="AF1283" s="2">
        <f t="shared" ref="AF1283:AF1346" si="154">AJ1283</f>
        <v>0</v>
      </c>
      <c r="AG1283" s="2">
        <v>1.1399999999999999</v>
      </c>
      <c r="AH1283" s="2">
        <v>1.1399999999999999</v>
      </c>
      <c r="AJ1283" s="2">
        <f t="shared" ref="AJ1283:AJ1346" si="155">AI1283*T1283</f>
        <v>0</v>
      </c>
      <c r="AK1283" s="2">
        <f t="shared" ref="AK1283:AK1346" si="156">T1283-W1283</f>
        <v>0</v>
      </c>
      <c r="AL1283" s="5">
        <f t="shared" si="149"/>
        <v>0</v>
      </c>
    </row>
    <row r="1284" spans="1:38" hidden="1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3"/>
        <v>0.6</v>
      </c>
      <c r="Z1284" s="2" t="s">
        <v>118</v>
      </c>
      <c r="AA1284" s="2" t="s">
        <v>191</v>
      </c>
      <c r="AB1284" s="2" t="s">
        <v>190</v>
      </c>
      <c r="AC1284" s="2" t="s">
        <v>40</v>
      </c>
      <c r="AF1284" s="2">
        <f t="shared" si="154"/>
        <v>0</v>
      </c>
      <c r="AJ1284" s="2">
        <f t="shared" si="155"/>
        <v>0</v>
      </c>
      <c r="AK1284" s="2">
        <f t="shared" si="156"/>
        <v>102.6</v>
      </c>
      <c r="AL1284" s="5">
        <f t="shared" si="149"/>
        <v>0.6</v>
      </c>
    </row>
    <row r="1285" spans="1:38" hidden="1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3"/>
        <v>0.5</v>
      </c>
      <c r="Z1285" s="2" t="s">
        <v>118</v>
      </c>
      <c r="AA1285" s="2" t="s">
        <v>191</v>
      </c>
      <c r="AB1285" s="2" t="s">
        <v>191</v>
      </c>
      <c r="AC1285" s="2" t="s">
        <v>40</v>
      </c>
      <c r="AF1285" s="2">
        <f t="shared" si="154"/>
        <v>0</v>
      </c>
      <c r="AJ1285" s="2">
        <f t="shared" si="155"/>
        <v>0</v>
      </c>
      <c r="AK1285" s="2">
        <f t="shared" si="156"/>
        <v>25</v>
      </c>
      <c r="AL1285" s="5">
        <f t="shared" si="149"/>
        <v>0.5</v>
      </c>
    </row>
    <row r="1286" spans="1:38" hidden="1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3"/>
        <v>1</v>
      </c>
      <c r="Z1286" s="2" t="s">
        <v>120</v>
      </c>
      <c r="AA1286" s="2" t="s">
        <v>3385</v>
      </c>
      <c r="AF1286" s="2">
        <f t="shared" si="154"/>
        <v>0</v>
      </c>
      <c r="AJ1286" s="2">
        <f t="shared" si="155"/>
        <v>0</v>
      </c>
      <c r="AK1286" s="2">
        <f t="shared" si="156"/>
        <v>200.03</v>
      </c>
      <c r="AL1286" s="5">
        <f t="shared" si="149"/>
        <v>1</v>
      </c>
    </row>
    <row r="1287" spans="1:38" hidden="1" x14ac:dyDescent="0.2">
      <c r="A1287" s="2">
        <v>2025</v>
      </c>
      <c r="B1287" s="2">
        <v>7</v>
      </c>
      <c r="D1287" s="2" t="s">
        <v>776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777</v>
      </c>
      <c r="J1287" s="2" t="s">
        <v>778</v>
      </c>
      <c r="L1287" s="2" t="s">
        <v>340</v>
      </c>
      <c r="M1287" s="2" t="s">
        <v>40</v>
      </c>
      <c r="O1287" s="2" t="s">
        <v>1554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3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4"/>
        <v>0</v>
      </c>
      <c r="AG1287" s="2">
        <v>246.77</v>
      </c>
      <c r="AJ1287" s="2">
        <f t="shared" si="155"/>
        <v>0</v>
      </c>
      <c r="AK1287" s="2">
        <f t="shared" si="156"/>
        <v>271.52</v>
      </c>
      <c r="AL1287" s="5">
        <f t="shared" si="149"/>
        <v>0.52387659418472288</v>
      </c>
    </row>
    <row r="1288" spans="1:38" hidden="1" x14ac:dyDescent="0.2">
      <c r="A1288" s="2">
        <v>2025</v>
      </c>
      <c r="B1288" s="2">
        <v>7</v>
      </c>
      <c r="D1288" s="2" t="s">
        <v>776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777</v>
      </c>
      <c r="J1288" s="2" t="s">
        <v>778</v>
      </c>
      <c r="L1288" s="2" t="s">
        <v>340</v>
      </c>
      <c r="M1288" s="2" t="s">
        <v>40</v>
      </c>
      <c r="O1288" s="2" t="s">
        <v>1555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3"/>
        <v>0.6</v>
      </c>
      <c r="Z1288" s="2" t="s">
        <v>118</v>
      </c>
      <c r="AA1288" s="2" t="s">
        <v>191</v>
      </c>
      <c r="AB1288" s="2" t="s">
        <v>190</v>
      </c>
      <c r="AC1288" s="2" t="s">
        <v>40</v>
      </c>
      <c r="AF1288" s="2">
        <f t="shared" si="154"/>
        <v>0</v>
      </c>
      <c r="AJ1288" s="2">
        <f t="shared" si="155"/>
        <v>0</v>
      </c>
      <c r="AK1288" s="2">
        <f t="shared" si="156"/>
        <v>60</v>
      </c>
      <c r="AL1288" s="5">
        <f t="shared" si="149"/>
        <v>0.6</v>
      </c>
    </row>
    <row r="1289" spans="1:38" hidden="1" x14ac:dyDescent="0.2">
      <c r="A1289" s="2">
        <v>2025</v>
      </c>
      <c r="B1289" s="2">
        <v>7</v>
      </c>
      <c r="D1289" s="2" t="s">
        <v>776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777</v>
      </c>
      <c r="J1289" s="2" t="s">
        <v>778</v>
      </c>
      <c r="L1289" s="2" t="s">
        <v>340</v>
      </c>
      <c r="M1289" s="2" t="s">
        <v>40</v>
      </c>
      <c r="O1289" s="2" t="s">
        <v>1555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3"/>
        <v>0.5</v>
      </c>
      <c r="Z1289" s="2" t="s">
        <v>118</v>
      </c>
      <c r="AA1289" s="2" t="s">
        <v>191</v>
      </c>
      <c r="AB1289" s="2" t="s">
        <v>191</v>
      </c>
      <c r="AC1289" s="2" t="s">
        <v>40</v>
      </c>
      <c r="AF1289" s="2">
        <f t="shared" si="154"/>
        <v>0</v>
      </c>
      <c r="AJ1289" s="2">
        <f t="shared" si="155"/>
        <v>0</v>
      </c>
      <c r="AK1289" s="2">
        <f t="shared" si="156"/>
        <v>150</v>
      </c>
      <c r="AL1289" s="5">
        <f t="shared" si="149"/>
        <v>0.5</v>
      </c>
    </row>
    <row r="1290" spans="1:38" hidden="1" x14ac:dyDescent="0.2">
      <c r="A1290" s="2">
        <v>2025</v>
      </c>
      <c r="B1290" s="2">
        <v>7</v>
      </c>
      <c r="D1290" s="2" t="s">
        <v>776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777</v>
      </c>
      <c r="J1290" s="2" t="s">
        <v>778</v>
      </c>
      <c r="L1290" s="2" t="s">
        <v>340</v>
      </c>
      <c r="M1290" s="2" t="s">
        <v>40</v>
      </c>
      <c r="O1290" s="2" t="s">
        <v>1554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3"/>
        <v>1</v>
      </c>
      <c r="Z1290" s="2" t="s">
        <v>118</v>
      </c>
      <c r="AA1290" s="2" t="s">
        <v>119</v>
      </c>
      <c r="AB1290" s="2" t="s">
        <v>120</v>
      </c>
      <c r="AF1290" s="2">
        <f t="shared" si="154"/>
        <v>0</v>
      </c>
      <c r="AJ1290" s="2">
        <f t="shared" si="155"/>
        <v>0</v>
      </c>
      <c r="AK1290" s="2">
        <f t="shared" si="156"/>
        <v>267.18</v>
      </c>
      <c r="AL1290" s="5">
        <f t="shared" si="149"/>
        <v>1</v>
      </c>
    </row>
    <row r="1291" spans="1:38" hidden="1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3"/>
        <v>0.6</v>
      </c>
      <c r="Z1291" s="2" t="s">
        <v>118</v>
      </c>
      <c r="AA1291" s="2" t="s">
        <v>191</v>
      </c>
      <c r="AB1291" s="2" t="s">
        <v>190</v>
      </c>
      <c r="AC1291" s="2" t="s">
        <v>40</v>
      </c>
      <c r="AF1291" s="2">
        <f t="shared" si="154"/>
        <v>0</v>
      </c>
      <c r="AJ1291" s="2">
        <f t="shared" si="155"/>
        <v>0</v>
      </c>
      <c r="AK1291" s="2">
        <f t="shared" si="156"/>
        <v>44.4</v>
      </c>
      <c r="AL1291" s="5">
        <f t="shared" si="149"/>
        <v>0.6</v>
      </c>
    </row>
    <row r="1292" spans="1:38" hidden="1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3"/>
        <v>0.5</v>
      </c>
      <c r="Z1292" s="2" t="s">
        <v>118</v>
      </c>
      <c r="AA1292" s="2" t="s">
        <v>191</v>
      </c>
      <c r="AB1292" s="2" t="s">
        <v>191</v>
      </c>
      <c r="AC1292" s="2" t="s">
        <v>40</v>
      </c>
      <c r="AF1292" s="2">
        <f t="shared" si="154"/>
        <v>0</v>
      </c>
      <c r="AJ1292" s="2">
        <f t="shared" si="155"/>
        <v>0</v>
      </c>
      <c r="AK1292" s="2">
        <f t="shared" si="156"/>
        <v>175</v>
      </c>
      <c r="AL1292" s="5">
        <f t="shared" si="149"/>
        <v>0.5</v>
      </c>
    </row>
    <row r="1293" spans="1:38" hidden="1" x14ac:dyDescent="0.2">
      <c r="A1293" s="2">
        <v>2025</v>
      </c>
      <c r="B1293" s="2">
        <v>7</v>
      </c>
      <c r="D1293" s="2" t="s">
        <v>1011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1012</v>
      </c>
      <c r="J1293" s="2" t="s">
        <v>1013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3"/>
        <v>1</v>
      </c>
      <c r="Z1293" s="2" t="s">
        <v>120</v>
      </c>
      <c r="AA1293" s="2" t="s">
        <v>3385</v>
      </c>
      <c r="AF1293" s="2">
        <f t="shared" si="154"/>
        <v>0</v>
      </c>
      <c r="AJ1293" s="2">
        <f t="shared" si="155"/>
        <v>0</v>
      </c>
      <c r="AK1293" s="2">
        <f t="shared" si="156"/>
        <v>630</v>
      </c>
      <c r="AL1293" s="5">
        <f t="shared" si="149"/>
        <v>1</v>
      </c>
    </row>
    <row r="1294" spans="1:38" hidden="1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824</v>
      </c>
      <c r="R1294" s="2" t="s">
        <v>825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3"/>
        <v>1</v>
      </c>
      <c r="Z1294" s="2" t="s">
        <v>118</v>
      </c>
      <c r="AF1294" s="2">
        <f t="shared" si="154"/>
        <v>0</v>
      </c>
      <c r="AJ1294" s="2">
        <f t="shared" si="155"/>
        <v>0</v>
      </c>
      <c r="AK1294" s="2">
        <f t="shared" si="156"/>
        <v>273.13</v>
      </c>
      <c r="AL1294" s="5">
        <f t="shared" si="149"/>
        <v>1</v>
      </c>
    </row>
    <row r="1295" spans="1:38" hidden="1" x14ac:dyDescent="0.2">
      <c r="A1295" s="2">
        <v>2025</v>
      </c>
      <c r="B1295" s="2">
        <v>7</v>
      </c>
      <c r="D1295" s="2" t="s">
        <v>1017</v>
      </c>
      <c r="E1295" s="2" t="s">
        <v>109</v>
      </c>
      <c r="F1295" s="2" t="s">
        <v>478</v>
      </c>
      <c r="G1295" s="2">
        <v>503815284</v>
      </c>
      <c r="H1295" s="2" t="s">
        <v>40</v>
      </c>
      <c r="I1295" s="2" t="s">
        <v>157</v>
      </c>
      <c r="J1295" s="2" t="s">
        <v>2542</v>
      </c>
      <c r="L1295" s="2" t="s">
        <v>100</v>
      </c>
      <c r="M1295" s="2" t="s">
        <v>81</v>
      </c>
      <c r="O1295" s="2" t="s">
        <v>1556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3"/>
        <v>0.515625</v>
      </c>
      <c r="Z1295" s="2" t="s">
        <v>3231</v>
      </c>
      <c r="AA1295" s="2" t="s">
        <v>46</v>
      </c>
      <c r="AB1295" s="2" t="s">
        <v>47</v>
      </c>
      <c r="AC1295" s="2" t="s">
        <v>48</v>
      </c>
      <c r="AF1295" s="2">
        <f t="shared" si="154"/>
        <v>0</v>
      </c>
      <c r="AG1295" s="2">
        <v>9.3000000000000007</v>
      </c>
      <c r="AH1295" s="2">
        <v>21</v>
      </c>
      <c r="AJ1295" s="2">
        <f t="shared" si="155"/>
        <v>0</v>
      </c>
      <c r="AK1295" s="2">
        <f t="shared" si="156"/>
        <v>39.599999999999994</v>
      </c>
      <c r="AL1295" s="5">
        <f t="shared" si="149"/>
        <v>0.515625</v>
      </c>
    </row>
    <row r="1296" spans="1:38" hidden="1" x14ac:dyDescent="0.2">
      <c r="A1296" s="2">
        <v>2025</v>
      </c>
      <c r="B1296" s="2">
        <v>7</v>
      </c>
      <c r="D1296" s="2" t="s">
        <v>1017</v>
      </c>
      <c r="E1296" s="2" t="s">
        <v>109</v>
      </c>
      <c r="F1296" s="2" t="s">
        <v>478</v>
      </c>
      <c r="G1296" s="2">
        <v>503815284</v>
      </c>
      <c r="H1296" s="2" t="s">
        <v>40</v>
      </c>
      <c r="I1296" s="2" t="s">
        <v>157</v>
      </c>
      <c r="J1296" s="2" t="s">
        <v>2542</v>
      </c>
      <c r="L1296" s="2" t="s">
        <v>100</v>
      </c>
      <c r="M1296" s="2" t="s">
        <v>81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3"/>
        <v>0.55526190476190485</v>
      </c>
      <c r="Z1296" s="2" t="s">
        <v>3231</v>
      </c>
      <c r="AA1296" s="2" t="s">
        <v>46</v>
      </c>
      <c r="AB1296" s="2" t="s">
        <v>47</v>
      </c>
      <c r="AC1296" s="2" t="s">
        <v>48</v>
      </c>
      <c r="AF1296" s="2">
        <f t="shared" si="154"/>
        <v>0</v>
      </c>
      <c r="AG1296" s="2">
        <v>3.7357999999999998</v>
      </c>
      <c r="AH1296" s="2">
        <v>9</v>
      </c>
      <c r="AJ1296" s="2">
        <f t="shared" si="155"/>
        <v>0</v>
      </c>
      <c r="AK1296" s="2">
        <f t="shared" si="156"/>
        <v>18.656800000000004</v>
      </c>
      <c r="AL1296" s="5">
        <f t="shared" ref="AL1296:AL1359" si="157">(T1296-W1296)/T1296</f>
        <v>0.55526190476190485</v>
      </c>
    </row>
    <row r="1297" spans="1:38" hidden="1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3"/>
        <v>0.41111111111111115</v>
      </c>
      <c r="Z1297" s="2" t="s">
        <v>3231</v>
      </c>
      <c r="AA1297" s="2" t="s">
        <v>46</v>
      </c>
      <c r="AB1297" s="2" t="s">
        <v>57</v>
      </c>
      <c r="AC1297" s="2" t="s">
        <v>58</v>
      </c>
      <c r="AF1297" s="2">
        <f t="shared" si="154"/>
        <v>0</v>
      </c>
      <c r="AG1297" s="2">
        <v>10.6</v>
      </c>
      <c r="AH1297" s="2">
        <v>18</v>
      </c>
      <c r="AJ1297" s="2">
        <f t="shared" si="155"/>
        <v>0</v>
      </c>
      <c r="AK1297" s="2">
        <f t="shared" si="156"/>
        <v>7.4</v>
      </c>
      <c r="AL1297" s="5">
        <f t="shared" si="157"/>
        <v>0.41111111111111115</v>
      </c>
    </row>
    <row r="1298" spans="1:38" hidden="1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3"/>
        <v>0.36923076923076914</v>
      </c>
      <c r="Z1298" s="2" t="s">
        <v>3231</v>
      </c>
      <c r="AA1298" s="2" t="s">
        <v>46</v>
      </c>
      <c r="AB1298" s="2" t="s">
        <v>61</v>
      </c>
      <c r="AC1298" s="2" t="s">
        <v>58</v>
      </c>
      <c r="AF1298" s="2">
        <f t="shared" si="154"/>
        <v>0</v>
      </c>
      <c r="AG1298" s="2">
        <v>8.1999999999999993</v>
      </c>
      <c r="AH1298" s="2">
        <v>13</v>
      </c>
      <c r="AJ1298" s="2">
        <f t="shared" si="155"/>
        <v>0</v>
      </c>
      <c r="AK1298" s="2">
        <f t="shared" si="156"/>
        <v>4.7999999999999989</v>
      </c>
      <c r="AL1298" s="5">
        <f t="shared" si="157"/>
        <v>0.36923076923076914</v>
      </c>
    </row>
    <row r="1299" spans="1:38" hidden="1" x14ac:dyDescent="0.2">
      <c r="A1299" s="2">
        <v>2025</v>
      </c>
      <c r="B1299" s="2">
        <v>7</v>
      </c>
      <c r="D1299" s="2" t="s">
        <v>1557</v>
      </c>
      <c r="E1299" s="2" t="s">
        <v>109</v>
      </c>
      <c r="F1299" s="2" t="s">
        <v>718</v>
      </c>
      <c r="G1299" s="2">
        <v>500975914</v>
      </c>
      <c r="H1299" s="2" t="s">
        <v>41</v>
      </c>
      <c r="I1299" s="2" t="s">
        <v>1558</v>
      </c>
      <c r="J1299" s="2" t="s">
        <v>1559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3"/>
        <v>0.6</v>
      </c>
      <c r="Z1299" s="2" t="s">
        <v>118</v>
      </c>
      <c r="AA1299" s="2" t="s">
        <v>191</v>
      </c>
      <c r="AB1299" s="2" t="s">
        <v>190</v>
      </c>
      <c r="AC1299" s="2" t="s">
        <v>40</v>
      </c>
      <c r="AF1299" s="2">
        <f t="shared" si="154"/>
        <v>0</v>
      </c>
      <c r="AJ1299" s="2">
        <f t="shared" si="155"/>
        <v>0</v>
      </c>
      <c r="AK1299" s="2">
        <f t="shared" si="156"/>
        <v>44.4</v>
      </c>
      <c r="AL1299" s="5">
        <f t="shared" si="157"/>
        <v>0.6</v>
      </c>
    </row>
    <row r="1300" spans="1:38" hidden="1" x14ac:dyDescent="0.2">
      <c r="A1300" s="2">
        <v>2025</v>
      </c>
      <c r="B1300" s="2">
        <v>7</v>
      </c>
      <c r="D1300" s="2" t="s">
        <v>1557</v>
      </c>
      <c r="E1300" s="2" t="s">
        <v>109</v>
      </c>
      <c r="F1300" s="2" t="s">
        <v>718</v>
      </c>
      <c r="G1300" s="2">
        <v>500975914</v>
      </c>
      <c r="H1300" s="2" t="s">
        <v>41</v>
      </c>
      <c r="I1300" s="2" t="s">
        <v>1558</v>
      </c>
      <c r="J1300" s="2" t="s">
        <v>1559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3"/>
        <v>0.5</v>
      </c>
      <c r="Z1300" s="2" t="s">
        <v>118</v>
      </c>
      <c r="AA1300" s="2" t="s">
        <v>191</v>
      </c>
      <c r="AB1300" s="2" t="s">
        <v>191</v>
      </c>
      <c r="AC1300" s="2" t="s">
        <v>40</v>
      </c>
      <c r="AF1300" s="2">
        <f t="shared" si="154"/>
        <v>0</v>
      </c>
      <c r="AJ1300" s="2">
        <f t="shared" si="155"/>
        <v>0</v>
      </c>
      <c r="AK1300" s="2">
        <f t="shared" si="156"/>
        <v>50</v>
      </c>
      <c r="AL1300" s="5">
        <f t="shared" si="157"/>
        <v>0.5</v>
      </c>
    </row>
    <row r="1301" spans="1:38" hidden="1" x14ac:dyDescent="0.2">
      <c r="A1301" s="2">
        <v>2025</v>
      </c>
      <c r="B1301" s="2">
        <v>7</v>
      </c>
      <c r="D1301" s="2" t="s">
        <v>1378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3"/>
        <v>0.46612272727272724</v>
      </c>
      <c r="Z1301" s="2" t="s">
        <v>3231</v>
      </c>
      <c r="AA1301" s="2" t="s">
        <v>76</v>
      </c>
      <c r="AB1301" s="2" t="s">
        <v>77</v>
      </c>
      <c r="AC1301" s="2" t="s">
        <v>78</v>
      </c>
      <c r="AF1301" s="2">
        <f t="shared" si="154"/>
        <v>0</v>
      </c>
      <c r="AG1301" s="2">
        <v>117.453</v>
      </c>
      <c r="AH1301" s="2">
        <v>220</v>
      </c>
      <c r="AJ1301" s="2">
        <f t="shared" si="155"/>
        <v>0</v>
      </c>
      <c r="AK1301" s="2">
        <f t="shared" si="156"/>
        <v>205.09399999999999</v>
      </c>
      <c r="AL1301" s="5">
        <f t="shared" si="157"/>
        <v>0.46612272727272724</v>
      </c>
    </row>
    <row r="1302" spans="1:38" hidden="1" x14ac:dyDescent="0.2">
      <c r="A1302" s="2">
        <v>2025</v>
      </c>
      <c r="B1302" s="2">
        <v>7</v>
      </c>
      <c r="D1302" s="2" t="s">
        <v>1378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3"/>
        <v>0</v>
      </c>
      <c r="Z1302" s="2" t="s">
        <v>3231</v>
      </c>
      <c r="AA1302" s="2" t="s">
        <v>97</v>
      </c>
      <c r="AB1302" s="2" t="s">
        <v>77</v>
      </c>
      <c r="AC1302" s="2" t="s">
        <v>94</v>
      </c>
      <c r="AF1302" s="2">
        <f t="shared" si="154"/>
        <v>0</v>
      </c>
      <c r="AJ1302" s="2">
        <f t="shared" si="155"/>
        <v>0</v>
      </c>
      <c r="AK1302" s="2">
        <f t="shared" si="156"/>
        <v>0</v>
      </c>
      <c r="AL1302" s="5">
        <f t="shared" si="157"/>
        <v>0</v>
      </c>
    </row>
    <row r="1303" spans="1:38" hidden="1" x14ac:dyDescent="0.2">
      <c r="A1303" s="2">
        <v>2025</v>
      </c>
      <c r="B1303" s="2">
        <v>7</v>
      </c>
      <c r="D1303" s="2" t="s">
        <v>1243</v>
      </c>
      <c r="P1303" s="2" t="s">
        <v>115</v>
      </c>
      <c r="Q1303" s="2" t="s">
        <v>642</v>
      </c>
      <c r="R1303" s="2" t="s">
        <v>643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3"/>
        <v>1</v>
      </c>
      <c r="Z1303" s="2" t="s">
        <v>118</v>
      </c>
      <c r="AF1303" s="2">
        <f t="shared" si="154"/>
        <v>0</v>
      </c>
      <c r="AJ1303" s="2">
        <f t="shared" si="155"/>
        <v>0</v>
      </c>
      <c r="AK1303" s="2">
        <f t="shared" si="156"/>
        <v>172.63</v>
      </c>
      <c r="AL1303" s="5">
        <f t="shared" si="157"/>
        <v>1</v>
      </c>
    </row>
    <row r="1304" spans="1:38" hidden="1" x14ac:dyDescent="0.2">
      <c r="A1304" s="2">
        <v>2025</v>
      </c>
      <c r="B1304" s="2">
        <v>7</v>
      </c>
      <c r="D1304" s="2" t="s">
        <v>1243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3"/>
        <v>0.6</v>
      </c>
      <c r="Z1304" s="2" t="s">
        <v>118</v>
      </c>
      <c r="AA1304" s="2" t="s">
        <v>191</v>
      </c>
      <c r="AB1304" s="2" t="s">
        <v>190</v>
      </c>
      <c r="AC1304" s="2" t="s">
        <v>40</v>
      </c>
      <c r="AF1304" s="2">
        <f t="shared" si="154"/>
        <v>0</v>
      </c>
      <c r="AJ1304" s="2">
        <f t="shared" si="155"/>
        <v>0</v>
      </c>
      <c r="AK1304" s="2">
        <f t="shared" si="156"/>
        <v>60</v>
      </c>
      <c r="AL1304" s="5">
        <f t="shared" si="157"/>
        <v>0.6</v>
      </c>
    </row>
    <row r="1305" spans="1:38" hidden="1" x14ac:dyDescent="0.2">
      <c r="A1305" s="2">
        <v>2025</v>
      </c>
      <c r="B1305" s="2">
        <v>7</v>
      </c>
      <c r="D1305" s="2" t="s">
        <v>1243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3"/>
        <v>0.5</v>
      </c>
      <c r="Z1305" s="2" t="s">
        <v>118</v>
      </c>
      <c r="AA1305" s="2" t="s">
        <v>191</v>
      </c>
      <c r="AB1305" s="2" t="s">
        <v>191</v>
      </c>
      <c r="AC1305" s="2" t="s">
        <v>40</v>
      </c>
      <c r="AF1305" s="2">
        <f t="shared" si="154"/>
        <v>0</v>
      </c>
      <c r="AJ1305" s="2">
        <f t="shared" si="155"/>
        <v>0</v>
      </c>
      <c r="AK1305" s="2">
        <f t="shared" si="156"/>
        <v>62.5</v>
      </c>
      <c r="AL1305" s="5">
        <f t="shared" si="157"/>
        <v>0.5</v>
      </c>
    </row>
    <row r="1306" spans="1:38" hidden="1" x14ac:dyDescent="0.2">
      <c r="A1306" s="2">
        <v>2025</v>
      </c>
      <c r="B1306" s="2">
        <v>7</v>
      </c>
      <c r="D1306" s="2" t="s">
        <v>1244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1560</v>
      </c>
      <c r="J1306" s="2" t="s">
        <v>1561</v>
      </c>
      <c r="K1306" s="2">
        <v>919050729</v>
      </c>
      <c r="L1306" s="2" t="s">
        <v>202</v>
      </c>
      <c r="M1306" s="2" t="s">
        <v>81</v>
      </c>
      <c r="O1306" s="2" t="s">
        <v>1562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3"/>
        <v>0.46762608695652175</v>
      </c>
      <c r="Z1306" s="2" t="s">
        <v>3231</v>
      </c>
      <c r="AA1306" s="2" t="s">
        <v>76</v>
      </c>
      <c r="AB1306" s="2" t="s">
        <v>77</v>
      </c>
      <c r="AC1306" s="2" t="s">
        <v>78</v>
      </c>
      <c r="AF1306" s="2">
        <f t="shared" si="154"/>
        <v>0</v>
      </c>
      <c r="AG1306" s="2">
        <v>122.446</v>
      </c>
      <c r="AH1306" s="2">
        <v>230</v>
      </c>
      <c r="AJ1306" s="2">
        <f t="shared" si="155"/>
        <v>0</v>
      </c>
      <c r="AK1306" s="2">
        <f t="shared" si="156"/>
        <v>107.554</v>
      </c>
      <c r="AL1306" s="5">
        <f t="shared" si="157"/>
        <v>0.46762608695652175</v>
      </c>
    </row>
    <row r="1307" spans="1:38" hidden="1" x14ac:dyDescent="0.2">
      <c r="A1307" s="2">
        <v>2025</v>
      </c>
      <c r="B1307" s="2">
        <v>7</v>
      </c>
      <c r="D1307" s="2" t="s">
        <v>1244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3"/>
        <v>0</v>
      </c>
      <c r="Z1307" s="2" t="s">
        <v>3231</v>
      </c>
      <c r="AA1307" s="2" t="s">
        <v>97</v>
      </c>
      <c r="AB1307" s="2" t="s">
        <v>77</v>
      </c>
      <c r="AC1307" s="2" t="s">
        <v>94</v>
      </c>
      <c r="AF1307" s="2">
        <f t="shared" si="154"/>
        <v>0</v>
      </c>
      <c r="AJ1307" s="2">
        <f t="shared" si="155"/>
        <v>0</v>
      </c>
      <c r="AK1307" s="2">
        <f t="shared" si="156"/>
        <v>0</v>
      </c>
      <c r="AL1307" s="5">
        <f t="shared" si="157"/>
        <v>0</v>
      </c>
    </row>
    <row r="1308" spans="1:38" hidden="1" x14ac:dyDescent="0.2">
      <c r="A1308" s="2">
        <v>2025</v>
      </c>
      <c r="B1308" s="2">
        <v>7</v>
      </c>
      <c r="D1308" s="2" t="s">
        <v>1019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1020</v>
      </c>
      <c r="J1308" s="2" t="s">
        <v>1021</v>
      </c>
      <c r="L1308" s="2" t="s">
        <v>294</v>
      </c>
      <c r="M1308" s="2" t="s">
        <v>81</v>
      </c>
      <c r="O1308" s="2" t="s">
        <v>1563</v>
      </c>
      <c r="P1308" s="2" t="s">
        <v>115</v>
      </c>
      <c r="Q1308" s="2" t="s">
        <v>1564</v>
      </c>
      <c r="R1308" s="2" t="s">
        <v>1565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3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4"/>
        <v>0</v>
      </c>
      <c r="AG1308" s="2">
        <v>26.77</v>
      </c>
      <c r="AH1308" s="2">
        <v>57.86</v>
      </c>
      <c r="AJ1308" s="2">
        <f t="shared" si="155"/>
        <v>0</v>
      </c>
      <c r="AK1308" s="2">
        <f t="shared" si="156"/>
        <v>31.09</v>
      </c>
      <c r="AL1308" s="5">
        <f t="shared" si="157"/>
        <v>0.53733148980297274</v>
      </c>
    </row>
    <row r="1309" spans="1:38" hidden="1" x14ac:dyDescent="0.2">
      <c r="A1309" s="2">
        <v>2025</v>
      </c>
      <c r="B1309" s="2">
        <v>7</v>
      </c>
      <c r="D1309" s="2" t="s">
        <v>1019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1020</v>
      </c>
      <c r="J1309" s="2" t="s">
        <v>1021</v>
      </c>
      <c r="L1309" s="2" t="s">
        <v>294</v>
      </c>
      <c r="M1309" s="2" t="s">
        <v>81</v>
      </c>
      <c r="O1309" s="2" t="s">
        <v>1566</v>
      </c>
      <c r="P1309" s="2" t="s">
        <v>73</v>
      </c>
      <c r="Q1309" s="2" t="s">
        <v>665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3"/>
        <v>0.40402380952380951</v>
      </c>
      <c r="Z1309" s="2" t="s">
        <v>3231</v>
      </c>
      <c r="AA1309" s="2" t="s">
        <v>76</v>
      </c>
      <c r="AB1309" s="2" t="s">
        <v>77</v>
      </c>
      <c r="AC1309" s="2" t="s">
        <v>78</v>
      </c>
      <c r="AF1309" s="2">
        <f t="shared" si="154"/>
        <v>0</v>
      </c>
      <c r="AJ1309" s="2">
        <f t="shared" si="155"/>
        <v>0</v>
      </c>
      <c r="AK1309" s="2">
        <f t="shared" si="156"/>
        <v>84.844999999999999</v>
      </c>
      <c r="AL1309" s="5">
        <f t="shared" si="157"/>
        <v>0.40402380952380951</v>
      </c>
    </row>
    <row r="1310" spans="1:38" hidden="1" x14ac:dyDescent="0.2">
      <c r="A1310" s="2">
        <v>2025</v>
      </c>
      <c r="B1310" s="2">
        <v>7</v>
      </c>
      <c r="D1310" s="2" t="s">
        <v>1019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1020</v>
      </c>
      <c r="J1310" s="2" t="s">
        <v>1021</v>
      </c>
      <c r="L1310" s="2" t="s">
        <v>294</v>
      </c>
      <c r="M1310" s="2" t="s">
        <v>81</v>
      </c>
      <c r="O1310" s="2" t="s">
        <v>1566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3"/>
        <v>0</v>
      </c>
      <c r="Z1310" s="2" t="s">
        <v>3231</v>
      </c>
      <c r="AA1310" s="2" t="s">
        <v>97</v>
      </c>
      <c r="AB1310" s="2" t="s">
        <v>77</v>
      </c>
      <c r="AC1310" s="2" t="s">
        <v>94</v>
      </c>
      <c r="AF1310" s="2">
        <f t="shared" si="154"/>
        <v>0</v>
      </c>
      <c r="AG1310" s="2">
        <v>1.1399999999999999</v>
      </c>
      <c r="AH1310" s="2">
        <v>1.1399999999999999</v>
      </c>
      <c r="AJ1310" s="2">
        <f t="shared" si="155"/>
        <v>0</v>
      </c>
      <c r="AK1310" s="2">
        <f t="shared" si="156"/>
        <v>0</v>
      </c>
      <c r="AL1310" s="5">
        <f t="shared" si="157"/>
        <v>0</v>
      </c>
    </row>
    <row r="1311" spans="1:38" hidden="1" x14ac:dyDescent="0.2">
      <c r="A1311" s="2">
        <v>2025</v>
      </c>
      <c r="B1311" s="2">
        <v>7</v>
      </c>
      <c r="D1311" s="2" t="s">
        <v>1567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3"/>
        <v>0.6</v>
      </c>
      <c r="Z1311" s="2" t="s">
        <v>118</v>
      </c>
      <c r="AA1311" s="2" t="s">
        <v>191</v>
      </c>
      <c r="AB1311" s="2" t="s">
        <v>190</v>
      </c>
      <c r="AC1311" s="2" t="s">
        <v>40</v>
      </c>
      <c r="AF1311" s="2">
        <f t="shared" si="154"/>
        <v>0</v>
      </c>
      <c r="AJ1311" s="2">
        <f t="shared" si="155"/>
        <v>0</v>
      </c>
      <c r="AK1311" s="2">
        <f t="shared" si="156"/>
        <v>33</v>
      </c>
      <c r="AL1311" s="5">
        <f t="shared" si="157"/>
        <v>0.6</v>
      </c>
    </row>
    <row r="1312" spans="1:38" hidden="1" x14ac:dyDescent="0.2">
      <c r="A1312" s="2">
        <v>2025</v>
      </c>
      <c r="B1312" s="2">
        <v>7</v>
      </c>
      <c r="D1312" s="2" t="s">
        <v>1567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8">(T1312-W1312)/T1312</f>
        <v>0.5</v>
      </c>
      <c r="Z1312" s="2" t="s">
        <v>118</v>
      </c>
      <c r="AA1312" s="2" t="s">
        <v>191</v>
      </c>
      <c r="AB1312" s="2" t="s">
        <v>191</v>
      </c>
      <c r="AC1312" s="2" t="s">
        <v>40</v>
      </c>
      <c r="AF1312" s="2">
        <f t="shared" si="154"/>
        <v>0</v>
      </c>
      <c r="AJ1312" s="2">
        <f t="shared" si="155"/>
        <v>0</v>
      </c>
      <c r="AK1312" s="2">
        <f t="shared" si="156"/>
        <v>37.5</v>
      </c>
      <c r="AL1312" s="5">
        <f t="shared" si="157"/>
        <v>0.5</v>
      </c>
    </row>
    <row r="1313" spans="1:38" hidden="1" x14ac:dyDescent="0.2">
      <c r="A1313" s="2">
        <v>2025</v>
      </c>
      <c r="B1313" s="2">
        <v>7</v>
      </c>
      <c r="D1313" s="2" t="s">
        <v>1568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8"/>
        <v>0.37176190476190474</v>
      </c>
      <c r="Z1313" s="2" t="s">
        <v>3231</v>
      </c>
      <c r="AA1313" s="2" t="s">
        <v>76</v>
      </c>
      <c r="AB1313" s="2" t="s">
        <v>77</v>
      </c>
      <c r="AC1313" s="2" t="s">
        <v>78</v>
      </c>
      <c r="AF1313" s="2">
        <f t="shared" si="154"/>
        <v>0</v>
      </c>
      <c r="AG1313" s="2">
        <v>131.93</v>
      </c>
      <c r="AH1313" s="2">
        <v>220</v>
      </c>
      <c r="AJ1313" s="2">
        <f t="shared" si="155"/>
        <v>0</v>
      </c>
      <c r="AK1313" s="2">
        <f t="shared" si="156"/>
        <v>78.069999999999993</v>
      </c>
      <c r="AL1313" s="5">
        <f t="shared" si="157"/>
        <v>0.37176190476190474</v>
      </c>
    </row>
    <row r="1314" spans="1:38" hidden="1" x14ac:dyDescent="0.2">
      <c r="A1314" s="2">
        <v>2025</v>
      </c>
      <c r="B1314" s="2">
        <v>7</v>
      </c>
      <c r="D1314" s="2" t="s">
        <v>1568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8"/>
        <v>0</v>
      </c>
      <c r="Z1314" s="2" t="s">
        <v>3231</v>
      </c>
      <c r="AA1314" s="2" t="s">
        <v>97</v>
      </c>
      <c r="AB1314" s="2" t="s">
        <v>77</v>
      </c>
      <c r="AC1314" s="2" t="s">
        <v>94</v>
      </c>
      <c r="AF1314" s="2">
        <f t="shared" si="154"/>
        <v>0</v>
      </c>
      <c r="AJ1314" s="2">
        <f t="shared" si="155"/>
        <v>0</v>
      </c>
      <c r="AK1314" s="2">
        <f t="shared" si="156"/>
        <v>0</v>
      </c>
      <c r="AL1314" s="5">
        <f t="shared" si="157"/>
        <v>0</v>
      </c>
    </row>
    <row r="1315" spans="1:38" hidden="1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809</v>
      </c>
      <c r="R1315" s="2" t="s">
        <v>810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8"/>
        <v>1</v>
      </c>
      <c r="Z1315" s="2" t="s">
        <v>118</v>
      </c>
      <c r="AF1315" s="2">
        <f t="shared" si="154"/>
        <v>0</v>
      </c>
      <c r="AJ1315" s="2">
        <f t="shared" si="155"/>
        <v>0</v>
      </c>
      <c r="AK1315" s="2">
        <f t="shared" si="156"/>
        <v>71.819999999999993</v>
      </c>
      <c r="AL1315" s="5">
        <f t="shared" si="157"/>
        <v>1</v>
      </c>
    </row>
    <row r="1316" spans="1:38" hidden="1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673</v>
      </c>
      <c r="R1316" s="2" t="s">
        <v>674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8"/>
        <v>1</v>
      </c>
      <c r="Z1316" s="2" t="s">
        <v>118</v>
      </c>
      <c r="AF1316" s="2">
        <f t="shared" si="154"/>
        <v>0</v>
      </c>
      <c r="AJ1316" s="2">
        <f t="shared" si="155"/>
        <v>0</v>
      </c>
      <c r="AK1316" s="2">
        <f t="shared" si="156"/>
        <v>12.81</v>
      </c>
      <c r="AL1316" s="5">
        <f t="shared" si="157"/>
        <v>1</v>
      </c>
    </row>
    <row r="1317" spans="1:38" hidden="1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8"/>
        <v>0.44069999999999998</v>
      </c>
      <c r="Z1317" s="2" t="s">
        <v>3231</v>
      </c>
      <c r="AA1317" s="2" t="s">
        <v>76</v>
      </c>
      <c r="AB1317" s="2" t="s">
        <v>77</v>
      </c>
      <c r="AC1317" s="2" t="s">
        <v>78</v>
      </c>
      <c r="AF1317" s="2">
        <f t="shared" si="154"/>
        <v>0</v>
      </c>
      <c r="AG1317" s="2">
        <v>117.453</v>
      </c>
      <c r="AH1317" s="2">
        <v>220</v>
      </c>
      <c r="AJ1317" s="2">
        <f t="shared" si="155"/>
        <v>0</v>
      </c>
      <c r="AK1317" s="2">
        <f t="shared" si="156"/>
        <v>92.546999999999997</v>
      </c>
      <c r="AL1317" s="5">
        <f t="shared" si="157"/>
        <v>0.44069999999999998</v>
      </c>
    </row>
    <row r="1318" spans="1:38" hidden="1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8"/>
        <v>0.6</v>
      </c>
      <c r="Z1318" s="2" t="s">
        <v>118</v>
      </c>
      <c r="AA1318" s="2" t="s">
        <v>191</v>
      </c>
      <c r="AB1318" s="2" t="s">
        <v>190</v>
      </c>
      <c r="AC1318" s="2" t="s">
        <v>40</v>
      </c>
      <c r="AF1318" s="2">
        <f t="shared" si="154"/>
        <v>0</v>
      </c>
      <c r="AJ1318" s="2">
        <f t="shared" si="155"/>
        <v>0</v>
      </c>
      <c r="AK1318" s="2">
        <f t="shared" si="156"/>
        <v>98.55</v>
      </c>
      <c r="AL1318" s="5">
        <f t="shared" si="157"/>
        <v>0.6</v>
      </c>
    </row>
    <row r="1319" spans="1:38" hidden="1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8"/>
        <v>0.5</v>
      </c>
      <c r="Z1319" s="2" t="s">
        <v>118</v>
      </c>
      <c r="AA1319" s="2" t="s">
        <v>191</v>
      </c>
      <c r="AB1319" s="2" t="s">
        <v>191</v>
      </c>
      <c r="AC1319" s="2" t="s">
        <v>40</v>
      </c>
      <c r="AF1319" s="2">
        <f t="shared" si="154"/>
        <v>0</v>
      </c>
      <c r="AJ1319" s="2">
        <f t="shared" si="155"/>
        <v>0</v>
      </c>
      <c r="AK1319" s="2">
        <f t="shared" si="156"/>
        <v>22.5</v>
      </c>
      <c r="AL1319" s="5">
        <f t="shared" si="157"/>
        <v>0.5</v>
      </c>
    </row>
    <row r="1320" spans="1:38" hidden="1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8"/>
        <v>0</v>
      </c>
      <c r="Z1320" s="2" t="s">
        <v>3231</v>
      </c>
      <c r="AA1320" s="2" t="s">
        <v>97</v>
      </c>
      <c r="AB1320" s="2" t="s">
        <v>77</v>
      </c>
      <c r="AC1320" s="2" t="s">
        <v>94</v>
      </c>
      <c r="AF1320" s="2">
        <f t="shared" si="154"/>
        <v>0</v>
      </c>
      <c r="AJ1320" s="2">
        <f t="shared" si="155"/>
        <v>0</v>
      </c>
      <c r="AK1320" s="2">
        <f t="shared" si="156"/>
        <v>0</v>
      </c>
      <c r="AL1320" s="5">
        <f t="shared" si="157"/>
        <v>0</v>
      </c>
    </row>
    <row r="1321" spans="1:38" hidden="1" x14ac:dyDescent="0.2">
      <c r="A1321" s="2">
        <v>2025</v>
      </c>
      <c r="B1321" s="2">
        <v>7</v>
      </c>
      <c r="D1321" s="2" t="s">
        <v>1569</v>
      </c>
      <c r="P1321" s="2" t="s">
        <v>115</v>
      </c>
      <c r="Q1321" s="2" t="s">
        <v>1570</v>
      </c>
      <c r="R1321" s="2" t="s">
        <v>1571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8"/>
        <v>1</v>
      </c>
      <c r="Z1321" s="2" t="s">
        <v>118</v>
      </c>
      <c r="AF1321" s="2">
        <f t="shared" si="154"/>
        <v>0</v>
      </c>
      <c r="AJ1321" s="2">
        <f t="shared" si="155"/>
        <v>0</v>
      </c>
      <c r="AK1321" s="2">
        <f t="shared" si="156"/>
        <v>1993.35</v>
      </c>
      <c r="AL1321" s="5">
        <f t="shared" si="157"/>
        <v>1</v>
      </c>
    </row>
    <row r="1322" spans="1:38" hidden="1" x14ac:dyDescent="0.2">
      <c r="A1322" s="2">
        <v>2025</v>
      </c>
      <c r="B1322" s="2">
        <v>7</v>
      </c>
      <c r="D1322" s="2" t="s">
        <v>1569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8"/>
        <v>0.6</v>
      </c>
      <c r="Z1322" s="2" t="s">
        <v>118</v>
      </c>
      <c r="AA1322" s="2" t="s">
        <v>191</v>
      </c>
      <c r="AB1322" s="2" t="s">
        <v>190</v>
      </c>
      <c r="AC1322" s="2" t="s">
        <v>40</v>
      </c>
      <c r="AF1322" s="2">
        <f t="shared" si="154"/>
        <v>0</v>
      </c>
      <c r="AJ1322" s="2">
        <f t="shared" si="155"/>
        <v>0</v>
      </c>
      <c r="AK1322" s="2">
        <f t="shared" si="156"/>
        <v>61.199999999999996</v>
      </c>
      <c r="AL1322" s="5">
        <f t="shared" si="157"/>
        <v>0.6</v>
      </c>
    </row>
    <row r="1323" spans="1:38" hidden="1" x14ac:dyDescent="0.2">
      <c r="A1323" s="2">
        <v>2025</v>
      </c>
      <c r="B1323" s="2">
        <v>7</v>
      </c>
      <c r="D1323" s="2" t="s">
        <v>1569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8"/>
        <v>0.5</v>
      </c>
      <c r="Z1323" s="2" t="s">
        <v>118</v>
      </c>
      <c r="AA1323" s="2" t="s">
        <v>191</v>
      </c>
      <c r="AB1323" s="2" t="s">
        <v>191</v>
      </c>
      <c r="AC1323" s="2" t="s">
        <v>40</v>
      </c>
      <c r="AF1323" s="2">
        <f t="shared" si="154"/>
        <v>0</v>
      </c>
      <c r="AJ1323" s="2">
        <f t="shared" si="155"/>
        <v>0</v>
      </c>
      <c r="AK1323" s="2">
        <f t="shared" si="156"/>
        <v>75</v>
      </c>
      <c r="AL1323" s="5">
        <f t="shared" si="157"/>
        <v>0.5</v>
      </c>
    </row>
    <row r="1324" spans="1:38" hidden="1" x14ac:dyDescent="0.2">
      <c r="A1324" s="2">
        <v>2025</v>
      </c>
      <c r="B1324" s="2">
        <v>7</v>
      </c>
      <c r="D1324" s="2" t="s">
        <v>1569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4"/>
        <v>0</v>
      </c>
      <c r="AJ1324" s="2">
        <f t="shared" si="155"/>
        <v>0</v>
      </c>
    </row>
    <row r="1325" spans="1:38" hidden="1" x14ac:dyDescent="0.2">
      <c r="A1325" s="2">
        <v>2025</v>
      </c>
      <c r="B1325" s="2">
        <v>7</v>
      </c>
      <c r="C1325" s="2" t="s">
        <v>3404</v>
      </c>
      <c r="D1325" s="2" t="s">
        <v>1572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1040</v>
      </c>
      <c r="Q1325" s="2" t="s">
        <v>1573</v>
      </c>
      <c r="R1325" s="2" t="s">
        <v>1574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8"/>
        <v>0.50389583333333332</v>
      </c>
      <c r="Z1325" s="2" t="s">
        <v>3231</v>
      </c>
      <c r="AA1325" s="2" t="s">
        <v>76</v>
      </c>
      <c r="AB1325" s="2" t="s">
        <v>77</v>
      </c>
      <c r="AC1325" s="2" t="s">
        <v>1040</v>
      </c>
      <c r="AF1325" s="2">
        <f t="shared" si="154"/>
        <v>0</v>
      </c>
      <c r="AJ1325" s="2">
        <f t="shared" si="155"/>
        <v>0</v>
      </c>
      <c r="AK1325" s="2">
        <f t="shared" si="156"/>
        <v>120.935</v>
      </c>
      <c r="AL1325" s="5">
        <f t="shared" si="157"/>
        <v>0.50389583333333332</v>
      </c>
    </row>
    <row r="1326" spans="1:38" hidden="1" x14ac:dyDescent="0.2">
      <c r="A1326" s="2">
        <v>2025</v>
      </c>
      <c r="B1326" s="2">
        <v>7</v>
      </c>
      <c r="C1326" s="2" t="s">
        <v>3404</v>
      </c>
      <c r="D1326" s="2" t="s">
        <v>1572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1040</v>
      </c>
      <c r="Q1326" s="2" t="s">
        <v>1575</v>
      </c>
      <c r="R1326" s="2" t="s">
        <v>1576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8"/>
        <v>0.50391666666666668</v>
      </c>
      <c r="Z1326" s="2" t="s">
        <v>3231</v>
      </c>
      <c r="AA1326" s="2" t="s">
        <v>76</v>
      </c>
      <c r="AB1326" s="2" t="s">
        <v>77</v>
      </c>
      <c r="AC1326" s="2" t="s">
        <v>1040</v>
      </c>
      <c r="AF1326" s="2">
        <f t="shared" si="154"/>
        <v>0</v>
      </c>
      <c r="AJ1326" s="2">
        <f t="shared" si="155"/>
        <v>0</v>
      </c>
      <c r="AK1326" s="2">
        <f t="shared" si="156"/>
        <v>120.94</v>
      </c>
      <c r="AL1326" s="5">
        <f t="shared" si="157"/>
        <v>0.50391666666666668</v>
      </c>
    </row>
    <row r="1327" spans="1:38" hidden="1" x14ac:dyDescent="0.2">
      <c r="A1327" s="2">
        <v>2025</v>
      </c>
      <c r="B1327" s="2">
        <v>7</v>
      </c>
      <c r="D1327" s="2" t="s">
        <v>1572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8"/>
        <v>0</v>
      </c>
      <c r="Z1327" s="2" t="s">
        <v>3231</v>
      </c>
      <c r="AA1327" s="2" t="s">
        <v>97</v>
      </c>
      <c r="AB1327" s="2" t="s">
        <v>77</v>
      </c>
      <c r="AC1327" s="2" t="s">
        <v>94</v>
      </c>
      <c r="AF1327" s="2">
        <f t="shared" si="154"/>
        <v>0</v>
      </c>
      <c r="AJ1327" s="2">
        <f t="shared" si="155"/>
        <v>0</v>
      </c>
      <c r="AK1327" s="2">
        <f t="shared" si="156"/>
        <v>0</v>
      </c>
      <c r="AL1327" s="5">
        <f t="shared" si="157"/>
        <v>0</v>
      </c>
    </row>
    <row r="1328" spans="1:38" hidden="1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1551</v>
      </c>
      <c r="R1328" s="2" t="s">
        <v>1552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8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4"/>
        <v>0</v>
      </c>
      <c r="AJ1328" s="2">
        <f t="shared" si="155"/>
        <v>0</v>
      </c>
      <c r="AK1328" s="2">
        <f t="shared" si="156"/>
        <v>298</v>
      </c>
      <c r="AL1328" s="5">
        <f t="shared" si="157"/>
        <v>0.50084033613445378</v>
      </c>
    </row>
    <row r="1329" spans="1:38" hidden="1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9">17.4*S1329</f>
        <v>34.799999999999997</v>
      </c>
      <c r="X1329" s="19">
        <v>-1</v>
      </c>
      <c r="Z1329" s="2" t="s">
        <v>3231</v>
      </c>
      <c r="AA1329" s="2" t="s">
        <v>46</v>
      </c>
      <c r="AB1329" s="2" t="s">
        <v>61</v>
      </c>
      <c r="AC1329" s="2" t="s">
        <v>3336</v>
      </c>
      <c r="AF1329" s="2">
        <f t="shared" si="154"/>
        <v>0</v>
      </c>
      <c r="AJ1329" s="2">
        <f t="shared" si="155"/>
        <v>0</v>
      </c>
      <c r="AK1329" s="2">
        <f t="shared" ref="AK1329:AK1330" si="160">T1329-W1329</f>
        <v>-34.799999999999997</v>
      </c>
      <c r="AL1329" s="19">
        <v>-1</v>
      </c>
    </row>
    <row r="1330" spans="1:38" hidden="1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9"/>
        <v>69.599999999999994</v>
      </c>
      <c r="X1330" s="19">
        <v>-1</v>
      </c>
      <c r="Z1330" s="2" t="s">
        <v>3231</v>
      </c>
      <c r="AA1330" s="2" t="s">
        <v>46</v>
      </c>
      <c r="AB1330" s="2" t="s">
        <v>61</v>
      </c>
      <c r="AC1330" s="2" t="s">
        <v>3336</v>
      </c>
      <c r="AF1330" s="2">
        <f t="shared" si="154"/>
        <v>0</v>
      </c>
      <c r="AJ1330" s="2">
        <f t="shared" si="155"/>
        <v>0</v>
      </c>
      <c r="AK1330" s="2">
        <f t="shared" si="160"/>
        <v>-69.599999999999994</v>
      </c>
      <c r="AL1330" s="19">
        <v>-1</v>
      </c>
    </row>
    <row r="1331" spans="1:38" hidden="1" x14ac:dyDescent="0.2">
      <c r="A1331" s="2">
        <v>2025</v>
      </c>
      <c r="B1331" s="2">
        <v>7</v>
      </c>
      <c r="D1331" s="2" t="s">
        <v>1577</v>
      </c>
      <c r="E1331" s="2" t="s">
        <v>753</v>
      </c>
      <c r="F1331" s="2" t="s">
        <v>39</v>
      </c>
      <c r="L1331" s="2" t="s">
        <v>462</v>
      </c>
      <c r="M1331" s="2" t="s">
        <v>110</v>
      </c>
      <c r="P1331" s="2" t="s">
        <v>283</v>
      </c>
      <c r="Q1331" s="2" t="s">
        <v>1284</v>
      </c>
      <c r="R1331" s="2" t="s">
        <v>1285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1578</v>
      </c>
      <c r="AB1331" s="2" t="s">
        <v>389</v>
      </c>
      <c r="AC1331" s="2" t="s">
        <v>1329</v>
      </c>
      <c r="AF1331" s="2">
        <f t="shared" si="154"/>
        <v>0</v>
      </c>
      <c r="AG1331" s="2">
        <f>1294+95</f>
        <v>1389</v>
      </c>
      <c r="AJ1331" s="2">
        <f t="shared" si="155"/>
        <v>0</v>
      </c>
      <c r="AK1331" s="2">
        <f t="shared" si="156"/>
        <v>111</v>
      </c>
      <c r="AL1331" s="5">
        <f t="shared" si="157"/>
        <v>7.3999999999999996E-2</v>
      </c>
    </row>
    <row r="1332" spans="1:38" hidden="1" x14ac:dyDescent="0.2">
      <c r="A1332" s="2">
        <v>2025</v>
      </c>
      <c r="B1332" s="2">
        <v>7</v>
      </c>
      <c r="D1332" s="2" t="s">
        <v>1577</v>
      </c>
      <c r="E1332" s="2" t="s">
        <v>753</v>
      </c>
      <c r="F1332" s="2" t="s">
        <v>39</v>
      </c>
      <c r="L1332" s="2" t="s">
        <v>462</v>
      </c>
      <c r="M1332" s="2" t="s">
        <v>110</v>
      </c>
      <c r="P1332" s="2" t="s">
        <v>283</v>
      </c>
      <c r="Q1332" s="2" t="s">
        <v>1286</v>
      </c>
      <c r="R1332" s="2" t="s">
        <v>1287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A1332" s="2" t="s">
        <v>1578</v>
      </c>
      <c r="AB1332" s="2" t="s">
        <v>389</v>
      </c>
      <c r="AC1332" s="2" t="s">
        <v>1329</v>
      </c>
      <c r="AF1332" s="2">
        <f t="shared" si="154"/>
        <v>0</v>
      </c>
      <c r="AJ1332" s="2">
        <f t="shared" si="155"/>
        <v>0</v>
      </c>
      <c r="AK1332" s="2">
        <f t="shared" si="156"/>
        <v>0</v>
      </c>
      <c r="AL1332" s="5" t="e">
        <f t="shared" si="157"/>
        <v>#DIV/0!</v>
      </c>
    </row>
    <row r="1333" spans="1:38" hidden="1" x14ac:dyDescent="0.2">
      <c r="A1333" s="2">
        <v>2025</v>
      </c>
      <c r="B1333" s="2">
        <v>7</v>
      </c>
      <c r="D1333" s="2" t="s">
        <v>1577</v>
      </c>
      <c r="E1333" s="2" t="s">
        <v>753</v>
      </c>
      <c r="F1333" s="2" t="s">
        <v>39</v>
      </c>
      <c r="L1333" s="2" t="s">
        <v>462</v>
      </c>
      <c r="M1333" s="2" t="s">
        <v>110</v>
      </c>
      <c r="P1333" s="2" t="s">
        <v>283</v>
      </c>
      <c r="Q1333" s="2" t="s">
        <v>1156</v>
      </c>
      <c r="R1333" s="2" t="s">
        <v>1157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1578</v>
      </c>
      <c r="AB1333" s="2" t="s">
        <v>389</v>
      </c>
      <c r="AC1333" s="2" t="s">
        <v>1329</v>
      </c>
      <c r="AF1333" s="2">
        <f t="shared" si="154"/>
        <v>0</v>
      </c>
      <c r="AJ1333" s="2">
        <f t="shared" si="155"/>
        <v>0</v>
      </c>
      <c r="AK1333" s="2">
        <f t="shared" si="156"/>
        <v>800</v>
      </c>
      <c r="AL1333" s="5">
        <f t="shared" si="157"/>
        <v>0.26755852842809363</v>
      </c>
    </row>
    <row r="1334" spans="1:38" hidden="1" x14ac:dyDescent="0.2">
      <c r="A1334" s="2">
        <v>2025</v>
      </c>
      <c r="B1334" s="2">
        <v>7</v>
      </c>
      <c r="D1334" s="2" t="s">
        <v>1577</v>
      </c>
      <c r="E1334" s="2" t="s">
        <v>753</v>
      </c>
      <c r="F1334" s="2" t="s">
        <v>39</v>
      </c>
      <c r="L1334" s="2" t="s">
        <v>462</v>
      </c>
      <c r="M1334" s="2" t="s">
        <v>110</v>
      </c>
      <c r="P1334" s="2" t="s">
        <v>283</v>
      </c>
      <c r="Q1334" s="2" t="s">
        <v>1158</v>
      </c>
      <c r="R1334" s="2" t="s">
        <v>1159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1578</v>
      </c>
      <c r="AB1334" s="2" t="s">
        <v>389</v>
      </c>
      <c r="AC1334" s="2" t="s">
        <v>1329</v>
      </c>
      <c r="AF1334" s="2">
        <f t="shared" si="154"/>
        <v>0</v>
      </c>
      <c r="AJ1334" s="2">
        <f t="shared" si="155"/>
        <v>0</v>
      </c>
      <c r="AK1334" s="2">
        <f t="shared" si="156"/>
        <v>108.5</v>
      </c>
      <c r="AL1334" s="5">
        <f t="shared" si="157"/>
        <v>0.31</v>
      </c>
    </row>
    <row r="1335" spans="1:38" hidden="1" x14ac:dyDescent="0.2">
      <c r="A1335" s="2">
        <v>2025</v>
      </c>
      <c r="B1335" s="2">
        <v>7</v>
      </c>
      <c r="D1335" s="2" t="s">
        <v>1577</v>
      </c>
      <c r="E1335" s="2" t="s">
        <v>753</v>
      </c>
      <c r="F1335" s="2" t="s">
        <v>39</v>
      </c>
      <c r="L1335" s="2" t="s">
        <v>462</v>
      </c>
      <c r="M1335" s="2" t="s">
        <v>110</v>
      </c>
      <c r="P1335" s="2" t="s">
        <v>283</v>
      </c>
      <c r="Q1335" s="2" t="s">
        <v>1160</v>
      </c>
      <c r="R1335" s="2" t="s">
        <v>1161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A1335" s="2" t="s">
        <v>1578</v>
      </c>
      <c r="AB1335" s="2" t="s">
        <v>389</v>
      </c>
      <c r="AC1335" s="2" t="s">
        <v>1329</v>
      </c>
      <c r="AF1335" s="2">
        <f t="shared" si="154"/>
        <v>0</v>
      </c>
      <c r="AJ1335" s="2">
        <f t="shared" si="155"/>
        <v>0</v>
      </c>
      <c r="AK1335" s="2">
        <f t="shared" si="156"/>
        <v>0</v>
      </c>
      <c r="AL1335" s="5" t="e">
        <f t="shared" si="157"/>
        <v>#DIV/0!</v>
      </c>
    </row>
    <row r="1336" spans="1:38" hidden="1" x14ac:dyDescent="0.2">
      <c r="A1336" s="2">
        <v>2025</v>
      </c>
      <c r="B1336" s="2">
        <v>7</v>
      </c>
      <c r="D1336" s="2" t="s">
        <v>1579</v>
      </c>
      <c r="Q1336" s="2" t="s">
        <v>1580</v>
      </c>
      <c r="R1336" s="2" t="s">
        <v>1581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1">(T1336-W1336)/T1336</f>
        <v>1</v>
      </c>
      <c r="AF1336" s="2">
        <f t="shared" si="154"/>
        <v>0</v>
      </c>
      <c r="AJ1336" s="2">
        <f t="shared" si="155"/>
        <v>0</v>
      </c>
      <c r="AK1336" s="2">
        <f t="shared" si="156"/>
        <v>40.75</v>
      </c>
      <c r="AL1336" s="5">
        <f t="shared" si="157"/>
        <v>1</v>
      </c>
    </row>
    <row r="1337" spans="1:38" hidden="1" x14ac:dyDescent="0.2">
      <c r="A1337" s="2">
        <v>2025</v>
      </c>
      <c r="B1337" s="2">
        <v>7</v>
      </c>
      <c r="D1337" s="2" t="s">
        <v>1579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1"/>
        <v>1</v>
      </c>
      <c r="Z1337" s="2" t="s">
        <v>170</v>
      </c>
      <c r="AA1337" s="2" t="s">
        <v>170</v>
      </c>
      <c r="AF1337" s="2">
        <f t="shared" si="154"/>
        <v>0</v>
      </c>
      <c r="AJ1337" s="2">
        <f t="shared" si="155"/>
        <v>0</v>
      </c>
      <c r="AK1337" s="2">
        <f t="shared" si="156"/>
        <v>5</v>
      </c>
      <c r="AL1337" s="5">
        <f t="shared" si="157"/>
        <v>1</v>
      </c>
    </row>
    <row r="1338" spans="1:38" hidden="1" x14ac:dyDescent="0.2">
      <c r="A1338" s="2">
        <v>2025</v>
      </c>
      <c r="B1338" s="2">
        <v>7</v>
      </c>
      <c r="C1338" s="2" t="s">
        <v>3320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1582</v>
      </c>
      <c r="R1338" s="2" t="s">
        <v>1583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1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4"/>
        <v>0</v>
      </c>
      <c r="AG1338" s="2">
        <f>4893.23+171</f>
        <v>5064.2299999999996</v>
      </c>
      <c r="AJ1338" s="2">
        <f t="shared" si="155"/>
        <v>0</v>
      </c>
      <c r="AK1338" s="2">
        <f t="shared" si="156"/>
        <v>2435.7700000000004</v>
      </c>
      <c r="AL1338" s="5">
        <f t="shared" si="157"/>
        <v>0.32476933333333341</v>
      </c>
    </row>
    <row r="1339" spans="1:38" hidden="1" x14ac:dyDescent="0.2">
      <c r="A1339" s="2">
        <v>2025</v>
      </c>
      <c r="B1339" s="2">
        <v>7</v>
      </c>
      <c r="D1339" s="2" t="s">
        <v>841</v>
      </c>
      <c r="E1339" s="2" t="s">
        <v>109</v>
      </c>
      <c r="F1339" s="2" t="s">
        <v>842</v>
      </c>
      <c r="G1339" s="2">
        <v>504981285</v>
      </c>
      <c r="H1339" s="2" t="s">
        <v>291</v>
      </c>
      <c r="I1339" s="2" t="s">
        <v>843</v>
      </c>
      <c r="J1339" s="2" t="s">
        <v>844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1"/>
        <v>0.6</v>
      </c>
      <c r="Z1339" s="2" t="s">
        <v>118</v>
      </c>
      <c r="AA1339" s="2" t="s">
        <v>191</v>
      </c>
      <c r="AB1339" s="2" t="s">
        <v>190</v>
      </c>
      <c r="AC1339" s="2" t="s">
        <v>40</v>
      </c>
      <c r="AF1339" s="2">
        <f t="shared" si="154"/>
        <v>0</v>
      </c>
      <c r="AJ1339" s="2">
        <f t="shared" si="155"/>
        <v>0</v>
      </c>
      <c r="AK1339" s="2">
        <f t="shared" si="156"/>
        <v>30</v>
      </c>
      <c r="AL1339" s="5">
        <f t="shared" si="157"/>
        <v>0.6</v>
      </c>
    </row>
    <row r="1340" spans="1:38" hidden="1" x14ac:dyDescent="0.2">
      <c r="A1340" s="2">
        <v>2025</v>
      </c>
      <c r="B1340" s="2">
        <v>7</v>
      </c>
      <c r="D1340" s="2" t="s">
        <v>841</v>
      </c>
      <c r="E1340" s="2" t="s">
        <v>109</v>
      </c>
      <c r="F1340" s="2" t="s">
        <v>842</v>
      </c>
      <c r="G1340" s="2">
        <v>504981285</v>
      </c>
      <c r="H1340" s="2" t="s">
        <v>291</v>
      </c>
      <c r="I1340" s="2" t="s">
        <v>843</v>
      </c>
      <c r="J1340" s="2" t="s">
        <v>844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1"/>
        <v>0.5</v>
      </c>
      <c r="Z1340" s="2" t="s">
        <v>118</v>
      </c>
      <c r="AA1340" s="2" t="s">
        <v>191</v>
      </c>
      <c r="AB1340" s="2" t="s">
        <v>191</v>
      </c>
      <c r="AC1340" s="2" t="s">
        <v>40</v>
      </c>
      <c r="AF1340" s="2">
        <f t="shared" si="154"/>
        <v>0</v>
      </c>
      <c r="AJ1340" s="2">
        <f t="shared" si="155"/>
        <v>0</v>
      </c>
      <c r="AK1340" s="2">
        <f t="shared" si="156"/>
        <v>25</v>
      </c>
      <c r="AL1340" s="5">
        <f t="shared" si="157"/>
        <v>0.5</v>
      </c>
    </row>
    <row r="1341" spans="1:38" hidden="1" x14ac:dyDescent="0.2">
      <c r="A1341" s="2">
        <v>2025</v>
      </c>
      <c r="B1341" s="2">
        <v>7</v>
      </c>
      <c r="D1341" s="2" t="s">
        <v>845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846</v>
      </c>
      <c r="L1341" s="2" t="s">
        <v>419</v>
      </c>
      <c r="M1341" s="2" t="s">
        <v>41</v>
      </c>
      <c r="O1341" s="2" t="s">
        <v>1584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1"/>
        <v>0.44777500000000003</v>
      </c>
      <c r="Z1341" s="2" t="s">
        <v>3231</v>
      </c>
      <c r="AA1341" s="2" t="s">
        <v>46</v>
      </c>
      <c r="AB1341" s="2" t="s">
        <v>47</v>
      </c>
      <c r="AC1341" s="2" t="s">
        <v>48</v>
      </c>
      <c r="AF1341" s="2">
        <f t="shared" si="154"/>
        <v>0</v>
      </c>
      <c r="AG1341" s="2">
        <v>6.6266999999999996</v>
      </c>
      <c r="AH1341" s="2">
        <v>12</v>
      </c>
      <c r="AJ1341" s="2">
        <f t="shared" si="155"/>
        <v>0</v>
      </c>
      <c r="AK1341" s="2">
        <f t="shared" si="156"/>
        <v>5.3733000000000004</v>
      </c>
      <c r="AL1341" s="5">
        <f t="shared" si="157"/>
        <v>0.44777500000000003</v>
      </c>
    </row>
    <row r="1342" spans="1:38" hidden="1" x14ac:dyDescent="0.2">
      <c r="A1342" s="2">
        <v>2025</v>
      </c>
      <c r="B1342" s="2">
        <v>7</v>
      </c>
      <c r="D1342" s="2" t="s">
        <v>845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846</v>
      </c>
      <c r="L1342" s="2" t="s">
        <v>419</v>
      </c>
      <c r="M1342" s="2" t="s">
        <v>41</v>
      </c>
      <c r="O1342" s="2" t="s">
        <v>1584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1"/>
        <v>0.46925333333333336</v>
      </c>
      <c r="Z1342" s="2" t="s">
        <v>3231</v>
      </c>
      <c r="AA1342" s="2" t="s">
        <v>46</v>
      </c>
      <c r="AB1342" s="2" t="s">
        <v>68</v>
      </c>
      <c r="AC1342" s="2" t="s">
        <v>58</v>
      </c>
      <c r="AF1342" s="2">
        <f t="shared" si="154"/>
        <v>0</v>
      </c>
      <c r="AG1342" s="2">
        <v>7.9611999999999998</v>
      </c>
      <c r="AH1342" s="2">
        <v>14.4</v>
      </c>
      <c r="AJ1342" s="2">
        <f t="shared" si="155"/>
        <v>0</v>
      </c>
      <c r="AK1342" s="2">
        <f t="shared" si="156"/>
        <v>7.0388000000000002</v>
      </c>
      <c r="AL1342" s="5">
        <f t="shared" si="157"/>
        <v>0.46925333333333336</v>
      </c>
    </row>
    <row r="1343" spans="1:38" hidden="1" x14ac:dyDescent="0.2">
      <c r="A1343" s="2">
        <v>2025</v>
      </c>
      <c r="B1343" s="2">
        <v>7</v>
      </c>
      <c r="D1343" s="2" t="s">
        <v>845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846</v>
      </c>
      <c r="L1343" s="2" t="s">
        <v>419</v>
      </c>
      <c r="M1343" s="2" t="s">
        <v>41</v>
      </c>
      <c r="O1343" s="2" t="s">
        <v>1584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1"/>
        <v>1</v>
      </c>
      <c r="Z1343" s="2" t="s">
        <v>170</v>
      </c>
      <c r="AA1343" s="2" t="s">
        <v>170</v>
      </c>
      <c r="AF1343" s="2">
        <f t="shared" si="154"/>
        <v>0</v>
      </c>
      <c r="AJ1343" s="2">
        <f t="shared" si="155"/>
        <v>0</v>
      </c>
      <c r="AK1343" s="2">
        <f t="shared" si="156"/>
        <v>8.5</v>
      </c>
      <c r="AL1343" s="5">
        <f t="shared" si="157"/>
        <v>1</v>
      </c>
    </row>
    <row r="1344" spans="1:38" hidden="1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1"/>
        <v>1</v>
      </c>
      <c r="Z1344" s="2" t="s">
        <v>120</v>
      </c>
      <c r="AA1344" s="2" t="s">
        <v>493</v>
      </c>
      <c r="AF1344" s="2">
        <f t="shared" si="154"/>
        <v>0</v>
      </c>
      <c r="AJ1344" s="2">
        <f t="shared" si="155"/>
        <v>0</v>
      </c>
      <c r="AK1344" s="2">
        <f t="shared" si="156"/>
        <v>664.04</v>
      </c>
      <c r="AL1344" s="5">
        <f t="shared" si="157"/>
        <v>1</v>
      </c>
    </row>
    <row r="1345" spans="1:38" hidden="1" x14ac:dyDescent="0.2">
      <c r="A1345" s="2">
        <v>2025</v>
      </c>
      <c r="B1345" s="2">
        <v>7</v>
      </c>
      <c r="D1345" s="2" t="s">
        <v>1585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1"/>
        <v>0.28462311557788939</v>
      </c>
      <c r="Z1345" s="2" t="s">
        <v>3231</v>
      </c>
      <c r="AA1345" s="2" t="s">
        <v>72</v>
      </c>
      <c r="AB1345" s="2" t="s">
        <v>120</v>
      </c>
      <c r="AC1345" s="2" t="s">
        <v>120</v>
      </c>
      <c r="AF1345" s="2">
        <f t="shared" si="154"/>
        <v>0</v>
      </c>
      <c r="AJ1345" s="2">
        <f t="shared" si="155"/>
        <v>0</v>
      </c>
      <c r="AK1345" s="2">
        <f t="shared" si="156"/>
        <v>56.639999999999986</v>
      </c>
      <c r="AL1345" s="5">
        <f t="shared" si="157"/>
        <v>0.28462311557788939</v>
      </c>
    </row>
    <row r="1346" spans="1:38" hidden="1" x14ac:dyDescent="0.2">
      <c r="A1346" s="2">
        <v>2025</v>
      </c>
      <c r="B1346" s="2">
        <v>7</v>
      </c>
      <c r="D1346" s="2" t="s">
        <v>1585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1"/>
        <v>1</v>
      </c>
      <c r="Z1346" s="2" t="s">
        <v>120</v>
      </c>
      <c r="AA1346" s="2" t="s">
        <v>3385</v>
      </c>
      <c r="AF1346" s="2">
        <f t="shared" si="154"/>
        <v>0</v>
      </c>
      <c r="AJ1346" s="2">
        <f t="shared" si="155"/>
        <v>0</v>
      </c>
      <c r="AK1346" s="2">
        <f t="shared" si="156"/>
        <v>132</v>
      </c>
      <c r="AL1346" s="5">
        <f t="shared" si="157"/>
        <v>1</v>
      </c>
    </row>
    <row r="1347" spans="1:38" hidden="1" x14ac:dyDescent="0.2">
      <c r="A1347" s="2">
        <v>2025</v>
      </c>
      <c r="B1347" s="2">
        <v>7</v>
      </c>
      <c r="D1347" s="2" t="s">
        <v>852</v>
      </c>
      <c r="P1347" s="2" t="s">
        <v>73</v>
      </c>
      <c r="Q1347" s="2" t="s">
        <v>665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1"/>
        <v>0.43111363636363637</v>
      </c>
      <c r="Z1347" s="2" t="s">
        <v>3231</v>
      </c>
      <c r="AA1347" s="2" t="s">
        <v>76</v>
      </c>
      <c r="AB1347" s="2" t="s">
        <v>77</v>
      </c>
      <c r="AC1347" s="2" t="s">
        <v>78</v>
      </c>
      <c r="AF1347" s="2">
        <f t="shared" ref="AF1347:AF1410" si="162">AJ1347</f>
        <v>0</v>
      </c>
      <c r="AJ1347" s="2">
        <f t="shared" ref="AJ1347:AJ1410" si="163">AI1347*T1347</f>
        <v>0</v>
      </c>
      <c r="AK1347" s="2">
        <f t="shared" ref="AK1347:AK1410" si="164">T1347-W1347</f>
        <v>94.844999999999999</v>
      </c>
      <c r="AL1347" s="5">
        <f t="shared" si="157"/>
        <v>0.43111363636363637</v>
      </c>
    </row>
    <row r="1348" spans="1:38" hidden="1" x14ac:dyDescent="0.2">
      <c r="A1348" s="2">
        <v>2025</v>
      </c>
      <c r="B1348" s="2">
        <v>7</v>
      </c>
      <c r="D1348" s="2" t="s">
        <v>852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1"/>
        <v>0.08</v>
      </c>
      <c r="Z1348" s="2" t="s">
        <v>170</v>
      </c>
      <c r="AA1348" s="2" t="s">
        <v>170</v>
      </c>
      <c r="AF1348" s="2">
        <f t="shared" si="162"/>
        <v>0</v>
      </c>
      <c r="AJ1348" s="2">
        <f t="shared" si="163"/>
        <v>0</v>
      </c>
      <c r="AK1348" s="2">
        <f t="shared" si="164"/>
        <v>2</v>
      </c>
      <c r="AL1348" s="5">
        <f t="shared" si="157"/>
        <v>0.08</v>
      </c>
    </row>
    <row r="1349" spans="1:38" hidden="1" x14ac:dyDescent="0.2">
      <c r="A1349" s="2">
        <v>2025</v>
      </c>
      <c r="B1349" s="2">
        <v>7</v>
      </c>
      <c r="D1349" s="2" t="s">
        <v>852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1"/>
        <v>0</v>
      </c>
      <c r="Z1349" s="2" t="s">
        <v>3231</v>
      </c>
      <c r="AA1349" s="2" t="s">
        <v>97</v>
      </c>
      <c r="AB1349" s="2" t="s">
        <v>77</v>
      </c>
      <c r="AC1349" s="2" t="s">
        <v>94</v>
      </c>
      <c r="AF1349" s="2">
        <f t="shared" si="162"/>
        <v>0</v>
      </c>
      <c r="AJ1349" s="2">
        <f t="shared" si="163"/>
        <v>0</v>
      </c>
      <c r="AK1349" s="2">
        <f t="shared" si="164"/>
        <v>0</v>
      </c>
      <c r="AL1349" s="5">
        <f t="shared" si="157"/>
        <v>0</v>
      </c>
    </row>
    <row r="1350" spans="1:38" hidden="1" x14ac:dyDescent="0.2">
      <c r="A1350" s="2">
        <v>2025</v>
      </c>
      <c r="B1350" s="2">
        <v>7</v>
      </c>
      <c r="D1350" s="2" t="s">
        <v>863</v>
      </c>
      <c r="P1350" s="2" t="s">
        <v>115</v>
      </c>
      <c r="Q1350" s="2" t="s">
        <v>1267</v>
      </c>
      <c r="R1350" s="2" t="s">
        <v>1268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1"/>
        <v>1</v>
      </c>
      <c r="Z1350" s="2" t="s">
        <v>118</v>
      </c>
      <c r="AF1350" s="2">
        <f t="shared" si="162"/>
        <v>0</v>
      </c>
      <c r="AJ1350" s="2">
        <f t="shared" si="163"/>
        <v>0</v>
      </c>
      <c r="AK1350" s="2">
        <f t="shared" si="164"/>
        <v>57.67</v>
      </c>
      <c r="AL1350" s="5">
        <f t="shared" si="157"/>
        <v>1</v>
      </c>
    </row>
    <row r="1351" spans="1:38" hidden="1" x14ac:dyDescent="0.2">
      <c r="A1351" s="2">
        <v>2025</v>
      </c>
      <c r="B1351" s="2">
        <v>7</v>
      </c>
      <c r="D1351" s="2" t="s">
        <v>863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B1351" s="2" t="s">
        <v>190</v>
      </c>
      <c r="AC1351" s="2" t="s">
        <v>40</v>
      </c>
      <c r="AF1351" s="2">
        <f t="shared" si="162"/>
        <v>0</v>
      </c>
      <c r="AJ1351" s="2">
        <f t="shared" si="163"/>
        <v>0</v>
      </c>
      <c r="AK1351" s="2">
        <f t="shared" si="164"/>
        <v>0</v>
      </c>
      <c r="AL1351" s="5" t="e">
        <f t="shared" si="157"/>
        <v>#DIV/0!</v>
      </c>
    </row>
    <row r="1352" spans="1:38" hidden="1" x14ac:dyDescent="0.2">
      <c r="A1352" s="2">
        <v>2025</v>
      </c>
      <c r="B1352" s="2">
        <v>7</v>
      </c>
      <c r="D1352" s="2" t="s">
        <v>863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1"/>
        <v>0.5</v>
      </c>
      <c r="Z1352" s="2" t="s">
        <v>118</v>
      </c>
      <c r="AA1352" s="2" t="s">
        <v>191</v>
      </c>
      <c r="AB1352" s="2" t="s">
        <v>191</v>
      </c>
      <c r="AC1352" s="2" t="s">
        <v>40</v>
      </c>
      <c r="AF1352" s="2">
        <f t="shared" si="162"/>
        <v>0</v>
      </c>
      <c r="AJ1352" s="2">
        <f t="shared" si="163"/>
        <v>0</v>
      </c>
      <c r="AK1352" s="2">
        <f t="shared" si="164"/>
        <v>25</v>
      </c>
      <c r="AL1352" s="5">
        <f t="shared" si="157"/>
        <v>0.5</v>
      </c>
    </row>
    <row r="1353" spans="1:38" hidden="1" x14ac:dyDescent="0.2">
      <c r="A1353" s="2">
        <v>2025</v>
      </c>
      <c r="B1353" s="2">
        <v>7</v>
      </c>
      <c r="D1353" s="2" t="s">
        <v>1586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1"/>
        <v>0.6</v>
      </c>
      <c r="Z1353" s="2" t="s">
        <v>118</v>
      </c>
      <c r="AA1353" s="2" t="s">
        <v>191</v>
      </c>
      <c r="AB1353" s="2" t="s">
        <v>190</v>
      </c>
      <c r="AC1353" s="2" t="s">
        <v>40</v>
      </c>
      <c r="AF1353" s="2">
        <f t="shared" si="162"/>
        <v>0</v>
      </c>
      <c r="AJ1353" s="2">
        <f t="shared" si="163"/>
        <v>0</v>
      </c>
      <c r="AK1353" s="2">
        <f t="shared" si="164"/>
        <v>30</v>
      </c>
      <c r="AL1353" s="5">
        <f t="shared" si="157"/>
        <v>0.6</v>
      </c>
    </row>
    <row r="1354" spans="1:38" hidden="1" x14ac:dyDescent="0.2">
      <c r="A1354" s="2">
        <v>2025</v>
      </c>
      <c r="B1354" s="2">
        <v>7</v>
      </c>
      <c r="D1354" s="2" t="s">
        <v>1586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1"/>
        <v>0.5</v>
      </c>
      <c r="Z1354" s="2" t="s">
        <v>118</v>
      </c>
      <c r="AA1354" s="2" t="s">
        <v>191</v>
      </c>
      <c r="AB1354" s="2" t="s">
        <v>191</v>
      </c>
      <c r="AC1354" s="2" t="s">
        <v>40</v>
      </c>
      <c r="AF1354" s="2">
        <f t="shared" si="162"/>
        <v>0</v>
      </c>
      <c r="AJ1354" s="2">
        <f t="shared" si="163"/>
        <v>0</v>
      </c>
      <c r="AK1354" s="2">
        <f t="shared" si="164"/>
        <v>75</v>
      </c>
      <c r="AL1354" s="5">
        <f t="shared" si="157"/>
        <v>0.5</v>
      </c>
    </row>
    <row r="1355" spans="1:38" hidden="1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1"/>
        <v>0.6</v>
      </c>
      <c r="Z1355" s="2" t="s">
        <v>118</v>
      </c>
      <c r="AA1355" s="2" t="s">
        <v>191</v>
      </c>
      <c r="AB1355" s="2" t="s">
        <v>190</v>
      </c>
      <c r="AC1355" s="2" t="s">
        <v>40</v>
      </c>
      <c r="AF1355" s="2">
        <f t="shared" si="162"/>
        <v>0</v>
      </c>
      <c r="AJ1355" s="2">
        <f t="shared" si="163"/>
        <v>0</v>
      </c>
      <c r="AK1355" s="2">
        <f t="shared" si="164"/>
        <v>30</v>
      </c>
      <c r="AL1355" s="5">
        <f t="shared" si="157"/>
        <v>0.6</v>
      </c>
    </row>
    <row r="1356" spans="1:38" hidden="1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1"/>
        <v>0.5</v>
      </c>
      <c r="Z1356" s="2" t="s">
        <v>118</v>
      </c>
      <c r="AA1356" s="2" t="s">
        <v>191</v>
      </c>
      <c r="AB1356" s="2" t="s">
        <v>191</v>
      </c>
      <c r="AC1356" s="2" t="s">
        <v>40</v>
      </c>
      <c r="AF1356" s="2">
        <f t="shared" si="162"/>
        <v>0</v>
      </c>
      <c r="AJ1356" s="2">
        <f t="shared" si="163"/>
        <v>0</v>
      </c>
      <c r="AK1356" s="2">
        <f t="shared" si="164"/>
        <v>25</v>
      </c>
      <c r="AL1356" s="5">
        <f t="shared" si="157"/>
        <v>0.5</v>
      </c>
    </row>
    <row r="1357" spans="1:38" hidden="1" x14ac:dyDescent="0.2">
      <c r="A1357" s="2">
        <v>2025</v>
      </c>
      <c r="B1357" s="2">
        <v>7</v>
      </c>
      <c r="D1357" s="2" t="s">
        <v>1067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1"/>
        <v>0.28474761904761903</v>
      </c>
      <c r="Z1357" s="2" t="s">
        <v>3231</v>
      </c>
      <c r="AA1357" s="2" t="s">
        <v>46</v>
      </c>
      <c r="AB1357" s="2" t="s">
        <v>68</v>
      </c>
      <c r="AC1357" s="2" t="s">
        <v>58</v>
      </c>
      <c r="AF1357" s="2">
        <f t="shared" si="162"/>
        <v>0</v>
      </c>
      <c r="AG1357" s="2">
        <v>15.020300000000001</v>
      </c>
      <c r="AH1357" s="2">
        <v>27.6</v>
      </c>
      <c r="AJ1357" s="2">
        <f t="shared" si="163"/>
        <v>0</v>
      </c>
      <c r="AK1357" s="2">
        <f t="shared" si="164"/>
        <v>23.918799999999997</v>
      </c>
      <c r="AL1357" s="5">
        <f t="shared" si="157"/>
        <v>0.28474761904761903</v>
      </c>
    </row>
    <row r="1358" spans="1:38" hidden="1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3138</v>
      </c>
      <c r="L1358" s="2" t="s">
        <v>178</v>
      </c>
      <c r="M1358" s="2" t="s">
        <v>41</v>
      </c>
      <c r="O1358" s="2" t="s">
        <v>3143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1"/>
        <v>0.44777500000000003</v>
      </c>
      <c r="Z1358" s="2" t="s">
        <v>3231</v>
      </c>
      <c r="AA1358" s="2" t="s">
        <v>46</v>
      </c>
      <c r="AB1358" s="2" t="s">
        <v>47</v>
      </c>
      <c r="AC1358" s="2" t="s">
        <v>48</v>
      </c>
      <c r="AF1358" s="2">
        <f t="shared" si="162"/>
        <v>0</v>
      </c>
      <c r="AG1358" s="2">
        <v>6.6266999999999996</v>
      </c>
      <c r="AH1358" s="2">
        <v>12</v>
      </c>
      <c r="AJ1358" s="2">
        <f t="shared" si="163"/>
        <v>0</v>
      </c>
      <c r="AK1358" s="2">
        <f t="shared" si="164"/>
        <v>21.493200000000002</v>
      </c>
      <c r="AL1358" s="5">
        <f t="shared" si="157"/>
        <v>0.44777500000000003</v>
      </c>
    </row>
    <row r="1359" spans="1:38" hidden="1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3138</v>
      </c>
      <c r="L1359" s="2" t="s">
        <v>178</v>
      </c>
      <c r="M1359" s="2" t="s">
        <v>41</v>
      </c>
      <c r="O1359" s="2" t="s">
        <v>3142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1"/>
        <v>0.21904761904761905</v>
      </c>
      <c r="Z1359" s="2" t="s">
        <v>3231</v>
      </c>
      <c r="AA1359" s="2" t="s">
        <v>46</v>
      </c>
      <c r="AB1359" s="2" t="s">
        <v>61</v>
      </c>
      <c r="AC1359" s="2" t="s">
        <v>58</v>
      </c>
      <c r="AF1359" s="2">
        <f t="shared" si="162"/>
        <v>0</v>
      </c>
      <c r="AG1359" s="2">
        <v>8.1999999999999993</v>
      </c>
      <c r="AH1359" s="2">
        <v>13</v>
      </c>
      <c r="AJ1359" s="2">
        <f t="shared" si="163"/>
        <v>0</v>
      </c>
      <c r="AK1359" s="2">
        <f t="shared" si="164"/>
        <v>23</v>
      </c>
      <c r="AL1359" s="5">
        <f t="shared" si="157"/>
        <v>0.21904761904761905</v>
      </c>
    </row>
    <row r="1360" spans="1:38" hidden="1" x14ac:dyDescent="0.2">
      <c r="A1360" s="2">
        <v>2025</v>
      </c>
      <c r="B1360" s="2">
        <v>7</v>
      </c>
      <c r="D1360" s="2" t="s">
        <v>509</v>
      </c>
      <c r="Q1360" s="2" t="s">
        <v>821</v>
      </c>
      <c r="R1360" s="2" t="s">
        <v>822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61"/>
        <v>0.25000000000000006</v>
      </c>
      <c r="Z1360" s="2" t="s">
        <v>105</v>
      </c>
      <c r="AA1360" s="2" t="s">
        <v>617</v>
      </c>
      <c r="AB1360" s="2" t="s">
        <v>476</v>
      </c>
      <c r="AC1360" s="2" t="s">
        <v>476</v>
      </c>
      <c r="AF1360" s="2">
        <f t="shared" si="162"/>
        <v>0</v>
      </c>
      <c r="AJ1360" s="2">
        <f t="shared" si="163"/>
        <v>0</v>
      </c>
      <c r="AK1360" s="2">
        <f t="shared" si="164"/>
        <v>304.87750000000005</v>
      </c>
      <c r="AL1360" s="5">
        <f t="shared" ref="AL1360:AL1423" si="165">(T1360-W1360)/T1360</f>
        <v>0.25000000000000006</v>
      </c>
    </row>
    <row r="1361" spans="1:38" hidden="1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61"/>
        <v>0.43981481481481483</v>
      </c>
      <c r="Z1361" s="2" t="s">
        <v>3231</v>
      </c>
      <c r="AA1361" s="2" t="s">
        <v>46</v>
      </c>
      <c r="AB1361" s="2" t="s">
        <v>57</v>
      </c>
      <c r="AC1361" s="2" t="s">
        <v>58</v>
      </c>
      <c r="AF1361" s="2">
        <f t="shared" si="162"/>
        <v>0</v>
      </c>
      <c r="AJ1361" s="2">
        <f t="shared" si="163"/>
        <v>0</v>
      </c>
      <c r="AK1361" s="2">
        <f t="shared" si="164"/>
        <v>7.125</v>
      </c>
      <c r="AL1361" s="5">
        <f t="shared" si="165"/>
        <v>0.43981481481481483</v>
      </c>
    </row>
    <row r="1362" spans="1:38" hidden="1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1"/>
        <v>1</v>
      </c>
      <c r="Z1362" s="2" t="s">
        <v>3231</v>
      </c>
      <c r="AA1362" s="2" t="s">
        <v>46</v>
      </c>
      <c r="AB1362" s="2" t="s">
        <v>57</v>
      </c>
      <c r="AC1362" s="2" t="s">
        <v>58</v>
      </c>
      <c r="AF1362" s="2">
        <f t="shared" si="162"/>
        <v>0</v>
      </c>
      <c r="AJ1362" s="2">
        <f t="shared" si="163"/>
        <v>0</v>
      </c>
      <c r="AK1362" s="2">
        <f t="shared" si="164"/>
        <v>19.8</v>
      </c>
      <c r="AL1362" s="5">
        <f t="shared" si="165"/>
        <v>1</v>
      </c>
    </row>
    <row r="1363" spans="1:38" hidden="1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1"/>
        <v>1</v>
      </c>
      <c r="Z1363" s="2" t="s">
        <v>3231</v>
      </c>
      <c r="AA1363" s="2" t="s">
        <v>46</v>
      </c>
      <c r="AB1363" s="2" t="s">
        <v>57</v>
      </c>
      <c r="AC1363" s="2" t="s">
        <v>58</v>
      </c>
      <c r="AF1363" s="2">
        <f t="shared" si="162"/>
        <v>0</v>
      </c>
      <c r="AJ1363" s="2">
        <f t="shared" si="163"/>
        <v>0</v>
      </c>
      <c r="AK1363" s="2">
        <f t="shared" si="164"/>
        <v>24</v>
      </c>
      <c r="AL1363" s="5">
        <f t="shared" si="165"/>
        <v>1</v>
      </c>
    </row>
    <row r="1364" spans="1:38" hidden="1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1"/>
        <v>1</v>
      </c>
      <c r="Z1364" s="2" t="s">
        <v>3231</v>
      </c>
      <c r="AA1364" s="2" t="s">
        <v>46</v>
      </c>
      <c r="AB1364" s="2" t="s">
        <v>57</v>
      </c>
      <c r="AC1364" s="2" t="s">
        <v>58</v>
      </c>
      <c r="AF1364" s="2">
        <f t="shared" si="162"/>
        <v>0</v>
      </c>
      <c r="AJ1364" s="2">
        <f t="shared" si="163"/>
        <v>0</v>
      </c>
      <c r="AK1364" s="2">
        <f t="shared" si="164"/>
        <v>28.8</v>
      </c>
      <c r="AL1364" s="5">
        <f t="shared" si="165"/>
        <v>1</v>
      </c>
    </row>
    <row r="1365" spans="1:38" hidden="1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1"/>
        <v>0.41111111111111115</v>
      </c>
      <c r="Z1365" s="2" t="s">
        <v>3231</v>
      </c>
      <c r="AA1365" s="2" t="s">
        <v>46</v>
      </c>
      <c r="AB1365" s="2" t="s">
        <v>57</v>
      </c>
      <c r="AC1365" s="2" t="s">
        <v>58</v>
      </c>
      <c r="AF1365" s="2">
        <f t="shared" si="162"/>
        <v>0</v>
      </c>
      <c r="AG1365" s="2">
        <v>10.6</v>
      </c>
      <c r="AH1365" s="2">
        <v>18</v>
      </c>
      <c r="AJ1365" s="2">
        <f t="shared" si="163"/>
        <v>0</v>
      </c>
      <c r="AK1365" s="2">
        <f t="shared" si="164"/>
        <v>7.4</v>
      </c>
      <c r="AL1365" s="5">
        <f t="shared" si="165"/>
        <v>0.41111111111111115</v>
      </c>
    </row>
    <row r="1366" spans="1:38" hidden="1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1"/>
        <v>0.5243888888888889</v>
      </c>
      <c r="Z1366" s="2" t="s">
        <v>3231</v>
      </c>
      <c r="AA1366" s="2" t="s">
        <v>46</v>
      </c>
      <c r="AB1366" s="2" t="s">
        <v>61</v>
      </c>
      <c r="AC1366" s="2" t="s">
        <v>58</v>
      </c>
      <c r="AF1366" s="2">
        <f t="shared" si="162"/>
        <v>0</v>
      </c>
      <c r="AG1366" s="2">
        <v>0.85609999999999997</v>
      </c>
      <c r="AH1366" s="2">
        <v>1.8</v>
      </c>
      <c r="AJ1366" s="2">
        <f t="shared" si="163"/>
        <v>0</v>
      </c>
      <c r="AK1366" s="2">
        <f t="shared" si="164"/>
        <v>6.6072999999999995</v>
      </c>
      <c r="AL1366" s="5">
        <f t="shared" si="165"/>
        <v>0.5243888888888889</v>
      </c>
    </row>
    <row r="1367" spans="1:38" hidden="1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1"/>
        <v>0.62926666666666664</v>
      </c>
      <c r="Z1367" s="2" t="s">
        <v>3231</v>
      </c>
      <c r="AA1367" s="2" t="s">
        <v>46</v>
      </c>
      <c r="AB1367" s="2" t="s">
        <v>61</v>
      </c>
      <c r="AC1367" s="2" t="s">
        <v>58</v>
      </c>
      <c r="AF1367" s="2">
        <f t="shared" si="162"/>
        <v>0</v>
      </c>
      <c r="AG1367" s="2">
        <v>1.1122000000000001</v>
      </c>
      <c r="AH1367" s="2">
        <v>3</v>
      </c>
      <c r="AJ1367" s="2">
        <f t="shared" si="163"/>
        <v>0</v>
      </c>
      <c r="AK1367" s="2">
        <f t="shared" si="164"/>
        <v>56.634</v>
      </c>
      <c r="AL1367" s="5">
        <f t="shared" si="165"/>
        <v>0.62926666666666664</v>
      </c>
    </row>
    <row r="1368" spans="1:38" hidden="1" x14ac:dyDescent="0.2">
      <c r="A1368" s="2">
        <v>2025</v>
      </c>
      <c r="B1368" s="2">
        <v>7</v>
      </c>
      <c r="D1368" s="2" t="s">
        <v>1587</v>
      </c>
      <c r="M1368" s="2" t="s">
        <v>81</v>
      </c>
      <c r="P1368" s="2" t="s">
        <v>283</v>
      </c>
      <c r="Q1368" s="2" t="s">
        <v>1588</v>
      </c>
      <c r="R1368" s="2" t="s">
        <v>1589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1"/>
        <v>0.30303030303030304</v>
      </c>
      <c r="Z1368" s="2" t="s">
        <v>3231</v>
      </c>
      <c r="AA1368" s="2" t="s">
        <v>72</v>
      </c>
      <c r="AB1368" s="2" t="s">
        <v>120</v>
      </c>
      <c r="AC1368" s="2" t="s">
        <v>120</v>
      </c>
      <c r="AF1368" s="2">
        <f t="shared" si="162"/>
        <v>0</v>
      </c>
      <c r="AJ1368" s="2">
        <f t="shared" si="163"/>
        <v>0</v>
      </c>
      <c r="AK1368" s="2">
        <f t="shared" si="164"/>
        <v>40</v>
      </c>
      <c r="AL1368" s="5">
        <f t="shared" si="165"/>
        <v>0.30303030303030304</v>
      </c>
    </row>
    <row r="1369" spans="1:38" hidden="1" x14ac:dyDescent="0.2">
      <c r="A1369" s="2">
        <v>2025</v>
      </c>
      <c r="B1369" s="2">
        <v>7</v>
      </c>
      <c r="D1369" s="2" t="s">
        <v>1587</v>
      </c>
      <c r="M1369" s="2" t="s">
        <v>81</v>
      </c>
      <c r="P1369" s="2" t="s">
        <v>283</v>
      </c>
      <c r="Q1369" s="2" t="s">
        <v>1590</v>
      </c>
      <c r="R1369" s="2" t="s">
        <v>1591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1"/>
        <v>0.30894308943089432</v>
      </c>
      <c r="Z1369" s="2" t="s">
        <v>3231</v>
      </c>
      <c r="AA1369" s="2" t="s">
        <v>72</v>
      </c>
      <c r="AB1369" s="2" t="s">
        <v>120</v>
      </c>
      <c r="AC1369" s="2" t="s">
        <v>120</v>
      </c>
      <c r="AF1369" s="2">
        <f t="shared" si="162"/>
        <v>0</v>
      </c>
      <c r="AJ1369" s="2">
        <f t="shared" si="163"/>
        <v>0</v>
      </c>
      <c r="AK1369" s="2">
        <f t="shared" si="164"/>
        <v>38</v>
      </c>
      <c r="AL1369" s="5">
        <f t="shared" si="165"/>
        <v>0.30894308943089432</v>
      </c>
    </row>
    <row r="1370" spans="1:38" hidden="1" x14ac:dyDescent="0.2">
      <c r="A1370" s="2">
        <v>2025</v>
      </c>
      <c r="B1370" s="2">
        <v>7</v>
      </c>
      <c r="D1370" s="2" t="s">
        <v>1587</v>
      </c>
      <c r="M1370" s="2" t="s">
        <v>81</v>
      </c>
      <c r="P1370" s="2" t="s">
        <v>283</v>
      </c>
      <c r="Q1370" s="2" t="s">
        <v>1438</v>
      </c>
      <c r="R1370" s="2" t="s">
        <v>1439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1"/>
        <v>0.25579710144927542</v>
      </c>
      <c r="Z1370" s="2" t="s">
        <v>3231</v>
      </c>
      <c r="AA1370" s="2" t="s">
        <v>72</v>
      </c>
      <c r="AB1370" s="2" t="s">
        <v>120</v>
      </c>
      <c r="AC1370" s="2" t="s">
        <v>120</v>
      </c>
      <c r="AF1370" s="2">
        <f t="shared" si="162"/>
        <v>0</v>
      </c>
      <c r="AJ1370" s="2">
        <f t="shared" si="163"/>
        <v>0</v>
      </c>
      <c r="AK1370" s="2">
        <f t="shared" si="164"/>
        <v>17.650000000000006</v>
      </c>
      <c r="AL1370" s="5">
        <f t="shared" si="165"/>
        <v>0.25579710144927542</v>
      </c>
    </row>
    <row r="1371" spans="1:38" hidden="1" x14ac:dyDescent="0.2">
      <c r="A1371" s="2">
        <v>2025</v>
      </c>
      <c r="B1371" s="2">
        <v>7</v>
      </c>
      <c r="D1371" s="2" t="s">
        <v>1587</v>
      </c>
      <c r="M1371" s="2" t="s">
        <v>81</v>
      </c>
      <c r="P1371" s="2" t="s">
        <v>283</v>
      </c>
      <c r="Q1371" s="2" t="s">
        <v>1592</v>
      </c>
      <c r="R1371" s="2" t="s">
        <v>1593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1"/>
        <v>0.25579710144927542</v>
      </c>
      <c r="Z1371" s="2" t="s">
        <v>3231</v>
      </c>
      <c r="AA1371" s="2" t="s">
        <v>72</v>
      </c>
      <c r="AB1371" s="2" t="s">
        <v>120</v>
      </c>
      <c r="AC1371" s="2" t="s">
        <v>120</v>
      </c>
      <c r="AF1371" s="2">
        <f t="shared" si="162"/>
        <v>0</v>
      </c>
      <c r="AJ1371" s="2">
        <f t="shared" si="163"/>
        <v>0</v>
      </c>
      <c r="AK1371" s="2">
        <f t="shared" si="164"/>
        <v>17.650000000000006</v>
      </c>
      <c r="AL1371" s="5">
        <f t="shared" si="165"/>
        <v>0.25579710144927542</v>
      </c>
    </row>
    <row r="1372" spans="1:38" hidden="1" x14ac:dyDescent="0.2">
      <c r="A1372" s="2">
        <v>2025</v>
      </c>
      <c r="B1372" s="2">
        <v>7</v>
      </c>
      <c r="D1372" s="2" t="s">
        <v>1587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1"/>
        <v>0.29692307692307701</v>
      </c>
      <c r="Z1372" s="2" t="s">
        <v>3231</v>
      </c>
      <c r="AA1372" s="2" t="s">
        <v>46</v>
      </c>
      <c r="AB1372" s="2" t="s">
        <v>61</v>
      </c>
      <c r="AC1372" s="2" t="s">
        <v>58</v>
      </c>
      <c r="AF1372" s="2">
        <f t="shared" si="162"/>
        <v>0</v>
      </c>
      <c r="AG1372" s="2">
        <v>9.14</v>
      </c>
      <c r="AH1372" s="2">
        <v>16</v>
      </c>
      <c r="AJ1372" s="2">
        <f t="shared" si="163"/>
        <v>0</v>
      </c>
      <c r="AK1372" s="2">
        <f t="shared" si="164"/>
        <v>38.600000000000009</v>
      </c>
      <c r="AL1372" s="5">
        <f t="shared" si="165"/>
        <v>0.29692307692307701</v>
      </c>
    </row>
    <row r="1373" spans="1:38" hidden="1" x14ac:dyDescent="0.2">
      <c r="A1373" s="2">
        <v>2025</v>
      </c>
      <c r="B1373" s="2">
        <v>7</v>
      </c>
      <c r="D1373" s="2" t="s">
        <v>1587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1"/>
        <v>0.18</v>
      </c>
      <c r="Z1373" s="2" t="s">
        <v>3231</v>
      </c>
      <c r="AA1373" s="2" t="s">
        <v>46</v>
      </c>
      <c r="AB1373" s="2" t="s">
        <v>61</v>
      </c>
      <c r="AC1373" s="2" t="s">
        <v>58</v>
      </c>
      <c r="AF1373" s="2">
        <f t="shared" si="162"/>
        <v>0</v>
      </c>
      <c r="AG1373" s="2">
        <v>8.1999999999999993</v>
      </c>
      <c r="AH1373" s="2">
        <v>13</v>
      </c>
      <c r="AJ1373" s="2">
        <f t="shared" si="163"/>
        <v>0</v>
      </c>
      <c r="AK1373" s="2">
        <f t="shared" si="164"/>
        <v>36</v>
      </c>
      <c r="AL1373" s="5">
        <f t="shared" si="165"/>
        <v>0.18</v>
      </c>
    </row>
    <row r="1374" spans="1:38" hidden="1" x14ac:dyDescent="0.2">
      <c r="A1374" s="2">
        <v>2025</v>
      </c>
      <c r="B1374" s="2">
        <v>7</v>
      </c>
      <c r="D1374" s="2" t="s">
        <v>1594</v>
      </c>
      <c r="P1374" s="2" t="s">
        <v>115</v>
      </c>
      <c r="Q1374" s="2" t="s">
        <v>1595</v>
      </c>
      <c r="R1374" s="2" t="s">
        <v>1596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1"/>
        <v>1</v>
      </c>
      <c r="Z1374" s="2" t="s">
        <v>118</v>
      </c>
      <c r="AF1374" s="2">
        <f t="shared" si="162"/>
        <v>0</v>
      </c>
      <c r="AJ1374" s="2">
        <f t="shared" si="163"/>
        <v>0</v>
      </c>
      <c r="AK1374" s="2">
        <f t="shared" si="164"/>
        <v>-65.239999999999995</v>
      </c>
      <c r="AL1374" s="5">
        <f t="shared" si="165"/>
        <v>1</v>
      </c>
    </row>
    <row r="1375" spans="1:38" hidden="1" x14ac:dyDescent="0.2">
      <c r="A1375" s="2">
        <v>2025</v>
      </c>
      <c r="B1375" s="2">
        <v>7</v>
      </c>
      <c r="D1375" s="2" t="s">
        <v>1597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1598</v>
      </c>
      <c r="J1375" s="2" t="s">
        <v>1599</v>
      </c>
      <c r="L1375" s="2" t="s">
        <v>202</v>
      </c>
      <c r="M1375" s="2" t="s">
        <v>41</v>
      </c>
      <c r="O1375" s="2" t="s">
        <v>1600</v>
      </c>
      <c r="P1375" s="2" t="s">
        <v>283</v>
      </c>
      <c r="Q1375" s="2" t="s">
        <v>1551</v>
      </c>
      <c r="R1375" s="2" t="s">
        <v>1552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2"/>
        <v>0</v>
      </c>
      <c r="AJ1375" s="2">
        <f t="shared" si="163"/>
        <v>0</v>
      </c>
      <c r="AK1375" s="2">
        <f t="shared" si="164"/>
        <v>0</v>
      </c>
      <c r="AL1375" s="20" t="s">
        <v>3406</v>
      </c>
    </row>
    <row r="1376" spans="1:38" hidden="1" x14ac:dyDescent="0.2">
      <c r="A1376" s="2">
        <v>2025</v>
      </c>
      <c r="B1376" s="2">
        <v>7</v>
      </c>
      <c r="D1376" s="2" t="s">
        <v>1597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1598</v>
      </c>
      <c r="J1376" s="2" t="s">
        <v>1599</v>
      </c>
      <c r="L1376" s="2" t="s">
        <v>202</v>
      </c>
      <c r="M1376" s="2" t="s">
        <v>41</v>
      </c>
      <c r="O1376" s="2" t="s">
        <v>1600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6">17.4*S1376</f>
        <v>348</v>
      </c>
      <c r="X1376" s="5">
        <f t="shared" ref="X1376:X1397" si="167">(T1376-W1376)/T1376</f>
        <v>0.4</v>
      </c>
      <c r="Z1376" s="2" t="s">
        <v>3231</v>
      </c>
      <c r="AA1376" s="2" t="s">
        <v>46</v>
      </c>
      <c r="AB1376" s="2" t="s">
        <v>61</v>
      </c>
      <c r="AC1376" s="2" t="s">
        <v>3336</v>
      </c>
      <c r="AF1376" s="2">
        <f t="shared" si="162"/>
        <v>0</v>
      </c>
      <c r="AJ1376" s="2">
        <f t="shared" si="163"/>
        <v>0</v>
      </c>
      <c r="AK1376" s="2">
        <f t="shared" si="164"/>
        <v>232</v>
      </c>
      <c r="AL1376" s="5">
        <f t="shared" si="165"/>
        <v>0.4</v>
      </c>
    </row>
    <row r="1377" spans="1:38" hidden="1" x14ac:dyDescent="0.2">
      <c r="A1377" s="2">
        <v>2025</v>
      </c>
      <c r="B1377" s="2">
        <v>7</v>
      </c>
      <c r="D1377" s="2" t="s">
        <v>1597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1598</v>
      </c>
      <c r="J1377" s="2" t="s">
        <v>1599</v>
      </c>
      <c r="L1377" s="2" t="s">
        <v>202</v>
      </c>
      <c r="M1377" s="2" t="s">
        <v>41</v>
      </c>
      <c r="O1377" s="2" t="s">
        <v>1600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6"/>
        <v>348</v>
      </c>
      <c r="X1377" s="5">
        <f t="shared" si="167"/>
        <v>0.4</v>
      </c>
      <c r="Z1377" s="2" t="s">
        <v>3231</v>
      </c>
      <c r="AA1377" s="2" t="s">
        <v>46</v>
      </c>
      <c r="AB1377" s="2" t="s">
        <v>61</v>
      </c>
      <c r="AC1377" s="2" t="s">
        <v>3336</v>
      </c>
      <c r="AF1377" s="2">
        <f t="shared" si="162"/>
        <v>0</v>
      </c>
      <c r="AJ1377" s="2">
        <f t="shared" si="163"/>
        <v>0</v>
      </c>
      <c r="AK1377" s="2">
        <f t="shared" si="164"/>
        <v>232</v>
      </c>
      <c r="AL1377" s="5">
        <f t="shared" si="165"/>
        <v>0.4</v>
      </c>
    </row>
    <row r="1378" spans="1:38" hidden="1" x14ac:dyDescent="0.2">
      <c r="A1378" s="2">
        <v>2025</v>
      </c>
      <c r="B1378" s="2">
        <v>7</v>
      </c>
      <c r="D1378" s="2" t="s">
        <v>1601</v>
      </c>
      <c r="P1378" s="2" t="s">
        <v>73</v>
      </c>
      <c r="Q1378" s="2" t="s">
        <v>1602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7"/>
        <v>0.505</v>
      </c>
      <c r="Z1378" s="2" t="s">
        <v>3231</v>
      </c>
      <c r="AA1378" s="2" t="s">
        <v>76</v>
      </c>
      <c r="AB1378" s="2" t="s">
        <v>77</v>
      </c>
      <c r="AC1378" s="2" t="s">
        <v>78</v>
      </c>
      <c r="AF1378" s="2">
        <f t="shared" si="162"/>
        <v>0</v>
      </c>
      <c r="AJ1378" s="2">
        <f t="shared" si="163"/>
        <v>0</v>
      </c>
      <c r="AK1378" s="2">
        <f t="shared" si="164"/>
        <v>141.4</v>
      </c>
      <c r="AL1378" s="5">
        <f t="shared" si="165"/>
        <v>0.505</v>
      </c>
    </row>
    <row r="1379" spans="1:38" hidden="1" x14ac:dyDescent="0.2">
      <c r="A1379" s="2">
        <v>2025</v>
      </c>
      <c r="B1379" s="2">
        <v>7</v>
      </c>
      <c r="D1379" s="2" t="s">
        <v>1601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7"/>
        <v>0</v>
      </c>
      <c r="Z1379" s="2" t="s">
        <v>3231</v>
      </c>
      <c r="AA1379" s="2" t="s">
        <v>97</v>
      </c>
      <c r="AB1379" s="2" t="s">
        <v>77</v>
      </c>
      <c r="AC1379" s="2" t="s">
        <v>94</v>
      </c>
      <c r="AF1379" s="2">
        <f t="shared" si="162"/>
        <v>0</v>
      </c>
      <c r="AJ1379" s="2">
        <f t="shared" si="163"/>
        <v>0</v>
      </c>
      <c r="AK1379" s="2">
        <f t="shared" si="164"/>
        <v>0</v>
      </c>
      <c r="AL1379" s="5">
        <f t="shared" si="165"/>
        <v>0</v>
      </c>
    </row>
    <row r="1380" spans="1:38" hidden="1" x14ac:dyDescent="0.2">
      <c r="A1380" s="2">
        <v>2025</v>
      </c>
      <c r="B1380" s="2">
        <v>7</v>
      </c>
      <c r="D1380" s="2" t="s">
        <v>1603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7"/>
        <v>0.6</v>
      </c>
      <c r="Z1380" s="2" t="s">
        <v>118</v>
      </c>
      <c r="AA1380" s="2" t="s">
        <v>191</v>
      </c>
      <c r="AB1380" s="2" t="s">
        <v>190</v>
      </c>
      <c r="AC1380" s="2" t="s">
        <v>40</v>
      </c>
      <c r="AF1380" s="2">
        <f t="shared" si="162"/>
        <v>0</v>
      </c>
      <c r="AJ1380" s="2">
        <f t="shared" si="163"/>
        <v>0</v>
      </c>
      <c r="AK1380" s="2">
        <f t="shared" si="164"/>
        <v>30</v>
      </c>
      <c r="AL1380" s="5">
        <f t="shared" si="165"/>
        <v>0.6</v>
      </c>
    </row>
    <row r="1381" spans="1:38" hidden="1" x14ac:dyDescent="0.2">
      <c r="A1381" s="2">
        <v>2025</v>
      </c>
      <c r="B1381" s="2">
        <v>7</v>
      </c>
      <c r="D1381" s="2" t="s">
        <v>1603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7"/>
        <v>0.5</v>
      </c>
      <c r="Z1381" s="2" t="s">
        <v>118</v>
      </c>
      <c r="AA1381" s="2" t="s">
        <v>191</v>
      </c>
      <c r="AB1381" s="2" t="s">
        <v>191</v>
      </c>
      <c r="AC1381" s="2" t="s">
        <v>40</v>
      </c>
      <c r="AF1381" s="2">
        <f t="shared" si="162"/>
        <v>0</v>
      </c>
      <c r="AJ1381" s="2">
        <f t="shared" si="163"/>
        <v>0</v>
      </c>
      <c r="AK1381" s="2">
        <f t="shared" si="164"/>
        <v>25</v>
      </c>
      <c r="AL1381" s="5">
        <f t="shared" si="165"/>
        <v>0.5</v>
      </c>
    </row>
    <row r="1382" spans="1:38" hidden="1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1514</v>
      </c>
      <c r="R1382" s="2" t="s">
        <v>1515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7"/>
        <v>0.44999999999999996</v>
      </c>
      <c r="Z1382" s="2" t="s">
        <v>3231</v>
      </c>
      <c r="AA1382" s="2" t="s">
        <v>72</v>
      </c>
      <c r="AB1382" s="2" t="s">
        <v>1604</v>
      </c>
      <c r="AC1382" s="2" t="s">
        <v>1604</v>
      </c>
      <c r="AF1382" s="2">
        <f t="shared" si="162"/>
        <v>0</v>
      </c>
      <c r="AG1382" s="2">
        <v>27.445</v>
      </c>
      <c r="AJ1382" s="2">
        <f t="shared" si="163"/>
        <v>0</v>
      </c>
      <c r="AK1382" s="2">
        <f t="shared" si="164"/>
        <v>44.91</v>
      </c>
      <c r="AL1382" s="5">
        <f t="shared" si="165"/>
        <v>0.44999999999999996</v>
      </c>
    </row>
    <row r="1383" spans="1:38" hidden="1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799</v>
      </c>
      <c r="R1383" s="2" t="s">
        <v>800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7"/>
        <v>0.1716894977168949</v>
      </c>
      <c r="Z1383" s="2" t="s">
        <v>3231</v>
      </c>
      <c r="AA1383" s="2" t="s">
        <v>72</v>
      </c>
      <c r="AB1383" s="2" t="s">
        <v>120</v>
      </c>
      <c r="AC1383" s="2" t="s">
        <v>120</v>
      </c>
      <c r="AF1383" s="2">
        <f t="shared" si="162"/>
        <v>0</v>
      </c>
      <c r="AJ1383" s="2">
        <f t="shared" si="163"/>
        <v>0</v>
      </c>
      <c r="AK1383" s="2">
        <f t="shared" si="164"/>
        <v>3.759999999999998</v>
      </c>
      <c r="AL1383" s="5">
        <f t="shared" si="165"/>
        <v>0.1716894977168949</v>
      </c>
    </row>
    <row r="1384" spans="1:38" hidden="1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1071</v>
      </c>
      <c r="R1384" s="2" t="s">
        <v>1072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7"/>
        <v>0.23437974683544305</v>
      </c>
      <c r="Z1384" s="2" t="s">
        <v>3231</v>
      </c>
      <c r="AA1384" s="2" t="s">
        <v>72</v>
      </c>
      <c r="AB1384" s="2" t="s">
        <v>120</v>
      </c>
      <c r="AC1384" s="2" t="s">
        <v>120</v>
      </c>
      <c r="AF1384" s="2">
        <f t="shared" si="162"/>
        <v>0</v>
      </c>
      <c r="AJ1384" s="2">
        <f t="shared" si="163"/>
        <v>0</v>
      </c>
      <c r="AK1384" s="2">
        <f t="shared" si="164"/>
        <v>5.5548000000000002</v>
      </c>
      <c r="AL1384" s="5">
        <f t="shared" si="165"/>
        <v>0.23437974683544305</v>
      </c>
    </row>
    <row r="1385" spans="1:38" hidden="1" x14ac:dyDescent="0.2">
      <c r="A1385" s="2">
        <v>2025</v>
      </c>
      <c r="B1385" s="2">
        <v>7</v>
      </c>
      <c r="D1385" s="2" t="s">
        <v>876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877</v>
      </c>
      <c r="K1385" s="2">
        <v>964065954</v>
      </c>
      <c r="L1385" s="2" t="s">
        <v>134</v>
      </c>
      <c r="M1385" s="2" t="s">
        <v>40</v>
      </c>
      <c r="O1385" s="2" t="s">
        <v>1605</v>
      </c>
      <c r="P1385" s="2" t="s">
        <v>188</v>
      </c>
      <c r="Q1385" s="2" t="s">
        <v>1606</v>
      </c>
      <c r="R1385" s="2" t="s">
        <v>1607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7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1608</v>
      </c>
      <c r="AF1385" s="2">
        <f t="shared" si="162"/>
        <v>0</v>
      </c>
      <c r="AG1385" s="2">
        <v>10.15</v>
      </c>
      <c r="AJ1385" s="2">
        <f t="shared" si="163"/>
        <v>0</v>
      </c>
      <c r="AK1385" s="2">
        <f t="shared" si="164"/>
        <v>74.89</v>
      </c>
      <c r="AL1385" s="5">
        <f t="shared" si="165"/>
        <v>0.88064440263405452</v>
      </c>
    </row>
    <row r="1386" spans="1:38" hidden="1" x14ac:dyDescent="0.2">
      <c r="A1386" s="2">
        <v>2025</v>
      </c>
      <c r="B1386" s="2">
        <v>7</v>
      </c>
      <c r="D1386" s="2" t="s">
        <v>876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877</v>
      </c>
      <c r="K1386" s="2">
        <v>964065954</v>
      </c>
      <c r="L1386" s="2" t="s">
        <v>134</v>
      </c>
      <c r="M1386" s="2" t="s">
        <v>40</v>
      </c>
      <c r="O1386" s="2" t="s">
        <v>1605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7"/>
        <v>0.6</v>
      </c>
      <c r="Z1386" s="2" t="s">
        <v>118</v>
      </c>
      <c r="AA1386" s="2" t="s">
        <v>191</v>
      </c>
      <c r="AB1386" s="2" t="s">
        <v>190</v>
      </c>
      <c r="AC1386" s="2" t="s">
        <v>40</v>
      </c>
      <c r="AF1386" s="2">
        <f t="shared" si="162"/>
        <v>0</v>
      </c>
      <c r="AJ1386" s="2">
        <f t="shared" si="163"/>
        <v>0</v>
      </c>
      <c r="AK1386" s="2">
        <f t="shared" si="164"/>
        <v>82.8</v>
      </c>
      <c r="AL1386" s="5">
        <f t="shared" si="165"/>
        <v>0.6</v>
      </c>
    </row>
    <row r="1387" spans="1:38" hidden="1" x14ac:dyDescent="0.2">
      <c r="A1387" s="2">
        <v>2025</v>
      </c>
      <c r="B1387" s="2">
        <v>7</v>
      </c>
      <c r="D1387" s="2" t="s">
        <v>876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877</v>
      </c>
      <c r="K1387" s="2">
        <v>964065954</v>
      </c>
      <c r="L1387" s="2" t="s">
        <v>134</v>
      </c>
      <c r="M1387" s="2" t="s">
        <v>40</v>
      </c>
      <c r="O1387" s="2" t="s">
        <v>1605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7"/>
        <v>0.5</v>
      </c>
      <c r="Z1387" s="2" t="s">
        <v>118</v>
      </c>
      <c r="AA1387" s="2" t="s">
        <v>191</v>
      </c>
      <c r="AB1387" s="2" t="s">
        <v>191</v>
      </c>
      <c r="AC1387" s="2" t="s">
        <v>40</v>
      </c>
      <c r="AF1387" s="2">
        <f t="shared" si="162"/>
        <v>0</v>
      </c>
      <c r="AJ1387" s="2">
        <f t="shared" si="163"/>
        <v>0</v>
      </c>
      <c r="AK1387" s="2">
        <f t="shared" si="164"/>
        <v>106.25</v>
      </c>
      <c r="AL1387" s="5">
        <f t="shared" si="165"/>
        <v>0.5</v>
      </c>
    </row>
    <row r="1388" spans="1:38" hidden="1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7"/>
        <v>0.45370697674418603</v>
      </c>
      <c r="Z1388" s="2" t="s">
        <v>3231</v>
      </c>
      <c r="AA1388" s="2" t="s">
        <v>76</v>
      </c>
      <c r="AB1388" s="2" t="s">
        <v>77</v>
      </c>
      <c r="AC1388" s="2" t="s">
        <v>78</v>
      </c>
      <c r="AF1388" s="2">
        <f t="shared" si="162"/>
        <v>0</v>
      </c>
      <c r="AG1388" s="2">
        <v>117.453</v>
      </c>
      <c r="AH1388" s="2">
        <v>220</v>
      </c>
      <c r="AJ1388" s="2">
        <f t="shared" si="163"/>
        <v>0</v>
      </c>
      <c r="AK1388" s="2">
        <f t="shared" si="164"/>
        <v>195.09399999999999</v>
      </c>
      <c r="AL1388" s="5">
        <f t="shared" si="165"/>
        <v>0.45370697674418603</v>
      </c>
    </row>
    <row r="1389" spans="1:38" hidden="1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1077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7"/>
        <v>0.33522230092920546</v>
      </c>
      <c r="Z1389" s="2" t="s">
        <v>3231</v>
      </c>
      <c r="AA1389" s="2" t="s">
        <v>76</v>
      </c>
      <c r="AB1389" s="2" t="s">
        <v>77</v>
      </c>
      <c r="AC1389" s="2" t="s">
        <v>78</v>
      </c>
      <c r="AF1389" s="2">
        <f t="shared" si="162"/>
        <v>0</v>
      </c>
      <c r="AG1389" s="2">
        <f>144.14+15.4</f>
        <v>159.54</v>
      </c>
      <c r="AH1389" s="2">
        <v>280</v>
      </c>
      <c r="AJ1389" s="2">
        <f t="shared" si="163"/>
        <v>0</v>
      </c>
      <c r="AK1389" s="2">
        <f t="shared" si="164"/>
        <v>80.450000000000017</v>
      </c>
      <c r="AL1389" s="5">
        <f t="shared" si="165"/>
        <v>0.33522230092920546</v>
      </c>
    </row>
    <row r="1390" spans="1:38" hidden="1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1609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7"/>
        <v>0.45886315789473681</v>
      </c>
      <c r="Z1390" s="2" t="s">
        <v>3231</v>
      </c>
      <c r="AA1390" s="2" t="s">
        <v>76</v>
      </c>
      <c r="AB1390" s="2" t="s">
        <v>77</v>
      </c>
      <c r="AC1390" s="2" t="s">
        <v>78</v>
      </c>
      <c r="AF1390" s="2">
        <f t="shared" si="162"/>
        <v>0</v>
      </c>
      <c r="AJ1390" s="2">
        <f t="shared" si="163"/>
        <v>0</v>
      </c>
      <c r="AK1390" s="2">
        <f t="shared" si="164"/>
        <v>217.95999999999998</v>
      </c>
      <c r="AL1390" s="5">
        <f t="shared" si="165"/>
        <v>0.45886315789473681</v>
      </c>
    </row>
    <row r="1391" spans="1:38" hidden="1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2"/>
        <v>0</v>
      </c>
      <c r="AJ1391" s="2">
        <f t="shared" si="163"/>
        <v>0</v>
      </c>
    </row>
    <row r="1392" spans="1:38" hidden="1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7"/>
        <v>0</v>
      </c>
      <c r="Z1392" s="2" t="s">
        <v>3231</v>
      </c>
      <c r="AA1392" s="2" t="s">
        <v>97</v>
      </c>
      <c r="AB1392" s="2" t="s">
        <v>77</v>
      </c>
      <c r="AC1392" s="2" t="s">
        <v>94</v>
      </c>
      <c r="AF1392" s="2">
        <f t="shared" si="162"/>
        <v>0</v>
      </c>
      <c r="AJ1392" s="2">
        <f t="shared" si="163"/>
        <v>0</v>
      </c>
      <c r="AK1392" s="2">
        <f t="shared" si="164"/>
        <v>0</v>
      </c>
      <c r="AL1392" s="5">
        <f t="shared" si="165"/>
        <v>0</v>
      </c>
    </row>
    <row r="1393" spans="1:38" hidden="1" x14ac:dyDescent="0.2">
      <c r="A1393" s="2">
        <v>2025</v>
      </c>
      <c r="B1393" s="2">
        <v>7</v>
      </c>
      <c r="D1393" s="2" t="s">
        <v>1421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7"/>
        <v>0.44069999999999998</v>
      </c>
      <c r="Z1393" s="2" t="s">
        <v>3231</v>
      </c>
      <c r="AA1393" s="2" t="s">
        <v>76</v>
      </c>
      <c r="AB1393" s="2" t="s">
        <v>77</v>
      </c>
      <c r="AC1393" s="2" t="s">
        <v>78</v>
      </c>
      <c r="AF1393" s="2">
        <f t="shared" si="162"/>
        <v>0</v>
      </c>
      <c r="AG1393" s="2">
        <v>117.453</v>
      </c>
      <c r="AH1393" s="2">
        <v>220</v>
      </c>
      <c r="AJ1393" s="2">
        <f t="shared" si="163"/>
        <v>0</v>
      </c>
      <c r="AK1393" s="2">
        <f t="shared" si="164"/>
        <v>92.546999999999997</v>
      </c>
      <c r="AL1393" s="5">
        <f t="shared" si="165"/>
        <v>0.44069999999999998</v>
      </c>
    </row>
    <row r="1394" spans="1:38" hidden="1" x14ac:dyDescent="0.2">
      <c r="A1394" s="2">
        <v>2025</v>
      </c>
      <c r="B1394" s="2">
        <v>7</v>
      </c>
      <c r="D1394" s="2" t="s">
        <v>1421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7"/>
        <v>0</v>
      </c>
      <c r="Z1394" s="2" t="s">
        <v>3231</v>
      </c>
      <c r="AA1394" s="2" t="s">
        <v>97</v>
      </c>
      <c r="AB1394" s="2" t="s">
        <v>77</v>
      </c>
      <c r="AC1394" s="2" t="s">
        <v>94</v>
      </c>
      <c r="AF1394" s="2">
        <f t="shared" si="162"/>
        <v>0</v>
      </c>
      <c r="AJ1394" s="2">
        <f t="shared" si="163"/>
        <v>0</v>
      </c>
      <c r="AK1394" s="2">
        <f t="shared" si="164"/>
        <v>0</v>
      </c>
      <c r="AL1394" s="5">
        <f t="shared" si="165"/>
        <v>0</v>
      </c>
    </row>
    <row r="1395" spans="1:38" hidden="1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1610</v>
      </c>
      <c r="P1395" s="2" t="s">
        <v>115</v>
      </c>
      <c r="Q1395" s="2" t="s">
        <v>1081</v>
      </c>
      <c r="R1395" s="2" t="s">
        <v>1082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7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2"/>
        <v>0</v>
      </c>
      <c r="AG1395" s="2">
        <v>37.96</v>
      </c>
      <c r="AJ1395" s="2">
        <f t="shared" si="163"/>
        <v>0</v>
      </c>
      <c r="AK1395" s="2">
        <f t="shared" si="164"/>
        <v>28.449999999999996</v>
      </c>
      <c r="AL1395" s="5">
        <f t="shared" si="165"/>
        <v>0.4283993374491793</v>
      </c>
    </row>
    <row r="1396" spans="1:38" hidden="1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1611</v>
      </c>
      <c r="P1396" s="2" t="s">
        <v>1612</v>
      </c>
      <c r="Q1396" s="2" t="s">
        <v>1613</v>
      </c>
      <c r="R1396" s="2" t="s">
        <v>1614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7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1612</v>
      </c>
      <c r="AF1396" s="2">
        <f t="shared" si="162"/>
        <v>0</v>
      </c>
      <c r="AG1396" s="2">
        <v>32.024999999999999</v>
      </c>
      <c r="AJ1396" s="2">
        <f t="shared" si="163"/>
        <v>0</v>
      </c>
      <c r="AK1396" s="2">
        <f t="shared" si="164"/>
        <v>89.034999999999997</v>
      </c>
      <c r="AL1396" s="5">
        <f t="shared" si="165"/>
        <v>0.73546175450189988</v>
      </c>
    </row>
    <row r="1397" spans="1:38" hidden="1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1615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7"/>
        <v>0.35202222222222229</v>
      </c>
      <c r="Z1397" s="2" t="s">
        <v>3231</v>
      </c>
      <c r="AA1397" s="2" t="s">
        <v>76</v>
      </c>
      <c r="AB1397" s="2" t="s">
        <v>77</v>
      </c>
      <c r="AC1397" s="2" t="s">
        <v>78</v>
      </c>
      <c r="AF1397" s="2">
        <f t="shared" si="162"/>
        <v>0</v>
      </c>
      <c r="AG1397" s="2">
        <v>291.58999999999997</v>
      </c>
      <c r="AH1397" s="2">
        <v>450</v>
      </c>
      <c r="AJ1397" s="2">
        <f t="shared" si="163"/>
        <v>0</v>
      </c>
      <c r="AK1397" s="2">
        <f t="shared" si="164"/>
        <v>316.82000000000005</v>
      </c>
      <c r="AL1397" s="5">
        <f t="shared" si="165"/>
        <v>0.35202222222222229</v>
      </c>
    </row>
    <row r="1398" spans="1:38" hidden="1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1611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B1398" s="2" t="s">
        <v>190</v>
      </c>
      <c r="AC1398" s="2" t="s">
        <v>40</v>
      </c>
      <c r="AF1398" s="2">
        <f t="shared" si="162"/>
        <v>0</v>
      </c>
      <c r="AJ1398" s="2">
        <f t="shared" si="163"/>
        <v>0</v>
      </c>
      <c r="AK1398" s="2">
        <f t="shared" si="164"/>
        <v>0</v>
      </c>
      <c r="AL1398" s="5">
        <v>0</v>
      </c>
    </row>
    <row r="1399" spans="1:38" hidden="1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1611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8">(T1399-W1399)/T1399</f>
        <v>0.5</v>
      </c>
      <c r="Z1399" s="2" t="s">
        <v>118</v>
      </c>
      <c r="AA1399" s="2" t="s">
        <v>191</v>
      </c>
      <c r="AB1399" s="2" t="s">
        <v>191</v>
      </c>
      <c r="AC1399" s="2" t="s">
        <v>40</v>
      </c>
      <c r="AF1399" s="2">
        <f t="shared" si="162"/>
        <v>0</v>
      </c>
      <c r="AJ1399" s="2">
        <f t="shared" si="163"/>
        <v>0</v>
      </c>
      <c r="AK1399" s="2">
        <f t="shared" si="164"/>
        <v>67.5</v>
      </c>
      <c r="AL1399" s="5">
        <f t="shared" si="165"/>
        <v>0.5</v>
      </c>
    </row>
    <row r="1400" spans="1:38" hidden="1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1615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8"/>
        <v>0</v>
      </c>
      <c r="Z1400" s="2" t="s">
        <v>3231</v>
      </c>
      <c r="AA1400" s="2" t="s">
        <v>97</v>
      </c>
      <c r="AB1400" s="2" t="s">
        <v>77</v>
      </c>
      <c r="AC1400" s="2" t="s">
        <v>94</v>
      </c>
      <c r="AF1400" s="2">
        <f t="shared" si="162"/>
        <v>0</v>
      </c>
      <c r="AG1400" s="2">
        <v>1.1399999999999999</v>
      </c>
      <c r="AH1400" s="2">
        <v>1.1399999999999999</v>
      </c>
      <c r="AJ1400" s="2">
        <f t="shared" si="163"/>
        <v>0</v>
      </c>
      <c r="AK1400" s="2">
        <f t="shared" si="164"/>
        <v>0</v>
      </c>
      <c r="AL1400" s="5">
        <f t="shared" si="165"/>
        <v>0</v>
      </c>
    </row>
    <row r="1401" spans="1:38" hidden="1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1611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8"/>
        <v>1</v>
      </c>
      <c r="Z1401" s="2" t="s">
        <v>120</v>
      </c>
      <c r="AA1401" s="2" t="s">
        <v>3385</v>
      </c>
      <c r="AF1401" s="2">
        <f t="shared" si="162"/>
        <v>0</v>
      </c>
      <c r="AJ1401" s="2">
        <f t="shared" si="163"/>
        <v>0</v>
      </c>
      <c r="AK1401" s="2">
        <f t="shared" si="164"/>
        <v>42.77</v>
      </c>
      <c r="AL1401" s="5">
        <f t="shared" si="165"/>
        <v>1</v>
      </c>
    </row>
    <row r="1402" spans="1:38" hidden="1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1616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8"/>
        <v>0.2540857142857143</v>
      </c>
      <c r="Z1402" s="2" t="s">
        <v>3231</v>
      </c>
      <c r="AA1402" s="2" t="s">
        <v>76</v>
      </c>
      <c r="AB1402" s="2" t="s">
        <v>77</v>
      </c>
      <c r="AC1402" s="2" t="s">
        <v>78</v>
      </c>
      <c r="AF1402" s="2">
        <f t="shared" si="162"/>
        <v>0</v>
      </c>
      <c r="AJ1402" s="2">
        <f t="shared" si="163"/>
        <v>0</v>
      </c>
      <c r="AK1402" s="2">
        <f t="shared" si="164"/>
        <v>88.93</v>
      </c>
      <c r="AL1402" s="5">
        <f t="shared" si="165"/>
        <v>0.2540857142857143</v>
      </c>
    </row>
    <row r="1403" spans="1:38" hidden="1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8"/>
        <v>0</v>
      </c>
      <c r="Z1403" s="2" t="s">
        <v>3231</v>
      </c>
      <c r="AA1403" s="2" t="s">
        <v>97</v>
      </c>
      <c r="AB1403" s="2" t="s">
        <v>77</v>
      </c>
      <c r="AC1403" s="2" t="s">
        <v>94</v>
      </c>
      <c r="AF1403" s="2">
        <f t="shared" si="162"/>
        <v>0</v>
      </c>
      <c r="AJ1403" s="2">
        <f t="shared" si="163"/>
        <v>0</v>
      </c>
      <c r="AK1403" s="2">
        <f t="shared" si="164"/>
        <v>0</v>
      </c>
      <c r="AL1403" s="5">
        <f t="shared" si="165"/>
        <v>0</v>
      </c>
    </row>
    <row r="1404" spans="1:38" hidden="1" x14ac:dyDescent="0.2">
      <c r="A1404" s="2">
        <v>2025</v>
      </c>
      <c r="B1404" s="2">
        <v>7</v>
      </c>
      <c r="D1404" s="2" t="s">
        <v>1617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1618</v>
      </c>
      <c r="J1404" s="2" t="s">
        <v>1619</v>
      </c>
      <c r="K1404" s="2">
        <v>917259016</v>
      </c>
      <c r="L1404" s="2" t="s">
        <v>100</v>
      </c>
      <c r="M1404" s="2" t="s">
        <v>41</v>
      </c>
      <c r="O1404" s="2" t="s">
        <v>1620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8"/>
        <v>0.46612272727272724</v>
      </c>
      <c r="Z1404" s="2" t="s">
        <v>3231</v>
      </c>
      <c r="AA1404" s="2" t="s">
        <v>76</v>
      </c>
      <c r="AB1404" s="2" t="s">
        <v>77</v>
      </c>
      <c r="AC1404" s="2" t="s">
        <v>78</v>
      </c>
      <c r="AF1404" s="2">
        <f t="shared" si="162"/>
        <v>0</v>
      </c>
      <c r="AG1404" s="2">
        <v>117.453</v>
      </c>
      <c r="AH1404" s="2">
        <v>220</v>
      </c>
      <c r="AJ1404" s="2">
        <f t="shared" si="163"/>
        <v>0</v>
      </c>
      <c r="AK1404" s="2">
        <f t="shared" si="164"/>
        <v>102.547</v>
      </c>
      <c r="AL1404" s="5">
        <f t="shared" si="165"/>
        <v>0.46612272727272724</v>
      </c>
    </row>
    <row r="1405" spans="1:38" hidden="1" x14ac:dyDescent="0.2">
      <c r="A1405" s="2">
        <v>2025</v>
      </c>
      <c r="B1405" s="2">
        <v>7</v>
      </c>
      <c r="D1405" s="2" t="s">
        <v>1617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1618</v>
      </c>
      <c r="J1405" s="2" t="s">
        <v>1619</v>
      </c>
      <c r="K1405" s="2">
        <v>917259016</v>
      </c>
      <c r="L1405" s="2" t="s">
        <v>100</v>
      </c>
      <c r="M1405" s="2" t="s">
        <v>41</v>
      </c>
      <c r="O1405" s="2" t="s">
        <v>1620</v>
      </c>
      <c r="P1405" s="2" t="s">
        <v>73</v>
      </c>
      <c r="Q1405" s="2" t="s">
        <v>1621</v>
      </c>
      <c r="R1405" s="2" t="s">
        <v>997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8"/>
        <v>0.44486956521739129</v>
      </c>
      <c r="Z1405" s="2" t="s">
        <v>3231</v>
      </c>
      <c r="AA1405" s="2" t="s">
        <v>76</v>
      </c>
      <c r="AB1405" s="2" t="s">
        <v>77</v>
      </c>
      <c r="AC1405" s="2" t="s">
        <v>78</v>
      </c>
      <c r="AF1405" s="2">
        <f t="shared" si="162"/>
        <v>0</v>
      </c>
      <c r="AJ1405" s="2">
        <f t="shared" si="163"/>
        <v>0</v>
      </c>
      <c r="AK1405" s="2">
        <f t="shared" si="164"/>
        <v>153.47999999999999</v>
      </c>
      <c r="AL1405" s="5">
        <f t="shared" si="165"/>
        <v>0.44486956521739129</v>
      </c>
    </row>
    <row r="1406" spans="1:38" hidden="1" x14ac:dyDescent="0.2">
      <c r="A1406" s="2">
        <v>2025</v>
      </c>
      <c r="B1406" s="2">
        <v>7</v>
      </c>
      <c r="D1406" s="2" t="s">
        <v>1617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1618</v>
      </c>
      <c r="J1406" s="2" t="s">
        <v>1619</v>
      </c>
      <c r="K1406" s="2">
        <v>917259016</v>
      </c>
      <c r="L1406" s="2" t="s">
        <v>100</v>
      </c>
      <c r="M1406" s="2" t="s">
        <v>41</v>
      </c>
      <c r="O1406" s="2" t="s">
        <v>1620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8"/>
        <v>0</v>
      </c>
      <c r="Z1406" s="2" t="s">
        <v>3231</v>
      </c>
      <c r="AA1406" s="2" t="s">
        <v>97</v>
      </c>
      <c r="AB1406" s="2" t="s">
        <v>77</v>
      </c>
      <c r="AC1406" s="2" t="s">
        <v>94</v>
      </c>
      <c r="AF1406" s="2">
        <f t="shared" si="162"/>
        <v>0</v>
      </c>
      <c r="AJ1406" s="2">
        <f t="shared" si="163"/>
        <v>0</v>
      </c>
      <c r="AK1406" s="2">
        <f t="shared" si="164"/>
        <v>0</v>
      </c>
      <c r="AL1406" s="5">
        <f t="shared" si="165"/>
        <v>0</v>
      </c>
    </row>
    <row r="1407" spans="1:38" hidden="1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1622</v>
      </c>
      <c r="P1407" s="2" t="s">
        <v>69</v>
      </c>
      <c r="Q1407" s="2" t="s">
        <v>1623</v>
      </c>
      <c r="R1407" s="2" t="s">
        <v>1624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8"/>
        <v>0.34658590308370046</v>
      </c>
      <c r="Z1407" s="2" t="s">
        <v>105</v>
      </c>
      <c r="AA1407" s="2" t="s">
        <v>265</v>
      </c>
      <c r="AB1407" s="2" t="s">
        <v>1097</v>
      </c>
      <c r="AC1407" s="2" t="s">
        <v>3235</v>
      </c>
      <c r="AF1407" s="2">
        <f t="shared" si="162"/>
        <v>0</v>
      </c>
      <c r="AJ1407" s="2">
        <f t="shared" si="163"/>
        <v>0</v>
      </c>
      <c r="AK1407" s="2">
        <f t="shared" si="164"/>
        <v>786.75</v>
      </c>
      <c r="AL1407" s="5">
        <f t="shared" si="165"/>
        <v>0.34658590308370046</v>
      </c>
    </row>
    <row r="1408" spans="1:38" hidden="1" x14ac:dyDescent="0.2">
      <c r="A1408" s="2">
        <v>2025</v>
      </c>
      <c r="B1408" s="2">
        <v>7</v>
      </c>
      <c r="D1408" s="2" t="s">
        <v>1625</v>
      </c>
      <c r="M1408" s="2" t="s">
        <v>110</v>
      </c>
      <c r="P1408" s="2" t="s">
        <v>115</v>
      </c>
      <c r="Q1408" s="2" t="s">
        <v>673</v>
      </c>
      <c r="R1408" s="2" t="s">
        <v>674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8"/>
        <v>1</v>
      </c>
      <c r="Z1408" s="2" t="s">
        <v>118</v>
      </c>
      <c r="AF1408" s="2">
        <f t="shared" si="162"/>
        <v>0</v>
      </c>
      <c r="AJ1408" s="2">
        <f t="shared" si="163"/>
        <v>0</v>
      </c>
      <c r="AK1408" s="2">
        <f t="shared" si="164"/>
        <v>14.95</v>
      </c>
      <c r="AL1408" s="5">
        <f t="shared" si="165"/>
        <v>1</v>
      </c>
    </row>
    <row r="1409" spans="1:38" hidden="1" x14ac:dyDescent="0.2">
      <c r="A1409" s="2">
        <v>2025</v>
      </c>
      <c r="B1409" s="2">
        <v>7</v>
      </c>
      <c r="D1409" s="2" t="s">
        <v>891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892</v>
      </c>
      <c r="J1409" s="2" t="s">
        <v>893</v>
      </c>
      <c r="L1409" s="2" t="s">
        <v>100</v>
      </c>
      <c r="M1409" s="2" t="s">
        <v>41</v>
      </c>
      <c r="P1409" s="2" t="s">
        <v>283</v>
      </c>
      <c r="Q1409" s="2" t="s">
        <v>1514</v>
      </c>
      <c r="R1409" s="2" t="s">
        <v>1515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8"/>
        <v>0.39011111111111113</v>
      </c>
      <c r="Z1409" s="2" t="s">
        <v>3231</v>
      </c>
      <c r="AA1409" s="2" t="s">
        <v>72</v>
      </c>
      <c r="AB1409" s="2" t="s">
        <v>1604</v>
      </c>
      <c r="AC1409" s="2" t="s">
        <v>1604</v>
      </c>
      <c r="AF1409" s="2">
        <f t="shared" si="162"/>
        <v>0</v>
      </c>
      <c r="AJ1409" s="2">
        <f t="shared" si="163"/>
        <v>0</v>
      </c>
      <c r="AK1409" s="2">
        <f t="shared" si="164"/>
        <v>70.22</v>
      </c>
      <c r="AL1409" s="5">
        <f t="shared" si="165"/>
        <v>0.39011111111111113</v>
      </c>
    </row>
    <row r="1410" spans="1:38" hidden="1" x14ac:dyDescent="0.2">
      <c r="A1410" s="2">
        <v>2025</v>
      </c>
      <c r="B1410" s="2">
        <v>7</v>
      </c>
      <c r="D1410" s="2" t="s">
        <v>895</v>
      </c>
      <c r="P1410" s="2" t="s">
        <v>43</v>
      </c>
      <c r="Q1410" s="2" t="s">
        <v>1365</v>
      </c>
      <c r="R1410" s="2" t="s">
        <v>1366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68"/>
        <v>0.62209302325581395</v>
      </c>
      <c r="Z1410" s="2" t="s">
        <v>3231</v>
      </c>
      <c r="AA1410" s="2" t="s">
        <v>46</v>
      </c>
      <c r="AB1410" s="2" t="s">
        <v>47</v>
      </c>
      <c r="AC1410" s="2" t="s">
        <v>48</v>
      </c>
      <c r="AF1410" s="2">
        <f t="shared" si="162"/>
        <v>0</v>
      </c>
      <c r="AJ1410" s="2">
        <f t="shared" si="163"/>
        <v>0</v>
      </c>
      <c r="AK1410" s="2">
        <f t="shared" si="164"/>
        <v>32.1</v>
      </c>
      <c r="AL1410" s="5">
        <f t="shared" si="165"/>
        <v>0.62209302325581395</v>
      </c>
    </row>
    <row r="1411" spans="1:38" hidden="1" x14ac:dyDescent="0.2">
      <c r="A1411" s="2">
        <v>2025</v>
      </c>
      <c r="B1411" s="2">
        <v>7</v>
      </c>
      <c r="D1411" s="2" t="s">
        <v>895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8"/>
        <v>0.21904761904761905</v>
      </c>
      <c r="Z1411" s="2" t="s">
        <v>3231</v>
      </c>
      <c r="AA1411" s="2" t="s">
        <v>46</v>
      </c>
      <c r="AB1411" s="2" t="s">
        <v>61</v>
      </c>
      <c r="AC1411" s="2" t="s">
        <v>58</v>
      </c>
      <c r="AF1411" s="2">
        <f t="shared" ref="AF1411:AF1474" si="169">AJ1411</f>
        <v>0</v>
      </c>
      <c r="AG1411" s="2">
        <v>8.1999999999999993</v>
      </c>
      <c r="AH1411" s="2">
        <v>13</v>
      </c>
      <c r="AJ1411" s="2">
        <f t="shared" ref="AJ1411:AJ1474" si="170">AI1411*T1411</f>
        <v>0</v>
      </c>
      <c r="AK1411" s="2">
        <f t="shared" ref="AK1411:AK1474" si="171">T1411-W1411</f>
        <v>69</v>
      </c>
      <c r="AL1411" s="5">
        <f t="shared" si="165"/>
        <v>0.21904761904761905</v>
      </c>
    </row>
    <row r="1412" spans="1:38" hidden="1" x14ac:dyDescent="0.2">
      <c r="A1412" s="2">
        <v>2025</v>
      </c>
      <c r="B1412" s="2">
        <v>7</v>
      </c>
      <c r="D1412" s="2" t="s">
        <v>896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8"/>
        <v>0.46612272727272724</v>
      </c>
      <c r="Z1412" s="2" t="s">
        <v>3231</v>
      </c>
      <c r="AA1412" s="2" t="s">
        <v>76</v>
      </c>
      <c r="AB1412" s="2" t="s">
        <v>77</v>
      </c>
      <c r="AC1412" s="2" t="s">
        <v>78</v>
      </c>
      <c r="AF1412" s="2">
        <f t="shared" si="169"/>
        <v>0</v>
      </c>
      <c r="AG1412" s="2">
        <v>117.453</v>
      </c>
      <c r="AH1412" s="2">
        <v>220</v>
      </c>
      <c r="AJ1412" s="2">
        <f t="shared" si="170"/>
        <v>0</v>
      </c>
      <c r="AK1412" s="2">
        <f t="shared" si="171"/>
        <v>102.547</v>
      </c>
      <c r="AL1412" s="5">
        <f t="shared" si="165"/>
        <v>0.46612272727272724</v>
      </c>
    </row>
    <row r="1413" spans="1:38" hidden="1" x14ac:dyDescent="0.2">
      <c r="A1413" s="2">
        <v>2025</v>
      </c>
      <c r="B1413" s="2">
        <v>7</v>
      </c>
      <c r="D1413" s="2" t="s">
        <v>896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8"/>
        <v>0</v>
      </c>
      <c r="Z1413" s="2" t="s">
        <v>3231</v>
      </c>
      <c r="AA1413" s="2" t="s">
        <v>97</v>
      </c>
      <c r="AB1413" s="2" t="s">
        <v>77</v>
      </c>
      <c r="AC1413" s="2" t="s">
        <v>94</v>
      </c>
      <c r="AF1413" s="2">
        <f t="shared" si="169"/>
        <v>0</v>
      </c>
      <c r="AJ1413" s="2">
        <f t="shared" si="170"/>
        <v>0</v>
      </c>
      <c r="AK1413" s="2">
        <f t="shared" si="171"/>
        <v>0</v>
      </c>
      <c r="AL1413" s="5">
        <f t="shared" si="165"/>
        <v>0</v>
      </c>
    </row>
    <row r="1414" spans="1:38" hidden="1" x14ac:dyDescent="0.2">
      <c r="A1414" s="2">
        <v>2025</v>
      </c>
      <c r="B1414" s="2">
        <v>7</v>
      </c>
      <c r="D1414" s="2" t="s">
        <v>1626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1627</v>
      </c>
      <c r="J1414" s="2" t="s">
        <v>1628</v>
      </c>
      <c r="L1414" s="2" t="s">
        <v>294</v>
      </c>
      <c r="M1414" s="2" t="s">
        <v>291</v>
      </c>
      <c r="O1414" s="2" t="s">
        <v>1629</v>
      </c>
      <c r="P1414" s="2" t="s">
        <v>283</v>
      </c>
      <c r="Q1414" s="2" t="s">
        <v>1630</v>
      </c>
      <c r="R1414" s="2" t="s">
        <v>1631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8"/>
        <v>0.43279132791327912</v>
      </c>
      <c r="Z1414" s="2" t="s">
        <v>3231</v>
      </c>
      <c r="AA1414" s="2" t="s">
        <v>72</v>
      </c>
      <c r="AB1414" s="2" t="s">
        <v>1604</v>
      </c>
      <c r="AC1414" s="2" t="s">
        <v>1604</v>
      </c>
      <c r="AF1414" s="2">
        <f t="shared" si="169"/>
        <v>0</v>
      </c>
      <c r="AG1414" s="2">
        <v>209.3</v>
      </c>
      <c r="AJ1414" s="2">
        <f t="shared" si="170"/>
        <v>0</v>
      </c>
      <c r="AK1414" s="2">
        <f t="shared" si="171"/>
        <v>159.69999999999999</v>
      </c>
      <c r="AL1414" s="5">
        <f t="shared" si="165"/>
        <v>0.43279132791327912</v>
      </c>
    </row>
    <row r="1415" spans="1:38" hidden="1" x14ac:dyDescent="0.2">
      <c r="A1415" s="2">
        <v>2025</v>
      </c>
      <c r="B1415" s="2">
        <v>7</v>
      </c>
      <c r="D1415" s="2" t="s">
        <v>1626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1627</v>
      </c>
      <c r="J1415" s="2" t="s">
        <v>1628</v>
      </c>
      <c r="L1415" s="2" t="s">
        <v>294</v>
      </c>
      <c r="M1415" s="2" t="s">
        <v>1174</v>
      </c>
      <c r="O1415" s="2" t="s">
        <v>1632</v>
      </c>
      <c r="P1415" s="2" t="s">
        <v>283</v>
      </c>
      <c r="Q1415" s="2" t="s">
        <v>1633</v>
      </c>
      <c r="R1415" s="2" t="s">
        <v>1634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8"/>
        <v>0.45000000000000007</v>
      </c>
      <c r="Z1415" s="2" t="s">
        <v>3231</v>
      </c>
      <c r="AA1415" s="2" t="s">
        <v>72</v>
      </c>
      <c r="AB1415" s="2" t="s">
        <v>120</v>
      </c>
      <c r="AC1415" s="2" t="s">
        <v>120</v>
      </c>
      <c r="AF1415" s="2">
        <f t="shared" si="169"/>
        <v>0</v>
      </c>
      <c r="AG1415" s="2">
        <v>136.94999999999999</v>
      </c>
      <c r="AJ1415" s="2">
        <f t="shared" si="170"/>
        <v>0</v>
      </c>
      <c r="AK1415" s="2">
        <f t="shared" si="171"/>
        <v>112.05000000000001</v>
      </c>
      <c r="AL1415" s="5">
        <f t="shared" si="165"/>
        <v>0.45000000000000007</v>
      </c>
    </row>
    <row r="1416" spans="1:38" hidden="1" x14ac:dyDescent="0.2">
      <c r="A1416" s="2">
        <v>2025</v>
      </c>
      <c r="B1416" s="2">
        <v>7</v>
      </c>
      <c r="D1416" s="2" t="s">
        <v>1626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1627</v>
      </c>
      <c r="J1416" s="2" t="s">
        <v>1628</v>
      </c>
      <c r="L1416" s="2" t="s">
        <v>294</v>
      </c>
      <c r="M1416" s="2" t="s">
        <v>1174</v>
      </c>
      <c r="O1416" s="2" t="s">
        <v>1632</v>
      </c>
      <c r="P1416" s="2" t="s">
        <v>283</v>
      </c>
      <c r="Q1416" s="2" t="s">
        <v>1635</v>
      </c>
      <c r="R1416" s="2" t="s">
        <v>1636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8"/>
        <v>0.35000000000000003</v>
      </c>
      <c r="Z1416" s="2" t="s">
        <v>3231</v>
      </c>
      <c r="AA1416" s="2" t="s">
        <v>72</v>
      </c>
      <c r="AB1416" s="2" t="s">
        <v>120</v>
      </c>
      <c r="AC1416" s="2" t="s">
        <v>120</v>
      </c>
      <c r="AF1416" s="2">
        <f t="shared" si="169"/>
        <v>0</v>
      </c>
      <c r="AG1416" s="2">
        <v>64.349999999999994</v>
      </c>
      <c r="AJ1416" s="2">
        <f t="shared" si="170"/>
        <v>0</v>
      </c>
      <c r="AK1416" s="2">
        <f t="shared" si="171"/>
        <v>69.300000000000011</v>
      </c>
      <c r="AL1416" s="5">
        <f t="shared" si="165"/>
        <v>0.35000000000000003</v>
      </c>
    </row>
    <row r="1417" spans="1:38" hidden="1" x14ac:dyDescent="0.2">
      <c r="A1417" s="2">
        <v>2025</v>
      </c>
      <c r="B1417" s="2">
        <v>7</v>
      </c>
      <c r="D1417" s="2" t="s">
        <v>1277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8"/>
        <v>0.6</v>
      </c>
      <c r="Z1417" s="2" t="s">
        <v>118</v>
      </c>
      <c r="AA1417" s="2" t="s">
        <v>191</v>
      </c>
      <c r="AB1417" s="2" t="s">
        <v>190</v>
      </c>
      <c r="AC1417" s="2" t="s">
        <v>40</v>
      </c>
      <c r="AF1417" s="2">
        <f t="shared" si="169"/>
        <v>0</v>
      </c>
      <c r="AJ1417" s="2">
        <f t="shared" si="170"/>
        <v>0</v>
      </c>
      <c r="AK1417" s="2">
        <f t="shared" si="171"/>
        <v>45</v>
      </c>
      <c r="AL1417" s="5">
        <f t="shared" si="165"/>
        <v>0.6</v>
      </c>
    </row>
    <row r="1418" spans="1:38" hidden="1" x14ac:dyDescent="0.2">
      <c r="A1418" s="2">
        <v>2025</v>
      </c>
      <c r="B1418" s="2">
        <v>7</v>
      </c>
      <c r="D1418" s="2" t="s">
        <v>1277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8"/>
        <v>0.5</v>
      </c>
      <c r="Z1418" s="2" t="s">
        <v>118</v>
      </c>
      <c r="AA1418" s="2" t="s">
        <v>191</v>
      </c>
      <c r="AB1418" s="2" t="s">
        <v>191</v>
      </c>
      <c r="AC1418" s="2" t="s">
        <v>40</v>
      </c>
      <c r="AF1418" s="2">
        <f t="shared" si="169"/>
        <v>0</v>
      </c>
      <c r="AJ1418" s="2">
        <f t="shared" si="170"/>
        <v>0</v>
      </c>
      <c r="AK1418" s="2">
        <f t="shared" si="171"/>
        <v>50</v>
      </c>
      <c r="AL1418" s="5">
        <f t="shared" si="165"/>
        <v>0.5</v>
      </c>
    </row>
    <row r="1419" spans="1:38" hidden="1" x14ac:dyDescent="0.2">
      <c r="A1419" s="2">
        <v>2025</v>
      </c>
      <c r="B1419" s="2">
        <v>7</v>
      </c>
      <c r="D1419" s="2" t="s">
        <v>1094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8"/>
        <v>0.3975727272727273</v>
      </c>
      <c r="Z1419" s="2" t="s">
        <v>3231</v>
      </c>
      <c r="AA1419" s="2" t="s">
        <v>46</v>
      </c>
      <c r="AB1419" s="2" t="s">
        <v>47</v>
      </c>
      <c r="AC1419" s="2" t="s">
        <v>48</v>
      </c>
      <c r="AF1419" s="2">
        <f t="shared" si="169"/>
        <v>0</v>
      </c>
      <c r="AG1419" s="2">
        <v>6.6266999999999996</v>
      </c>
      <c r="AH1419" s="2">
        <v>12</v>
      </c>
      <c r="AJ1419" s="2">
        <f t="shared" si="170"/>
        <v>0</v>
      </c>
      <c r="AK1419" s="2">
        <f t="shared" si="171"/>
        <v>43.733000000000004</v>
      </c>
      <c r="AL1419" s="5">
        <f t="shared" si="165"/>
        <v>0.3975727272727273</v>
      </c>
    </row>
    <row r="1420" spans="1:38" hidden="1" x14ac:dyDescent="0.2">
      <c r="A1420" s="2">
        <v>2025</v>
      </c>
      <c r="B1420" s="2">
        <v>7</v>
      </c>
      <c r="D1420" s="2" t="s">
        <v>1292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8"/>
        <v>1</v>
      </c>
      <c r="Z1420" s="2" t="s">
        <v>118</v>
      </c>
      <c r="AA1420" s="2" t="s">
        <v>318</v>
      </c>
      <c r="AF1420" s="2">
        <f t="shared" si="169"/>
        <v>0</v>
      </c>
      <c r="AJ1420" s="2">
        <f t="shared" si="170"/>
        <v>0</v>
      </c>
      <c r="AK1420" s="2">
        <f t="shared" si="171"/>
        <v>461</v>
      </c>
      <c r="AL1420" s="5">
        <f t="shared" si="165"/>
        <v>1</v>
      </c>
    </row>
    <row r="1421" spans="1:38" hidden="1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1637</v>
      </c>
      <c r="R1421" s="2" t="s">
        <v>1638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8"/>
        <v>0.36508875739644964</v>
      </c>
      <c r="Z1421" s="2" t="s">
        <v>3231</v>
      </c>
      <c r="AA1421" s="2" t="s">
        <v>72</v>
      </c>
      <c r="AB1421" s="2" t="s">
        <v>120</v>
      </c>
      <c r="AC1421" s="2" t="s">
        <v>120</v>
      </c>
      <c r="AF1421" s="2">
        <f t="shared" si="169"/>
        <v>0</v>
      </c>
      <c r="AJ1421" s="2">
        <f t="shared" si="170"/>
        <v>0</v>
      </c>
      <c r="AK1421" s="2">
        <f t="shared" si="171"/>
        <v>6.1699999999999982</v>
      </c>
      <c r="AL1421" s="5">
        <f t="shared" si="165"/>
        <v>0.36508875739644964</v>
      </c>
    </row>
    <row r="1422" spans="1:38" hidden="1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8"/>
        <v>0.33750000000000002</v>
      </c>
      <c r="Z1422" s="2" t="s">
        <v>3231</v>
      </c>
      <c r="AA1422" s="2" t="s">
        <v>46</v>
      </c>
      <c r="AB1422" s="2" t="s">
        <v>57</v>
      </c>
      <c r="AC1422" s="2" t="s">
        <v>58</v>
      </c>
      <c r="AF1422" s="2">
        <f t="shared" si="169"/>
        <v>0</v>
      </c>
      <c r="AG1422" s="2">
        <v>10.6</v>
      </c>
      <c r="AH1422" s="2">
        <v>18</v>
      </c>
      <c r="AJ1422" s="2">
        <f t="shared" si="170"/>
        <v>0</v>
      </c>
      <c r="AK1422" s="2">
        <f t="shared" si="171"/>
        <v>54</v>
      </c>
      <c r="AL1422" s="5">
        <f t="shared" si="165"/>
        <v>0.33750000000000002</v>
      </c>
    </row>
    <row r="1423" spans="1:38" hidden="1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8"/>
        <v>0.21904761904761905</v>
      </c>
      <c r="Z1423" s="2" t="s">
        <v>3231</v>
      </c>
      <c r="AA1423" s="2" t="s">
        <v>46</v>
      </c>
      <c r="AB1423" s="2" t="s">
        <v>61</v>
      </c>
      <c r="AC1423" s="2" t="s">
        <v>58</v>
      </c>
      <c r="AF1423" s="2">
        <f t="shared" si="169"/>
        <v>0</v>
      </c>
      <c r="AG1423" s="2">
        <v>8.1999999999999993</v>
      </c>
      <c r="AH1423" s="2">
        <v>13</v>
      </c>
      <c r="AJ1423" s="2">
        <f t="shared" si="170"/>
        <v>0</v>
      </c>
      <c r="AK1423" s="2">
        <f t="shared" si="171"/>
        <v>23</v>
      </c>
      <c r="AL1423" s="5">
        <f t="shared" si="165"/>
        <v>0.21904761904761905</v>
      </c>
    </row>
    <row r="1424" spans="1:38" hidden="1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8"/>
        <v>0.430969696969697</v>
      </c>
      <c r="Z1424" s="2" t="s">
        <v>3231</v>
      </c>
      <c r="AA1424" s="2" t="s">
        <v>46</v>
      </c>
      <c r="AB1424" s="2" t="s">
        <v>61</v>
      </c>
      <c r="AC1424" s="2" t="s">
        <v>58</v>
      </c>
      <c r="AF1424" s="2">
        <f t="shared" si="169"/>
        <v>0</v>
      </c>
      <c r="AG1424" s="2">
        <v>3.7555999999999998</v>
      </c>
      <c r="AH1424" s="2">
        <v>7.2</v>
      </c>
      <c r="AJ1424" s="2">
        <f t="shared" si="170"/>
        <v>0</v>
      </c>
      <c r="AK1424" s="2">
        <f t="shared" si="171"/>
        <v>56.888000000000005</v>
      </c>
      <c r="AL1424" s="5">
        <f t="shared" ref="AL1424:AL1487" si="172">(T1424-W1424)/T1424</f>
        <v>0.430969696969697</v>
      </c>
    </row>
    <row r="1425" spans="1:38" hidden="1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8"/>
        <v>0.41191666666666665</v>
      </c>
      <c r="Z1425" s="2" t="s">
        <v>3231</v>
      </c>
      <c r="AA1425" s="2" t="s">
        <v>46</v>
      </c>
      <c r="AB1425" s="2" t="s">
        <v>61</v>
      </c>
      <c r="AC1425" s="2" t="s">
        <v>58</v>
      </c>
      <c r="AF1425" s="2">
        <f t="shared" si="169"/>
        <v>0</v>
      </c>
      <c r="AG1425" s="2">
        <v>1.4114</v>
      </c>
      <c r="AH1425" s="2">
        <v>3</v>
      </c>
      <c r="AJ1425" s="2">
        <f t="shared" si="170"/>
        <v>0</v>
      </c>
      <c r="AK1425" s="2">
        <f t="shared" si="171"/>
        <v>19.771999999999998</v>
      </c>
      <c r="AL1425" s="5">
        <f t="shared" si="172"/>
        <v>0.41191666666666665</v>
      </c>
    </row>
    <row r="1426" spans="1:38" hidden="1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8"/>
        <v>0.30138139534883718</v>
      </c>
      <c r="Z1426" s="2" t="s">
        <v>3231</v>
      </c>
      <c r="AA1426" s="2" t="s">
        <v>46</v>
      </c>
      <c r="AB1426" s="2" t="s">
        <v>68</v>
      </c>
      <c r="AC1426" s="2" t="s">
        <v>58</v>
      </c>
      <c r="AF1426" s="2">
        <f t="shared" si="169"/>
        <v>0</v>
      </c>
      <c r="AG1426" s="2">
        <v>15.020300000000001</v>
      </c>
      <c r="AH1426" s="2">
        <v>27.6</v>
      </c>
      <c r="AJ1426" s="2">
        <f t="shared" si="170"/>
        <v>0</v>
      </c>
      <c r="AK1426" s="2">
        <f t="shared" si="171"/>
        <v>12.959399999999999</v>
      </c>
      <c r="AL1426" s="5">
        <f t="shared" si="172"/>
        <v>0.30138139534883718</v>
      </c>
    </row>
    <row r="1427" spans="1:38" hidden="1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8"/>
        <v>0.34714285714285725</v>
      </c>
      <c r="Z1427" s="2" t="s">
        <v>3231</v>
      </c>
      <c r="AA1427" s="2" t="s">
        <v>46</v>
      </c>
      <c r="AB1427" s="2" t="s">
        <v>61</v>
      </c>
      <c r="AC1427" s="2" t="s">
        <v>58</v>
      </c>
      <c r="AF1427" s="2">
        <f t="shared" si="169"/>
        <v>0</v>
      </c>
      <c r="AG1427" s="2">
        <v>9.14</v>
      </c>
      <c r="AH1427" s="2">
        <v>16</v>
      </c>
      <c r="AJ1427" s="2">
        <f t="shared" si="170"/>
        <v>0</v>
      </c>
      <c r="AK1427" s="2">
        <f t="shared" si="171"/>
        <v>4.8600000000000012</v>
      </c>
      <c r="AL1427" s="5">
        <f t="shared" si="172"/>
        <v>0.34714285714285725</v>
      </c>
    </row>
    <row r="1428" spans="1:38" hidden="1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8"/>
        <v>1</v>
      </c>
      <c r="Z1428" s="2" t="s">
        <v>118</v>
      </c>
      <c r="AF1428" s="2">
        <f t="shared" si="169"/>
        <v>0</v>
      </c>
      <c r="AJ1428" s="2">
        <f t="shared" si="170"/>
        <v>0</v>
      </c>
      <c r="AK1428" s="2">
        <f t="shared" si="171"/>
        <v>42.7</v>
      </c>
      <c r="AL1428" s="5">
        <f t="shared" si="172"/>
        <v>1</v>
      </c>
    </row>
    <row r="1429" spans="1:38" hidden="1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68"/>
        <v>0.42342342342342337</v>
      </c>
      <c r="Z1429" s="2" t="s">
        <v>3231</v>
      </c>
      <c r="AA1429" s="2" t="s">
        <v>46</v>
      </c>
      <c r="AB1429" s="2" t="s">
        <v>47</v>
      </c>
      <c r="AC1429" s="2" t="s">
        <v>48</v>
      </c>
      <c r="AF1429" s="2">
        <f t="shared" si="169"/>
        <v>0</v>
      </c>
      <c r="AJ1429" s="2">
        <f t="shared" si="170"/>
        <v>0</v>
      </c>
      <c r="AK1429" s="2">
        <f t="shared" si="171"/>
        <v>18.799999999999997</v>
      </c>
      <c r="AL1429" s="5">
        <f t="shared" si="172"/>
        <v>0.42342342342342337</v>
      </c>
    </row>
    <row r="1430" spans="1:38" hidden="1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8"/>
        <v>0.52105128205128204</v>
      </c>
      <c r="Z1430" s="2" t="s">
        <v>3231</v>
      </c>
      <c r="AA1430" s="2" t="s">
        <v>46</v>
      </c>
      <c r="AB1430" s="2" t="s">
        <v>47</v>
      </c>
      <c r="AC1430" s="2" t="s">
        <v>48</v>
      </c>
      <c r="AF1430" s="2">
        <f t="shared" si="169"/>
        <v>0</v>
      </c>
      <c r="AG1430" s="2">
        <v>3.7357999999999998</v>
      </c>
      <c r="AH1430" s="2">
        <v>9</v>
      </c>
      <c r="AJ1430" s="2">
        <f t="shared" si="170"/>
        <v>0</v>
      </c>
      <c r="AK1430" s="2">
        <f t="shared" si="171"/>
        <v>8.1283999999999992</v>
      </c>
      <c r="AL1430" s="5">
        <f t="shared" si="172"/>
        <v>0.52105128205128204</v>
      </c>
    </row>
    <row r="1431" spans="1:38" hidden="1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3">(T1431-W1431)/T1431</f>
        <v>0.33750000000000002</v>
      </c>
      <c r="Z1431" s="2" t="s">
        <v>3231</v>
      </c>
      <c r="AA1431" s="2" t="s">
        <v>46</v>
      </c>
      <c r="AB1431" s="2" t="s">
        <v>57</v>
      </c>
      <c r="AC1431" s="2" t="s">
        <v>58</v>
      </c>
      <c r="AF1431" s="2">
        <f t="shared" si="169"/>
        <v>0</v>
      </c>
      <c r="AG1431" s="2">
        <v>10.6</v>
      </c>
      <c r="AH1431" s="2">
        <v>18</v>
      </c>
      <c r="AJ1431" s="2">
        <f t="shared" si="170"/>
        <v>0</v>
      </c>
      <c r="AK1431" s="2">
        <f t="shared" si="171"/>
        <v>27</v>
      </c>
      <c r="AL1431" s="5">
        <f t="shared" si="172"/>
        <v>0.33750000000000002</v>
      </c>
    </row>
    <row r="1432" spans="1:38" hidden="1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3"/>
        <v>0.36923076923076925</v>
      </c>
      <c r="Z1432" s="2" t="s">
        <v>3231</v>
      </c>
      <c r="AA1432" s="2" t="s">
        <v>46</v>
      </c>
      <c r="AB1432" s="2" t="s">
        <v>61</v>
      </c>
      <c r="AC1432" s="2" t="s">
        <v>58</v>
      </c>
      <c r="AF1432" s="2">
        <f t="shared" si="169"/>
        <v>0</v>
      </c>
      <c r="AG1432" s="2">
        <v>8.1999999999999993</v>
      </c>
      <c r="AH1432" s="2">
        <v>13</v>
      </c>
      <c r="AJ1432" s="2">
        <f t="shared" si="170"/>
        <v>0</v>
      </c>
      <c r="AK1432" s="2">
        <f t="shared" si="171"/>
        <v>24</v>
      </c>
      <c r="AL1432" s="5">
        <f t="shared" si="172"/>
        <v>0.36923076923076925</v>
      </c>
    </row>
    <row r="1433" spans="1:38" hidden="1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3"/>
        <v>0.6</v>
      </c>
      <c r="Z1433" s="2" t="s">
        <v>118</v>
      </c>
      <c r="AA1433" s="2" t="s">
        <v>191</v>
      </c>
      <c r="AB1433" s="2" t="s">
        <v>190</v>
      </c>
      <c r="AC1433" s="2" t="s">
        <v>40</v>
      </c>
      <c r="AF1433" s="2">
        <f t="shared" si="169"/>
        <v>0</v>
      </c>
      <c r="AJ1433" s="2">
        <f t="shared" si="170"/>
        <v>0</v>
      </c>
      <c r="AK1433" s="2">
        <f t="shared" si="171"/>
        <v>64.8</v>
      </c>
      <c r="AL1433" s="5">
        <f t="shared" si="172"/>
        <v>0.6</v>
      </c>
    </row>
    <row r="1434" spans="1:38" hidden="1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3"/>
        <v>0.5</v>
      </c>
      <c r="Z1434" s="2" t="s">
        <v>118</v>
      </c>
      <c r="AA1434" s="2" t="s">
        <v>191</v>
      </c>
      <c r="AB1434" s="2" t="s">
        <v>191</v>
      </c>
      <c r="AC1434" s="2" t="s">
        <v>40</v>
      </c>
      <c r="AF1434" s="2">
        <f t="shared" si="169"/>
        <v>0</v>
      </c>
      <c r="AJ1434" s="2">
        <f t="shared" si="170"/>
        <v>0</v>
      </c>
      <c r="AK1434" s="2">
        <f t="shared" si="171"/>
        <v>67.5</v>
      </c>
      <c r="AL1434" s="5">
        <f t="shared" si="172"/>
        <v>0.5</v>
      </c>
    </row>
    <row r="1435" spans="1:38" hidden="1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3"/>
        <v>1</v>
      </c>
      <c r="Z1435" s="2" t="s">
        <v>120</v>
      </c>
      <c r="AA1435" s="2" t="s">
        <v>3385</v>
      </c>
      <c r="AF1435" s="2">
        <f t="shared" si="169"/>
        <v>0</v>
      </c>
      <c r="AJ1435" s="2">
        <f t="shared" si="170"/>
        <v>0</v>
      </c>
      <c r="AK1435" s="2">
        <f t="shared" si="171"/>
        <v>11.4</v>
      </c>
      <c r="AL1435" s="5">
        <f t="shared" si="172"/>
        <v>1</v>
      </c>
    </row>
    <row r="1436" spans="1:38" hidden="1" x14ac:dyDescent="0.2">
      <c r="A1436" s="2">
        <v>2025</v>
      </c>
      <c r="B1436" s="2">
        <v>7</v>
      </c>
      <c r="C1436" s="2" t="s">
        <v>3405</v>
      </c>
      <c r="D1436" s="2" t="s">
        <v>1639</v>
      </c>
      <c r="E1436" s="2" t="s">
        <v>2450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1640</v>
      </c>
      <c r="R1436" s="2" t="s">
        <v>1641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3"/>
        <v>0.31180866965620335</v>
      </c>
      <c r="Z1436" s="2" t="s">
        <v>3231</v>
      </c>
      <c r="AA1436" s="2" t="s">
        <v>72</v>
      </c>
      <c r="AB1436" s="2" t="s">
        <v>1604</v>
      </c>
      <c r="AC1436" s="2" t="s">
        <v>1604</v>
      </c>
      <c r="AF1436" s="2">
        <f t="shared" si="169"/>
        <v>0</v>
      </c>
      <c r="AJ1436" s="2">
        <f t="shared" si="170"/>
        <v>0</v>
      </c>
      <c r="AK1436" s="2">
        <f t="shared" si="171"/>
        <v>20.860000000000007</v>
      </c>
      <c r="AL1436" s="5">
        <f t="shared" si="172"/>
        <v>0.31180866965620335</v>
      </c>
    </row>
    <row r="1437" spans="1:38" hidden="1" x14ac:dyDescent="0.2">
      <c r="A1437" s="2">
        <v>2025</v>
      </c>
      <c r="B1437" s="2">
        <v>7</v>
      </c>
      <c r="D1437" s="2" t="s">
        <v>900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901</v>
      </c>
      <c r="K1437" s="2">
        <v>912047019</v>
      </c>
      <c r="L1437" s="2" t="s">
        <v>100</v>
      </c>
      <c r="M1437" s="2" t="s">
        <v>40</v>
      </c>
      <c r="O1437" s="2" t="s">
        <v>1642</v>
      </c>
      <c r="P1437" s="2" t="s">
        <v>115</v>
      </c>
      <c r="Q1437" s="2" t="s">
        <v>673</v>
      </c>
      <c r="R1437" s="2" t="s">
        <v>674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3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9"/>
        <v>0</v>
      </c>
      <c r="AG1437" s="2">
        <v>5.2342000000000004</v>
      </c>
      <c r="AJ1437" s="2">
        <f t="shared" si="170"/>
        <v>0</v>
      </c>
      <c r="AK1437" s="2">
        <f t="shared" si="171"/>
        <v>19.421599999999998</v>
      </c>
      <c r="AL1437" s="5">
        <f t="shared" si="172"/>
        <v>0.64976915356306453</v>
      </c>
    </row>
    <row r="1438" spans="1:38" hidden="1" x14ac:dyDescent="0.2">
      <c r="A1438" s="2">
        <v>2025</v>
      </c>
      <c r="B1438" s="2">
        <v>7</v>
      </c>
      <c r="D1438" s="2" t="s">
        <v>900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901</v>
      </c>
      <c r="K1438" s="2">
        <v>912047019</v>
      </c>
      <c r="L1438" s="2" t="s">
        <v>100</v>
      </c>
      <c r="M1438" s="2" t="s">
        <v>3305</v>
      </c>
      <c r="O1438" s="2" t="s">
        <v>1643</v>
      </c>
      <c r="P1438" s="2" t="s">
        <v>283</v>
      </c>
      <c r="Q1438" s="2" t="s">
        <v>1644</v>
      </c>
      <c r="R1438" s="2" t="s">
        <v>1645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3"/>
        <v>0.29850746268656714</v>
      </c>
      <c r="Z1438" s="2" t="s">
        <v>3231</v>
      </c>
      <c r="AA1438" s="2" t="s">
        <v>72</v>
      </c>
      <c r="AB1438" s="2" t="s">
        <v>120</v>
      </c>
      <c r="AC1438" s="2" t="s">
        <v>120</v>
      </c>
      <c r="AF1438" s="2">
        <f t="shared" si="169"/>
        <v>0</v>
      </c>
      <c r="AJ1438" s="2">
        <f t="shared" si="170"/>
        <v>0</v>
      </c>
      <c r="AK1438" s="2">
        <f t="shared" si="171"/>
        <v>100</v>
      </c>
      <c r="AL1438" s="5">
        <f t="shared" si="172"/>
        <v>0.29850746268656714</v>
      </c>
    </row>
    <row r="1439" spans="1:38" hidden="1" x14ac:dyDescent="0.2">
      <c r="A1439" s="2">
        <v>2025</v>
      </c>
      <c r="B1439" s="2">
        <v>7</v>
      </c>
      <c r="D1439" s="2" t="s">
        <v>900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901</v>
      </c>
      <c r="K1439" s="2">
        <v>912047019</v>
      </c>
      <c r="L1439" s="2" t="s">
        <v>100</v>
      </c>
      <c r="M1439" s="2" t="s">
        <v>3305</v>
      </c>
      <c r="O1439" s="2" t="s">
        <v>1646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3"/>
        <v>0.54371272727272724</v>
      </c>
      <c r="Z1439" s="2" t="s">
        <v>3231</v>
      </c>
      <c r="AA1439" s="2" t="s">
        <v>46</v>
      </c>
      <c r="AB1439" s="2" t="s">
        <v>91</v>
      </c>
      <c r="AC1439" s="2" t="s">
        <v>58</v>
      </c>
      <c r="AF1439" s="2">
        <f t="shared" si="169"/>
        <v>0</v>
      </c>
      <c r="AJ1439" s="2">
        <f t="shared" si="170"/>
        <v>0</v>
      </c>
      <c r="AK1439" s="2">
        <f t="shared" si="171"/>
        <v>59.808399999999999</v>
      </c>
      <c r="AL1439" s="5">
        <f t="shared" si="172"/>
        <v>0.54371272727272724</v>
      </c>
    </row>
    <row r="1440" spans="1:38" hidden="1" x14ac:dyDescent="0.2">
      <c r="A1440" s="2">
        <v>2025</v>
      </c>
      <c r="B1440" s="2">
        <v>7</v>
      </c>
      <c r="D1440" s="2" t="s">
        <v>1297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1298</v>
      </c>
      <c r="L1440" s="2" t="s">
        <v>340</v>
      </c>
      <c r="P1440" s="2" t="s">
        <v>73</v>
      </c>
      <c r="Q1440" s="2" t="s">
        <v>1450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3"/>
        <v>0.39974585387718514</v>
      </c>
      <c r="Z1440" s="2" t="s">
        <v>3231</v>
      </c>
      <c r="AA1440" s="2" t="s">
        <v>76</v>
      </c>
      <c r="AB1440" s="2" t="s">
        <v>77</v>
      </c>
      <c r="AC1440" s="2" t="s">
        <v>78</v>
      </c>
      <c r="AF1440" s="2">
        <f t="shared" si="169"/>
        <v>0</v>
      </c>
      <c r="AJ1440" s="2">
        <f t="shared" si="170"/>
        <v>0</v>
      </c>
      <c r="AK1440" s="2">
        <f t="shared" si="171"/>
        <v>89.183300000000003</v>
      </c>
      <c r="AL1440" s="5">
        <f t="shared" si="172"/>
        <v>0.39974585387718514</v>
      </c>
    </row>
    <row r="1441" spans="1:38" hidden="1" x14ac:dyDescent="0.2">
      <c r="A1441" s="2">
        <v>2025</v>
      </c>
      <c r="B1441" s="2">
        <v>7</v>
      </c>
      <c r="D1441" s="2" t="s">
        <v>1297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1298</v>
      </c>
      <c r="L1441" s="2" t="s">
        <v>340</v>
      </c>
      <c r="P1441" s="2" t="s">
        <v>73</v>
      </c>
      <c r="Q1441" s="2" t="s">
        <v>1451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3"/>
        <v>0.4262136832239925</v>
      </c>
      <c r="Z1441" s="2" t="s">
        <v>3231</v>
      </c>
      <c r="AA1441" s="2" t="s">
        <v>76</v>
      </c>
      <c r="AB1441" s="2" t="s">
        <v>77</v>
      </c>
      <c r="AC1441" s="2" t="s">
        <v>78</v>
      </c>
      <c r="AF1441" s="2">
        <f t="shared" si="169"/>
        <v>0</v>
      </c>
      <c r="AG1441" s="2">
        <v>122.446</v>
      </c>
      <c r="AH1441" s="2">
        <v>230</v>
      </c>
      <c r="AJ1441" s="2">
        <f t="shared" si="170"/>
        <v>0</v>
      </c>
      <c r="AK1441" s="2">
        <f t="shared" si="171"/>
        <v>90.954000000000008</v>
      </c>
      <c r="AL1441" s="5">
        <f t="shared" si="172"/>
        <v>0.4262136832239925</v>
      </c>
    </row>
    <row r="1442" spans="1:38" hidden="1" x14ac:dyDescent="0.2">
      <c r="A1442" s="2">
        <v>2025</v>
      </c>
      <c r="B1442" s="2">
        <v>7</v>
      </c>
      <c r="D1442" s="2" t="s">
        <v>1297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1298</v>
      </c>
      <c r="L1442" s="2" t="s">
        <v>340</v>
      </c>
      <c r="P1442" s="2" t="s">
        <v>73</v>
      </c>
      <c r="Q1442" s="2" t="s">
        <v>1647</v>
      </c>
      <c r="R1442" s="2" t="s">
        <v>997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3"/>
        <v>0.46296023564064803</v>
      </c>
      <c r="Z1442" s="2" t="s">
        <v>3231</v>
      </c>
      <c r="AA1442" s="2" t="s">
        <v>76</v>
      </c>
      <c r="AB1442" s="2" t="s">
        <v>77</v>
      </c>
      <c r="AC1442" s="2" t="s">
        <v>78</v>
      </c>
      <c r="AF1442" s="2">
        <f t="shared" si="169"/>
        <v>0</v>
      </c>
      <c r="AJ1442" s="2">
        <f t="shared" si="170"/>
        <v>0</v>
      </c>
      <c r="AK1442" s="2">
        <f t="shared" si="171"/>
        <v>125.74000000000001</v>
      </c>
      <c r="AL1442" s="5">
        <f t="shared" si="172"/>
        <v>0.46296023564064803</v>
      </c>
    </row>
    <row r="1443" spans="1:38" hidden="1" x14ac:dyDescent="0.2">
      <c r="A1443" s="2">
        <v>2025</v>
      </c>
      <c r="B1443" s="2">
        <v>7</v>
      </c>
      <c r="D1443" s="2" t="s">
        <v>1297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1298</v>
      </c>
      <c r="L1443" s="2" t="s">
        <v>340</v>
      </c>
      <c r="M1443" s="2" t="s">
        <v>81</v>
      </c>
      <c r="P1443" s="2" t="s">
        <v>1040</v>
      </c>
      <c r="Q1443" s="2" t="s">
        <v>1648</v>
      </c>
      <c r="R1443" s="2" t="s">
        <v>1649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3"/>
        <v>0.42859468258274552</v>
      </c>
      <c r="Z1443" s="2" t="s">
        <v>3231</v>
      </c>
      <c r="AA1443" s="2" t="s">
        <v>76</v>
      </c>
      <c r="AB1443" s="2" t="s">
        <v>77</v>
      </c>
      <c r="AC1443" s="2" t="s">
        <v>1040</v>
      </c>
      <c r="AF1443" s="2">
        <f t="shared" si="169"/>
        <v>0</v>
      </c>
      <c r="AJ1443" s="2">
        <f t="shared" si="170"/>
        <v>0</v>
      </c>
      <c r="AK1443" s="2">
        <f t="shared" si="171"/>
        <v>157.98000000000002</v>
      </c>
      <c r="AL1443" s="5">
        <f t="shared" si="172"/>
        <v>0.42859468258274552</v>
      </c>
    </row>
    <row r="1444" spans="1:38" hidden="1" x14ac:dyDescent="0.2">
      <c r="A1444" s="2">
        <v>2025</v>
      </c>
      <c r="B1444" s="2">
        <v>7</v>
      </c>
      <c r="D1444" s="2" t="s">
        <v>1297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1298</v>
      </c>
      <c r="L1444" s="2" t="s">
        <v>340</v>
      </c>
      <c r="M1444" s="2" t="s">
        <v>81</v>
      </c>
      <c r="P1444" s="2" t="s">
        <v>1040</v>
      </c>
      <c r="Q1444" s="2" t="s">
        <v>1650</v>
      </c>
      <c r="R1444" s="2" t="s">
        <v>1651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3"/>
        <v>0.41551300932744228</v>
      </c>
      <c r="Z1444" s="2" t="s">
        <v>3231</v>
      </c>
      <c r="AA1444" s="2" t="s">
        <v>76</v>
      </c>
      <c r="AB1444" s="2" t="s">
        <v>77</v>
      </c>
      <c r="AC1444" s="2" t="s">
        <v>1040</v>
      </c>
      <c r="AF1444" s="2">
        <f t="shared" si="169"/>
        <v>0</v>
      </c>
      <c r="AJ1444" s="2">
        <f t="shared" si="170"/>
        <v>0</v>
      </c>
      <c r="AK1444" s="2">
        <f t="shared" si="171"/>
        <v>84.639999999999986</v>
      </c>
      <c r="AL1444" s="5">
        <f t="shared" si="172"/>
        <v>0.41551300932744228</v>
      </c>
    </row>
    <row r="1445" spans="1:38" hidden="1" x14ac:dyDescent="0.2">
      <c r="A1445" s="2">
        <v>2025</v>
      </c>
      <c r="B1445" s="2">
        <v>7</v>
      </c>
      <c r="D1445" s="2" t="s">
        <v>1297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1298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3"/>
        <v>0.23333333333333334</v>
      </c>
      <c r="Z1445" s="2" t="s">
        <v>170</v>
      </c>
      <c r="AA1445" s="2" t="s">
        <v>170</v>
      </c>
      <c r="AF1445" s="2">
        <f t="shared" si="169"/>
        <v>0</v>
      </c>
      <c r="AJ1445" s="2">
        <f t="shared" si="170"/>
        <v>0</v>
      </c>
      <c r="AK1445" s="2">
        <f t="shared" si="171"/>
        <v>7</v>
      </c>
      <c r="AL1445" s="5">
        <f t="shared" si="172"/>
        <v>0.23333333333333334</v>
      </c>
    </row>
    <row r="1446" spans="1:38" hidden="1" x14ac:dyDescent="0.2">
      <c r="A1446" s="2">
        <v>2025</v>
      </c>
      <c r="B1446" s="2">
        <v>7</v>
      </c>
      <c r="D1446" s="2" t="s">
        <v>1297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1298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3"/>
        <v>1.5582077538598687E-16</v>
      </c>
      <c r="Z1446" s="2" t="s">
        <v>3231</v>
      </c>
      <c r="AA1446" s="2" t="s">
        <v>97</v>
      </c>
      <c r="AB1446" s="2" t="s">
        <v>77</v>
      </c>
      <c r="AC1446" s="2" t="s">
        <v>94</v>
      </c>
      <c r="AF1446" s="2">
        <f t="shared" si="169"/>
        <v>0</v>
      </c>
      <c r="AJ1446" s="2">
        <f t="shared" si="170"/>
        <v>0</v>
      </c>
      <c r="AK1446" s="2">
        <f t="shared" si="171"/>
        <v>0</v>
      </c>
      <c r="AL1446" s="5">
        <f t="shared" si="172"/>
        <v>1.5582077538598687E-16</v>
      </c>
    </row>
    <row r="1447" spans="1:38" hidden="1" x14ac:dyDescent="0.2">
      <c r="A1447" s="2">
        <v>2025</v>
      </c>
      <c r="B1447" s="2">
        <v>7</v>
      </c>
      <c r="D1447" s="2" t="s">
        <v>618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619</v>
      </c>
      <c r="J1447" s="2" t="s">
        <v>620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4">17.4*S1447</f>
        <v>34.799999999999997</v>
      </c>
      <c r="X1447" s="5">
        <f t="shared" si="173"/>
        <v>0.4</v>
      </c>
      <c r="Z1447" s="2" t="s">
        <v>3231</v>
      </c>
      <c r="AA1447" s="2" t="s">
        <v>46</v>
      </c>
      <c r="AB1447" s="2" t="s">
        <v>61</v>
      </c>
      <c r="AC1447" s="2" t="s">
        <v>3336</v>
      </c>
      <c r="AF1447" s="2">
        <f t="shared" si="169"/>
        <v>0</v>
      </c>
      <c r="AJ1447" s="2">
        <f t="shared" si="170"/>
        <v>0</v>
      </c>
      <c r="AK1447" s="2">
        <f t="shared" si="171"/>
        <v>23.200000000000003</v>
      </c>
      <c r="AL1447" s="5">
        <f t="shared" si="172"/>
        <v>0.4</v>
      </c>
    </row>
    <row r="1448" spans="1:38" hidden="1" x14ac:dyDescent="0.2">
      <c r="A1448" s="2">
        <v>2025</v>
      </c>
      <c r="B1448" s="2">
        <v>7</v>
      </c>
      <c r="D1448" s="2" t="s">
        <v>618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619</v>
      </c>
      <c r="J1448" s="2" t="s">
        <v>620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4"/>
        <v>17.399999999999999</v>
      </c>
      <c r="X1448" s="5">
        <f t="shared" si="173"/>
        <v>0.4</v>
      </c>
      <c r="Z1448" s="2" t="s">
        <v>3231</v>
      </c>
      <c r="AA1448" s="2" t="s">
        <v>46</v>
      </c>
      <c r="AB1448" s="2" t="s">
        <v>61</v>
      </c>
      <c r="AC1448" s="2" t="s">
        <v>3336</v>
      </c>
      <c r="AF1448" s="2">
        <f t="shared" si="169"/>
        <v>0</v>
      </c>
      <c r="AJ1448" s="2">
        <f t="shared" si="170"/>
        <v>0</v>
      </c>
      <c r="AK1448" s="2">
        <f t="shared" si="171"/>
        <v>11.600000000000001</v>
      </c>
      <c r="AL1448" s="5">
        <f t="shared" si="172"/>
        <v>0.4</v>
      </c>
    </row>
    <row r="1449" spans="1:38" hidden="1" x14ac:dyDescent="0.2">
      <c r="A1449" s="2">
        <v>2025</v>
      </c>
      <c r="B1449" s="2">
        <v>7</v>
      </c>
      <c r="D1449" s="2" t="s">
        <v>618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619</v>
      </c>
      <c r="J1449" s="2" t="s">
        <v>620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3"/>
        <v>0.5243888888888889</v>
      </c>
      <c r="Z1449" s="2" t="s">
        <v>3231</v>
      </c>
      <c r="AA1449" s="2" t="s">
        <v>46</v>
      </c>
      <c r="AB1449" s="2" t="s">
        <v>61</v>
      </c>
      <c r="AC1449" s="2" t="s">
        <v>58</v>
      </c>
      <c r="AF1449" s="2">
        <f t="shared" si="169"/>
        <v>0</v>
      </c>
      <c r="AG1449" s="2">
        <v>0.85609999999999997</v>
      </c>
      <c r="AH1449" s="2">
        <v>1.8</v>
      </c>
      <c r="AJ1449" s="2">
        <f t="shared" si="170"/>
        <v>0</v>
      </c>
      <c r="AK1449" s="2">
        <f t="shared" si="171"/>
        <v>9.4390000000000001</v>
      </c>
      <c r="AL1449" s="5">
        <f t="shared" si="172"/>
        <v>0.5243888888888889</v>
      </c>
    </row>
    <row r="1450" spans="1:38" hidden="1" x14ac:dyDescent="0.2">
      <c r="A1450" s="2">
        <v>2025</v>
      </c>
      <c r="B1450" s="2">
        <v>7</v>
      </c>
      <c r="D1450" s="2" t="s">
        <v>1115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1116</v>
      </c>
      <c r="J1450" s="2" t="s">
        <v>1117</v>
      </c>
      <c r="K1450" s="2">
        <v>914550474</v>
      </c>
      <c r="L1450" s="2" t="s">
        <v>100</v>
      </c>
      <c r="M1450" s="2" t="s">
        <v>40</v>
      </c>
      <c r="O1450" s="2" t="s">
        <v>1652</v>
      </c>
      <c r="P1450" s="2" t="s">
        <v>115</v>
      </c>
      <c r="Q1450" s="2" t="s">
        <v>1653</v>
      </c>
      <c r="R1450" s="2" t="s">
        <v>1654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3"/>
        <v>1</v>
      </c>
      <c r="Z1450" s="2" t="s">
        <v>118</v>
      </c>
      <c r="AF1450" s="2">
        <f t="shared" si="169"/>
        <v>0</v>
      </c>
      <c r="AJ1450" s="2">
        <f t="shared" si="170"/>
        <v>0</v>
      </c>
      <c r="AK1450" s="2">
        <f t="shared" si="171"/>
        <v>30.13</v>
      </c>
      <c r="AL1450" s="5">
        <f t="shared" si="172"/>
        <v>1</v>
      </c>
    </row>
    <row r="1451" spans="1:38" hidden="1" x14ac:dyDescent="0.2">
      <c r="A1451" s="2">
        <v>2025</v>
      </c>
      <c r="B1451" s="2">
        <v>7</v>
      </c>
      <c r="D1451" s="2" t="s">
        <v>625</v>
      </c>
      <c r="E1451" s="2" t="s">
        <v>38</v>
      </c>
      <c r="F1451" s="2" t="s">
        <v>39</v>
      </c>
      <c r="G1451" s="2" t="s">
        <v>626</v>
      </c>
      <c r="H1451" s="2" t="s">
        <v>40</v>
      </c>
      <c r="I1451" s="2" t="s">
        <v>627</v>
      </c>
      <c r="J1451" s="2" t="s">
        <v>628</v>
      </c>
      <c r="L1451" s="2" t="s">
        <v>627</v>
      </c>
      <c r="M1451" s="2" t="s">
        <v>40</v>
      </c>
      <c r="P1451" s="2" t="s">
        <v>115</v>
      </c>
      <c r="Q1451" s="2" t="s">
        <v>631</v>
      </c>
      <c r="R1451" s="2" t="s">
        <v>632</v>
      </c>
      <c r="S1451" s="2">
        <v>1</v>
      </c>
      <c r="T1451" s="2">
        <v>39.5</v>
      </c>
      <c r="V1451" s="2">
        <f t="shared" ref="V1451:V1452" si="175">T1451</f>
        <v>39.5</v>
      </c>
      <c r="W1451" s="2">
        <v>25.57</v>
      </c>
      <c r="X1451" s="5">
        <f t="shared" si="173"/>
        <v>0.35265822784810125</v>
      </c>
      <c r="Z1451" s="2" t="s">
        <v>118</v>
      </c>
      <c r="AA1451" s="2" t="s">
        <v>182</v>
      </c>
      <c r="AB1451" s="2" t="s">
        <v>120</v>
      </c>
      <c r="AC1451" s="2" t="s">
        <v>115</v>
      </c>
      <c r="AF1451" s="2">
        <f t="shared" si="169"/>
        <v>0</v>
      </c>
      <c r="AJ1451" s="2">
        <f t="shared" si="170"/>
        <v>0</v>
      </c>
      <c r="AK1451" s="2">
        <f t="shared" si="171"/>
        <v>13.93</v>
      </c>
      <c r="AL1451" s="5">
        <f t="shared" si="172"/>
        <v>0.35265822784810125</v>
      </c>
    </row>
    <row r="1452" spans="1:38" hidden="1" x14ac:dyDescent="0.2">
      <c r="A1452" s="2">
        <v>2025</v>
      </c>
      <c r="B1452" s="2">
        <v>7</v>
      </c>
      <c r="D1452" s="2" t="s">
        <v>625</v>
      </c>
      <c r="E1452" s="2" t="s">
        <v>38</v>
      </c>
      <c r="F1452" s="2" t="s">
        <v>39</v>
      </c>
      <c r="G1452" s="2" t="s">
        <v>626</v>
      </c>
      <c r="H1452" s="2" t="s">
        <v>40</v>
      </c>
      <c r="I1452" s="2" t="s">
        <v>627</v>
      </c>
      <c r="J1452" s="2" t="s">
        <v>628</v>
      </c>
      <c r="L1452" s="2" t="s">
        <v>627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V1452" s="2">
        <f t="shared" si="175"/>
        <v>0</v>
      </c>
      <c r="W1452" s="2">
        <v>0</v>
      </c>
      <c r="X1452" s="5">
        <v>0</v>
      </c>
      <c r="Z1452" s="2" t="s">
        <v>118</v>
      </c>
      <c r="AA1452" s="2" t="s">
        <v>182</v>
      </c>
      <c r="AB1452" s="2" t="s">
        <v>120</v>
      </c>
      <c r="AC1452" s="2" t="s">
        <v>115</v>
      </c>
      <c r="AF1452" s="2">
        <f t="shared" si="169"/>
        <v>0</v>
      </c>
      <c r="AJ1452" s="2">
        <f t="shared" si="170"/>
        <v>0</v>
      </c>
      <c r="AK1452" s="2">
        <v>0</v>
      </c>
      <c r="AL1452" s="5">
        <v>0</v>
      </c>
    </row>
    <row r="1453" spans="1:38" hidden="1" x14ac:dyDescent="0.2">
      <c r="A1453" s="2">
        <v>2025</v>
      </c>
      <c r="B1453" s="2">
        <v>7</v>
      </c>
      <c r="D1453" s="2" t="s">
        <v>1655</v>
      </c>
      <c r="E1453" s="2" t="s">
        <v>38</v>
      </c>
      <c r="F1453" s="2" t="s">
        <v>39</v>
      </c>
      <c r="H1453" s="2" t="s">
        <v>41</v>
      </c>
      <c r="I1453" s="2" t="s">
        <v>1656</v>
      </c>
      <c r="J1453" s="2" t="s">
        <v>1657</v>
      </c>
      <c r="L1453" s="2" t="s">
        <v>113</v>
      </c>
      <c r="M1453" s="2" t="s">
        <v>40</v>
      </c>
      <c r="O1453" s="2" t="s">
        <v>1658</v>
      </c>
      <c r="P1453" s="2" t="s">
        <v>115</v>
      </c>
      <c r="Q1453" s="2" t="s">
        <v>1659</v>
      </c>
      <c r="R1453" s="2" t="s">
        <v>1660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6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9"/>
        <v>0</v>
      </c>
      <c r="AG1453" s="2">
        <v>565.755</v>
      </c>
      <c r="AJ1453" s="2">
        <f t="shared" si="170"/>
        <v>0</v>
      </c>
      <c r="AK1453" s="2">
        <f t="shared" si="171"/>
        <v>2069.8150000000001</v>
      </c>
      <c r="AL1453" s="5">
        <f t="shared" si="172"/>
        <v>0.78533865539522763</v>
      </c>
    </row>
    <row r="1454" spans="1:38" hidden="1" x14ac:dyDescent="0.2">
      <c r="A1454" s="2">
        <v>2025</v>
      </c>
      <c r="B1454" s="2">
        <v>7</v>
      </c>
      <c r="D1454" s="2" t="s">
        <v>1655</v>
      </c>
      <c r="E1454" s="2" t="s">
        <v>38</v>
      </c>
      <c r="F1454" s="2" t="s">
        <v>39</v>
      </c>
      <c r="H1454" s="2" t="s">
        <v>41</v>
      </c>
      <c r="I1454" s="2" t="s">
        <v>1656</v>
      </c>
      <c r="J1454" s="2" t="s">
        <v>1657</v>
      </c>
      <c r="L1454" s="2" t="s">
        <v>113</v>
      </c>
      <c r="M1454" s="2" t="s">
        <v>40</v>
      </c>
      <c r="O1454" s="2" t="s">
        <v>1658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6"/>
        <v>0.6</v>
      </c>
      <c r="Z1454" s="2" t="s">
        <v>118</v>
      </c>
      <c r="AA1454" s="2" t="s">
        <v>191</v>
      </c>
      <c r="AB1454" s="2" t="s">
        <v>190</v>
      </c>
      <c r="AC1454" s="2" t="s">
        <v>40</v>
      </c>
      <c r="AF1454" s="2">
        <f t="shared" si="169"/>
        <v>0</v>
      </c>
      <c r="AJ1454" s="2">
        <f t="shared" si="170"/>
        <v>0</v>
      </c>
      <c r="AK1454" s="2">
        <f t="shared" si="171"/>
        <v>145.19999999999999</v>
      </c>
      <c r="AL1454" s="5">
        <f t="shared" si="172"/>
        <v>0.6</v>
      </c>
    </row>
    <row r="1455" spans="1:38" hidden="1" x14ac:dyDescent="0.2">
      <c r="A1455" s="2">
        <v>2025</v>
      </c>
      <c r="B1455" s="2">
        <v>7</v>
      </c>
      <c r="D1455" s="2" t="s">
        <v>1655</v>
      </c>
      <c r="E1455" s="2" t="s">
        <v>38</v>
      </c>
      <c r="F1455" s="2" t="s">
        <v>39</v>
      </c>
      <c r="H1455" s="2" t="s">
        <v>41</v>
      </c>
      <c r="I1455" s="2" t="s">
        <v>1656</v>
      </c>
      <c r="J1455" s="2" t="s">
        <v>1657</v>
      </c>
      <c r="L1455" s="2" t="s">
        <v>113</v>
      </c>
      <c r="M1455" s="2" t="s">
        <v>40</v>
      </c>
      <c r="O1455" s="2" t="s">
        <v>1658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6"/>
        <v>0.5</v>
      </c>
      <c r="Z1455" s="2" t="s">
        <v>118</v>
      </c>
      <c r="AA1455" s="2" t="s">
        <v>191</v>
      </c>
      <c r="AB1455" s="2" t="s">
        <v>191</v>
      </c>
      <c r="AC1455" s="2" t="s">
        <v>40</v>
      </c>
      <c r="AF1455" s="2">
        <f t="shared" si="169"/>
        <v>0</v>
      </c>
      <c r="AJ1455" s="2">
        <f t="shared" si="170"/>
        <v>0</v>
      </c>
      <c r="AK1455" s="2">
        <f t="shared" si="171"/>
        <v>100</v>
      </c>
      <c r="AL1455" s="5">
        <f t="shared" si="172"/>
        <v>0.5</v>
      </c>
    </row>
    <row r="1456" spans="1:38" hidden="1" x14ac:dyDescent="0.2">
      <c r="A1456" s="2">
        <v>2025</v>
      </c>
      <c r="B1456" s="2">
        <v>7</v>
      </c>
      <c r="D1456" s="2" t="s">
        <v>1304</v>
      </c>
      <c r="P1456" s="2" t="s">
        <v>1196</v>
      </c>
      <c r="Q1456" s="2" t="s">
        <v>1088</v>
      </c>
      <c r="R1456" s="2" t="s">
        <v>1089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6"/>
        <v>1</v>
      </c>
      <c r="Z1456" s="2" t="s">
        <v>105</v>
      </c>
      <c r="AA1456" s="2" t="s">
        <v>1201</v>
      </c>
      <c r="AB1456" s="2" t="s">
        <v>120</v>
      </c>
      <c r="AC1456" s="2" t="s">
        <v>1196</v>
      </c>
      <c r="AF1456" s="2">
        <f t="shared" si="169"/>
        <v>0</v>
      </c>
      <c r="AJ1456" s="2">
        <f t="shared" si="170"/>
        <v>0</v>
      </c>
      <c r="AK1456" s="2">
        <f t="shared" si="171"/>
        <v>-580</v>
      </c>
      <c r="AL1456" s="5">
        <f t="shared" si="172"/>
        <v>1</v>
      </c>
    </row>
    <row r="1457" spans="1:38" hidden="1" x14ac:dyDescent="0.2">
      <c r="A1457" s="2">
        <v>2025</v>
      </c>
      <c r="B1457" s="2">
        <v>7</v>
      </c>
      <c r="D1457" s="2" t="s">
        <v>1661</v>
      </c>
      <c r="P1457" s="2" t="s">
        <v>283</v>
      </c>
      <c r="Q1457" s="2" t="s">
        <v>1514</v>
      </c>
      <c r="R1457" s="2" t="s">
        <v>1515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6"/>
        <v>0.31387500000000002</v>
      </c>
      <c r="Z1457" s="2" t="s">
        <v>3231</v>
      </c>
      <c r="AA1457" s="2" t="s">
        <v>72</v>
      </c>
      <c r="AB1457" s="2" t="s">
        <v>1604</v>
      </c>
      <c r="AC1457" s="2" t="s">
        <v>1604</v>
      </c>
      <c r="AF1457" s="2">
        <f t="shared" si="169"/>
        <v>0</v>
      </c>
      <c r="AJ1457" s="2">
        <f t="shared" si="170"/>
        <v>0</v>
      </c>
      <c r="AK1457" s="2">
        <f t="shared" si="171"/>
        <v>25.11</v>
      </c>
      <c r="AL1457" s="5">
        <f t="shared" si="172"/>
        <v>0.31387500000000002</v>
      </c>
    </row>
    <row r="1458" spans="1:38" hidden="1" x14ac:dyDescent="0.2">
      <c r="A1458" s="2">
        <v>2025</v>
      </c>
      <c r="B1458" s="2">
        <v>7</v>
      </c>
      <c r="D1458" s="2" t="s">
        <v>1662</v>
      </c>
      <c r="P1458" s="2" t="s">
        <v>283</v>
      </c>
      <c r="Q1458" s="2" t="s">
        <v>1592</v>
      </c>
      <c r="R1458" s="2" t="s">
        <v>1593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6"/>
        <v>0.25579710144927537</v>
      </c>
      <c r="Z1458" s="2" t="s">
        <v>3231</v>
      </c>
      <c r="AA1458" s="2" t="s">
        <v>72</v>
      </c>
      <c r="AB1458" s="2" t="s">
        <v>120</v>
      </c>
      <c r="AC1458" s="2" t="s">
        <v>120</v>
      </c>
      <c r="AF1458" s="2">
        <f t="shared" si="169"/>
        <v>0</v>
      </c>
      <c r="AJ1458" s="2">
        <f t="shared" si="170"/>
        <v>0</v>
      </c>
      <c r="AK1458" s="2">
        <f t="shared" si="171"/>
        <v>5.2949999999999999</v>
      </c>
      <c r="AL1458" s="5">
        <f t="shared" si="172"/>
        <v>0.25579710144927537</v>
      </c>
    </row>
    <row r="1459" spans="1:38" hidden="1" x14ac:dyDescent="0.2">
      <c r="A1459" s="2">
        <v>2025</v>
      </c>
      <c r="B1459" s="2">
        <v>7</v>
      </c>
      <c r="D1459" s="2" t="s">
        <v>1662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6"/>
        <v>1</v>
      </c>
      <c r="Z1459" s="2" t="s">
        <v>170</v>
      </c>
      <c r="AA1459" s="2" t="s">
        <v>170</v>
      </c>
      <c r="AF1459" s="2">
        <f t="shared" si="169"/>
        <v>0</v>
      </c>
      <c r="AJ1459" s="2">
        <f t="shared" si="170"/>
        <v>0</v>
      </c>
      <c r="AK1459" s="2">
        <f t="shared" si="171"/>
        <v>8.5</v>
      </c>
      <c r="AL1459" s="5">
        <f t="shared" si="172"/>
        <v>1</v>
      </c>
    </row>
    <row r="1460" spans="1:38" hidden="1" x14ac:dyDescent="0.2">
      <c r="A1460" s="2">
        <v>2025</v>
      </c>
      <c r="B1460" s="2">
        <v>7</v>
      </c>
      <c r="D1460" s="2" t="s">
        <v>1663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6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9"/>
        <v>0</v>
      </c>
      <c r="AJ1460" s="2">
        <f t="shared" si="170"/>
        <v>0</v>
      </c>
      <c r="AK1460" s="2">
        <f t="shared" si="171"/>
        <v>22.027999999999999</v>
      </c>
      <c r="AL1460" s="5">
        <f t="shared" si="172"/>
        <v>0.48875083203905034</v>
      </c>
    </row>
    <row r="1461" spans="1:38" hidden="1" x14ac:dyDescent="0.2">
      <c r="A1461" s="2">
        <v>2025</v>
      </c>
      <c r="B1461" s="2">
        <v>7</v>
      </c>
      <c r="D1461" s="2" t="s">
        <v>1663</v>
      </c>
      <c r="P1461" s="2" t="s">
        <v>115</v>
      </c>
      <c r="Q1461" s="2" t="s">
        <v>1334</v>
      </c>
      <c r="R1461" s="2" t="s">
        <v>1335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6"/>
        <v>1</v>
      </c>
      <c r="Z1461" s="2" t="s">
        <v>118</v>
      </c>
      <c r="AF1461" s="2">
        <f t="shared" si="169"/>
        <v>0</v>
      </c>
      <c r="AJ1461" s="2">
        <f t="shared" si="170"/>
        <v>0</v>
      </c>
      <c r="AK1461" s="2">
        <f t="shared" si="171"/>
        <v>70.12</v>
      </c>
      <c r="AL1461" s="5">
        <f t="shared" si="172"/>
        <v>1</v>
      </c>
    </row>
    <row r="1462" spans="1:38" hidden="1" x14ac:dyDescent="0.2">
      <c r="A1462" s="2">
        <v>2025</v>
      </c>
      <c r="B1462" s="2">
        <v>7</v>
      </c>
      <c r="D1462" s="2" t="s">
        <v>1664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6"/>
        <v>1</v>
      </c>
      <c r="Z1462" s="2" t="s">
        <v>120</v>
      </c>
      <c r="AA1462" s="2" t="s">
        <v>3385</v>
      </c>
      <c r="AF1462" s="2">
        <f t="shared" si="169"/>
        <v>0</v>
      </c>
      <c r="AJ1462" s="2">
        <f t="shared" si="170"/>
        <v>0</v>
      </c>
      <c r="AK1462" s="2">
        <f t="shared" si="171"/>
        <v>120.75</v>
      </c>
      <c r="AL1462" s="5">
        <f t="shared" si="172"/>
        <v>1</v>
      </c>
    </row>
    <row r="1463" spans="1:38" hidden="1" x14ac:dyDescent="0.2">
      <c r="A1463" s="2">
        <v>2025</v>
      </c>
      <c r="B1463" s="2">
        <v>7</v>
      </c>
      <c r="D1463" s="2" t="s">
        <v>644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645</v>
      </c>
      <c r="J1463" s="2" t="s">
        <v>646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6"/>
        <v>0.18</v>
      </c>
      <c r="Z1463" s="2" t="s">
        <v>3231</v>
      </c>
      <c r="AA1463" s="2" t="s">
        <v>46</v>
      </c>
      <c r="AB1463" s="2" t="s">
        <v>61</v>
      </c>
      <c r="AC1463" s="2" t="s">
        <v>58</v>
      </c>
      <c r="AF1463" s="2">
        <f t="shared" si="169"/>
        <v>0</v>
      </c>
      <c r="AG1463" s="2">
        <v>8.1999999999999993</v>
      </c>
      <c r="AH1463" s="2">
        <v>13</v>
      </c>
      <c r="AJ1463" s="2">
        <f t="shared" si="170"/>
        <v>0</v>
      </c>
      <c r="AK1463" s="2">
        <f t="shared" si="171"/>
        <v>36</v>
      </c>
      <c r="AL1463" s="5">
        <f t="shared" si="172"/>
        <v>0.18</v>
      </c>
    </row>
    <row r="1464" spans="1:38" hidden="1" x14ac:dyDescent="0.2">
      <c r="A1464" s="2">
        <v>2025</v>
      </c>
      <c r="B1464" s="2">
        <v>7</v>
      </c>
      <c r="C1464" s="2" t="s">
        <v>3429</v>
      </c>
      <c r="D1464" s="2" t="s">
        <v>1122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3249</v>
      </c>
      <c r="J1464" s="2" t="s">
        <v>3250</v>
      </c>
      <c r="K1464" s="2">
        <v>96179412</v>
      </c>
      <c r="L1464" s="2" t="s">
        <v>462</v>
      </c>
      <c r="M1464" s="2" t="s">
        <v>40</v>
      </c>
      <c r="O1464" s="2" t="s">
        <v>3257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6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9"/>
        <v>0</v>
      </c>
      <c r="AJ1464" s="2">
        <f t="shared" si="170"/>
        <v>0</v>
      </c>
      <c r="AK1464" s="2">
        <f t="shared" si="171"/>
        <v>25.356000000000002</v>
      </c>
      <c r="AL1464" s="5">
        <f t="shared" si="172"/>
        <v>0.5090544067456334</v>
      </c>
    </row>
    <row r="1465" spans="1:38" hidden="1" x14ac:dyDescent="0.2">
      <c r="A1465" s="2">
        <v>2025</v>
      </c>
      <c r="B1465" s="2">
        <v>7</v>
      </c>
      <c r="C1465" s="2" t="s">
        <v>3429</v>
      </c>
      <c r="D1465" s="2" t="s">
        <v>1122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3249</v>
      </c>
      <c r="J1465" s="2" t="s">
        <v>3250</v>
      </c>
      <c r="K1465" s="2">
        <v>96179412</v>
      </c>
      <c r="L1465" s="2" t="s">
        <v>462</v>
      </c>
      <c r="M1465" s="2" t="s">
        <v>40</v>
      </c>
      <c r="O1465" s="2" t="s">
        <v>3257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6"/>
        <v>0.6</v>
      </c>
      <c r="Z1465" s="2" t="s">
        <v>118</v>
      </c>
      <c r="AA1465" s="2" t="s">
        <v>191</v>
      </c>
      <c r="AB1465" s="2" t="s">
        <v>190</v>
      </c>
      <c r="AC1465" s="2" t="s">
        <v>40</v>
      </c>
      <c r="AF1465" s="2">
        <f t="shared" si="169"/>
        <v>0</v>
      </c>
      <c r="AJ1465" s="2">
        <f t="shared" si="170"/>
        <v>0</v>
      </c>
      <c r="AK1465" s="2">
        <f t="shared" si="171"/>
        <v>118.19999999999999</v>
      </c>
      <c r="AL1465" s="5">
        <f t="shared" si="172"/>
        <v>0.6</v>
      </c>
    </row>
    <row r="1466" spans="1:38" hidden="1" x14ac:dyDescent="0.2">
      <c r="A1466" s="2">
        <v>2025</v>
      </c>
      <c r="B1466" s="2">
        <v>7</v>
      </c>
      <c r="C1466" s="2" t="s">
        <v>3429</v>
      </c>
      <c r="D1466" s="2" t="s">
        <v>1122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3249</v>
      </c>
      <c r="J1466" s="2" t="s">
        <v>3250</v>
      </c>
      <c r="K1466" s="2">
        <v>96179412</v>
      </c>
      <c r="L1466" s="2" t="s">
        <v>462</v>
      </c>
      <c r="M1466" s="2" t="s">
        <v>40</v>
      </c>
      <c r="O1466" s="2" t="s">
        <v>3257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6"/>
        <v>0.5</v>
      </c>
      <c r="Z1466" s="2" t="s">
        <v>118</v>
      </c>
      <c r="AA1466" s="2" t="s">
        <v>191</v>
      </c>
      <c r="AB1466" s="2" t="s">
        <v>191</v>
      </c>
      <c r="AC1466" s="2" t="s">
        <v>40</v>
      </c>
      <c r="AF1466" s="2">
        <f t="shared" si="169"/>
        <v>0</v>
      </c>
      <c r="AJ1466" s="2">
        <f t="shared" si="170"/>
        <v>0</v>
      </c>
      <c r="AK1466" s="2">
        <f t="shared" si="171"/>
        <v>25</v>
      </c>
      <c r="AL1466" s="5">
        <f t="shared" si="172"/>
        <v>0.5</v>
      </c>
    </row>
    <row r="1467" spans="1:38" hidden="1" x14ac:dyDescent="0.2">
      <c r="A1467" s="2">
        <v>2025</v>
      </c>
      <c r="B1467" s="2">
        <v>7</v>
      </c>
      <c r="C1467" s="2" t="s">
        <v>3429</v>
      </c>
      <c r="D1467" s="2" t="s">
        <v>656</v>
      </c>
      <c r="E1467" s="2" t="s">
        <v>38</v>
      </c>
      <c r="G1467" s="2">
        <v>509116590</v>
      </c>
      <c r="H1467" s="2" t="s">
        <v>291</v>
      </c>
      <c r="I1467" s="2" t="s">
        <v>657</v>
      </c>
      <c r="J1467" s="2" t="s">
        <v>658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6"/>
        <v>0.46612272727272724</v>
      </c>
      <c r="Z1467" s="2" t="s">
        <v>3231</v>
      </c>
      <c r="AA1467" s="2" t="s">
        <v>76</v>
      </c>
      <c r="AB1467" s="2" t="s">
        <v>77</v>
      </c>
      <c r="AC1467" s="2" t="s">
        <v>78</v>
      </c>
      <c r="AF1467" s="2">
        <f t="shared" si="169"/>
        <v>0</v>
      </c>
      <c r="AG1467" s="2">
        <v>117.453</v>
      </c>
      <c r="AH1467" s="2">
        <v>220</v>
      </c>
      <c r="AJ1467" s="2">
        <f t="shared" si="170"/>
        <v>0</v>
      </c>
      <c r="AK1467" s="2">
        <f t="shared" si="171"/>
        <v>102.547</v>
      </c>
      <c r="AL1467" s="5">
        <f t="shared" si="172"/>
        <v>0.46612272727272724</v>
      </c>
    </row>
    <row r="1468" spans="1:38" hidden="1" x14ac:dyDescent="0.2">
      <c r="A1468" s="2">
        <v>2025</v>
      </c>
      <c r="B1468" s="2">
        <v>7</v>
      </c>
      <c r="C1468" s="2" t="s">
        <v>3429</v>
      </c>
      <c r="D1468" s="2" t="s">
        <v>656</v>
      </c>
      <c r="E1468" s="2" t="s">
        <v>38</v>
      </c>
      <c r="G1468" s="2">
        <v>509116590</v>
      </c>
      <c r="H1468" s="2" t="s">
        <v>291</v>
      </c>
      <c r="I1468" s="2" t="s">
        <v>657</v>
      </c>
      <c r="J1468" s="2" t="s">
        <v>658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6"/>
        <v>0</v>
      </c>
      <c r="Z1468" s="2" t="s">
        <v>3231</v>
      </c>
      <c r="AA1468" s="2" t="s">
        <v>97</v>
      </c>
      <c r="AB1468" s="2" t="s">
        <v>77</v>
      </c>
      <c r="AC1468" s="2" t="s">
        <v>94</v>
      </c>
      <c r="AF1468" s="2">
        <f t="shared" si="169"/>
        <v>0</v>
      </c>
      <c r="AJ1468" s="2">
        <f t="shared" si="170"/>
        <v>0</v>
      </c>
      <c r="AK1468" s="2">
        <f t="shared" si="171"/>
        <v>0</v>
      </c>
      <c r="AL1468" s="5">
        <f t="shared" si="172"/>
        <v>0</v>
      </c>
    </row>
    <row r="1469" spans="1:38" hidden="1" x14ac:dyDescent="0.2">
      <c r="A1469" s="2">
        <v>2025</v>
      </c>
      <c r="B1469" s="2">
        <v>7</v>
      </c>
      <c r="D1469" s="2" t="s">
        <v>1665</v>
      </c>
      <c r="P1469" s="2" t="s">
        <v>283</v>
      </c>
      <c r="Q1469" s="2" t="s">
        <v>1666</v>
      </c>
      <c r="R1469" s="2" t="s">
        <v>1667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6"/>
        <v>0.36608863198458574</v>
      </c>
      <c r="Z1469" s="2" t="s">
        <v>105</v>
      </c>
      <c r="AA1469" s="2" t="s">
        <v>388</v>
      </c>
      <c r="AB1469" s="2" t="s">
        <v>2645</v>
      </c>
      <c r="AC1469" s="2" t="s">
        <v>1329</v>
      </c>
      <c r="AF1469" s="2">
        <f t="shared" si="169"/>
        <v>0</v>
      </c>
      <c r="AJ1469" s="2">
        <f t="shared" si="170"/>
        <v>0</v>
      </c>
      <c r="AK1469" s="2">
        <f t="shared" si="171"/>
        <v>1900</v>
      </c>
      <c r="AL1469" s="5">
        <f t="shared" si="172"/>
        <v>0.36608863198458574</v>
      </c>
    </row>
    <row r="1470" spans="1:38" hidden="1" x14ac:dyDescent="0.2">
      <c r="A1470" s="2">
        <v>2025</v>
      </c>
      <c r="B1470" s="2">
        <v>7</v>
      </c>
      <c r="D1470" s="2" t="s">
        <v>1665</v>
      </c>
      <c r="P1470" s="2" t="s">
        <v>283</v>
      </c>
      <c r="Q1470" s="2" t="s">
        <v>1668</v>
      </c>
      <c r="R1470" s="2" t="s">
        <v>1669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2645</v>
      </c>
      <c r="AC1470" s="2" t="s">
        <v>1329</v>
      </c>
      <c r="AF1470" s="2">
        <f t="shared" si="169"/>
        <v>0</v>
      </c>
      <c r="AJ1470" s="2">
        <f t="shared" si="170"/>
        <v>0</v>
      </c>
    </row>
    <row r="1471" spans="1:38" hidden="1" x14ac:dyDescent="0.2">
      <c r="A1471" s="2">
        <v>2025</v>
      </c>
      <c r="B1471" s="2">
        <v>7</v>
      </c>
      <c r="C1471" s="2" t="s">
        <v>3429</v>
      </c>
      <c r="D1471" s="2" t="s">
        <v>923</v>
      </c>
      <c r="L1471" s="2" t="s">
        <v>113</v>
      </c>
      <c r="M1471" s="2" t="s">
        <v>40</v>
      </c>
      <c r="P1471" s="2" t="s">
        <v>699</v>
      </c>
      <c r="Q1471" s="2" t="s">
        <v>705</v>
      </c>
      <c r="R1471" s="2" t="s">
        <v>706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5" si="177">(T1471-W1471)/T1471</f>
        <v>0.45423307436182025</v>
      </c>
      <c r="Z1471" s="2" t="s">
        <v>105</v>
      </c>
      <c r="AA1471" s="2" t="s">
        <v>617</v>
      </c>
      <c r="AB1471" s="2" t="s">
        <v>152</v>
      </c>
      <c r="AC1471" s="2" t="s">
        <v>699</v>
      </c>
      <c r="AF1471" s="2">
        <f t="shared" si="169"/>
        <v>0</v>
      </c>
      <c r="AJ1471" s="2">
        <f t="shared" si="170"/>
        <v>0</v>
      </c>
      <c r="AK1471" s="2">
        <f t="shared" si="171"/>
        <v>1023.1600000000001</v>
      </c>
      <c r="AL1471" s="5">
        <f t="shared" si="172"/>
        <v>0.45423307436182025</v>
      </c>
    </row>
    <row r="1472" spans="1:38" hidden="1" x14ac:dyDescent="0.2">
      <c r="A1472" s="2">
        <v>2025</v>
      </c>
      <c r="B1472" s="2">
        <v>7</v>
      </c>
      <c r="D1472" s="2" t="s">
        <v>675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7"/>
        <v>0.6</v>
      </c>
      <c r="Z1472" s="2" t="s">
        <v>118</v>
      </c>
      <c r="AA1472" s="2" t="s">
        <v>191</v>
      </c>
      <c r="AB1472" s="2" t="s">
        <v>190</v>
      </c>
      <c r="AC1472" s="2" t="s">
        <v>40</v>
      </c>
      <c r="AF1472" s="2">
        <f t="shared" si="169"/>
        <v>0</v>
      </c>
      <c r="AJ1472" s="2">
        <f t="shared" si="170"/>
        <v>0</v>
      </c>
      <c r="AK1472" s="2">
        <f t="shared" si="171"/>
        <v>30</v>
      </c>
      <c r="AL1472" s="5">
        <f t="shared" si="172"/>
        <v>0.6</v>
      </c>
    </row>
    <row r="1473" spans="1:38" hidden="1" x14ac:dyDescent="0.2">
      <c r="A1473" s="2">
        <v>2025</v>
      </c>
      <c r="B1473" s="2">
        <v>7</v>
      </c>
      <c r="D1473" s="2" t="s">
        <v>675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7"/>
        <v>0.5</v>
      </c>
      <c r="Z1473" s="2" t="s">
        <v>118</v>
      </c>
      <c r="AA1473" s="2" t="s">
        <v>191</v>
      </c>
      <c r="AB1473" s="2" t="s">
        <v>191</v>
      </c>
      <c r="AC1473" s="2" t="s">
        <v>40</v>
      </c>
      <c r="AF1473" s="2">
        <f t="shared" si="169"/>
        <v>0</v>
      </c>
      <c r="AJ1473" s="2">
        <f t="shared" si="170"/>
        <v>0</v>
      </c>
      <c r="AK1473" s="2">
        <f t="shared" si="171"/>
        <v>50</v>
      </c>
      <c r="AL1473" s="5">
        <f t="shared" si="172"/>
        <v>0.5</v>
      </c>
    </row>
    <row r="1474" spans="1:38" hidden="1" x14ac:dyDescent="0.2">
      <c r="A1474" s="2">
        <v>2025</v>
      </c>
      <c r="B1474" s="2">
        <v>6</v>
      </c>
      <c r="D1474" s="2" t="s">
        <v>37</v>
      </c>
      <c r="P1474" s="2" t="s">
        <v>283</v>
      </c>
      <c r="Q1474" s="2" t="s">
        <v>1438</v>
      </c>
      <c r="R1474" s="2" t="s">
        <v>1439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7"/>
        <v>0.35000000000000003</v>
      </c>
      <c r="Z1474" s="2" t="s">
        <v>3231</v>
      </c>
      <c r="AA1474" s="2" t="s">
        <v>72</v>
      </c>
      <c r="AB1474" s="2" t="s">
        <v>120</v>
      </c>
      <c r="AC1474" s="2" t="s">
        <v>120</v>
      </c>
      <c r="AF1474" s="2">
        <f t="shared" si="169"/>
        <v>0</v>
      </c>
      <c r="AJ1474" s="2">
        <f t="shared" si="170"/>
        <v>0</v>
      </c>
      <c r="AK1474" s="2">
        <f t="shared" si="171"/>
        <v>2.7650000000000006</v>
      </c>
      <c r="AL1474" s="5">
        <f t="shared" si="172"/>
        <v>0.35000000000000003</v>
      </c>
    </row>
    <row r="1475" spans="1:38" hidden="1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7"/>
        <v>0.26896551724137935</v>
      </c>
      <c r="Z1475" s="2" t="s">
        <v>3231</v>
      </c>
      <c r="AA1475" s="2" t="s">
        <v>46</v>
      </c>
      <c r="AB1475" s="2" t="s">
        <v>57</v>
      </c>
      <c r="AC1475" s="2" t="s">
        <v>58</v>
      </c>
      <c r="AF1475" s="2">
        <f t="shared" ref="AF1475:AF1538" si="178">AJ1475</f>
        <v>0</v>
      </c>
      <c r="AG1475" s="2">
        <v>10.6</v>
      </c>
      <c r="AH1475" s="2">
        <v>18</v>
      </c>
      <c r="AJ1475" s="2">
        <f t="shared" ref="AJ1475:AJ1538" si="179">AI1475*T1475</f>
        <v>0</v>
      </c>
      <c r="AK1475" s="2">
        <f t="shared" ref="AK1475:AK1538" si="180">T1475-W1475</f>
        <v>7.8000000000000007</v>
      </c>
      <c r="AL1475" s="5">
        <f t="shared" si="172"/>
        <v>0.26896551724137935</v>
      </c>
    </row>
    <row r="1476" spans="1:38" hidden="1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7"/>
        <v>0.23833333333333342</v>
      </c>
      <c r="Z1476" s="2" t="s">
        <v>3231</v>
      </c>
      <c r="AA1476" s="2" t="s">
        <v>46</v>
      </c>
      <c r="AB1476" s="2" t="s">
        <v>61</v>
      </c>
      <c r="AC1476" s="2" t="s">
        <v>58</v>
      </c>
      <c r="AF1476" s="2">
        <f t="shared" si="178"/>
        <v>0</v>
      </c>
      <c r="AG1476" s="2">
        <v>9.14</v>
      </c>
      <c r="AH1476" s="2">
        <v>16</v>
      </c>
      <c r="AJ1476" s="2">
        <f t="shared" si="179"/>
        <v>0</v>
      </c>
      <c r="AK1476" s="2">
        <f t="shared" si="180"/>
        <v>2.8600000000000012</v>
      </c>
      <c r="AL1476" s="5">
        <f t="shared" si="172"/>
        <v>0.23833333333333342</v>
      </c>
    </row>
    <row r="1477" spans="1:38" hidden="1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7"/>
        <v>0.17999999999999997</v>
      </c>
      <c r="Z1477" s="2" t="s">
        <v>3231</v>
      </c>
      <c r="AA1477" s="2" t="s">
        <v>46</v>
      </c>
      <c r="AB1477" s="2" t="s">
        <v>61</v>
      </c>
      <c r="AC1477" s="2" t="s">
        <v>58</v>
      </c>
      <c r="AF1477" s="2">
        <f t="shared" si="178"/>
        <v>0</v>
      </c>
      <c r="AG1477" s="2">
        <v>8.1999999999999993</v>
      </c>
      <c r="AH1477" s="2">
        <v>13</v>
      </c>
      <c r="AJ1477" s="2">
        <f t="shared" si="179"/>
        <v>0</v>
      </c>
      <c r="AK1477" s="2">
        <f t="shared" si="180"/>
        <v>5.3999999999999986</v>
      </c>
      <c r="AL1477" s="5">
        <f t="shared" si="172"/>
        <v>0.17999999999999997</v>
      </c>
    </row>
    <row r="1478" spans="1:38" hidden="1" x14ac:dyDescent="0.2">
      <c r="A1478" s="2">
        <v>2025</v>
      </c>
      <c r="B1478" s="2">
        <v>6</v>
      </c>
      <c r="D1478" s="2" t="s">
        <v>37</v>
      </c>
      <c r="P1478" s="2" t="s">
        <v>73</v>
      </c>
      <c r="Q1478" s="2" t="s">
        <v>914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7"/>
        <v>0.4516274051429599</v>
      </c>
      <c r="Z1478" s="2" t="s">
        <v>3231</v>
      </c>
      <c r="AA1478" s="2" t="s">
        <v>76</v>
      </c>
      <c r="AB1478" s="2" t="s">
        <v>77</v>
      </c>
      <c r="AC1478" s="2" t="s">
        <v>78</v>
      </c>
      <c r="AF1478" s="2">
        <f t="shared" si="178"/>
        <v>0</v>
      </c>
      <c r="AJ1478" s="2">
        <f t="shared" si="179"/>
        <v>0</v>
      </c>
      <c r="AK1478" s="2">
        <f t="shared" si="180"/>
        <v>100.46</v>
      </c>
      <c r="AL1478" s="5">
        <f t="shared" si="172"/>
        <v>0.4516274051429599</v>
      </c>
    </row>
    <row r="1479" spans="1:38" hidden="1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1040</v>
      </c>
      <c r="Q1479" s="2" t="s">
        <v>1670</v>
      </c>
      <c r="R1479" s="2" t="s">
        <v>1671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7"/>
        <v>0.48615916955017302</v>
      </c>
      <c r="Z1479" s="2" t="s">
        <v>3231</v>
      </c>
      <c r="AA1479" s="2" t="s">
        <v>76</v>
      </c>
      <c r="AB1479" s="2" t="s">
        <v>77</v>
      </c>
      <c r="AC1479" s="2" t="s">
        <v>1040</v>
      </c>
      <c r="AF1479" s="2">
        <f t="shared" si="178"/>
        <v>0</v>
      </c>
      <c r="AJ1479" s="2">
        <f t="shared" si="179"/>
        <v>0</v>
      </c>
      <c r="AK1479" s="2">
        <f t="shared" si="180"/>
        <v>118.02</v>
      </c>
      <c r="AL1479" s="5">
        <f t="shared" si="172"/>
        <v>0.48615916955017302</v>
      </c>
    </row>
    <row r="1480" spans="1:38" hidden="1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1040</v>
      </c>
      <c r="Q1480" s="2" t="s">
        <v>1672</v>
      </c>
      <c r="R1480" s="2" t="s">
        <v>1673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7"/>
        <v>0.28956237238936305</v>
      </c>
      <c r="Z1480" s="2" t="s">
        <v>3231</v>
      </c>
      <c r="AA1480" s="2" t="s">
        <v>1043</v>
      </c>
      <c r="AB1480" s="2" t="s">
        <v>1044</v>
      </c>
      <c r="AC1480" s="2" t="s">
        <v>1040</v>
      </c>
      <c r="AF1480" s="2">
        <f t="shared" si="178"/>
        <v>0</v>
      </c>
      <c r="AJ1480" s="2">
        <f t="shared" si="179"/>
        <v>0</v>
      </c>
      <c r="AK1480" s="2">
        <f t="shared" si="180"/>
        <v>117.70999999999998</v>
      </c>
      <c r="AL1480" s="5">
        <f t="shared" si="172"/>
        <v>0.28956237238936305</v>
      </c>
    </row>
    <row r="1481" spans="1:38" hidden="1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1040</v>
      </c>
      <c r="Q1481" s="2" t="s">
        <v>1674</v>
      </c>
      <c r="R1481" s="2" t="s">
        <v>1675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7"/>
        <v>0.26602706027060269</v>
      </c>
      <c r="Z1481" s="2" t="s">
        <v>3231</v>
      </c>
      <c r="AA1481" s="2" t="s">
        <v>1043</v>
      </c>
      <c r="AB1481" s="2" t="s">
        <v>1044</v>
      </c>
      <c r="AC1481" s="2" t="s">
        <v>1040</v>
      </c>
      <c r="AF1481" s="2">
        <f t="shared" si="178"/>
        <v>0</v>
      </c>
      <c r="AJ1481" s="2">
        <f t="shared" si="179"/>
        <v>0</v>
      </c>
      <c r="AK1481" s="2">
        <f t="shared" si="180"/>
        <v>108.13999999999999</v>
      </c>
      <c r="AL1481" s="5">
        <f t="shared" si="172"/>
        <v>0.26602706027060269</v>
      </c>
    </row>
    <row r="1482" spans="1:38" hidden="1" x14ac:dyDescent="0.2">
      <c r="A1482" s="2">
        <v>2025</v>
      </c>
      <c r="B1482" s="2">
        <v>6</v>
      </c>
      <c r="D1482" s="2" t="s">
        <v>37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7"/>
        <v>0.08</v>
      </c>
      <c r="Z1482" s="2" t="s">
        <v>170</v>
      </c>
      <c r="AA1482" s="2" t="s">
        <v>170</v>
      </c>
      <c r="AF1482" s="2">
        <f t="shared" si="178"/>
        <v>0</v>
      </c>
      <c r="AJ1482" s="2">
        <f t="shared" si="179"/>
        <v>0</v>
      </c>
      <c r="AK1482" s="2">
        <f t="shared" si="180"/>
        <v>4</v>
      </c>
      <c r="AL1482" s="5">
        <f t="shared" si="172"/>
        <v>0.08</v>
      </c>
    </row>
    <row r="1483" spans="1:38" hidden="1" x14ac:dyDescent="0.2">
      <c r="A1483" s="2">
        <v>2025</v>
      </c>
      <c r="B1483" s="2">
        <v>6</v>
      </c>
      <c r="D1483" s="2" t="s">
        <v>37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7"/>
        <v>0</v>
      </c>
      <c r="Z1483" s="2" t="s">
        <v>3231</v>
      </c>
      <c r="AA1483" s="2" t="s">
        <v>97</v>
      </c>
      <c r="AB1483" s="2" t="s">
        <v>77</v>
      </c>
      <c r="AC1483" s="2" t="s">
        <v>94</v>
      </c>
      <c r="AF1483" s="2">
        <f t="shared" si="178"/>
        <v>0</v>
      </c>
      <c r="AJ1483" s="2">
        <f t="shared" si="179"/>
        <v>0</v>
      </c>
      <c r="AK1483" s="2">
        <f t="shared" si="180"/>
        <v>0</v>
      </c>
      <c r="AL1483" s="5">
        <f t="shared" si="172"/>
        <v>0</v>
      </c>
    </row>
    <row r="1484" spans="1:38" hidden="1" x14ac:dyDescent="0.2">
      <c r="A1484" s="2">
        <v>2025</v>
      </c>
      <c r="B1484" s="2">
        <v>6</v>
      </c>
      <c r="C1484" s="2" t="s">
        <v>3398</v>
      </c>
      <c r="D1484" s="2" t="s">
        <v>1676</v>
      </c>
      <c r="E1484" s="2" t="s">
        <v>38</v>
      </c>
      <c r="F1484" s="2" t="s">
        <v>39</v>
      </c>
      <c r="L1484" s="2" t="s">
        <v>100</v>
      </c>
      <c r="M1484" s="2" t="s">
        <v>81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7"/>
        <v>0.44819791666666664</v>
      </c>
      <c r="Z1484" s="2" t="s">
        <v>3231</v>
      </c>
      <c r="AA1484" s="2" t="s">
        <v>46</v>
      </c>
      <c r="AB1484" s="2" t="s">
        <v>47</v>
      </c>
      <c r="AC1484" s="2" t="s">
        <v>48</v>
      </c>
      <c r="AF1484" s="2">
        <f t="shared" si="178"/>
        <v>0</v>
      </c>
      <c r="AG1484" s="2">
        <v>5.2972999999999999</v>
      </c>
      <c r="AH1484" s="2">
        <v>10.8</v>
      </c>
      <c r="AJ1484" s="2">
        <f t="shared" si="179"/>
        <v>0</v>
      </c>
      <c r="AK1484" s="2">
        <f t="shared" si="180"/>
        <v>8.6053999999999995</v>
      </c>
      <c r="AL1484" s="5">
        <f t="shared" si="172"/>
        <v>0.44819791666666664</v>
      </c>
    </row>
    <row r="1485" spans="1:38" hidden="1" x14ac:dyDescent="0.2">
      <c r="A1485" s="2">
        <v>2025</v>
      </c>
      <c r="B1485" s="2">
        <v>6</v>
      </c>
      <c r="C1485" s="2" t="s">
        <v>3398</v>
      </c>
      <c r="D1485" s="2" t="s">
        <v>1676</v>
      </c>
      <c r="E1485" s="2" t="s">
        <v>38</v>
      </c>
      <c r="F1485" s="2" t="s">
        <v>39</v>
      </c>
      <c r="L1485" s="2" t="s">
        <v>100</v>
      </c>
      <c r="M1485" s="2" t="s">
        <v>81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7"/>
        <v>0.41111111111111115</v>
      </c>
      <c r="Z1485" s="2" t="s">
        <v>3231</v>
      </c>
      <c r="AA1485" s="2" t="s">
        <v>46</v>
      </c>
      <c r="AB1485" s="2" t="s">
        <v>57</v>
      </c>
      <c r="AC1485" s="2" t="s">
        <v>58</v>
      </c>
      <c r="AF1485" s="2">
        <f t="shared" si="178"/>
        <v>0</v>
      </c>
      <c r="AG1485" s="2">
        <v>10.6</v>
      </c>
      <c r="AH1485" s="2">
        <v>18</v>
      </c>
      <c r="AJ1485" s="2">
        <f t="shared" si="179"/>
        <v>0</v>
      </c>
      <c r="AK1485" s="2">
        <f t="shared" si="180"/>
        <v>22.200000000000003</v>
      </c>
      <c r="AL1485" s="5">
        <f t="shared" si="172"/>
        <v>0.41111111111111115</v>
      </c>
    </row>
    <row r="1486" spans="1:38" hidden="1" x14ac:dyDescent="0.2">
      <c r="A1486" s="2">
        <v>2025</v>
      </c>
      <c r="B1486" s="2">
        <v>6</v>
      </c>
      <c r="C1486" s="2" t="s">
        <v>3398</v>
      </c>
      <c r="D1486" s="2" t="s">
        <v>1676</v>
      </c>
      <c r="E1486" s="2" t="s">
        <v>38</v>
      </c>
      <c r="F1486" s="2" t="s">
        <v>39</v>
      </c>
      <c r="L1486" s="2" t="s">
        <v>100</v>
      </c>
      <c r="M1486" s="2" t="s">
        <v>81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7"/>
        <v>0.34714285714285725</v>
      </c>
      <c r="Z1486" s="2" t="s">
        <v>3231</v>
      </c>
      <c r="AA1486" s="2" t="s">
        <v>46</v>
      </c>
      <c r="AB1486" s="2" t="s">
        <v>61</v>
      </c>
      <c r="AC1486" s="2" t="s">
        <v>58</v>
      </c>
      <c r="AF1486" s="2">
        <f t="shared" si="178"/>
        <v>0</v>
      </c>
      <c r="AJ1486" s="2">
        <f t="shared" si="179"/>
        <v>0</v>
      </c>
      <c r="AK1486" s="2">
        <f t="shared" si="180"/>
        <v>9.7200000000000024</v>
      </c>
      <c r="AL1486" s="5">
        <f t="shared" si="172"/>
        <v>0.34714285714285725</v>
      </c>
    </row>
    <row r="1487" spans="1:38" hidden="1" x14ac:dyDescent="0.2">
      <c r="A1487" s="2">
        <v>2025</v>
      </c>
      <c r="B1487" s="2">
        <v>6</v>
      </c>
      <c r="C1487" s="2" t="s">
        <v>3398</v>
      </c>
      <c r="D1487" s="2" t="s">
        <v>1676</v>
      </c>
      <c r="E1487" s="2" t="s">
        <v>38</v>
      </c>
      <c r="F1487" s="2" t="s">
        <v>39</v>
      </c>
      <c r="L1487" s="2" t="s">
        <v>100</v>
      </c>
      <c r="M1487" s="2" t="s">
        <v>81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177"/>
        <v>0.54166666666666663</v>
      </c>
      <c r="Z1487" s="2" t="s">
        <v>3231</v>
      </c>
      <c r="AA1487" s="2" t="s">
        <v>46</v>
      </c>
      <c r="AB1487" s="2" t="s">
        <v>47</v>
      </c>
      <c r="AC1487" s="2" t="s">
        <v>48</v>
      </c>
      <c r="AF1487" s="2">
        <f t="shared" si="178"/>
        <v>0</v>
      </c>
      <c r="AJ1487" s="2">
        <f t="shared" si="179"/>
        <v>0</v>
      </c>
      <c r="AK1487" s="2">
        <f t="shared" si="180"/>
        <v>13</v>
      </c>
      <c r="AL1487" s="5">
        <f t="shared" si="172"/>
        <v>0.54166666666666663</v>
      </c>
    </row>
    <row r="1488" spans="1:38" hidden="1" x14ac:dyDescent="0.2">
      <c r="A1488" s="2">
        <v>2025</v>
      </c>
      <c r="B1488" s="2">
        <v>6</v>
      </c>
      <c r="D1488" s="2" t="s">
        <v>1459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7"/>
        <v>0.60000000000000009</v>
      </c>
      <c r="Z1488" s="2" t="s">
        <v>118</v>
      </c>
      <c r="AA1488" s="2" t="s">
        <v>191</v>
      </c>
      <c r="AB1488" s="2" t="s">
        <v>190</v>
      </c>
      <c r="AC1488" s="2" t="s">
        <v>40</v>
      </c>
      <c r="AF1488" s="2">
        <f t="shared" si="178"/>
        <v>0</v>
      </c>
      <c r="AJ1488" s="2">
        <f t="shared" si="179"/>
        <v>0</v>
      </c>
      <c r="AK1488" s="2">
        <f t="shared" si="180"/>
        <v>80.400000000000006</v>
      </c>
      <c r="AL1488" s="5">
        <f t="shared" ref="AL1488:AL1551" si="181">(T1488-W1488)/T1488</f>
        <v>0.60000000000000009</v>
      </c>
    </row>
    <row r="1489" spans="1:38" hidden="1" x14ac:dyDescent="0.2">
      <c r="A1489" s="2">
        <v>2025</v>
      </c>
      <c r="B1489" s="2">
        <v>6</v>
      </c>
      <c r="D1489" s="2" t="s">
        <v>1459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7"/>
        <v>0.5</v>
      </c>
      <c r="Z1489" s="2" t="s">
        <v>118</v>
      </c>
      <c r="AA1489" s="2" t="s">
        <v>191</v>
      </c>
      <c r="AB1489" s="2" t="s">
        <v>191</v>
      </c>
      <c r="AC1489" s="2" t="s">
        <v>40</v>
      </c>
      <c r="AF1489" s="2">
        <f t="shared" si="178"/>
        <v>0</v>
      </c>
      <c r="AJ1489" s="2">
        <f t="shared" si="179"/>
        <v>0</v>
      </c>
      <c r="AK1489" s="2">
        <f t="shared" si="180"/>
        <v>50</v>
      </c>
      <c r="AL1489" s="5">
        <f t="shared" si="181"/>
        <v>0.5</v>
      </c>
    </row>
    <row r="1490" spans="1:38" hidden="1" x14ac:dyDescent="0.2">
      <c r="A1490" s="2">
        <v>2025</v>
      </c>
      <c r="B1490" s="2">
        <v>6</v>
      </c>
      <c r="D1490" s="2" t="s">
        <v>1477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7"/>
        <v>0.37647058823529411</v>
      </c>
      <c r="Z1490" s="2" t="s">
        <v>3231</v>
      </c>
      <c r="AA1490" s="2" t="s">
        <v>46</v>
      </c>
      <c r="AB1490" s="2" t="s">
        <v>57</v>
      </c>
      <c r="AC1490" s="2" t="s">
        <v>58</v>
      </c>
      <c r="AF1490" s="2">
        <f t="shared" si="178"/>
        <v>0</v>
      </c>
      <c r="AG1490" s="2">
        <v>10.6</v>
      </c>
      <c r="AH1490" s="2">
        <v>18</v>
      </c>
      <c r="AJ1490" s="2">
        <f t="shared" si="179"/>
        <v>0</v>
      </c>
      <c r="AK1490" s="2">
        <f t="shared" si="180"/>
        <v>64</v>
      </c>
      <c r="AL1490" s="5">
        <f t="shared" si="181"/>
        <v>0.37647058823529411</v>
      </c>
    </row>
    <row r="1491" spans="1:38" hidden="1" x14ac:dyDescent="0.2">
      <c r="A1491" s="2">
        <v>2025</v>
      </c>
      <c r="B1491" s="2">
        <v>6</v>
      </c>
      <c r="D1491" s="2" t="s">
        <v>1477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7"/>
        <v>0.25454545454545452</v>
      </c>
      <c r="Z1491" s="2" t="s">
        <v>3231</v>
      </c>
      <c r="AA1491" s="2" t="s">
        <v>46</v>
      </c>
      <c r="AB1491" s="2" t="s">
        <v>61</v>
      </c>
      <c r="AC1491" s="2" t="s">
        <v>58</v>
      </c>
      <c r="AF1491" s="2">
        <f t="shared" si="178"/>
        <v>0</v>
      </c>
      <c r="AG1491" s="2">
        <v>8.1999999999999993</v>
      </c>
      <c r="AH1491" s="2">
        <v>13</v>
      </c>
      <c r="AJ1491" s="2">
        <f t="shared" si="179"/>
        <v>0</v>
      </c>
      <c r="AK1491" s="2">
        <f t="shared" si="180"/>
        <v>14</v>
      </c>
      <c r="AL1491" s="5">
        <f t="shared" si="181"/>
        <v>0.25454545454545452</v>
      </c>
    </row>
    <row r="1492" spans="1:38" hidden="1" x14ac:dyDescent="0.2">
      <c r="A1492" s="2">
        <v>2025</v>
      </c>
      <c r="B1492" s="2">
        <v>6</v>
      </c>
      <c r="D1492" s="2" t="s">
        <v>1477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7"/>
        <v>0.24898499999999998</v>
      </c>
      <c r="Z1492" s="2" t="s">
        <v>3231</v>
      </c>
      <c r="AA1492" s="2" t="s">
        <v>46</v>
      </c>
      <c r="AB1492" s="2" t="s">
        <v>68</v>
      </c>
      <c r="AC1492" s="2" t="s">
        <v>58</v>
      </c>
      <c r="AF1492" s="2">
        <f t="shared" si="178"/>
        <v>0</v>
      </c>
      <c r="AG1492" s="2">
        <v>15.020300000000001</v>
      </c>
      <c r="AH1492" s="2">
        <v>27.6</v>
      </c>
      <c r="AJ1492" s="2">
        <f t="shared" si="179"/>
        <v>0</v>
      </c>
      <c r="AK1492" s="2">
        <f t="shared" si="180"/>
        <v>24.898499999999999</v>
      </c>
      <c r="AL1492" s="5">
        <f t="shared" si="181"/>
        <v>0.24898499999999998</v>
      </c>
    </row>
    <row r="1493" spans="1:38" hidden="1" x14ac:dyDescent="0.2">
      <c r="A1493" s="2">
        <v>2025</v>
      </c>
      <c r="B1493" s="2">
        <v>6</v>
      </c>
      <c r="D1493" s="2" t="s">
        <v>1677</v>
      </c>
      <c r="P1493" s="2" t="s">
        <v>115</v>
      </c>
      <c r="Q1493" s="2" t="s">
        <v>1252</v>
      </c>
      <c r="R1493" s="2" t="s">
        <v>1253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7"/>
        <v>1</v>
      </c>
      <c r="Z1493" s="2" t="s">
        <v>118</v>
      </c>
      <c r="AF1493" s="2">
        <f t="shared" si="178"/>
        <v>0</v>
      </c>
      <c r="AJ1493" s="2">
        <f t="shared" si="179"/>
        <v>0</v>
      </c>
      <c r="AK1493" s="2">
        <f t="shared" si="180"/>
        <v>390.29</v>
      </c>
      <c r="AL1493" s="5">
        <f t="shared" si="181"/>
        <v>1</v>
      </c>
    </row>
    <row r="1494" spans="1:38" hidden="1" x14ac:dyDescent="0.2">
      <c r="A1494" s="2">
        <v>2025</v>
      </c>
      <c r="B1494" s="2">
        <v>6</v>
      </c>
      <c r="D1494" s="2" t="s">
        <v>1677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7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8"/>
        <v>0</v>
      </c>
      <c r="AJ1494" s="2">
        <f t="shared" si="179"/>
        <v>0</v>
      </c>
      <c r="AK1494" s="2">
        <f t="shared" si="180"/>
        <v>22.027999999999999</v>
      </c>
      <c r="AL1494" s="5">
        <f t="shared" si="181"/>
        <v>0.48875083203905034</v>
      </c>
    </row>
    <row r="1495" spans="1:38" hidden="1" x14ac:dyDescent="0.2">
      <c r="A1495" s="2">
        <v>2025</v>
      </c>
      <c r="B1495" s="2">
        <v>6</v>
      </c>
      <c r="D1495" s="2" t="s">
        <v>944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945</v>
      </c>
      <c r="J1495" s="2" t="s">
        <v>946</v>
      </c>
      <c r="K1495" s="2">
        <v>918832449</v>
      </c>
      <c r="L1495" s="2" t="s">
        <v>345</v>
      </c>
      <c r="M1495" s="2" t="s">
        <v>40</v>
      </c>
      <c r="O1495" s="2" t="s">
        <v>1678</v>
      </c>
      <c r="P1495" s="2" t="s">
        <v>115</v>
      </c>
      <c r="Q1495" s="2" t="s">
        <v>1385</v>
      </c>
      <c r="R1495" s="2" t="s">
        <v>1386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7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8"/>
        <v>0</v>
      </c>
      <c r="AJ1495" s="2">
        <f t="shared" si="179"/>
        <v>0</v>
      </c>
      <c r="AK1495" s="2">
        <f t="shared" si="180"/>
        <v>152.41</v>
      </c>
      <c r="AL1495" s="5">
        <f t="shared" si="181"/>
        <v>1</v>
      </c>
    </row>
    <row r="1496" spans="1:38" hidden="1" x14ac:dyDescent="0.2">
      <c r="A1496" s="2">
        <v>2025</v>
      </c>
      <c r="B1496" s="2">
        <v>6</v>
      </c>
      <c r="D1496" s="2" t="s">
        <v>944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945</v>
      </c>
      <c r="J1496" s="2" t="s">
        <v>946</v>
      </c>
      <c r="K1496" s="2">
        <v>918832449</v>
      </c>
      <c r="L1496" s="2" t="s">
        <v>345</v>
      </c>
      <c r="M1496" s="2" t="s">
        <v>40</v>
      </c>
      <c r="O1496" s="2" t="s">
        <v>1679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7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8"/>
        <v>0</v>
      </c>
      <c r="AG1496" s="2">
        <v>5.33</v>
      </c>
      <c r="AJ1496" s="2">
        <f t="shared" si="179"/>
        <v>0</v>
      </c>
      <c r="AK1496" s="2">
        <f t="shared" si="180"/>
        <v>35.83</v>
      </c>
      <c r="AL1496" s="5">
        <f t="shared" si="181"/>
        <v>0.62694663167104114</v>
      </c>
    </row>
    <row r="1497" spans="1:38" hidden="1" x14ac:dyDescent="0.2">
      <c r="A1497" s="2">
        <v>2025</v>
      </c>
      <c r="B1497" s="2">
        <v>6</v>
      </c>
      <c r="D1497" s="2" t="s">
        <v>944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945</v>
      </c>
      <c r="J1497" s="2" t="s">
        <v>946</v>
      </c>
      <c r="K1497" s="2">
        <v>918832449</v>
      </c>
      <c r="L1497" s="2" t="s">
        <v>345</v>
      </c>
      <c r="M1497" s="2" t="s">
        <v>40</v>
      </c>
      <c r="O1497" s="2" t="s">
        <v>1679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7"/>
        <v>1</v>
      </c>
      <c r="Z1497" s="2" t="s">
        <v>170</v>
      </c>
      <c r="AA1497" s="2" t="s">
        <v>170</v>
      </c>
      <c r="AF1497" s="2">
        <f t="shared" si="178"/>
        <v>0</v>
      </c>
      <c r="AJ1497" s="2">
        <f t="shared" si="179"/>
        <v>0</v>
      </c>
      <c r="AK1497" s="2">
        <f t="shared" si="180"/>
        <v>7</v>
      </c>
      <c r="AL1497" s="5">
        <f t="shared" si="181"/>
        <v>1</v>
      </c>
    </row>
    <row r="1498" spans="1:38" hidden="1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1156</v>
      </c>
      <c r="R1498" s="2" t="s">
        <v>1157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7"/>
        <v>0.26755852842809363</v>
      </c>
      <c r="Z1498" s="2" t="s">
        <v>105</v>
      </c>
      <c r="AA1498" s="2" t="s">
        <v>1578</v>
      </c>
      <c r="AB1498" s="2" t="s">
        <v>389</v>
      </c>
      <c r="AC1498" s="2" t="s">
        <v>1329</v>
      </c>
      <c r="AF1498" s="2">
        <f t="shared" si="178"/>
        <v>0</v>
      </c>
      <c r="AJ1498" s="2">
        <f t="shared" si="179"/>
        <v>0</v>
      </c>
      <c r="AK1498" s="2">
        <f t="shared" si="180"/>
        <v>800</v>
      </c>
      <c r="AL1498" s="5">
        <f t="shared" si="181"/>
        <v>0.26755852842809363</v>
      </c>
    </row>
    <row r="1499" spans="1:38" hidden="1" x14ac:dyDescent="0.2">
      <c r="A1499" s="2">
        <v>2025</v>
      </c>
      <c r="B1499" s="2">
        <v>6</v>
      </c>
      <c r="D1499" s="2" t="s">
        <v>1333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7"/>
        <v>1</v>
      </c>
      <c r="Z1499" s="2" t="s">
        <v>120</v>
      </c>
      <c r="AA1499" s="2" t="s">
        <v>3385</v>
      </c>
      <c r="AF1499" s="2">
        <f t="shared" si="178"/>
        <v>0</v>
      </c>
      <c r="AJ1499" s="2">
        <f t="shared" si="179"/>
        <v>0</v>
      </c>
      <c r="AK1499" s="2">
        <f t="shared" si="180"/>
        <v>21.6</v>
      </c>
      <c r="AL1499" s="5">
        <f t="shared" si="181"/>
        <v>1</v>
      </c>
    </row>
    <row r="1500" spans="1:38" hidden="1" x14ac:dyDescent="0.2">
      <c r="A1500" s="2">
        <v>2025</v>
      </c>
      <c r="B1500" s="2">
        <v>6</v>
      </c>
      <c r="D1500" s="2" t="s">
        <v>1486</v>
      </c>
      <c r="P1500" s="2" t="s">
        <v>1196</v>
      </c>
      <c r="Q1500" s="2" t="s">
        <v>1086</v>
      </c>
      <c r="R1500" s="2" t="s">
        <v>1087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177"/>
        <v>0.35431343283582084</v>
      </c>
      <c r="Z1500" s="2" t="s">
        <v>105</v>
      </c>
      <c r="AA1500" s="2" t="s">
        <v>2750</v>
      </c>
      <c r="AB1500" s="2" t="s">
        <v>2751</v>
      </c>
      <c r="AC1500" s="2" t="s">
        <v>1196</v>
      </c>
      <c r="AF1500" s="2">
        <f t="shared" si="178"/>
        <v>0</v>
      </c>
      <c r="AJ1500" s="2">
        <f t="shared" si="179"/>
        <v>0</v>
      </c>
      <c r="AK1500" s="2">
        <f t="shared" si="180"/>
        <v>1186.9499999999998</v>
      </c>
      <c r="AL1500" s="5">
        <f t="shared" si="181"/>
        <v>0.35431343283582084</v>
      </c>
    </row>
    <row r="1501" spans="1:38" hidden="1" x14ac:dyDescent="0.2">
      <c r="A1501" s="2">
        <v>2025</v>
      </c>
      <c r="B1501" s="2">
        <v>6</v>
      </c>
      <c r="D1501" s="2" t="s">
        <v>1486</v>
      </c>
      <c r="P1501" s="2" t="s">
        <v>1196</v>
      </c>
      <c r="Q1501" s="2" t="s">
        <v>1088</v>
      </c>
      <c r="R1501" s="2" t="s">
        <v>1089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177"/>
        <v>0.44507979166666672</v>
      </c>
      <c r="Z1501" s="2" t="s">
        <v>105</v>
      </c>
      <c r="AA1501" s="2" t="s">
        <v>1201</v>
      </c>
      <c r="AB1501" s="2" t="s">
        <v>120</v>
      </c>
      <c r="AC1501" s="2" t="s">
        <v>1196</v>
      </c>
      <c r="AF1501" s="2">
        <f t="shared" si="178"/>
        <v>0</v>
      </c>
      <c r="AJ1501" s="2">
        <f t="shared" si="179"/>
        <v>0</v>
      </c>
      <c r="AK1501" s="2">
        <f t="shared" si="180"/>
        <v>427.27660000000003</v>
      </c>
      <c r="AL1501" s="5">
        <f t="shared" si="181"/>
        <v>0.44507979166666672</v>
      </c>
    </row>
    <row r="1502" spans="1:38" hidden="1" x14ac:dyDescent="0.2">
      <c r="A1502" s="2">
        <v>2025</v>
      </c>
      <c r="B1502" s="2">
        <v>6</v>
      </c>
      <c r="C1502" s="2" t="s">
        <v>3422</v>
      </c>
      <c r="D1502" s="2" t="s">
        <v>3421</v>
      </c>
      <c r="E1502" s="2" t="s">
        <v>753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710</v>
      </c>
      <c r="R1502" s="2" t="s">
        <v>711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177"/>
        <v>0.26376065088757394</v>
      </c>
      <c r="Z1502" s="2" t="s">
        <v>105</v>
      </c>
      <c r="AA1502" s="2" t="s">
        <v>579</v>
      </c>
      <c r="AB1502" s="2" t="s">
        <v>702</v>
      </c>
      <c r="AC1502" s="2" t="s">
        <v>115</v>
      </c>
      <c r="AF1502" s="2">
        <f t="shared" si="178"/>
        <v>0</v>
      </c>
      <c r="AJ1502" s="2">
        <f t="shared" si="179"/>
        <v>0</v>
      </c>
      <c r="AK1502" s="2">
        <f t="shared" si="180"/>
        <v>445.75549999999998</v>
      </c>
      <c r="AL1502" s="5">
        <f t="shared" si="181"/>
        <v>0.26376065088757394</v>
      </c>
    </row>
    <row r="1503" spans="1:38" hidden="1" x14ac:dyDescent="0.2">
      <c r="A1503" s="2">
        <v>2025</v>
      </c>
      <c r="B1503" s="2">
        <v>6</v>
      </c>
      <c r="C1503" s="2" t="s">
        <v>3422</v>
      </c>
      <c r="D1503" s="2" t="s">
        <v>3421</v>
      </c>
      <c r="E1503" s="2" t="s">
        <v>753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7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8"/>
        <v>0</v>
      </c>
      <c r="AJ1503" s="2">
        <f t="shared" si="179"/>
        <v>0</v>
      </c>
      <c r="AK1503" s="2">
        <f t="shared" si="180"/>
        <v>4320.6000000000004</v>
      </c>
      <c r="AL1503" s="5">
        <f t="shared" si="181"/>
        <v>0.28823215476984659</v>
      </c>
    </row>
    <row r="1504" spans="1:38" hidden="1" x14ac:dyDescent="0.2">
      <c r="A1504" s="2">
        <v>2025</v>
      </c>
      <c r="B1504" s="2">
        <v>6</v>
      </c>
      <c r="C1504" s="2" t="s">
        <v>3422</v>
      </c>
      <c r="D1504" s="2" t="s">
        <v>3421</v>
      </c>
      <c r="E1504" s="2" t="s">
        <v>753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881</v>
      </c>
      <c r="R1504" s="2" t="s">
        <v>882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177"/>
        <v>0.28401965065502183</v>
      </c>
      <c r="Z1504" s="2" t="s">
        <v>105</v>
      </c>
      <c r="AA1504" s="2" t="s">
        <v>617</v>
      </c>
      <c r="AB1504" s="2" t="s">
        <v>2512</v>
      </c>
      <c r="AC1504" s="2" t="s">
        <v>115</v>
      </c>
      <c r="AF1504" s="2">
        <f t="shared" si="178"/>
        <v>0</v>
      </c>
      <c r="AJ1504" s="2">
        <f t="shared" si="179"/>
        <v>0</v>
      </c>
      <c r="AK1504" s="2">
        <f t="shared" si="180"/>
        <v>1300.81</v>
      </c>
      <c r="AL1504" s="5">
        <f t="shared" si="181"/>
        <v>0.28401965065502183</v>
      </c>
    </row>
    <row r="1505" spans="1:38" hidden="1" x14ac:dyDescent="0.2">
      <c r="A1505" s="2">
        <v>2025</v>
      </c>
      <c r="B1505" s="2">
        <v>6</v>
      </c>
      <c r="C1505" s="2" t="s">
        <v>3422</v>
      </c>
      <c r="D1505" s="2" t="s">
        <v>3421</v>
      </c>
      <c r="E1505" s="2" t="s">
        <v>753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839</v>
      </c>
      <c r="R1505" s="2" t="s">
        <v>840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177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178"/>
        <v>0</v>
      </c>
      <c r="AJ1505" s="2">
        <f t="shared" si="179"/>
        <v>0</v>
      </c>
      <c r="AK1505" s="2">
        <f t="shared" si="180"/>
        <v>1347.37</v>
      </c>
      <c r="AL1505" s="5">
        <f t="shared" si="181"/>
        <v>0.28728571428571426</v>
      </c>
    </row>
    <row r="1506" spans="1:38" hidden="1" x14ac:dyDescent="0.2">
      <c r="A1506" s="2">
        <v>2025</v>
      </c>
      <c r="B1506" s="2">
        <v>6</v>
      </c>
      <c r="C1506" s="2" t="s">
        <v>3422</v>
      </c>
      <c r="D1506" s="2" t="s">
        <v>3421</v>
      </c>
      <c r="E1506" s="2" t="s">
        <v>753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1680</v>
      </c>
      <c r="R1506" s="2" t="s">
        <v>1681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177"/>
        <v>0.41198306389530409</v>
      </c>
      <c r="Z1506" s="2" t="s">
        <v>105</v>
      </c>
      <c r="AA1506" s="2" t="s">
        <v>265</v>
      </c>
      <c r="AB1506" s="2" t="s">
        <v>266</v>
      </c>
      <c r="AC1506" s="2" t="s">
        <v>102</v>
      </c>
      <c r="AF1506" s="2">
        <f t="shared" si="178"/>
        <v>0</v>
      </c>
      <c r="AJ1506" s="2">
        <f t="shared" si="179"/>
        <v>0</v>
      </c>
      <c r="AK1506" s="2">
        <f t="shared" si="180"/>
        <v>5351.66</v>
      </c>
      <c r="AL1506" s="5">
        <f t="shared" si="181"/>
        <v>0.41198306389530409</v>
      </c>
    </row>
    <row r="1507" spans="1:38" hidden="1" x14ac:dyDescent="0.2">
      <c r="A1507" s="2">
        <v>2025</v>
      </c>
      <c r="B1507" s="2">
        <v>6</v>
      </c>
      <c r="D1507" s="2" t="s">
        <v>717</v>
      </c>
      <c r="E1507" s="2" t="s">
        <v>109</v>
      </c>
      <c r="F1507" s="2" t="s">
        <v>718</v>
      </c>
      <c r="G1507" s="2">
        <v>500042063</v>
      </c>
      <c r="H1507" s="2" t="s">
        <v>110</v>
      </c>
      <c r="I1507" s="2" t="s">
        <v>113</v>
      </c>
      <c r="J1507" s="2" t="s">
        <v>719</v>
      </c>
      <c r="L1507" s="2" t="s">
        <v>113</v>
      </c>
      <c r="M1507" s="2" t="s">
        <v>40</v>
      </c>
      <c r="O1507" s="2" t="s">
        <v>1682</v>
      </c>
      <c r="P1507" s="2" t="s">
        <v>115</v>
      </c>
      <c r="Q1507" s="2" t="s">
        <v>903</v>
      </c>
      <c r="R1507" s="2" t="s">
        <v>904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7"/>
        <v>1</v>
      </c>
      <c r="Z1507" s="2" t="s">
        <v>118</v>
      </c>
      <c r="AF1507" s="2">
        <f t="shared" si="178"/>
        <v>0</v>
      </c>
      <c r="AJ1507" s="2">
        <f t="shared" si="179"/>
        <v>0</v>
      </c>
      <c r="AK1507" s="2">
        <f t="shared" si="180"/>
        <v>80.7</v>
      </c>
      <c r="AL1507" s="5">
        <f t="shared" si="181"/>
        <v>1</v>
      </c>
    </row>
    <row r="1508" spans="1:38" hidden="1" x14ac:dyDescent="0.2">
      <c r="A1508" s="2">
        <v>2025</v>
      </c>
      <c r="B1508" s="2">
        <v>6</v>
      </c>
      <c r="D1508" s="2" t="s">
        <v>717</v>
      </c>
      <c r="E1508" s="2" t="s">
        <v>109</v>
      </c>
      <c r="F1508" s="2" t="s">
        <v>718</v>
      </c>
      <c r="G1508" s="2">
        <v>500042063</v>
      </c>
      <c r="H1508" s="2" t="s">
        <v>110</v>
      </c>
      <c r="I1508" s="2" t="s">
        <v>113</v>
      </c>
      <c r="J1508" s="2" t="s">
        <v>719</v>
      </c>
      <c r="L1508" s="2" t="s">
        <v>113</v>
      </c>
      <c r="M1508" s="2" t="s">
        <v>110</v>
      </c>
      <c r="O1508" s="2" t="s">
        <v>1683</v>
      </c>
      <c r="P1508" s="2" t="s">
        <v>283</v>
      </c>
      <c r="Q1508" s="2" t="s">
        <v>1592</v>
      </c>
      <c r="R1508" s="2" t="s">
        <v>1593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7"/>
        <v>0.25579710144927542</v>
      </c>
      <c r="Z1508" s="2" t="s">
        <v>3231</v>
      </c>
      <c r="AA1508" s="2" t="s">
        <v>72</v>
      </c>
      <c r="AB1508" s="2" t="s">
        <v>120</v>
      </c>
      <c r="AC1508" s="2" t="s">
        <v>120</v>
      </c>
      <c r="AF1508" s="2">
        <f t="shared" si="178"/>
        <v>0</v>
      </c>
      <c r="AJ1508" s="2">
        <f t="shared" si="179"/>
        <v>0</v>
      </c>
      <c r="AK1508" s="2">
        <f t="shared" si="180"/>
        <v>17.650000000000006</v>
      </c>
      <c r="AL1508" s="5">
        <f t="shared" si="181"/>
        <v>0.25579710144927542</v>
      </c>
    </row>
    <row r="1509" spans="1:38" hidden="1" x14ac:dyDescent="0.2">
      <c r="A1509" s="2">
        <v>2025</v>
      </c>
      <c r="B1509" s="2">
        <v>6</v>
      </c>
      <c r="C1509" s="2" t="s">
        <v>3328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640</v>
      </c>
      <c r="R1509" s="2" t="s">
        <v>641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7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8"/>
        <v>0</v>
      </c>
      <c r="AJ1509" s="2">
        <f t="shared" si="179"/>
        <v>0</v>
      </c>
      <c r="AK1509" s="2">
        <f t="shared" si="180"/>
        <v>1160.8866</v>
      </c>
      <c r="AL1509" s="5">
        <f t="shared" si="181"/>
        <v>0.66492539621625646</v>
      </c>
    </row>
    <row r="1510" spans="1:38" hidden="1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1684</v>
      </c>
      <c r="R1510" s="2" t="s">
        <v>1685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7"/>
        <v>1</v>
      </c>
      <c r="Z1510" s="2" t="s">
        <v>118</v>
      </c>
      <c r="AF1510" s="2">
        <f t="shared" si="178"/>
        <v>0</v>
      </c>
      <c r="AJ1510" s="2">
        <f t="shared" si="179"/>
        <v>0</v>
      </c>
      <c r="AK1510" s="2">
        <f t="shared" si="180"/>
        <v>1120.44</v>
      </c>
      <c r="AL1510" s="5">
        <f t="shared" si="181"/>
        <v>1</v>
      </c>
    </row>
    <row r="1511" spans="1:38" hidden="1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7"/>
        <v>0.6</v>
      </c>
      <c r="Z1511" s="2" t="s">
        <v>118</v>
      </c>
      <c r="AA1511" s="2" t="s">
        <v>191</v>
      </c>
      <c r="AB1511" s="2" t="s">
        <v>190</v>
      </c>
      <c r="AC1511" s="2" t="s">
        <v>40</v>
      </c>
      <c r="AF1511" s="2">
        <f t="shared" si="178"/>
        <v>0</v>
      </c>
      <c r="AJ1511" s="2">
        <f t="shared" si="179"/>
        <v>0</v>
      </c>
      <c r="AK1511" s="2">
        <f t="shared" si="180"/>
        <v>22.5</v>
      </c>
      <c r="AL1511" s="5">
        <f t="shared" si="181"/>
        <v>0.6</v>
      </c>
    </row>
    <row r="1512" spans="1:38" hidden="1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7"/>
        <v>0.5</v>
      </c>
      <c r="Z1512" s="2" t="s">
        <v>118</v>
      </c>
      <c r="AA1512" s="2" t="s">
        <v>191</v>
      </c>
      <c r="AB1512" s="2" t="s">
        <v>191</v>
      </c>
      <c r="AC1512" s="2" t="s">
        <v>40</v>
      </c>
      <c r="AF1512" s="2">
        <f t="shared" si="178"/>
        <v>0</v>
      </c>
      <c r="AJ1512" s="2">
        <f t="shared" si="179"/>
        <v>0</v>
      </c>
      <c r="AK1512" s="2">
        <f t="shared" si="180"/>
        <v>135</v>
      </c>
      <c r="AL1512" s="5">
        <f t="shared" si="181"/>
        <v>0.5</v>
      </c>
    </row>
    <row r="1513" spans="1:38" hidden="1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8"/>
        <v>0</v>
      </c>
      <c r="AJ1513" s="2">
        <f t="shared" si="179"/>
        <v>0</v>
      </c>
    </row>
    <row r="1514" spans="1:38" hidden="1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1686</v>
      </c>
      <c r="P1514" s="2" t="s">
        <v>43</v>
      </c>
      <c r="Q1514" s="2" t="s">
        <v>971</v>
      </c>
      <c r="R1514" s="2" t="s">
        <v>972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7"/>
        <v>0.36648620689655176</v>
      </c>
      <c r="Z1514" s="2" t="s">
        <v>3231</v>
      </c>
      <c r="AA1514" s="2" t="s">
        <v>46</v>
      </c>
      <c r="AB1514" s="2" t="s">
        <v>61</v>
      </c>
      <c r="AC1514" s="2" t="s">
        <v>58</v>
      </c>
      <c r="AF1514" s="2">
        <f t="shared" si="178"/>
        <v>0</v>
      </c>
      <c r="AJ1514" s="2">
        <f t="shared" si="179"/>
        <v>0</v>
      </c>
      <c r="AK1514" s="2">
        <f t="shared" si="180"/>
        <v>106.28100000000001</v>
      </c>
      <c r="AL1514" s="5">
        <f t="shared" si="181"/>
        <v>0.36648620689655176</v>
      </c>
    </row>
    <row r="1515" spans="1:38" hidden="1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1686</v>
      </c>
      <c r="P1515" s="2" t="s">
        <v>43</v>
      </c>
      <c r="Q1515" s="2" t="s">
        <v>973</v>
      </c>
      <c r="R1515" s="2" t="s">
        <v>974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7"/>
        <v>0.34709655172413789</v>
      </c>
      <c r="Z1515" s="2" t="s">
        <v>3231</v>
      </c>
      <c r="AA1515" s="2" t="s">
        <v>46</v>
      </c>
      <c r="AB1515" s="2" t="s">
        <v>61</v>
      </c>
      <c r="AC1515" s="2" t="s">
        <v>58</v>
      </c>
      <c r="AF1515" s="2">
        <f t="shared" si="178"/>
        <v>0</v>
      </c>
      <c r="AJ1515" s="2">
        <f t="shared" si="179"/>
        <v>0</v>
      </c>
      <c r="AK1515" s="2">
        <f t="shared" si="180"/>
        <v>100.65799999999999</v>
      </c>
      <c r="AL1515" s="5">
        <f t="shared" si="181"/>
        <v>0.34709655172413789</v>
      </c>
    </row>
    <row r="1516" spans="1:38" hidden="1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1687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3231</v>
      </c>
      <c r="AA1516" s="2" t="s">
        <v>76</v>
      </c>
      <c r="AB1516" s="2" t="s">
        <v>77</v>
      </c>
      <c r="AC1516" s="2" t="s">
        <v>78</v>
      </c>
      <c r="AF1516" s="2">
        <f t="shared" si="178"/>
        <v>0</v>
      </c>
      <c r="AG1516" s="2">
        <v>117.453</v>
      </c>
      <c r="AH1516" s="2">
        <v>220</v>
      </c>
      <c r="AJ1516" s="2">
        <f t="shared" si="179"/>
        <v>0</v>
      </c>
      <c r="AK1516" s="2">
        <f t="shared" si="180"/>
        <v>0</v>
      </c>
      <c r="AL1516" s="5" t="e">
        <f t="shared" si="181"/>
        <v>#DIV/0!</v>
      </c>
    </row>
    <row r="1517" spans="1:38" hidden="1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1687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3231</v>
      </c>
      <c r="AA1517" s="2" t="s">
        <v>97</v>
      </c>
      <c r="AB1517" s="2" t="s">
        <v>77</v>
      </c>
      <c r="AC1517" s="2" t="s">
        <v>94</v>
      </c>
      <c r="AF1517" s="2">
        <f t="shared" si="178"/>
        <v>0</v>
      </c>
      <c r="AJ1517" s="2">
        <f t="shared" si="179"/>
        <v>0</v>
      </c>
      <c r="AK1517" s="2">
        <f t="shared" si="180"/>
        <v>0</v>
      </c>
      <c r="AL1517" s="5" t="e">
        <f t="shared" si="181"/>
        <v>#DIV/0!</v>
      </c>
    </row>
    <row r="1518" spans="1:38" hidden="1" x14ac:dyDescent="0.2">
      <c r="A1518" s="2">
        <v>2025</v>
      </c>
      <c r="B1518" s="2">
        <v>6</v>
      </c>
      <c r="D1518" s="2" t="s">
        <v>1688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2">(T1518-W1518)/T1518</f>
        <v>0.6</v>
      </c>
      <c r="Z1518" s="2" t="s">
        <v>118</v>
      </c>
      <c r="AA1518" s="2" t="s">
        <v>191</v>
      </c>
      <c r="AB1518" s="2" t="s">
        <v>190</v>
      </c>
      <c r="AC1518" s="2" t="s">
        <v>40</v>
      </c>
      <c r="AF1518" s="2">
        <f t="shared" si="178"/>
        <v>0</v>
      </c>
      <c r="AJ1518" s="2">
        <f t="shared" si="179"/>
        <v>0</v>
      </c>
      <c r="AK1518" s="2">
        <f t="shared" si="180"/>
        <v>30</v>
      </c>
      <c r="AL1518" s="5">
        <f t="shared" si="181"/>
        <v>0.6</v>
      </c>
    </row>
    <row r="1519" spans="1:38" hidden="1" x14ac:dyDescent="0.2">
      <c r="A1519" s="2">
        <v>2025</v>
      </c>
      <c r="B1519" s="2">
        <v>6</v>
      </c>
      <c r="D1519" s="2" t="s">
        <v>1688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2"/>
        <v>0.5</v>
      </c>
      <c r="Z1519" s="2" t="s">
        <v>118</v>
      </c>
      <c r="AA1519" s="2" t="s">
        <v>191</v>
      </c>
      <c r="AB1519" s="2" t="s">
        <v>191</v>
      </c>
      <c r="AC1519" s="2" t="s">
        <v>40</v>
      </c>
      <c r="AF1519" s="2">
        <f t="shared" si="178"/>
        <v>0</v>
      </c>
      <c r="AJ1519" s="2">
        <f t="shared" si="179"/>
        <v>0</v>
      </c>
      <c r="AK1519" s="2">
        <f t="shared" si="180"/>
        <v>25</v>
      </c>
      <c r="AL1519" s="5">
        <f t="shared" si="181"/>
        <v>0.5</v>
      </c>
    </row>
    <row r="1520" spans="1:38" hidden="1" x14ac:dyDescent="0.2">
      <c r="A1520" s="2">
        <v>2025</v>
      </c>
      <c r="B1520" s="2">
        <v>6</v>
      </c>
      <c r="D1520" s="2" t="s">
        <v>1688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2"/>
        <v>1</v>
      </c>
      <c r="Z1520" s="2" t="s">
        <v>120</v>
      </c>
      <c r="AA1520" s="2" t="s">
        <v>3385</v>
      </c>
      <c r="AF1520" s="2">
        <f t="shared" si="178"/>
        <v>0</v>
      </c>
      <c r="AJ1520" s="2">
        <f t="shared" si="179"/>
        <v>0</v>
      </c>
      <c r="AK1520" s="2">
        <f t="shared" si="180"/>
        <v>303</v>
      </c>
      <c r="AL1520" s="5">
        <f t="shared" si="181"/>
        <v>1</v>
      </c>
    </row>
    <row r="1521" spans="1:38" hidden="1" x14ac:dyDescent="0.2">
      <c r="A1521" s="2">
        <v>2025</v>
      </c>
      <c r="B1521" s="2">
        <v>6</v>
      </c>
      <c r="D1521" s="2" t="s">
        <v>1689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2"/>
        <v>0.44069999999999998</v>
      </c>
      <c r="Z1521" s="2" t="s">
        <v>3231</v>
      </c>
      <c r="AA1521" s="2" t="s">
        <v>76</v>
      </c>
      <c r="AB1521" s="2" t="s">
        <v>77</v>
      </c>
      <c r="AC1521" s="2" t="s">
        <v>78</v>
      </c>
      <c r="AF1521" s="2">
        <f t="shared" si="178"/>
        <v>0</v>
      </c>
      <c r="AG1521" s="2">
        <v>117.453</v>
      </c>
      <c r="AH1521" s="2">
        <v>220</v>
      </c>
      <c r="AJ1521" s="2">
        <f t="shared" si="179"/>
        <v>0</v>
      </c>
      <c r="AK1521" s="2">
        <f t="shared" si="180"/>
        <v>92.546999999999997</v>
      </c>
      <c r="AL1521" s="5">
        <f t="shared" si="181"/>
        <v>0.44069999999999998</v>
      </c>
    </row>
    <row r="1522" spans="1:38" hidden="1" x14ac:dyDescent="0.2">
      <c r="A1522" s="2">
        <v>2025</v>
      </c>
      <c r="B1522" s="2">
        <v>6</v>
      </c>
      <c r="D1522" s="2" t="s">
        <v>1689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2"/>
        <v>0</v>
      </c>
      <c r="Z1522" s="2" t="s">
        <v>3231</v>
      </c>
      <c r="AA1522" s="2" t="s">
        <v>97</v>
      </c>
      <c r="AB1522" s="2" t="s">
        <v>77</v>
      </c>
      <c r="AC1522" s="2" t="s">
        <v>94</v>
      </c>
      <c r="AF1522" s="2">
        <f t="shared" si="178"/>
        <v>0</v>
      </c>
      <c r="AJ1522" s="2">
        <f t="shared" si="179"/>
        <v>0</v>
      </c>
      <c r="AK1522" s="2">
        <f t="shared" si="180"/>
        <v>0</v>
      </c>
      <c r="AL1522" s="5">
        <f t="shared" si="181"/>
        <v>0</v>
      </c>
    </row>
    <row r="1523" spans="1:38" hidden="1" x14ac:dyDescent="0.2">
      <c r="A1523" s="2">
        <v>2025</v>
      </c>
      <c r="B1523" s="2">
        <v>6</v>
      </c>
      <c r="D1523" s="2" t="s">
        <v>1352</v>
      </c>
      <c r="P1523" s="2" t="s">
        <v>283</v>
      </c>
      <c r="Q1523" s="2" t="s">
        <v>1690</v>
      </c>
      <c r="R1523" s="2" t="s">
        <v>1691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2"/>
        <v>0.38981636060100172</v>
      </c>
      <c r="Z1523" s="2" t="s">
        <v>3231</v>
      </c>
      <c r="AA1523" s="2" t="s">
        <v>72</v>
      </c>
      <c r="AB1523" s="2" t="s">
        <v>1604</v>
      </c>
      <c r="AC1523" s="2" t="s">
        <v>1604</v>
      </c>
      <c r="AF1523" s="2">
        <f t="shared" si="178"/>
        <v>0</v>
      </c>
      <c r="AJ1523" s="2">
        <f t="shared" si="179"/>
        <v>0</v>
      </c>
      <c r="AK1523" s="2">
        <f t="shared" si="180"/>
        <v>23.35</v>
      </c>
      <c r="AL1523" s="5">
        <f t="shared" si="181"/>
        <v>0.38981636060100172</v>
      </c>
    </row>
    <row r="1524" spans="1:38" hidden="1" x14ac:dyDescent="0.2">
      <c r="A1524" s="2">
        <v>2025</v>
      </c>
      <c r="B1524" s="2">
        <v>6</v>
      </c>
      <c r="D1524" s="2" t="s">
        <v>983</v>
      </c>
      <c r="E1524" s="2" t="s">
        <v>109</v>
      </c>
      <c r="F1524" s="2" t="s">
        <v>718</v>
      </c>
      <c r="G1524" s="2">
        <v>500594309</v>
      </c>
      <c r="H1524" s="2" t="s">
        <v>291</v>
      </c>
      <c r="I1524" s="2" t="s">
        <v>984</v>
      </c>
      <c r="J1524" s="2" t="s">
        <v>985</v>
      </c>
      <c r="L1524" s="2" t="s">
        <v>294</v>
      </c>
      <c r="M1524" s="2" t="s">
        <v>81</v>
      </c>
      <c r="O1524" s="2" t="s">
        <v>1692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2"/>
        <v>0.41273499999999996</v>
      </c>
      <c r="Z1524" s="2" t="s">
        <v>3231</v>
      </c>
      <c r="AA1524" s="2" t="s">
        <v>76</v>
      </c>
      <c r="AB1524" s="2" t="s">
        <v>77</v>
      </c>
      <c r="AC1524" s="2" t="s">
        <v>78</v>
      </c>
      <c r="AF1524" s="2">
        <f t="shared" si="178"/>
        <v>0</v>
      </c>
      <c r="AG1524" s="2">
        <v>117.453</v>
      </c>
      <c r="AH1524" s="2">
        <v>220</v>
      </c>
      <c r="AJ1524" s="2">
        <f t="shared" si="179"/>
        <v>0</v>
      </c>
      <c r="AK1524" s="2">
        <f t="shared" si="180"/>
        <v>82.546999999999997</v>
      </c>
      <c r="AL1524" s="5">
        <f t="shared" si="181"/>
        <v>0.41273499999999996</v>
      </c>
    </row>
    <row r="1525" spans="1:38" hidden="1" x14ac:dyDescent="0.2">
      <c r="A1525" s="2">
        <v>2025</v>
      </c>
      <c r="B1525" s="2">
        <v>6</v>
      </c>
      <c r="D1525" s="2" t="s">
        <v>983</v>
      </c>
      <c r="E1525" s="2" t="s">
        <v>109</v>
      </c>
      <c r="F1525" s="2" t="s">
        <v>718</v>
      </c>
      <c r="G1525" s="2">
        <v>500594309</v>
      </c>
      <c r="H1525" s="2" t="s">
        <v>291</v>
      </c>
      <c r="I1525" s="2" t="s">
        <v>984</v>
      </c>
      <c r="J1525" s="2" t="s">
        <v>985</v>
      </c>
      <c r="L1525" s="2" t="s">
        <v>294</v>
      </c>
      <c r="M1525" s="2" t="s">
        <v>81</v>
      </c>
      <c r="O1525" s="2" t="s">
        <v>1692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2"/>
        <v>0</v>
      </c>
      <c r="Z1525" s="2" t="s">
        <v>3231</v>
      </c>
      <c r="AA1525" s="2" t="s">
        <v>97</v>
      </c>
      <c r="AB1525" s="2" t="s">
        <v>77</v>
      </c>
      <c r="AC1525" s="2" t="s">
        <v>94</v>
      </c>
      <c r="AF1525" s="2">
        <f t="shared" si="178"/>
        <v>0</v>
      </c>
      <c r="AG1525" s="2">
        <v>1.1399999999999999</v>
      </c>
      <c r="AH1525" s="2">
        <v>1.1399999999999999</v>
      </c>
      <c r="AJ1525" s="2">
        <f t="shared" si="179"/>
        <v>0</v>
      </c>
      <c r="AK1525" s="2">
        <f t="shared" si="180"/>
        <v>0</v>
      </c>
      <c r="AL1525" s="5">
        <f t="shared" si="181"/>
        <v>0</v>
      </c>
    </row>
    <row r="1526" spans="1:38" hidden="1" x14ac:dyDescent="0.2">
      <c r="A1526" s="2">
        <v>2025</v>
      </c>
      <c r="B1526" s="2">
        <v>6</v>
      </c>
      <c r="D1526" s="2" t="s">
        <v>742</v>
      </c>
      <c r="P1526" s="2" t="s">
        <v>115</v>
      </c>
      <c r="Q1526" s="2" t="s">
        <v>1693</v>
      </c>
      <c r="R1526" s="2" t="s">
        <v>1694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2"/>
        <v>1</v>
      </c>
      <c r="Z1526" s="2" t="s">
        <v>118</v>
      </c>
      <c r="AF1526" s="2">
        <f t="shared" si="178"/>
        <v>0</v>
      </c>
      <c r="AJ1526" s="2">
        <f t="shared" si="179"/>
        <v>0</v>
      </c>
      <c r="AK1526" s="2">
        <f t="shared" si="180"/>
        <v>73.69</v>
      </c>
      <c r="AL1526" s="5">
        <f t="shared" si="181"/>
        <v>1</v>
      </c>
    </row>
    <row r="1527" spans="1:38" hidden="1" x14ac:dyDescent="0.2">
      <c r="A1527" s="2">
        <v>2025</v>
      </c>
      <c r="B1527" s="2">
        <v>6</v>
      </c>
      <c r="D1527" s="2" t="s">
        <v>742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2"/>
        <v>0.59999999999999987</v>
      </c>
      <c r="Z1527" s="2" t="s">
        <v>118</v>
      </c>
      <c r="AA1527" s="2" t="s">
        <v>191</v>
      </c>
      <c r="AB1527" s="2" t="s">
        <v>190</v>
      </c>
      <c r="AC1527" s="2" t="s">
        <v>40</v>
      </c>
      <c r="AF1527" s="2">
        <f t="shared" si="178"/>
        <v>0</v>
      </c>
      <c r="AJ1527" s="2">
        <f t="shared" si="179"/>
        <v>0</v>
      </c>
      <c r="AK1527" s="2">
        <f t="shared" si="180"/>
        <v>128.39999999999998</v>
      </c>
      <c r="AL1527" s="5">
        <f t="shared" si="181"/>
        <v>0.59999999999999987</v>
      </c>
    </row>
    <row r="1528" spans="1:38" hidden="1" x14ac:dyDescent="0.2">
      <c r="A1528" s="2">
        <v>2025</v>
      </c>
      <c r="B1528" s="2">
        <v>6</v>
      </c>
      <c r="D1528" s="2" t="s">
        <v>742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2"/>
        <v>0.5</v>
      </c>
      <c r="Z1528" s="2" t="s">
        <v>118</v>
      </c>
      <c r="AA1528" s="2" t="s">
        <v>191</v>
      </c>
      <c r="AB1528" s="2" t="s">
        <v>191</v>
      </c>
      <c r="AC1528" s="2" t="s">
        <v>40</v>
      </c>
      <c r="AF1528" s="2">
        <f t="shared" si="178"/>
        <v>0</v>
      </c>
      <c r="AJ1528" s="2">
        <f t="shared" si="179"/>
        <v>0</v>
      </c>
      <c r="AK1528" s="2">
        <f t="shared" si="180"/>
        <v>45</v>
      </c>
      <c r="AL1528" s="5">
        <f t="shared" si="181"/>
        <v>0.5</v>
      </c>
    </row>
    <row r="1529" spans="1:38" hidden="1" x14ac:dyDescent="0.2">
      <c r="A1529" s="2">
        <v>2025</v>
      </c>
      <c r="B1529" s="2">
        <v>6</v>
      </c>
      <c r="C1529" s="2" t="s">
        <v>3328</v>
      </c>
      <c r="D1529" s="2" t="s">
        <v>1357</v>
      </c>
      <c r="E1529" s="2" t="s">
        <v>753</v>
      </c>
      <c r="F1529" s="2" t="s">
        <v>39</v>
      </c>
      <c r="G1529" s="2">
        <v>518238334</v>
      </c>
      <c r="H1529" s="2" t="s">
        <v>41</v>
      </c>
      <c r="I1529" s="2" t="s">
        <v>763</v>
      </c>
      <c r="J1529" s="2" t="s">
        <v>1358</v>
      </c>
      <c r="L1529" s="2" t="s">
        <v>419</v>
      </c>
      <c r="M1529" s="2" t="s">
        <v>41</v>
      </c>
      <c r="P1529" s="2" t="s">
        <v>283</v>
      </c>
      <c r="Q1529" s="2" t="s">
        <v>1695</v>
      </c>
      <c r="R1529" s="2" t="s">
        <v>1696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2"/>
        <v>0.35</v>
      </c>
      <c r="Z1529" s="2" t="s">
        <v>3231</v>
      </c>
      <c r="AA1529" s="2" t="s">
        <v>1578</v>
      </c>
      <c r="AB1529" s="2" t="s">
        <v>389</v>
      </c>
      <c r="AC1529" s="2" t="s">
        <v>1329</v>
      </c>
      <c r="AF1529" s="2">
        <f t="shared" si="178"/>
        <v>0</v>
      </c>
      <c r="AJ1529" s="2">
        <f t="shared" si="179"/>
        <v>0</v>
      </c>
      <c r="AK1529" s="2">
        <f t="shared" si="180"/>
        <v>35</v>
      </c>
      <c r="AL1529" s="5">
        <f t="shared" si="181"/>
        <v>0.35</v>
      </c>
    </row>
    <row r="1530" spans="1:38" hidden="1" x14ac:dyDescent="0.2">
      <c r="A1530" s="2">
        <v>2025</v>
      </c>
      <c r="B1530" s="2">
        <v>6</v>
      </c>
      <c r="D1530" s="2" t="s">
        <v>1697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3">23.042*S1530</f>
        <v>23.042000000000002</v>
      </c>
      <c r="X1530" s="5">
        <f t="shared" si="182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8"/>
        <v>0</v>
      </c>
      <c r="AJ1530" s="2">
        <f t="shared" si="179"/>
        <v>0</v>
      </c>
      <c r="AK1530" s="2">
        <f t="shared" si="180"/>
        <v>22.027999999999999</v>
      </c>
      <c r="AL1530" s="5">
        <f t="shared" si="181"/>
        <v>0.48875083203905034</v>
      </c>
    </row>
    <row r="1531" spans="1:38" hidden="1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3"/>
        <v>23.042000000000002</v>
      </c>
      <c r="X1531" s="5">
        <f t="shared" si="182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8"/>
        <v>0</v>
      </c>
      <c r="AJ1531" s="2">
        <f t="shared" si="179"/>
        <v>0</v>
      </c>
      <c r="AK1531" s="2">
        <f t="shared" si="180"/>
        <v>22.027999999999999</v>
      </c>
      <c r="AL1531" s="5">
        <f t="shared" si="181"/>
        <v>0.48875083203905034</v>
      </c>
    </row>
    <row r="1532" spans="1:38" hidden="1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2"/>
        <v>0.6</v>
      </c>
      <c r="Z1532" s="2" t="s">
        <v>118</v>
      </c>
      <c r="AA1532" s="2" t="s">
        <v>191</v>
      </c>
      <c r="AB1532" s="2" t="s">
        <v>190</v>
      </c>
      <c r="AC1532" s="2" t="s">
        <v>40</v>
      </c>
      <c r="AF1532" s="2">
        <f t="shared" si="178"/>
        <v>0</v>
      </c>
      <c r="AJ1532" s="2">
        <f t="shared" si="179"/>
        <v>0</v>
      </c>
      <c r="AK1532" s="2">
        <f t="shared" si="180"/>
        <v>30</v>
      </c>
      <c r="AL1532" s="5">
        <f t="shared" si="181"/>
        <v>0.6</v>
      </c>
    </row>
    <row r="1533" spans="1:38" hidden="1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2"/>
        <v>0.5</v>
      </c>
      <c r="Z1533" s="2" t="s">
        <v>118</v>
      </c>
      <c r="AA1533" s="2" t="s">
        <v>191</v>
      </c>
      <c r="AB1533" s="2" t="s">
        <v>191</v>
      </c>
      <c r="AC1533" s="2" t="s">
        <v>40</v>
      </c>
      <c r="AF1533" s="2">
        <f t="shared" si="178"/>
        <v>0</v>
      </c>
      <c r="AJ1533" s="2">
        <f t="shared" si="179"/>
        <v>0</v>
      </c>
      <c r="AK1533" s="2">
        <f t="shared" si="180"/>
        <v>25</v>
      </c>
      <c r="AL1533" s="5">
        <f t="shared" si="181"/>
        <v>0.5</v>
      </c>
    </row>
    <row r="1534" spans="1:38" hidden="1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1698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2"/>
        <v>0.6</v>
      </c>
      <c r="Z1534" s="2" t="s">
        <v>118</v>
      </c>
      <c r="AA1534" s="2" t="s">
        <v>191</v>
      </c>
      <c r="AB1534" s="2" t="s">
        <v>190</v>
      </c>
      <c r="AC1534" s="2" t="s">
        <v>40</v>
      </c>
      <c r="AF1534" s="2">
        <f t="shared" si="178"/>
        <v>0</v>
      </c>
      <c r="AJ1534" s="2">
        <f t="shared" si="179"/>
        <v>0</v>
      </c>
      <c r="AK1534" s="2">
        <f t="shared" si="180"/>
        <v>119.39999999999999</v>
      </c>
      <c r="AL1534" s="5">
        <f t="shared" si="181"/>
        <v>0.6</v>
      </c>
    </row>
    <row r="1535" spans="1:38" hidden="1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1698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2"/>
        <v>0.5</v>
      </c>
      <c r="Z1535" s="2" t="s">
        <v>118</v>
      </c>
      <c r="AA1535" s="2" t="s">
        <v>191</v>
      </c>
      <c r="AB1535" s="2" t="s">
        <v>191</v>
      </c>
      <c r="AC1535" s="2" t="s">
        <v>40</v>
      </c>
      <c r="AF1535" s="2">
        <f t="shared" si="178"/>
        <v>0</v>
      </c>
      <c r="AG1535" s="2">
        <v>75</v>
      </c>
      <c r="AJ1535" s="2">
        <f t="shared" si="179"/>
        <v>0</v>
      </c>
      <c r="AK1535" s="2">
        <f t="shared" si="180"/>
        <v>75</v>
      </c>
      <c r="AL1535" s="5">
        <f t="shared" si="181"/>
        <v>0.5</v>
      </c>
    </row>
    <row r="1536" spans="1:38" hidden="1" x14ac:dyDescent="0.2">
      <c r="A1536" s="2">
        <v>2025</v>
      </c>
      <c r="B1536" s="2">
        <v>6</v>
      </c>
      <c r="D1536" s="2" t="s">
        <v>1699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2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8"/>
        <v>0</v>
      </c>
      <c r="AJ1536" s="2">
        <f t="shared" si="179"/>
        <v>0</v>
      </c>
      <c r="AK1536" s="2">
        <f t="shared" si="180"/>
        <v>278</v>
      </c>
      <c r="AL1536" s="5">
        <f t="shared" si="181"/>
        <v>0.4</v>
      </c>
    </row>
    <row r="1537" spans="1:38" hidden="1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1700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2"/>
        <v>0.42161904761904767</v>
      </c>
      <c r="Z1537" s="2" t="s">
        <v>3231</v>
      </c>
      <c r="AA1537" s="2" t="s">
        <v>76</v>
      </c>
      <c r="AB1537" s="2" t="s">
        <v>77</v>
      </c>
      <c r="AC1537" s="2" t="s">
        <v>78</v>
      </c>
      <c r="AF1537" s="2">
        <f t="shared" si="178"/>
        <v>0</v>
      </c>
      <c r="AG1537" s="2">
        <v>121.46</v>
      </c>
      <c r="AH1537" s="2">
        <v>210</v>
      </c>
      <c r="AJ1537" s="2">
        <f t="shared" si="179"/>
        <v>0</v>
      </c>
      <c r="AK1537" s="2">
        <f t="shared" si="180"/>
        <v>88.54</v>
      </c>
      <c r="AL1537" s="5">
        <f t="shared" si="181"/>
        <v>0.42161904761904767</v>
      </c>
    </row>
    <row r="1538" spans="1:38" hidden="1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1700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2"/>
        <v>0</v>
      </c>
      <c r="Z1538" s="2" t="s">
        <v>3231</v>
      </c>
      <c r="AA1538" s="2" t="s">
        <v>97</v>
      </c>
      <c r="AB1538" s="2" t="s">
        <v>77</v>
      </c>
      <c r="AC1538" s="2" t="s">
        <v>94</v>
      </c>
      <c r="AF1538" s="2">
        <f t="shared" si="178"/>
        <v>0</v>
      </c>
      <c r="AJ1538" s="2">
        <f t="shared" si="179"/>
        <v>0</v>
      </c>
      <c r="AK1538" s="2">
        <f t="shared" si="180"/>
        <v>0</v>
      </c>
      <c r="AL1538" s="5">
        <f t="shared" si="181"/>
        <v>0</v>
      </c>
    </row>
    <row r="1539" spans="1:38" hidden="1" x14ac:dyDescent="0.2">
      <c r="A1539" s="2">
        <v>2025</v>
      </c>
      <c r="B1539" s="2">
        <v>6</v>
      </c>
      <c r="C1539" s="2" t="s">
        <v>3398</v>
      </c>
      <c r="D1539" s="2" t="s">
        <v>3412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1701</v>
      </c>
      <c r="P1539" s="2" t="s">
        <v>115</v>
      </c>
      <c r="Q1539" s="2" t="s">
        <v>1702</v>
      </c>
      <c r="R1539" s="2" t="s">
        <v>1703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2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4">AJ1539</f>
        <v>0</v>
      </c>
      <c r="AG1539" s="2">
        <v>796.8</v>
      </c>
      <c r="AJ1539" s="2">
        <f t="shared" ref="AJ1539:AJ1602" si="185">AI1539*T1539</f>
        <v>0</v>
      </c>
      <c r="AK1539" s="2">
        <f t="shared" ref="AK1539:AK1602" si="186">T1539-W1539</f>
        <v>179.20000000000005</v>
      </c>
      <c r="AL1539" s="5">
        <f t="shared" si="181"/>
        <v>0.18360655737704923</v>
      </c>
    </row>
    <row r="1540" spans="1:38" hidden="1" x14ac:dyDescent="0.2">
      <c r="A1540" s="2">
        <v>2025</v>
      </c>
      <c r="B1540" s="2">
        <v>6</v>
      </c>
      <c r="C1540" s="2" t="s">
        <v>3398</v>
      </c>
      <c r="D1540" s="2" t="s">
        <v>3412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1701</v>
      </c>
      <c r="P1540" s="2" t="s">
        <v>115</v>
      </c>
      <c r="Q1540" s="2" t="s">
        <v>928</v>
      </c>
      <c r="R1540" s="2" t="s">
        <v>929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2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4"/>
        <v>0</v>
      </c>
      <c r="AG1540" s="2">
        <f>305.4+19.25</f>
        <v>324.64999999999998</v>
      </c>
      <c r="AJ1540" s="2">
        <f t="shared" si="185"/>
        <v>0</v>
      </c>
      <c r="AK1540" s="2">
        <f t="shared" si="186"/>
        <v>25.350000000000023</v>
      </c>
      <c r="AL1540" s="5">
        <f t="shared" si="181"/>
        <v>7.2428571428571495E-2</v>
      </c>
    </row>
    <row r="1541" spans="1:38" hidden="1" x14ac:dyDescent="0.2">
      <c r="A1541" s="2">
        <v>2025</v>
      </c>
      <c r="B1541" s="2">
        <v>6</v>
      </c>
      <c r="C1541" s="2" t="s">
        <v>3398</v>
      </c>
      <c r="D1541" s="2" t="s">
        <v>3412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1701</v>
      </c>
      <c r="P1541" s="2" t="s">
        <v>283</v>
      </c>
      <c r="Q1541" s="2" t="s">
        <v>1704</v>
      </c>
      <c r="R1541" s="2" t="s">
        <v>1705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2"/>
        <v>0.18908629441624367</v>
      </c>
      <c r="Z1541" s="2" t="s">
        <v>3231</v>
      </c>
      <c r="AA1541" s="2" t="s">
        <v>72</v>
      </c>
      <c r="AB1541" s="2" t="s">
        <v>1604</v>
      </c>
      <c r="AC1541" s="2" t="s">
        <v>1604</v>
      </c>
      <c r="AF1541" s="2">
        <f t="shared" si="184"/>
        <v>0</v>
      </c>
      <c r="AG1541" s="2">
        <v>319.5</v>
      </c>
      <c r="AJ1541" s="2">
        <f t="shared" si="185"/>
        <v>0</v>
      </c>
      <c r="AK1541" s="2">
        <f t="shared" si="186"/>
        <v>74.5</v>
      </c>
      <c r="AL1541" s="5">
        <f t="shared" si="181"/>
        <v>0.18908629441624367</v>
      </c>
    </row>
    <row r="1542" spans="1:38" hidden="1" x14ac:dyDescent="0.2">
      <c r="A1542" s="2">
        <v>2025</v>
      </c>
      <c r="B1542" s="2">
        <v>6</v>
      </c>
      <c r="C1542" s="2" t="s">
        <v>3398</v>
      </c>
      <c r="D1542" s="2" t="s">
        <v>3412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1701</v>
      </c>
      <c r="P1542" s="2" t="s">
        <v>283</v>
      </c>
      <c r="Q1542" s="2" t="s">
        <v>1706</v>
      </c>
      <c r="R1542" s="2" t="s">
        <v>1707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2"/>
        <v>0.46773333333333333</v>
      </c>
      <c r="Z1542" s="2" t="s">
        <v>3231</v>
      </c>
      <c r="AA1542" s="2" t="s">
        <v>72</v>
      </c>
      <c r="AB1542" s="2" t="s">
        <v>1604</v>
      </c>
      <c r="AC1542" s="2" t="s">
        <v>1604</v>
      </c>
      <c r="AF1542" s="2">
        <f t="shared" si="184"/>
        <v>0</v>
      </c>
      <c r="AG1542" s="2">
        <v>399.2</v>
      </c>
      <c r="AJ1542" s="2">
        <f t="shared" si="185"/>
        <v>0</v>
      </c>
      <c r="AK1542" s="2">
        <f t="shared" si="186"/>
        <v>350.8</v>
      </c>
      <c r="AL1542" s="5">
        <f t="shared" si="181"/>
        <v>0.46773333333333333</v>
      </c>
    </row>
    <row r="1543" spans="1:38" hidden="1" x14ac:dyDescent="0.2">
      <c r="A1543" s="2">
        <v>2025</v>
      </c>
      <c r="B1543" s="2">
        <v>6</v>
      </c>
      <c r="C1543" s="2" t="s">
        <v>3398</v>
      </c>
      <c r="D1543" s="2" t="s">
        <v>3412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1701</v>
      </c>
      <c r="P1543" s="2" t="s">
        <v>102</v>
      </c>
      <c r="Q1543" s="2" t="s">
        <v>1708</v>
      </c>
      <c r="R1543" s="2" t="s">
        <v>1709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2"/>
        <v>0.28735319148936167</v>
      </c>
      <c r="Z1543" s="2" t="s">
        <v>105</v>
      </c>
      <c r="AA1543" s="2" t="s">
        <v>265</v>
      </c>
      <c r="AB1543" s="2" t="s">
        <v>266</v>
      </c>
      <c r="AC1543" s="2" t="s">
        <v>102</v>
      </c>
      <c r="AF1543" s="2">
        <f t="shared" si="184"/>
        <v>0</v>
      </c>
      <c r="AG1543" s="2">
        <f>7734.84+638.76</f>
        <v>8373.6</v>
      </c>
      <c r="AJ1543" s="2">
        <f t="shared" si="185"/>
        <v>0</v>
      </c>
      <c r="AK1543" s="2">
        <f t="shared" si="186"/>
        <v>3376.3999999999996</v>
      </c>
      <c r="AL1543" s="5">
        <f t="shared" si="181"/>
        <v>0.28735319148936167</v>
      </c>
    </row>
    <row r="1544" spans="1:38" hidden="1" x14ac:dyDescent="0.2">
      <c r="A1544" s="2">
        <v>2025</v>
      </c>
      <c r="B1544" s="2">
        <v>6</v>
      </c>
      <c r="C1544" s="2" t="s">
        <v>3398</v>
      </c>
      <c r="D1544" s="2" t="s">
        <v>3412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1701</v>
      </c>
      <c r="P1544" s="2" t="s">
        <v>102</v>
      </c>
      <c r="Q1544" s="2" t="s">
        <v>1095</v>
      </c>
      <c r="R1544" s="2" t="s">
        <v>1096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2"/>
        <v>0.59706785714285715</v>
      </c>
      <c r="Z1544" s="2" t="s">
        <v>105</v>
      </c>
      <c r="AA1544" s="2" t="s">
        <v>265</v>
      </c>
      <c r="AB1544" s="2" t="s">
        <v>1097</v>
      </c>
      <c r="AC1544" s="2" t="s">
        <v>102</v>
      </c>
      <c r="AF1544" s="2">
        <f t="shared" si="184"/>
        <v>0</v>
      </c>
      <c r="AG1544" s="2">
        <f>2084.42+172</f>
        <v>2256.42</v>
      </c>
      <c r="AJ1544" s="2">
        <f t="shared" si="185"/>
        <v>0</v>
      </c>
      <c r="AK1544" s="2">
        <f t="shared" si="186"/>
        <v>3343.58</v>
      </c>
      <c r="AL1544" s="5">
        <f t="shared" si="181"/>
        <v>0.59706785714285715</v>
      </c>
    </row>
    <row r="1545" spans="1:38" hidden="1" x14ac:dyDescent="0.2">
      <c r="A1545" s="2">
        <v>2025</v>
      </c>
      <c r="B1545" s="2">
        <v>6</v>
      </c>
      <c r="D1545" s="2" t="s">
        <v>1017</v>
      </c>
      <c r="E1545" s="2" t="s">
        <v>109</v>
      </c>
      <c r="F1545" s="2" t="s">
        <v>478</v>
      </c>
      <c r="G1545" s="2">
        <v>503815284</v>
      </c>
      <c r="H1545" s="2" t="s">
        <v>40</v>
      </c>
      <c r="I1545" s="2" t="s">
        <v>157</v>
      </c>
      <c r="J1545" s="2" t="s">
        <v>2542</v>
      </c>
      <c r="L1545" s="2" t="s">
        <v>100</v>
      </c>
      <c r="M1545" s="2" t="s">
        <v>81</v>
      </c>
      <c r="P1545" s="2" t="s">
        <v>283</v>
      </c>
      <c r="Q1545" s="2" t="s">
        <v>1239</v>
      </c>
      <c r="R1545" s="2" t="s">
        <v>1240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2"/>
        <v>0.2857142857142857</v>
      </c>
      <c r="Z1545" s="2" t="s">
        <v>3231</v>
      </c>
      <c r="AA1545" s="2" t="s">
        <v>72</v>
      </c>
      <c r="AB1545" s="2" t="s">
        <v>120</v>
      </c>
      <c r="AC1545" s="2" t="s">
        <v>120</v>
      </c>
      <c r="AF1545" s="2">
        <f t="shared" si="184"/>
        <v>0</v>
      </c>
      <c r="AJ1545" s="2">
        <f t="shared" si="185"/>
        <v>0</v>
      </c>
      <c r="AK1545" s="2">
        <f t="shared" si="186"/>
        <v>20</v>
      </c>
      <c r="AL1545" s="5">
        <f t="shared" si="181"/>
        <v>0.2857142857142857</v>
      </c>
    </row>
    <row r="1546" spans="1:38" hidden="1" x14ac:dyDescent="0.2">
      <c r="A1546" s="2">
        <v>2025</v>
      </c>
      <c r="B1546" s="2">
        <v>6</v>
      </c>
      <c r="D1546" s="2" t="s">
        <v>1557</v>
      </c>
      <c r="E1546" s="2" t="s">
        <v>109</v>
      </c>
      <c r="F1546" s="2" t="s">
        <v>718</v>
      </c>
      <c r="G1546" s="2">
        <v>500975914</v>
      </c>
      <c r="H1546" s="2" t="s">
        <v>41</v>
      </c>
      <c r="I1546" s="2" t="s">
        <v>1558</v>
      </c>
      <c r="J1546" s="2" t="s">
        <v>1559</v>
      </c>
      <c r="L1546" s="2" t="s">
        <v>100</v>
      </c>
      <c r="P1546" s="2" t="s">
        <v>115</v>
      </c>
      <c r="Q1546" s="2" t="s">
        <v>1710</v>
      </c>
      <c r="R1546" s="2" t="s">
        <v>1711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2"/>
        <v>1</v>
      </c>
      <c r="Z1546" s="2" t="s">
        <v>118</v>
      </c>
      <c r="AF1546" s="2">
        <f t="shared" si="184"/>
        <v>0</v>
      </c>
      <c r="AJ1546" s="2">
        <f t="shared" si="185"/>
        <v>0</v>
      </c>
      <c r="AK1546" s="2">
        <f t="shared" si="186"/>
        <v>108.89</v>
      </c>
      <c r="AL1546" s="5">
        <f t="shared" si="181"/>
        <v>1</v>
      </c>
    </row>
    <row r="1547" spans="1:38" hidden="1" x14ac:dyDescent="0.2">
      <c r="A1547" s="2">
        <v>2025</v>
      </c>
      <c r="B1547" s="2">
        <v>6</v>
      </c>
      <c r="D1547" s="2" t="s">
        <v>1557</v>
      </c>
      <c r="E1547" s="2" t="s">
        <v>109</v>
      </c>
      <c r="F1547" s="2" t="s">
        <v>718</v>
      </c>
      <c r="G1547" s="2">
        <v>500975914</v>
      </c>
      <c r="H1547" s="2" t="s">
        <v>41</v>
      </c>
      <c r="I1547" s="2" t="s">
        <v>1558</v>
      </c>
      <c r="J1547" s="2" t="s">
        <v>1559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2"/>
        <v>0.16875000000000001</v>
      </c>
      <c r="Z1547" s="2" t="s">
        <v>3231</v>
      </c>
      <c r="AA1547" s="2" t="s">
        <v>72</v>
      </c>
      <c r="AB1547" s="2" t="s">
        <v>120</v>
      </c>
      <c r="AC1547" s="2" t="s">
        <v>120</v>
      </c>
      <c r="AF1547" s="2">
        <f t="shared" si="184"/>
        <v>0</v>
      </c>
      <c r="AJ1547" s="2">
        <f t="shared" si="185"/>
        <v>0</v>
      </c>
      <c r="AK1547" s="2">
        <f t="shared" si="186"/>
        <v>60.75</v>
      </c>
      <c r="AL1547" s="5">
        <f t="shared" si="181"/>
        <v>0.16875000000000001</v>
      </c>
    </row>
    <row r="1548" spans="1:38" hidden="1" x14ac:dyDescent="0.2">
      <c r="A1548" s="2">
        <v>2025</v>
      </c>
      <c r="B1548" s="2">
        <v>6</v>
      </c>
      <c r="D1548" s="2" t="s">
        <v>1557</v>
      </c>
      <c r="E1548" s="2" t="s">
        <v>109</v>
      </c>
      <c r="F1548" s="2" t="s">
        <v>718</v>
      </c>
      <c r="G1548" s="2">
        <v>500975914</v>
      </c>
      <c r="H1548" s="2" t="s">
        <v>41</v>
      </c>
      <c r="I1548" s="2" t="s">
        <v>1558</v>
      </c>
      <c r="J1548" s="2" t="s">
        <v>1559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2"/>
        <v>0.6</v>
      </c>
      <c r="Z1548" s="2" t="s">
        <v>118</v>
      </c>
      <c r="AA1548" s="2" t="s">
        <v>191</v>
      </c>
      <c r="AB1548" s="2" t="s">
        <v>190</v>
      </c>
      <c r="AC1548" s="2" t="s">
        <v>40</v>
      </c>
      <c r="AF1548" s="2">
        <f t="shared" si="184"/>
        <v>0</v>
      </c>
      <c r="AJ1548" s="2">
        <f t="shared" si="185"/>
        <v>0</v>
      </c>
      <c r="AK1548" s="2">
        <f t="shared" si="186"/>
        <v>33.299999999999997</v>
      </c>
      <c r="AL1548" s="5">
        <f t="shared" si="181"/>
        <v>0.6</v>
      </c>
    </row>
    <row r="1549" spans="1:38" hidden="1" x14ac:dyDescent="0.2">
      <c r="A1549" s="2">
        <v>2025</v>
      </c>
      <c r="B1549" s="2">
        <v>6</v>
      </c>
      <c r="D1549" s="2" t="s">
        <v>1557</v>
      </c>
      <c r="E1549" s="2" t="s">
        <v>109</v>
      </c>
      <c r="F1549" s="2" t="s">
        <v>718</v>
      </c>
      <c r="G1549" s="2">
        <v>500975914</v>
      </c>
      <c r="H1549" s="2" t="s">
        <v>41</v>
      </c>
      <c r="I1549" s="2" t="s">
        <v>1558</v>
      </c>
      <c r="J1549" s="2" t="s">
        <v>1559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2"/>
        <v>0.5</v>
      </c>
      <c r="Z1549" s="2" t="s">
        <v>118</v>
      </c>
      <c r="AA1549" s="2" t="s">
        <v>191</v>
      </c>
      <c r="AB1549" s="2" t="s">
        <v>191</v>
      </c>
      <c r="AC1549" s="2" t="s">
        <v>40</v>
      </c>
      <c r="AF1549" s="2">
        <f t="shared" si="184"/>
        <v>0</v>
      </c>
      <c r="AJ1549" s="2">
        <f t="shared" si="185"/>
        <v>0</v>
      </c>
      <c r="AK1549" s="2">
        <f t="shared" si="186"/>
        <v>16.875</v>
      </c>
      <c r="AL1549" s="5">
        <f t="shared" si="181"/>
        <v>0.5</v>
      </c>
    </row>
    <row r="1550" spans="1:38" hidden="1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2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4"/>
        <v>0</v>
      </c>
      <c r="AJ1550" s="2">
        <f t="shared" si="185"/>
        <v>0</v>
      </c>
      <c r="AK1550" s="2">
        <f t="shared" si="186"/>
        <v>9320.6</v>
      </c>
      <c r="AL1550" s="5">
        <f t="shared" si="181"/>
        <v>0.46626313156578292</v>
      </c>
    </row>
    <row r="1551" spans="1:38" hidden="1" x14ac:dyDescent="0.2">
      <c r="A1551" s="2">
        <v>2025</v>
      </c>
      <c r="B1551" s="2">
        <v>6</v>
      </c>
      <c r="D1551" s="2" t="s">
        <v>1379</v>
      </c>
      <c r="M1551" s="2" t="s">
        <v>81</v>
      </c>
      <c r="O1551" s="2" t="s">
        <v>3205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2"/>
        <v>0.46676190476190477</v>
      </c>
      <c r="Z1551" s="2" t="s">
        <v>3231</v>
      </c>
      <c r="AA1551" s="2" t="s">
        <v>76</v>
      </c>
      <c r="AB1551" s="2" t="s">
        <v>77</v>
      </c>
      <c r="AC1551" s="2" t="s">
        <v>78</v>
      </c>
      <c r="AF1551" s="2">
        <f t="shared" si="184"/>
        <v>0</v>
      </c>
      <c r="AG1551" s="2">
        <v>111.98</v>
      </c>
      <c r="AH1551" s="2">
        <v>210</v>
      </c>
      <c r="AJ1551" s="2">
        <f t="shared" si="185"/>
        <v>0</v>
      </c>
      <c r="AK1551" s="2">
        <f t="shared" si="186"/>
        <v>98.02</v>
      </c>
      <c r="AL1551" s="5">
        <f t="shared" si="181"/>
        <v>0.46676190476190477</v>
      </c>
    </row>
    <row r="1552" spans="1:38" hidden="1" x14ac:dyDescent="0.2">
      <c r="A1552" s="2">
        <v>2025</v>
      </c>
      <c r="B1552" s="2">
        <v>6</v>
      </c>
      <c r="D1552" s="2" t="s">
        <v>1379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2"/>
        <v>0</v>
      </c>
      <c r="Z1552" s="2" t="s">
        <v>3231</v>
      </c>
      <c r="AA1552" s="2" t="s">
        <v>97</v>
      </c>
      <c r="AB1552" s="2" t="s">
        <v>77</v>
      </c>
      <c r="AC1552" s="2" t="s">
        <v>94</v>
      </c>
      <c r="AF1552" s="2">
        <f t="shared" si="184"/>
        <v>0</v>
      </c>
      <c r="AJ1552" s="2">
        <f t="shared" si="185"/>
        <v>0</v>
      </c>
      <c r="AK1552" s="2">
        <f t="shared" si="186"/>
        <v>0</v>
      </c>
      <c r="AL1552" s="5">
        <f t="shared" ref="AL1552:AL1615" si="187">(T1552-W1552)/T1552</f>
        <v>0</v>
      </c>
    </row>
    <row r="1553" spans="1:38" hidden="1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1024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8">SIGN(T1553)*((ABS(T1553)-W1553)/ABS(T1553))</f>
        <v>-0.37414634146341458</v>
      </c>
      <c r="Z1553" s="2" t="s">
        <v>3231</v>
      </c>
      <c r="AA1553" s="2" t="s">
        <v>76</v>
      </c>
      <c r="AB1553" s="2" t="s">
        <v>77</v>
      </c>
      <c r="AC1553" s="2" t="s">
        <v>78</v>
      </c>
      <c r="AF1553" s="2">
        <f t="shared" si="184"/>
        <v>0</v>
      </c>
      <c r="AJ1553" s="2">
        <f t="shared" si="185"/>
        <v>0</v>
      </c>
      <c r="AK1553" s="2">
        <f t="shared" ref="AK1553:AK1554" si="189">T1553+(W1553)</f>
        <v>-76.699999999999989</v>
      </c>
      <c r="AL1553" s="18">
        <f t="shared" ref="AL1553:AL1554" si="190">SIGN(T1553)*((ABS(T1553)-W1553)/ABS(T1553))</f>
        <v>-0.37414634146341458</v>
      </c>
    </row>
    <row r="1554" spans="1:38" hidden="1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8"/>
        <v>0</v>
      </c>
      <c r="Z1554" s="2" t="s">
        <v>3231</v>
      </c>
      <c r="AA1554" s="2" t="s">
        <v>97</v>
      </c>
      <c r="AB1554" s="2" t="s">
        <v>77</v>
      </c>
      <c r="AC1554" s="2" t="s">
        <v>94</v>
      </c>
      <c r="AF1554" s="2">
        <f t="shared" si="184"/>
        <v>0</v>
      </c>
      <c r="AJ1554" s="2">
        <f t="shared" si="185"/>
        <v>0</v>
      </c>
      <c r="AK1554" s="2">
        <f t="shared" si="189"/>
        <v>0</v>
      </c>
      <c r="AL1554" s="18">
        <f t="shared" si="190"/>
        <v>0</v>
      </c>
    </row>
    <row r="1555" spans="1:38" hidden="1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91">(T1555-W1555)/T1555</f>
        <v>0.6</v>
      </c>
      <c r="Z1555" s="2" t="s">
        <v>118</v>
      </c>
      <c r="AA1555" s="2" t="s">
        <v>191</v>
      </c>
      <c r="AB1555" s="2" t="s">
        <v>190</v>
      </c>
      <c r="AC1555" s="2" t="s">
        <v>40</v>
      </c>
      <c r="AF1555" s="2">
        <f t="shared" si="184"/>
        <v>0</v>
      </c>
      <c r="AJ1555" s="2">
        <f t="shared" si="185"/>
        <v>0</v>
      </c>
      <c r="AK1555" s="2">
        <f t="shared" si="186"/>
        <v>103.2</v>
      </c>
      <c r="AL1555" s="5">
        <f t="shared" si="187"/>
        <v>0.6</v>
      </c>
    </row>
    <row r="1556" spans="1:38" hidden="1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91"/>
        <v>0.5</v>
      </c>
      <c r="Z1556" s="2" t="s">
        <v>118</v>
      </c>
      <c r="AA1556" s="2" t="s">
        <v>191</v>
      </c>
      <c r="AB1556" s="2" t="s">
        <v>191</v>
      </c>
      <c r="AC1556" s="2" t="s">
        <v>40</v>
      </c>
      <c r="AF1556" s="2">
        <f t="shared" si="184"/>
        <v>0</v>
      </c>
      <c r="AJ1556" s="2">
        <f t="shared" si="185"/>
        <v>0</v>
      </c>
      <c r="AK1556" s="2">
        <f t="shared" si="186"/>
        <v>25</v>
      </c>
      <c r="AL1556" s="5">
        <f t="shared" si="187"/>
        <v>0.5</v>
      </c>
    </row>
    <row r="1557" spans="1:38" hidden="1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91"/>
        <v>0.6</v>
      </c>
      <c r="Z1557" s="2" t="s">
        <v>118</v>
      </c>
      <c r="AA1557" s="2" t="s">
        <v>191</v>
      </c>
      <c r="AB1557" s="2" t="s">
        <v>190</v>
      </c>
      <c r="AC1557" s="2" t="s">
        <v>40</v>
      </c>
      <c r="AF1557" s="2">
        <f t="shared" si="184"/>
        <v>0</v>
      </c>
      <c r="AJ1557" s="2">
        <f t="shared" si="185"/>
        <v>0</v>
      </c>
      <c r="AK1557" s="2">
        <f t="shared" si="186"/>
        <v>132.75</v>
      </c>
      <c r="AL1557" s="5">
        <f t="shared" si="187"/>
        <v>0.6</v>
      </c>
    </row>
    <row r="1558" spans="1:38" hidden="1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91"/>
        <v>0.5</v>
      </c>
      <c r="Z1558" s="2" t="s">
        <v>118</v>
      </c>
      <c r="AA1558" s="2" t="s">
        <v>191</v>
      </c>
      <c r="AB1558" s="2" t="s">
        <v>191</v>
      </c>
      <c r="AC1558" s="2" t="s">
        <v>40</v>
      </c>
      <c r="AF1558" s="2">
        <f t="shared" si="184"/>
        <v>0</v>
      </c>
      <c r="AJ1558" s="2">
        <f t="shared" si="185"/>
        <v>0</v>
      </c>
      <c r="AK1558" s="2">
        <f t="shared" si="186"/>
        <v>135</v>
      </c>
      <c r="AL1558" s="5">
        <f t="shared" si="187"/>
        <v>0.5</v>
      </c>
    </row>
    <row r="1559" spans="1:38" hidden="1" x14ac:dyDescent="0.2">
      <c r="A1559" s="2">
        <v>2025</v>
      </c>
      <c r="B1559" s="2">
        <v>6</v>
      </c>
      <c r="D1559" s="2" t="s">
        <v>823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826</v>
      </c>
      <c r="J1559" s="2" t="s">
        <v>827</v>
      </c>
      <c r="L1559" s="2" t="s">
        <v>419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91"/>
        <v>0.6</v>
      </c>
      <c r="Z1559" s="2" t="s">
        <v>118</v>
      </c>
      <c r="AA1559" s="2" t="s">
        <v>191</v>
      </c>
      <c r="AB1559" s="2" t="s">
        <v>190</v>
      </c>
      <c r="AC1559" s="2" t="s">
        <v>40</v>
      </c>
      <c r="AF1559" s="2">
        <f t="shared" si="184"/>
        <v>0</v>
      </c>
      <c r="AJ1559" s="2">
        <f t="shared" si="185"/>
        <v>0</v>
      </c>
      <c r="AK1559" s="2">
        <f t="shared" si="186"/>
        <v>59.4</v>
      </c>
      <c r="AL1559" s="5">
        <f t="shared" si="187"/>
        <v>0.6</v>
      </c>
    </row>
    <row r="1560" spans="1:38" hidden="1" x14ac:dyDescent="0.2">
      <c r="A1560" s="2">
        <v>2025</v>
      </c>
      <c r="B1560" s="2">
        <v>6</v>
      </c>
      <c r="D1560" s="2" t="s">
        <v>823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826</v>
      </c>
      <c r="J1560" s="2" t="s">
        <v>827</v>
      </c>
      <c r="L1560" s="2" t="s">
        <v>419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91"/>
        <v>0.5</v>
      </c>
      <c r="Z1560" s="2" t="s">
        <v>118</v>
      </c>
      <c r="AA1560" s="2" t="s">
        <v>191</v>
      </c>
      <c r="AB1560" s="2" t="s">
        <v>191</v>
      </c>
      <c r="AC1560" s="2" t="s">
        <v>40</v>
      </c>
      <c r="AF1560" s="2">
        <f t="shared" si="184"/>
        <v>0</v>
      </c>
      <c r="AJ1560" s="2">
        <f t="shared" si="185"/>
        <v>0</v>
      </c>
      <c r="AK1560" s="2">
        <f t="shared" si="186"/>
        <v>12.5</v>
      </c>
      <c r="AL1560" s="5">
        <f t="shared" si="187"/>
        <v>0.5</v>
      </c>
    </row>
    <row r="1561" spans="1:38" hidden="1" x14ac:dyDescent="0.2">
      <c r="A1561" s="2">
        <v>2025</v>
      </c>
      <c r="B1561" s="2">
        <v>6</v>
      </c>
      <c r="D1561" s="2" t="s">
        <v>1569</v>
      </c>
      <c r="P1561" s="2" t="s">
        <v>283</v>
      </c>
      <c r="Q1561" s="2" t="s">
        <v>1438</v>
      </c>
      <c r="R1561" s="2" t="s">
        <v>1439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91"/>
        <v>0.35000000000000003</v>
      </c>
      <c r="Z1561" s="2" t="s">
        <v>3231</v>
      </c>
      <c r="AA1561" s="2" t="s">
        <v>72</v>
      </c>
      <c r="AB1561" s="2" t="s">
        <v>120</v>
      </c>
      <c r="AC1561" s="2" t="s">
        <v>120</v>
      </c>
      <c r="AF1561" s="2">
        <f t="shared" si="184"/>
        <v>0</v>
      </c>
      <c r="AJ1561" s="2">
        <f t="shared" si="185"/>
        <v>0</v>
      </c>
      <c r="AK1561" s="2">
        <f t="shared" si="186"/>
        <v>11.060000000000002</v>
      </c>
      <c r="AL1561" s="5">
        <f t="shared" si="187"/>
        <v>0.35000000000000003</v>
      </c>
    </row>
    <row r="1562" spans="1:38" hidden="1" x14ac:dyDescent="0.2">
      <c r="A1562" s="2">
        <v>2025</v>
      </c>
      <c r="B1562" s="2">
        <v>6</v>
      </c>
      <c r="D1562" s="2" t="s">
        <v>1569</v>
      </c>
      <c r="P1562" s="2" t="s">
        <v>283</v>
      </c>
      <c r="Q1562" s="2" t="s">
        <v>1592</v>
      </c>
      <c r="R1562" s="2" t="s">
        <v>1593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91"/>
        <v>0.35000000000000003</v>
      </c>
      <c r="Z1562" s="2" t="s">
        <v>3231</v>
      </c>
      <c r="AA1562" s="2" t="s">
        <v>72</v>
      </c>
      <c r="AB1562" s="2" t="s">
        <v>120</v>
      </c>
      <c r="AC1562" s="2" t="s">
        <v>120</v>
      </c>
      <c r="AF1562" s="2">
        <f t="shared" si="184"/>
        <v>0</v>
      </c>
      <c r="AJ1562" s="2">
        <f t="shared" si="185"/>
        <v>0</v>
      </c>
      <c r="AK1562" s="2">
        <f t="shared" si="186"/>
        <v>16.59</v>
      </c>
      <c r="AL1562" s="5">
        <f t="shared" si="187"/>
        <v>0.35000000000000003</v>
      </c>
    </row>
    <row r="1563" spans="1:38" hidden="1" x14ac:dyDescent="0.2">
      <c r="A1563" s="2">
        <v>2025</v>
      </c>
      <c r="B1563" s="2">
        <v>6</v>
      </c>
      <c r="D1563" s="2" t="s">
        <v>834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1712</v>
      </c>
      <c r="J1563" s="2" t="s">
        <v>1713</v>
      </c>
      <c r="L1563" s="2" t="s">
        <v>340</v>
      </c>
      <c r="M1563" s="2" t="s">
        <v>40</v>
      </c>
      <c r="O1563" s="2" t="s">
        <v>1714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91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4"/>
        <v>0</v>
      </c>
      <c r="AG1563" s="2">
        <v>3.3595999999999999</v>
      </c>
      <c r="AJ1563" s="2">
        <f t="shared" si="185"/>
        <v>0</v>
      </c>
      <c r="AK1563" s="2">
        <f t="shared" si="186"/>
        <v>2.7303999999999999</v>
      </c>
      <c r="AL1563" s="5">
        <f t="shared" si="187"/>
        <v>0.44834154351395733</v>
      </c>
    </row>
    <row r="1564" spans="1:38" hidden="1" x14ac:dyDescent="0.2">
      <c r="A1564" s="2">
        <v>2025</v>
      </c>
      <c r="B1564" s="2">
        <v>6</v>
      </c>
      <c r="D1564" s="2" t="s">
        <v>834</v>
      </c>
      <c r="P1564" s="2" t="s">
        <v>115</v>
      </c>
      <c r="Q1564" s="2" t="s">
        <v>990</v>
      </c>
      <c r="R1564" s="2" t="s">
        <v>991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91"/>
        <v>1</v>
      </c>
      <c r="Z1564" s="2" t="s">
        <v>118</v>
      </c>
      <c r="AF1564" s="2">
        <f t="shared" si="184"/>
        <v>0</v>
      </c>
      <c r="AJ1564" s="2">
        <f t="shared" si="185"/>
        <v>0</v>
      </c>
      <c r="AK1564" s="2">
        <f t="shared" si="186"/>
        <v>363.6</v>
      </c>
      <c r="AL1564" s="5">
        <f t="shared" si="187"/>
        <v>1</v>
      </c>
    </row>
    <row r="1565" spans="1:38" hidden="1" x14ac:dyDescent="0.2">
      <c r="A1565" s="2">
        <v>2025</v>
      </c>
      <c r="B1565" s="2">
        <v>6</v>
      </c>
      <c r="D1565" s="2" t="s">
        <v>834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91"/>
        <v>0.59999999999999987</v>
      </c>
      <c r="Z1565" s="2" t="s">
        <v>118</v>
      </c>
      <c r="AA1565" s="2" t="s">
        <v>191</v>
      </c>
      <c r="AB1565" s="2" t="s">
        <v>190</v>
      </c>
      <c r="AC1565" s="2" t="s">
        <v>40</v>
      </c>
      <c r="AF1565" s="2">
        <f t="shared" si="184"/>
        <v>0</v>
      </c>
      <c r="AJ1565" s="2">
        <f t="shared" si="185"/>
        <v>0</v>
      </c>
      <c r="AK1565" s="2">
        <f t="shared" si="186"/>
        <v>42.599999999999994</v>
      </c>
      <c r="AL1565" s="5">
        <f t="shared" si="187"/>
        <v>0.59999999999999987</v>
      </c>
    </row>
    <row r="1566" spans="1:38" hidden="1" x14ac:dyDescent="0.2">
      <c r="A1566" s="2">
        <v>2025</v>
      </c>
      <c r="B1566" s="2">
        <v>6</v>
      </c>
      <c r="D1566" s="2" t="s">
        <v>834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91"/>
        <v>0.5</v>
      </c>
      <c r="Z1566" s="2" t="s">
        <v>118</v>
      </c>
      <c r="AA1566" s="2" t="s">
        <v>191</v>
      </c>
      <c r="AB1566" s="2" t="s">
        <v>191</v>
      </c>
      <c r="AC1566" s="2" t="s">
        <v>40</v>
      </c>
      <c r="AF1566" s="2">
        <f t="shared" si="184"/>
        <v>0</v>
      </c>
      <c r="AJ1566" s="2">
        <f t="shared" si="185"/>
        <v>0</v>
      </c>
      <c r="AK1566" s="2">
        <f t="shared" si="186"/>
        <v>25</v>
      </c>
      <c r="AL1566" s="5">
        <f t="shared" si="187"/>
        <v>0.5</v>
      </c>
    </row>
    <row r="1567" spans="1:38" hidden="1" x14ac:dyDescent="0.2">
      <c r="A1567" s="2">
        <v>2025</v>
      </c>
      <c r="B1567" s="2">
        <v>6</v>
      </c>
      <c r="C1567" s="2" t="s">
        <v>3396</v>
      </c>
      <c r="D1567" s="15" t="s">
        <v>3341</v>
      </c>
      <c r="E1567" s="2" t="s">
        <v>109</v>
      </c>
      <c r="F1567" s="2" t="s">
        <v>39</v>
      </c>
      <c r="L1567" s="2" t="s">
        <v>462</v>
      </c>
      <c r="M1567" s="2" t="s">
        <v>40</v>
      </c>
      <c r="P1567" s="2" t="s">
        <v>73</v>
      </c>
      <c r="Q1567" s="2" t="s">
        <v>1250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2">SIGN(T1567)*((ABS(T1567)-W1567)/ABS(T1567))</f>
        <v>-0.29300000000000004</v>
      </c>
      <c r="Z1567" s="2" t="s">
        <v>3231</v>
      </c>
      <c r="AA1567" s="2" t="s">
        <v>76</v>
      </c>
      <c r="AB1567" s="2" t="s">
        <v>77</v>
      </c>
      <c r="AC1567" s="2" t="s">
        <v>78</v>
      </c>
      <c r="AF1567" s="2">
        <f t="shared" si="184"/>
        <v>0</v>
      </c>
      <c r="AJ1567" s="2">
        <f t="shared" si="185"/>
        <v>0</v>
      </c>
      <c r="AK1567" s="2">
        <f t="shared" ref="AK1567:AK1568" si="193">T1567+(W1567)</f>
        <v>-64.460000000000008</v>
      </c>
      <c r="AL1567" s="18">
        <f t="shared" ref="AL1567:AL1568" si="194">SIGN(T1567)*((ABS(T1567)-W1567)/ABS(T1567))</f>
        <v>-0.29300000000000004</v>
      </c>
    </row>
    <row r="1568" spans="1:38" hidden="1" x14ac:dyDescent="0.2">
      <c r="A1568" s="2">
        <v>2025</v>
      </c>
      <c r="B1568" s="2">
        <v>6</v>
      </c>
      <c r="C1568" s="2" t="s">
        <v>3396</v>
      </c>
      <c r="D1568" s="15" t="s">
        <v>3341</v>
      </c>
      <c r="E1568" s="2" t="s">
        <v>109</v>
      </c>
      <c r="F1568" s="2" t="s">
        <v>39</v>
      </c>
      <c r="L1568" s="2" t="s">
        <v>462</v>
      </c>
      <c r="M1568" s="2" t="s">
        <v>40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2"/>
        <v>0</v>
      </c>
      <c r="Z1568" s="2" t="s">
        <v>3231</v>
      </c>
      <c r="AA1568" s="2" t="s">
        <v>97</v>
      </c>
      <c r="AB1568" s="2" t="s">
        <v>77</v>
      </c>
      <c r="AC1568" s="2" t="s">
        <v>94</v>
      </c>
      <c r="AF1568" s="2">
        <f t="shared" si="184"/>
        <v>0</v>
      </c>
      <c r="AJ1568" s="2">
        <f t="shared" si="185"/>
        <v>0</v>
      </c>
      <c r="AK1568" s="2">
        <f t="shared" si="193"/>
        <v>0</v>
      </c>
      <c r="AL1568" s="18">
        <f t="shared" si="194"/>
        <v>0</v>
      </c>
    </row>
    <row r="1569" spans="1:38" hidden="1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710</v>
      </c>
      <c r="R1569" s="2" t="s">
        <v>711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si="191"/>
        <v>0.22234718749999999</v>
      </c>
      <c r="Z1569" s="2" t="s">
        <v>105</v>
      </c>
      <c r="AA1569" s="2" t="s">
        <v>579</v>
      </c>
      <c r="AB1569" s="2" t="s">
        <v>702</v>
      </c>
      <c r="AC1569" s="2" t="s">
        <v>115</v>
      </c>
      <c r="AF1569" s="2">
        <f t="shared" si="184"/>
        <v>0</v>
      </c>
      <c r="AJ1569" s="2">
        <f t="shared" si="185"/>
        <v>0</v>
      </c>
      <c r="AK1569" s="2">
        <f t="shared" si="186"/>
        <v>355.75549999999998</v>
      </c>
      <c r="AL1569" s="5">
        <f t="shared" si="187"/>
        <v>0.22234718749999999</v>
      </c>
    </row>
    <row r="1570" spans="1:38" hidden="1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91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4"/>
        <v>0</v>
      </c>
      <c r="AJ1570" s="2">
        <f t="shared" si="185"/>
        <v>0</v>
      </c>
      <c r="AK1570" s="2">
        <f t="shared" si="186"/>
        <v>4330.6000000000004</v>
      </c>
      <c r="AL1570" s="5">
        <f t="shared" si="187"/>
        <v>0.28870666666666667</v>
      </c>
    </row>
    <row r="1571" spans="1:38" hidden="1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957</v>
      </c>
      <c r="R1571" s="2" t="s">
        <v>958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91"/>
        <v>0.35306230623062312</v>
      </c>
      <c r="Z1571" s="2" t="s">
        <v>105</v>
      </c>
      <c r="AA1571" s="2" t="s">
        <v>617</v>
      </c>
      <c r="AB1571" s="2" t="s">
        <v>959</v>
      </c>
      <c r="AC1571" s="2" t="s">
        <v>115</v>
      </c>
      <c r="AF1571" s="2">
        <f t="shared" si="184"/>
        <v>0</v>
      </c>
      <c r="AG1571" s="2">
        <v>6468.73</v>
      </c>
      <c r="AJ1571" s="2">
        <f t="shared" si="185"/>
        <v>0</v>
      </c>
      <c r="AK1571" s="2">
        <f t="shared" si="186"/>
        <v>3530.2700000000004</v>
      </c>
      <c r="AL1571" s="5">
        <f t="shared" si="187"/>
        <v>0.35306230623062312</v>
      </c>
    </row>
    <row r="1572" spans="1:38" hidden="1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839</v>
      </c>
      <c r="R1572" s="2" t="s">
        <v>840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91"/>
        <v>1</v>
      </c>
      <c r="Z1572" s="2" t="s">
        <v>105</v>
      </c>
      <c r="AF1572" s="2">
        <f t="shared" si="184"/>
        <v>0</v>
      </c>
      <c r="AJ1572" s="2">
        <f t="shared" si="185"/>
        <v>0</v>
      </c>
      <c r="AK1572" s="2">
        <f t="shared" si="186"/>
        <v>4600</v>
      </c>
      <c r="AL1572" s="5">
        <f t="shared" si="187"/>
        <v>1</v>
      </c>
    </row>
    <row r="1573" spans="1:38" hidden="1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1196</v>
      </c>
      <c r="Q1573" s="2" t="s">
        <v>1715</v>
      </c>
      <c r="R1573" s="2" t="s">
        <v>1716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91"/>
        <v>1</v>
      </c>
      <c r="Z1573" s="2" t="s">
        <v>105</v>
      </c>
      <c r="AA1573" s="2" t="s">
        <v>1201</v>
      </c>
      <c r="AB1573" s="2" t="s">
        <v>120</v>
      </c>
      <c r="AC1573" s="2" t="s">
        <v>1196</v>
      </c>
      <c r="AF1573" s="2">
        <f t="shared" si="184"/>
        <v>0</v>
      </c>
      <c r="AJ1573" s="2">
        <f t="shared" si="185"/>
        <v>0</v>
      </c>
      <c r="AK1573" s="2">
        <f t="shared" si="186"/>
        <v>2650</v>
      </c>
      <c r="AL1573" s="5">
        <f t="shared" si="187"/>
        <v>1</v>
      </c>
    </row>
    <row r="1574" spans="1:38" hidden="1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1196</v>
      </c>
      <c r="Q1574" s="2" t="s">
        <v>1199</v>
      </c>
      <c r="R1574" s="2" t="s">
        <v>1200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91"/>
        <v>1</v>
      </c>
      <c r="Z1574" s="2" t="s">
        <v>105</v>
      </c>
      <c r="AA1574" s="2" t="s">
        <v>1201</v>
      </c>
      <c r="AB1574" s="2" t="s">
        <v>120</v>
      </c>
      <c r="AC1574" s="2" t="s">
        <v>1196</v>
      </c>
      <c r="AF1574" s="2">
        <f t="shared" si="184"/>
        <v>0</v>
      </c>
      <c r="AJ1574" s="2">
        <f t="shared" si="185"/>
        <v>0</v>
      </c>
      <c r="AK1574" s="2">
        <f t="shared" si="186"/>
        <v>1000</v>
      </c>
      <c r="AL1574" s="5">
        <f t="shared" si="187"/>
        <v>1</v>
      </c>
    </row>
    <row r="1575" spans="1:38" hidden="1" x14ac:dyDescent="0.2">
      <c r="A1575" s="2">
        <v>2025</v>
      </c>
      <c r="B1575" s="2">
        <v>6</v>
      </c>
      <c r="D1575" s="2" t="s">
        <v>841</v>
      </c>
      <c r="E1575" s="2" t="s">
        <v>109</v>
      </c>
      <c r="F1575" s="2" t="s">
        <v>842</v>
      </c>
      <c r="G1575" s="2">
        <v>504981285</v>
      </c>
      <c r="H1575" s="2" t="s">
        <v>291</v>
      </c>
      <c r="I1575" s="2" t="s">
        <v>843</v>
      </c>
      <c r="J1575" s="2" t="s">
        <v>844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91"/>
        <v>0.6</v>
      </c>
      <c r="Z1575" s="2" t="s">
        <v>118</v>
      </c>
      <c r="AA1575" s="2" t="s">
        <v>191</v>
      </c>
      <c r="AB1575" s="2" t="s">
        <v>190</v>
      </c>
      <c r="AC1575" s="2" t="s">
        <v>40</v>
      </c>
      <c r="AF1575" s="2">
        <f t="shared" si="184"/>
        <v>0</v>
      </c>
      <c r="AJ1575" s="2">
        <f t="shared" si="185"/>
        <v>0</v>
      </c>
      <c r="AK1575" s="2">
        <f t="shared" si="186"/>
        <v>60</v>
      </c>
      <c r="AL1575" s="5">
        <f t="shared" si="187"/>
        <v>0.6</v>
      </c>
    </row>
    <row r="1576" spans="1:38" hidden="1" x14ac:dyDescent="0.2">
      <c r="A1576" s="2">
        <v>2025</v>
      </c>
      <c r="B1576" s="2">
        <v>6</v>
      </c>
      <c r="D1576" s="2" t="s">
        <v>841</v>
      </c>
      <c r="E1576" s="2" t="s">
        <v>109</v>
      </c>
      <c r="F1576" s="2" t="s">
        <v>842</v>
      </c>
      <c r="G1576" s="2">
        <v>504981285</v>
      </c>
      <c r="H1576" s="2" t="s">
        <v>291</v>
      </c>
      <c r="I1576" s="2" t="s">
        <v>843</v>
      </c>
      <c r="J1576" s="2" t="s">
        <v>844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91"/>
        <v>0.5</v>
      </c>
      <c r="Z1576" s="2" t="s">
        <v>118</v>
      </c>
      <c r="AA1576" s="2" t="s">
        <v>191</v>
      </c>
      <c r="AB1576" s="2" t="s">
        <v>191</v>
      </c>
      <c r="AC1576" s="2" t="s">
        <v>40</v>
      </c>
      <c r="AF1576" s="2">
        <f t="shared" si="184"/>
        <v>0</v>
      </c>
      <c r="AJ1576" s="2">
        <f t="shared" si="185"/>
        <v>0</v>
      </c>
      <c r="AK1576" s="2">
        <f t="shared" si="186"/>
        <v>100</v>
      </c>
      <c r="AL1576" s="5">
        <f t="shared" si="187"/>
        <v>0.5</v>
      </c>
    </row>
    <row r="1577" spans="1:38" hidden="1" x14ac:dyDescent="0.2">
      <c r="A1577" s="2">
        <v>2025</v>
      </c>
      <c r="B1577" s="2">
        <v>6</v>
      </c>
      <c r="D1577" s="2" t="s">
        <v>845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846</v>
      </c>
      <c r="L1577" s="2" t="s">
        <v>419</v>
      </c>
      <c r="M1577" s="2" t="s">
        <v>41</v>
      </c>
      <c r="O1577" s="2" t="s">
        <v>1717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91"/>
        <v>0.41111111111111115</v>
      </c>
      <c r="Z1577" s="2" t="s">
        <v>3231</v>
      </c>
      <c r="AA1577" s="2" t="s">
        <v>46</v>
      </c>
      <c r="AB1577" s="2" t="s">
        <v>57</v>
      </c>
      <c r="AC1577" s="2" t="s">
        <v>58</v>
      </c>
      <c r="AF1577" s="2">
        <f t="shared" si="184"/>
        <v>0</v>
      </c>
      <c r="AG1577" s="2">
        <v>10.6</v>
      </c>
      <c r="AH1577" s="2">
        <v>18</v>
      </c>
      <c r="AJ1577" s="2">
        <f t="shared" si="185"/>
        <v>0</v>
      </c>
      <c r="AK1577" s="2">
        <f t="shared" si="186"/>
        <v>14.8</v>
      </c>
      <c r="AL1577" s="5">
        <f t="shared" si="187"/>
        <v>0.41111111111111115</v>
      </c>
    </row>
    <row r="1578" spans="1:38" hidden="1" x14ac:dyDescent="0.2">
      <c r="A1578" s="2">
        <v>2025</v>
      </c>
      <c r="B1578" s="2">
        <v>6</v>
      </c>
      <c r="D1578" s="2" t="s">
        <v>1718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91"/>
        <v>0.6</v>
      </c>
      <c r="Z1578" s="2" t="s">
        <v>118</v>
      </c>
      <c r="AA1578" s="2" t="s">
        <v>191</v>
      </c>
      <c r="AB1578" s="2" t="s">
        <v>190</v>
      </c>
      <c r="AC1578" s="2" t="s">
        <v>40</v>
      </c>
      <c r="AF1578" s="2">
        <f t="shared" si="184"/>
        <v>0</v>
      </c>
      <c r="AJ1578" s="2">
        <f t="shared" si="185"/>
        <v>0</v>
      </c>
      <c r="AK1578" s="2">
        <f t="shared" si="186"/>
        <v>59.4</v>
      </c>
      <c r="AL1578" s="5">
        <f t="shared" si="187"/>
        <v>0.6</v>
      </c>
    </row>
    <row r="1579" spans="1:38" hidden="1" x14ac:dyDescent="0.2">
      <c r="A1579" s="2">
        <v>2025</v>
      </c>
      <c r="B1579" s="2">
        <v>6</v>
      </c>
      <c r="D1579" s="2" t="s">
        <v>1718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91"/>
        <v>0.5</v>
      </c>
      <c r="Z1579" s="2" t="s">
        <v>118</v>
      </c>
      <c r="AA1579" s="2" t="s">
        <v>191</v>
      </c>
      <c r="AB1579" s="2" t="s">
        <v>191</v>
      </c>
      <c r="AC1579" s="2" t="s">
        <v>40</v>
      </c>
      <c r="AF1579" s="2">
        <f t="shared" si="184"/>
        <v>0</v>
      </c>
      <c r="AJ1579" s="2">
        <f t="shared" si="185"/>
        <v>0</v>
      </c>
      <c r="AK1579" s="2">
        <f t="shared" si="186"/>
        <v>25</v>
      </c>
      <c r="AL1579" s="5">
        <f t="shared" si="187"/>
        <v>0.5</v>
      </c>
    </row>
    <row r="1580" spans="1:38" hidden="1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1438</v>
      </c>
      <c r="R1580" s="2" t="s">
        <v>1439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91"/>
        <v>0.35000000000000003</v>
      </c>
      <c r="Z1580" s="2" t="s">
        <v>3231</v>
      </c>
      <c r="AA1580" s="2" t="s">
        <v>72</v>
      </c>
      <c r="AB1580" s="2" t="s">
        <v>120</v>
      </c>
      <c r="AC1580" s="2" t="s">
        <v>120</v>
      </c>
      <c r="AF1580" s="2">
        <f t="shared" si="184"/>
        <v>0</v>
      </c>
      <c r="AJ1580" s="2">
        <f t="shared" si="185"/>
        <v>0</v>
      </c>
      <c r="AK1580" s="2">
        <f t="shared" si="186"/>
        <v>2.7650000000000006</v>
      </c>
      <c r="AL1580" s="5">
        <f t="shared" si="187"/>
        <v>0.35000000000000003</v>
      </c>
    </row>
    <row r="1581" spans="1:38" hidden="1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91"/>
        <v>1</v>
      </c>
      <c r="Z1581" s="2" t="s">
        <v>120</v>
      </c>
      <c r="AA1581" s="2" t="s">
        <v>493</v>
      </c>
      <c r="AF1581" s="2">
        <f t="shared" si="184"/>
        <v>0</v>
      </c>
      <c r="AJ1581" s="2">
        <f t="shared" si="185"/>
        <v>0</v>
      </c>
      <c r="AK1581" s="2">
        <f t="shared" si="186"/>
        <v>664.04</v>
      </c>
      <c r="AL1581" s="5">
        <f t="shared" si="187"/>
        <v>1</v>
      </c>
    </row>
    <row r="1582" spans="1:38" hidden="1" x14ac:dyDescent="0.2">
      <c r="A1582" s="2">
        <v>2025</v>
      </c>
      <c r="B1582" s="2">
        <v>6</v>
      </c>
      <c r="D1582" s="2" t="s">
        <v>1719</v>
      </c>
      <c r="P1582" s="2" t="s">
        <v>115</v>
      </c>
      <c r="Q1582" s="2" t="s">
        <v>1252</v>
      </c>
      <c r="R1582" s="2" t="s">
        <v>1253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91"/>
        <v>1</v>
      </c>
      <c r="Z1582" s="2" t="s">
        <v>118</v>
      </c>
      <c r="AF1582" s="2">
        <f t="shared" si="184"/>
        <v>0</v>
      </c>
      <c r="AJ1582" s="2">
        <f t="shared" si="185"/>
        <v>0</v>
      </c>
      <c r="AK1582" s="2">
        <f t="shared" si="186"/>
        <v>351.26</v>
      </c>
      <c r="AL1582" s="5">
        <f t="shared" si="187"/>
        <v>1</v>
      </c>
    </row>
    <row r="1583" spans="1:38" hidden="1" x14ac:dyDescent="0.2">
      <c r="A1583" s="2">
        <v>2025</v>
      </c>
      <c r="B1583" s="2">
        <v>6</v>
      </c>
      <c r="D1583" s="2" t="s">
        <v>852</v>
      </c>
      <c r="M1583" s="2" t="s">
        <v>40</v>
      </c>
      <c r="P1583" s="2" t="s">
        <v>115</v>
      </c>
      <c r="Q1583" s="2" t="s">
        <v>906</v>
      </c>
      <c r="R1583" s="2" t="s">
        <v>907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91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4"/>
        <v>0</v>
      </c>
      <c r="AJ1583" s="2">
        <f t="shared" si="185"/>
        <v>0</v>
      </c>
      <c r="AK1583" s="2">
        <f t="shared" si="186"/>
        <v>354.09659999999997</v>
      </c>
      <c r="AL1583" s="5">
        <f t="shared" si="187"/>
        <v>0.50635864435864431</v>
      </c>
    </row>
    <row r="1584" spans="1:38" hidden="1" x14ac:dyDescent="0.2">
      <c r="A1584" s="2">
        <v>2025</v>
      </c>
      <c r="B1584" s="2">
        <v>6</v>
      </c>
      <c r="D1584" s="2" t="s">
        <v>852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91"/>
        <v>0.6</v>
      </c>
      <c r="Z1584" s="2" t="s">
        <v>118</v>
      </c>
      <c r="AA1584" s="2" t="s">
        <v>191</v>
      </c>
      <c r="AB1584" s="2" t="s">
        <v>190</v>
      </c>
      <c r="AC1584" s="2" t="s">
        <v>40</v>
      </c>
      <c r="AF1584" s="2">
        <f t="shared" si="184"/>
        <v>0</v>
      </c>
      <c r="AJ1584" s="2">
        <f t="shared" si="185"/>
        <v>0</v>
      </c>
      <c r="AK1584" s="2">
        <f t="shared" si="186"/>
        <v>30</v>
      </c>
      <c r="AL1584" s="5">
        <f t="shared" si="187"/>
        <v>0.6</v>
      </c>
    </row>
    <row r="1585" spans="1:38" hidden="1" x14ac:dyDescent="0.2">
      <c r="A1585" s="2">
        <v>2025</v>
      </c>
      <c r="B1585" s="2">
        <v>6</v>
      </c>
      <c r="D1585" s="2" t="s">
        <v>852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91"/>
        <v>0.5</v>
      </c>
      <c r="Z1585" s="2" t="s">
        <v>118</v>
      </c>
      <c r="AA1585" s="2" t="s">
        <v>191</v>
      </c>
      <c r="AB1585" s="2" t="s">
        <v>191</v>
      </c>
      <c r="AC1585" s="2" t="s">
        <v>40</v>
      </c>
      <c r="AF1585" s="2">
        <f t="shared" si="184"/>
        <v>0</v>
      </c>
      <c r="AJ1585" s="2">
        <f t="shared" si="185"/>
        <v>0</v>
      </c>
      <c r="AK1585" s="2">
        <f t="shared" si="186"/>
        <v>25</v>
      </c>
      <c r="AL1585" s="5">
        <f t="shared" si="187"/>
        <v>0.5</v>
      </c>
    </row>
    <row r="1586" spans="1:38" hidden="1" x14ac:dyDescent="0.2">
      <c r="A1586" s="2">
        <v>2025</v>
      </c>
      <c r="B1586" s="2">
        <v>6</v>
      </c>
      <c r="D1586" s="2" t="s">
        <v>855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856</v>
      </c>
      <c r="J1586" s="2" t="s">
        <v>857</v>
      </c>
      <c r="K1586" s="2">
        <v>917665950</v>
      </c>
      <c r="L1586" s="2" t="s">
        <v>100</v>
      </c>
      <c r="M1586" s="2" t="s">
        <v>40</v>
      </c>
      <c r="O1586" s="2" t="s">
        <v>1720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91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4"/>
        <v>0</v>
      </c>
      <c r="AJ1586" s="2">
        <f t="shared" si="185"/>
        <v>0</v>
      </c>
      <c r="AK1586" s="2">
        <f t="shared" si="186"/>
        <v>22.027999999999999</v>
      </c>
      <c r="AL1586" s="5">
        <f t="shared" si="187"/>
        <v>0.48875083203905034</v>
      </c>
    </row>
    <row r="1587" spans="1:38" hidden="1" x14ac:dyDescent="0.2">
      <c r="A1587" s="2">
        <v>2025</v>
      </c>
      <c r="B1587" s="2">
        <v>6</v>
      </c>
      <c r="D1587" s="2" t="s">
        <v>855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856</v>
      </c>
      <c r="J1587" s="2" t="s">
        <v>857</v>
      </c>
      <c r="K1587" s="2">
        <v>917665950</v>
      </c>
      <c r="L1587" s="2" t="s">
        <v>100</v>
      </c>
      <c r="M1587" s="2" t="s">
        <v>41</v>
      </c>
      <c r="O1587" s="2" t="s">
        <v>1721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91"/>
        <v>0.44777500000000003</v>
      </c>
      <c r="Z1587" s="2" t="s">
        <v>3231</v>
      </c>
      <c r="AA1587" s="2" t="s">
        <v>46</v>
      </c>
      <c r="AB1587" s="2" t="s">
        <v>47</v>
      </c>
      <c r="AC1587" s="2" t="s">
        <v>48</v>
      </c>
      <c r="AF1587" s="2">
        <f t="shared" si="184"/>
        <v>0</v>
      </c>
      <c r="AG1587" s="2">
        <v>6.6266999999999996</v>
      </c>
      <c r="AH1587" s="2">
        <v>12</v>
      </c>
      <c r="AJ1587" s="2">
        <f t="shared" si="185"/>
        <v>0</v>
      </c>
      <c r="AK1587" s="2">
        <f t="shared" si="186"/>
        <v>10.746600000000001</v>
      </c>
      <c r="AL1587" s="5">
        <f t="shared" si="187"/>
        <v>0.44777500000000003</v>
      </c>
    </row>
    <row r="1588" spans="1:38" hidden="1" x14ac:dyDescent="0.2">
      <c r="A1588" s="2">
        <v>2025</v>
      </c>
      <c r="B1588" s="2">
        <v>6</v>
      </c>
      <c r="D1588" s="2" t="s">
        <v>855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856</v>
      </c>
      <c r="J1588" s="2" t="s">
        <v>857</v>
      </c>
      <c r="K1588" s="2">
        <v>917665950</v>
      </c>
      <c r="L1588" s="2" t="s">
        <v>100</v>
      </c>
      <c r="M1588" s="2" t="s">
        <v>41</v>
      </c>
      <c r="O1588" s="2" t="s">
        <v>1721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91"/>
        <v>0.41111111111111115</v>
      </c>
      <c r="Z1588" s="2" t="s">
        <v>3231</v>
      </c>
      <c r="AA1588" s="2" t="s">
        <v>46</v>
      </c>
      <c r="AB1588" s="2" t="s">
        <v>57</v>
      </c>
      <c r="AC1588" s="2" t="s">
        <v>58</v>
      </c>
      <c r="AF1588" s="2">
        <f t="shared" si="184"/>
        <v>0</v>
      </c>
      <c r="AG1588" s="2">
        <v>10.6</v>
      </c>
      <c r="AH1588" s="2">
        <v>18</v>
      </c>
      <c r="AJ1588" s="2">
        <f t="shared" si="185"/>
        <v>0</v>
      </c>
      <c r="AK1588" s="2">
        <f t="shared" si="186"/>
        <v>14.8</v>
      </c>
      <c r="AL1588" s="5">
        <f t="shared" si="187"/>
        <v>0.41111111111111115</v>
      </c>
    </row>
    <row r="1589" spans="1:38" hidden="1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3138</v>
      </c>
      <c r="L1589" s="2" t="s">
        <v>178</v>
      </c>
      <c r="M1589" s="2" t="s">
        <v>41</v>
      </c>
      <c r="O1589" s="2" t="s">
        <v>3141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91"/>
        <v>0.24285714285714285</v>
      </c>
      <c r="Z1589" s="2" t="s">
        <v>3231</v>
      </c>
      <c r="AA1589" s="2" t="s">
        <v>46</v>
      </c>
      <c r="AB1589" s="2" t="s">
        <v>57</v>
      </c>
      <c r="AC1589" s="2" t="s">
        <v>58</v>
      </c>
      <c r="AF1589" s="2">
        <f t="shared" si="184"/>
        <v>0</v>
      </c>
      <c r="AG1589" s="2">
        <v>10.6</v>
      </c>
      <c r="AH1589" s="2">
        <v>18</v>
      </c>
      <c r="AJ1589" s="2">
        <f t="shared" si="185"/>
        <v>0</v>
      </c>
      <c r="AK1589" s="2">
        <f t="shared" si="186"/>
        <v>34</v>
      </c>
      <c r="AL1589" s="5">
        <f t="shared" si="187"/>
        <v>0.24285714285714285</v>
      </c>
    </row>
    <row r="1590" spans="1:38" hidden="1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710</v>
      </c>
      <c r="R1590" s="2" t="s">
        <v>711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105</v>
      </c>
      <c r="AA1590" s="2" t="s">
        <v>579</v>
      </c>
      <c r="AB1590" s="2" t="s">
        <v>702</v>
      </c>
      <c r="AC1590" s="2" t="s">
        <v>115</v>
      </c>
      <c r="AF1590" s="2">
        <f t="shared" si="184"/>
        <v>0</v>
      </c>
      <c r="AJ1590" s="2">
        <f t="shared" si="185"/>
        <v>0</v>
      </c>
      <c r="AK1590" s="2">
        <f t="shared" si="186"/>
        <v>-1244.2445</v>
      </c>
      <c r="AL1590" s="18">
        <v>-1</v>
      </c>
    </row>
    <row r="1591" spans="1:38" hidden="1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5">(T1591-W1591)/T1591</f>
        <v>1</v>
      </c>
      <c r="Z1591" s="2" t="s">
        <v>105</v>
      </c>
      <c r="AF1591" s="2">
        <f t="shared" si="184"/>
        <v>0</v>
      </c>
      <c r="AJ1591" s="2">
        <f t="shared" si="185"/>
        <v>0</v>
      </c>
      <c r="AK1591" s="2">
        <f t="shared" si="186"/>
        <v>5500</v>
      </c>
      <c r="AL1591" s="5">
        <f t="shared" si="187"/>
        <v>1</v>
      </c>
    </row>
    <row r="1592" spans="1:38" hidden="1" x14ac:dyDescent="0.2">
      <c r="A1592" s="2">
        <v>2025</v>
      </c>
      <c r="B1592" s="2">
        <v>6</v>
      </c>
      <c r="D1592" s="2" t="s">
        <v>1594</v>
      </c>
      <c r="P1592" s="2" t="s">
        <v>115</v>
      </c>
      <c r="Q1592" s="2" t="s">
        <v>1564</v>
      </c>
      <c r="R1592" s="2" t="s">
        <v>1565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5"/>
        <v>1</v>
      </c>
      <c r="Z1592" s="2" t="s">
        <v>118</v>
      </c>
      <c r="AF1592" s="2">
        <f t="shared" si="184"/>
        <v>0</v>
      </c>
      <c r="AJ1592" s="2">
        <f t="shared" si="185"/>
        <v>0</v>
      </c>
      <c r="AK1592" s="2">
        <f t="shared" si="186"/>
        <v>57.86</v>
      </c>
      <c r="AL1592" s="5">
        <f t="shared" si="187"/>
        <v>1</v>
      </c>
    </row>
    <row r="1593" spans="1:38" hidden="1" x14ac:dyDescent="0.2">
      <c r="A1593" s="2">
        <v>2025</v>
      </c>
      <c r="B1593" s="2">
        <v>6</v>
      </c>
      <c r="D1593" s="2" t="s">
        <v>1594</v>
      </c>
      <c r="P1593" s="2" t="s">
        <v>115</v>
      </c>
      <c r="Q1593" s="2" t="s">
        <v>1595</v>
      </c>
      <c r="R1593" s="2" t="s">
        <v>1596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5"/>
        <v>1</v>
      </c>
      <c r="Z1593" s="2" t="s">
        <v>118</v>
      </c>
      <c r="AF1593" s="2">
        <f t="shared" si="184"/>
        <v>0</v>
      </c>
      <c r="AJ1593" s="2">
        <f t="shared" si="185"/>
        <v>0</v>
      </c>
      <c r="AK1593" s="2">
        <f t="shared" si="186"/>
        <v>65.239999999999995</v>
      </c>
      <c r="AL1593" s="5">
        <f t="shared" si="187"/>
        <v>1</v>
      </c>
    </row>
    <row r="1594" spans="1:38" hidden="1" x14ac:dyDescent="0.2">
      <c r="A1594" s="2">
        <v>2025</v>
      </c>
      <c r="B1594" s="2">
        <v>6</v>
      </c>
      <c r="D1594" s="2" t="s">
        <v>1594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5"/>
        <v>1</v>
      </c>
      <c r="Z1594" s="2" t="s">
        <v>170</v>
      </c>
      <c r="AA1594" s="2" t="s">
        <v>170</v>
      </c>
      <c r="AF1594" s="2">
        <f t="shared" si="184"/>
        <v>0</v>
      </c>
      <c r="AJ1594" s="2">
        <f t="shared" si="185"/>
        <v>0</v>
      </c>
      <c r="AK1594" s="2">
        <f t="shared" si="186"/>
        <v>8</v>
      </c>
      <c r="AL1594" s="5">
        <f t="shared" si="187"/>
        <v>1</v>
      </c>
    </row>
    <row r="1595" spans="1:38" hidden="1" x14ac:dyDescent="0.2">
      <c r="A1595" s="2">
        <v>2025</v>
      </c>
      <c r="B1595" s="2">
        <v>6</v>
      </c>
      <c r="C1595" s="2" t="s">
        <v>3396</v>
      </c>
      <c r="D1595" s="2" t="s">
        <v>1722</v>
      </c>
      <c r="E1595" s="2" t="s">
        <v>753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1438</v>
      </c>
      <c r="R1595" s="2" t="s">
        <v>1439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5"/>
        <v>0.35000000000000009</v>
      </c>
      <c r="Z1595" s="2" t="s">
        <v>3231</v>
      </c>
      <c r="AA1595" s="2" t="s">
        <v>72</v>
      </c>
      <c r="AB1595" s="2" t="s">
        <v>120</v>
      </c>
      <c r="AC1595" s="2" t="s">
        <v>120</v>
      </c>
      <c r="AF1595" s="2">
        <f t="shared" si="184"/>
        <v>0</v>
      </c>
      <c r="AJ1595" s="2">
        <f t="shared" si="185"/>
        <v>0</v>
      </c>
      <c r="AK1595" s="2">
        <f t="shared" si="186"/>
        <v>27.650000000000006</v>
      </c>
      <c r="AL1595" s="5">
        <f t="shared" si="187"/>
        <v>0.35000000000000009</v>
      </c>
    </row>
    <row r="1596" spans="1:38" hidden="1" x14ac:dyDescent="0.2">
      <c r="A1596" s="2">
        <v>2025</v>
      </c>
      <c r="B1596" s="2">
        <v>6</v>
      </c>
      <c r="C1596" s="2" t="s">
        <v>3398</v>
      </c>
      <c r="D1596" s="2" t="s">
        <v>1722</v>
      </c>
      <c r="E1596" s="2" t="s">
        <v>753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1446</v>
      </c>
      <c r="R1596" s="2" t="s">
        <v>1447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5"/>
        <v>1</v>
      </c>
      <c r="Z1596" s="2" t="s">
        <v>3231</v>
      </c>
      <c r="AA1596" s="2" t="s">
        <v>72</v>
      </c>
      <c r="AB1596" s="2" t="s">
        <v>120</v>
      </c>
      <c r="AC1596" s="2" t="s">
        <v>120</v>
      </c>
      <c r="AF1596" s="2">
        <f t="shared" si="184"/>
        <v>0</v>
      </c>
      <c r="AJ1596" s="2">
        <f t="shared" si="185"/>
        <v>0</v>
      </c>
      <c r="AK1596" s="2">
        <f t="shared" si="186"/>
        <v>119.9</v>
      </c>
      <c r="AL1596" s="5">
        <f t="shared" si="187"/>
        <v>1</v>
      </c>
    </row>
    <row r="1597" spans="1:38" hidden="1" x14ac:dyDescent="0.2">
      <c r="A1597" s="2">
        <v>2025</v>
      </c>
      <c r="B1597" s="2">
        <v>6</v>
      </c>
      <c r="D1597" s="2" t="s">
        <v>1723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3238</v>
      </c>
      <c r="J1597" s="2" t="s">
        <v>3239</v>
      </c>
      <c r="L1597" s="2" t="s">
        <v>572</v>
      </c>
      <c r="M1597" s="2" t="s">
        <v>81</v>
      </c>
      <c r="O1597" s="2" t="s">
        <v>3240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5"/>
        <v>0.46612272727272724</v>
      </c>
      <c r="Z1597" s="2" t="s">
        <v>3231</v>
      </c>
      <c r="AA1597" s="2" t="s">
        <v>76</v>
      </c>
      <c r="AB1597" s="2" t="s">
        <v>77</v>
      </c>
      <c r="AC1597" s="2" t="s">
        <v>78</v>
      </c>
      <c r="AF1597" s="2">
        <f t="shared" si="184"/>
        <v>0</v>
      </c>
      <c r="AG1597" s="2">
        <v>117.453</v>
      </c>
      <c r="AH1597" s="2">
        <v>220</v>
      </c>
      <c r="AJ1597" s="2">
        <f t="shared" si="185"/>
        <v>0</v>
      </c>
      <c r="AK1597" s="2">
        <f t="shared" si="186"/>
        <v>102.547</v>
      </c>
      <c r="AL1597" s="5">
        <f t="shared" si="187"/>
        <v>0.46612272727272724</v>
      </c>
    </row>
    <row r="1598" spans="1:38" hidden="1" x14ac:dyDescent="0.2">
      <c r="A1598" s="2">
        <v>2025</v>
      </c>
      <c r="B1598" s="2">
        <v>6</v>
      </c>
      <c r="D1598" s="2" t="s">
        <v>1723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3238</v>
      </c>
      <c r="J1598" s="2" t="s">
        <v>3239</v>
      </c>
      <c r="L1598" s="2" t="s">
        <v>572</v>
      </c>
      <c r="M1598" s="2" t="s">
        <v>81</v>
      </c>
      <c r="O1598" s="2" t="s">
        <v>3240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5"/>
        <v>0</v>
      </c>
      <c r="Z1598" s="2" t="s">
        <v>3231</v>
      </c>
      <c r="AA1598" s="2" t="s">
        <v>97</v>
      </c>
      <c r="AB1598" s="2" t="s">
        <v>77</v>
      </c>
      <c r="AC1598" s="2" t="s">
        <v>94</v>
      </c>
      <c r="AF1598" s="2">
        <f t="shared" si="184"/>
        <v>0</v>
      </c>
      <c r="AG1598" s="2">
        <v>1.1399999999999999</v>
      </c>
      <c r="AH1598" s="2">
        <v>1.1399999999999999</v>
      </c>
      <c r="AJ1598" s="2">
        <f t="shared" si="185"/>
        <v>0</v>
      </c>
      <c r="AK1598" s="2">
        <f t="shared" si="186"/>
        <v>0</v>
      </c>
      <c r="AL1598" s="5">
        <f t="shared" si="187"/>
        <v>0</v>
      </c>
    </row>
    <row r="1599" spans="1:38" hidden="1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1514</v>
      </c>
      <c r="R1599" s="2" t="s">
        <v>1515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5"/>
        <v>0.44999999999999996</v>
      </c>
      <c r="Z1599" s="2" t="s">
        <v>3231</v>
      </c>
      <c r="AA1599" s="2" t="s">
        <v>72</v>
      </c>
      <c r="AB1599" s="2" t="s">
        <v>1604</v>
      </c>
      <c r="AC1599" s="2" t="s">
        <v>1604</v>
      </c>
      <c r="AF1599" s="2">
        <f t="shared" si="184"/>
        <v>0</v>
      </c>
      <c r="AJ1599" s="2">
        <f t="shared" si="185"/>
        <v>0</v>
      </c>
      <c r="AK1599" s="2">
        <f t="shared" si="186"/>
        <v>44.91</v>
      </c>
      <c r="AL1599" s="5">
        <f t="shared" si="187"/>
        <v>0.44999999999999996</v>
      </c>
    </row>
    <row r="1600" spans="1:38" hidden="1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5"/>
        <v>0.54371272727272724</v>
      </c>
      <c r="Z1600" s="2" t="s">
        <v>3231</v>
      </c>
      <c r="AA1600" s="2" t="s">
        <v>46</v>
      </c>
      <c r="AB1600" s="2" t="s">
        <v>91</v>
      </c>
      <c r="AC1600" s="2" t="s">
        <v>58</v>
      </c>
      <c r="AF1600" s="2">
        <f t="shared" si="184"/>
        <v>0</v>
      </c>
      <c r="AJ1600" s="2">
        <f t="shared" si="185"/>
        <v>0</v>
      </c>
      <c r="AK1600" s="2">
        <f t="shared" si="186"/>
        <v>59.808399999999999</v>
      </c>
      <c r="AL1600" s="5">
        <f t="shared" si="187"/>
        <v>0.54371272727272724</v>
      </c>
    </row>
    <row r="1601" spans="1:38" hidden="1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5"/>
        <v>0.44069999999999998</v>
      </c>
      <c r="Z1601" s="2" t="s">
        <v>3231</v>
      </c>
      <c r="AA1601" s="2" t="s">
        <v>76</v>
      </c>
      <c r="AB1601" s="2" t="s">
        <v>77</v>
      </c>
      <c r="AC1601" s="2" t="s">
        <v>78</v>
      </c>
      <c r="AF1601" s="2">
        <f t="shared" si="184"/>
        <v>0</v>
      </c>
      <c r="AG1601" s="2">
        <v>117.453</v>
      </c>
      <c r="AH1601" s="2">
        <v>220</v>
      </c>
      <c r="AJ1601" s="2">
        <f t="shared" si="185"/>
        <v>0</v>
      </c>
      <c r="AK1601" s="2">
        <f t="shared" si="186"/>
        <v>92.546999999999997</v>
      </c>
      <c r="AL1601" s="5">
        <f t="shared" si="187"/>
        <v>0.44069999999999998</v>
      </c>
    </row>
    <row r="1602" spans="1:38" hidden="1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1037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5"/>
        <v>0.46033333333333332</v>
      </c>
      <c r="Z1602" s="2" t="s">
        <v>3231</v>
      </c>
      <c r="AA1602" s="2" t="s">
        <v>76</v>
      </c>
      <c r="AB1602" s="2" t="s">
        <v>77</v>
      </c>
      <c r="AC1602" s="2" t="s">
        <v>78</v>
      </c>
      <c r="AF1602" s="2">
        <f t="shared" si="184"/>
        <v>0</v>
      </c>
      <c r="AG1602" s="2">
        <v>113.33</v>
      </c>
      <c r="AH1602" s="2">
        <v>220</v>
      </c>
      <c r="AJ1602" s="2">
        <f t="shared" si="185"/>
        <v>0</v>
      </c>
      <c r="AK1602" s="2">
        <f t="shared" si="186"/>
        <v>96.67</v>
      </c>
      <c r="AL1602" s="5">
        <f t="shared" si="187"/>
        <v>0.46033333333333332</v>
      </c>
    </row>
    <row r="1603" spans="1:38" hidden="1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6">AJ1603</f>
        <v>0</v>
      </c>
      <c r="AJ1603" s="2">
        <f t="shared" ref="AJ1603:AJ1666" si="197">AI1603*T1603</f>
        <v>0</v>
      </c>
    </row>
    <row r="1604" spans="1:38" hidden="1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5"/>
        <v>0</v>
      </c>
      <c r="Z1604" s="2" t="s">
        <v>3231</v>
      </c>
      <c r="AA1604" s="2" t="s">
        <v>97</v>
      </c>
      <c r="AB1604" s="2" t="s">
        <v>77</v>
      </c>
      <c r="AC1604" s="2" t="s">
        <v>94</v>
      </c>
      <c r="AF1604" s="2">
        <f t="shared" si="196"/>
        <v>0</v>
      </c>
      <c r="AJ1604" s="2">
        <f t="shared" si="197"/>
        <v>0</v>
      </c>
      <c r="AK1604" s="2">
        <f t="shared" ref="AK1604:AK1666" si="198">T1604-W1604</f>
        <v>0</v>
      </c>
      <c r="AL1604" s="5">
        <f t="shared" si="187"/>
        <v>0</v>
      </c>
    </row>
    <row r="1605" spans="1:38" hidden="1" x14ac:dyDescent="0.2">
      <c r="A1605" s="2">
        <v>2025</v>
      </c>
      <c r="B1605" s="2">
        <v>6</v>
      </c>
      <c r="D1605" s="2" t="s">
        <v>1724</v>
      </c>
      <c r="P1605" s="2" t="s">
        <v>188</v>
      </c>
      <c r="Q1605" s="2" t="s">
        <v>1725</v>
      </c>
      <c r="R1605" s="2" t="s">
        <v>1726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5"/>
        <v>1</v>
      </c>
      <c r="Z1605" s="2" t="s">
        <v>118</v>
      </c>
      <c r="AA1605" s="2" t="s">
        <v>119</v>
      </c>
      <c r="AB1605" s="2" t="s">
        <v>120</v>
      </c>
      <c r="AC1605" s="2" t="s">
        <v>1612</v>
      </c>
      <c r="AF1605" s="2">
        <f t="shared" si="196"/>
        <v>0</v>
      </c>
      <c r="AJ1605" s="2">
        <f t="shared" si="197"/>
        <v>0</v>
      </c>
      <c r="AK1605" s="2">
        <f t="shared" si="198"/>
        <v>302.68</v>
      </c>
      <c r="AL1605" s="5">
        <f t="shared" si="187"/>
        <v>1</v>
      </c>
    </row>
    <row r="1606" spans="1:38" hidden="1" x14ac:dyDescent="0.2">
      <c r="A1606" s="2">
        <v>2025</v>
      </c>
      <c r="B1606" s="2">
        <v>6</v>
      </c>
      <c r="D1606" s="2" t="s">
        <v>1724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5"/>
        <v>1</v>
      </c>
      <c r="Z1606" s="2" t="s">
        <v>120</v>
      </c>
      <c r="AA1606" s="2" t="s">
        <v>3385</v>
      </c>
      <c r="AF1606" s="2">
        <f t="shared" si="196"/>
        <v>0</v>
      </c>
      <c r="AJ1606" s="2">
        <f t="shared" si="197"/>
        <v>0</v>
      </c>
      <c r="AK1606" s="2">
        <f t="shared" si="198"/>
        <v>344.58</v>
      </c>
      <c r="AL1606" s="5">
        <f t="shared" si="187"/>
        <v>1</v>
      </c>
    </row>
    <row r="1607" spans="1:38" hidden="1" x14ac:dyDescent="0.2">
      <c r="A1607" s="2">
        <v>2025</v>
      </c>
      <c r="B1607" s="2">
        <v>6</v>
      </c>
      <c r="D1607" s="2" t="s">
        <v>1420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2415</v>
      </c>
      <c r="J1607" s="2" t="s">
        <v>2416</v>
      </c>
      <c r="L1607" s="2" t="s">
        <v>202</v>
      </c>
      <c r="M1607" s="2" t="s">
        <v>81</v>
      </c>
      <c r="P1607" s="2" t="s">
        <v>1040</v>
      </c>
      <c r="Q1607" s="2" t="s">
        <v>1727</v>
      </c>
      <c r="R1607" s="2" t="s">
        <v>1728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5"/>
        <v>0.43304761904761901</v>
      </c>
      <c r="Z1607" s="2" t="s">
        <v>3231</v>
      </c>
      <c r="AA1607" s="2" t="s">
        <v>76</v>
      </c>
      <c r="AB1607" s="2" t="s">
        <v>77</v>
      </c>
      <c r="AC1607" s="2" t="s">
        <v>1040</v>
      </c>
      <c r="AF1607" s="2">
        <f t="shared" si="196"/>
        <v>0</v>
      </c>
      <c r="AJ1607" s="2">
        <f t="shared" si="197"/>
        <v>0</v>
      </c>
      <c r="AK1607" s="2">
        <f t="shared" si="198"/>
        <v>90.94</v>
      </c>
      <c r="AL1607" s="5">
        <f t="shared" si="187"/>
        <v>0.43304761904761901</v>
      </c>
    </row>
    <row r="1608" spans="1:38" hidden="1" x14ac:dyDescent="0.2">
      <c r="A1608" s="2">
        <v>2025</v>
      </c>
      <c r="B1608" s="2">
        <v>6</v>
      </c>
      <c r="D1608" s="2" t="s">
        <v>1420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2415</v>
      </c>
      <c r="J1608" s="2" t="s">
        <v>2416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5"/>
        <v>0</v>
      </c>
      <c r="Z1608" s="2" t="s">
        <v>3231</v>
      </c>
      <c r="AA1608" s="2" t="s">
        <v>97</v>
      </c>
      <c r="AB1608" s="2" t="s">
        <v>77</v>
      </c>
      <c r="AC1608" s="2" t="s">
        <v>94</v>
      </c>
      <c r="AF1608" s="2">
        <f t="shared" si="196"/>
        <v>0</v>
      </c>
      <c r="AJ1608" s="2">
        <f t="shared" si="197"/>
        <v>0</v>
      </c>
      <c r="AK1608" s="2">
        <f t="shared" si="198"/>
        <v>0</v>
      </c>
      <c r="AL1608" s="5">
        <f t="shared" si="187"/>
        <v>0</v>
      </c>
    </row>
    <row r="1609" spans="1:38" hidden="1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1729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5"/>
        <v>0.4575909090909091</v>
      </c>
      <c r="Z1609" s="2" t="s">
        <v>3231</v>
      </c>
      <c r="AA1609" s="2" t="s">
        <v>76</v>
      </c>
      <c r="AB1609" s="2" t="s">
        <v>77</v>
      </c>
      <c r="AC1609" s="2" t="s">
        <v>78</v>
      </c>
      <c r="AF1609" s="2">
        <f t="shared" si="196"/>
        <v>0</v>
      </c>
      <c r="AG1609" s="2">
        <v>119.33</v>
      </c>
      <c r="AH1609" s="2">
        <v>220</v>
      </c>
      <c r="AJ1609" s="2">
        <f t="shared" si="197"/>
        <v>0</v>
      </c>
      <c r="AK1609" s="2">
        <f t="shared" si="198"/>
        <v>100.67</v>
      </c>
      <c r="AL1609" s="5">
        <f t="shared" si="187"/>
        <v>0.4575909090909091</v>
      </c>
    </row>
    <row r="1610" spans="1:38" hidden="1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1730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5"/>
        <v>0.46676190476190477</v>
      </c>
      <c r="Z1610" s="2" t="s">
        <v>3231</v>
      </c>
      <c r="AA1610" s="2" t="s">
        <v>76</v>
      </c>
      <c r="AB1610" s="2" t="s">
        <v>77</v>
      </c>
      <c r="AC1610" s="2" t="s">
        <v>78</v>
      </c>
      <c r="AF1610" s="2">
        <f t="shared" si="196"/>
        <v>0</v>
      </c>
      <c r="AG1610" s="2">
        <v>111.98</v>
      </c>
      <c r="AH1610" s="2">
        <v>210</v>
      </c>
      <c r="AJ1610" s="2">
        <f t="shared" si="197"/>
        <v>0</v>
      </c>
      <c r="AK1610" s="2">
        <f t="shared" si="198"/>
        <v>98.02</v>
      </c>
      <c r="AL1610" s="5">
        <f t="shared" si="187"/>
        <v>0.46676190476190477</v>
      </c>
    </row>
    <row r="1611" spans="1:38" hidden="1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1731</v>
      </c>
      <c r="P1611" s="2" t="s">
        <v>1040</v>
      </c>
      <c r="Q1611" s="2" t="s">
        <v>1732</v>
      </c>
      <c r="R1611" s="2" t="s">
        <v>1733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5"/>
        <v>0.21577777777777779</v>
      </c>
      <c r="Z1611" s="2" t="s">
        <v>3231</v>
      </c>
      <c r="AA1611" s="2" t="s">
        <v>76</v>
      </c>
      <c r="AB1611" s="2" t="s">
        <v>77</v>
      </c>
      <c r="AC1611" s="2" t="s">
        <v>1040</v>
      </c>
      <c r="AF1611" s="2">
        <f t="shared" si="196"/>
        <v>0</v>
      </c>
      <c r="AG1611" s="2">
        <v>141.16</v>
      </c>
      <c r="AH1611" s="2">
        <v>220</v>
      </c>
      <c r="AJ1611" s="2">
        <f t="shared" si="197"/>
        <v>0</v>
      </c>
      <c r="AK1611" s="2">
        <f t="shared" si="198"/>
        <v>38.840000000000003</v>
      </c>
      <c r="AL1611" s="5">
        <f t="shared" si="187"/>
        <v>0.21577777777777779</v>
      </c>
    </row>
    <row r="1612" spans="1:38" hidden="1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1731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5"/>
        <v>0</v>
      </c>
      <c r="Z1612" s="2" t="s">
        <v>3231</v>
      </c>
      <c r="AA1612" s="2" t="s">
        <v>97</v>
      </c>
      <c r="AB1612" s="2" t="s">
        <v>77</v>
      </c>
      <c r="AC1612" s="2" t="s">
        <v>94</v>
      </c>
      <c r="AF1612" s="2">
        <f t="shared" si="196"/>
        <v>0</v>
      </c>
      <c r="AG1612" s="2">
        <v>1.1399999999999999</v>
      </c>
      <c r="AH1612" s="2">
        <v>1.1399999999999999</v>
      </c>
      <c r="AJ1612" s="2">
        <f t="shared" si="197"/>
        <v>0</v>
      </c>
      <c r="AK1612" s="2">
        <f t="shared" si="198"/>
        <v>0</v>
      </c>
      <c r="AL1612" s="5">
        <f t="shared" si="187"/>
        <v>0</v>
      </c>
    </row>
    <row r="1613" spans="1:38" hidden="1" x14ac:dyDescent="0.2">
      <c r="A1613" s="2">
        <v>2025</v>
      </c>
      <c r="B1613" s="2">
        <v>6</v>
      </c>
      <c r="D1613" s="2" t="s">
        <v>1625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5"/>
        <v>0.50777499999999998</v>
      </c>
      <c r="Z1613" s="2" t="s">
        <v>3231</v>
      </c>
      <c r="AA1613" s="2" t="s">
        <v>46</v>
      </c>
      <c r="AB1613" s="2" t="s">
        <v>57</v>
      </c>
      <c r="AC1613" s="2" t="s">
        <v>58</v>
      </c>
      <c r="AF1613" s="2">
        <f t="shared" si="196"/>
        <v>0</v>
      </c>
      <c r="AG1613" s="2">
        <v>5.9066999999999998</v>
      </c>
      <c r="AH1613" s="2">
        <v>12.6</v>
      </c>
      <c r="AJ1613" s="2">
        <f t="shared" si="197"/>
        <v>0</v>
      </c>
      <c r="AK1613" s="2">
        <f t="shared" si="198"/>
        <v>6.0933000000000002</v>
      </c>
      <c r="AL1613" s="5">
        <f t="shared" si="187"/>
        <v>0.50777499999999998</v>
      </c>
    </row>
    <row r="1614" spans="1:38" hidden="1" x14ac:dyDescent="0.2">
      <c r="A1614" s="2">
        <v>2025</v>
      </c>
      <c r="B1614" s="2">
        <v>6</v>
      </c>
      <c r="D1614" s="2" t="s">
        <v>1625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5"/>
        <v>0.24285714285714294</v>
      </c>
      <c r="Z1614" s="2" t="s">
        <v>3231</v>
      </c>
      <c r="AA1614" s="2" t="s">
        <v>46</v>
      </c>
      <c r="AB1614" s="2" t="s">
        <v>57</v>
      </c>
      <c r="AC1614" s="2" t="s">
        <v>58</v>
      </c>
      <c r="AF1614" s="2">
        <f t="shared" si="196"/>
        <v>0</v>
      </c>
      <c r="AG1614" s="2">
        <v>10.6</v>
      </c>
      <c r="AH1614" s="2">
        <v>18</v>
      </c>
      <c r="AJ1614" s="2">
        <f t="shared" si="197"/>
        <v>0</v>
      </c>
      <c r="AK1614" s="2">
        <f t="shared" si="198"/>
        <v>40.800000000000011</v>
      </c>
      <c r="AL1614" s="5">
        <f t="shared" si="187"/>
        <v>0.24285714285714294</v>
      </c>
    </row>
    <row r="1615" spans="1:38" hidden="1" x14ac:dyDescent="0.2">
      <c r="A1615" s="2">
        <v>2025</v>
      </c>
      <c r="B1615" s="2">
        <v>6</v>
      </c>
      <c r="D1615" s="2" t="s">
        <v>1625</v>
      </c>
      <c r="P1615" s="2" t="s">
        <v>43</v>
      </c>
      <c r="Q1615" s="2" t="s">
        <v>1734</v>
      </c>
      <c r="R1615" s="2" t="s">
        <v>1735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5"/>
        <v>1</v>
      </c>
      <c r="Z1615" s="2" t="s">
        <v>3231</v>
      </c>
      <c r="AA1615" s="2" t="s">
        <v>46</v>
      </c>
      <c r="AB1615" s="2" t="s">
        <v>57</v>
      </c>
      <c r="AC1615" s="2" t="s">
        <v>58</v>
      </c>
      <c r="AF1615" s="2">
        <f t="shared" si="196"/>
        <v>0</v>
      </c>
      <c r="AJ1615" s="2">
        <f t="shared" si="197"/>
        <v>0</v>
      </c>
      <c r="AK1615" s="2">
        <f t="shared" si="198"/>
        <v>8.4</v>
      </c>
      <c r="AL1615" s="5">
        <f t="shared" si="187"/>
        <v>1</v>
      </c>
    </row>
    <row r="1616" spans="1:38" hidden="1" x14ac:dyDescent="0.2">
      <c r="A1616" s="2">
        <v>2025</v>
      </c>
      <c r="B1616" s="2">
        <v>6</v>
      </c>
      <c r="D1616" s="2" t="s">
        <v>1625</v>
      </c>
      <c r="P1616" s="2" t="s">
        <v>43</v>
      </c>
      <c r="Q1616" s="2" t="s">
        <v>1736</v>
      </c>
      <c r="R1616" s="2" t="s">
        <v>1737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5"/>
        <v>1</v>
      </c>
      <c r="Z1616" s="2" t="s">
        <v>3231</v>
      </c>
      <c r="AA1616" s="2" t="s">
        <v>46</v>
      </c>
      <c r="AB1616" s="2" t="s">
        <v>57</v>
      </c>
      <c r="AC1616" s="2" t="s">
        <v>58</v>
      </c>
      <c r="AF1616" s="2">
        <f t="shared" si="196"/>
        <v>0</v>
      </c>
      <c r="AJ1616" s="2">
        <f t="shared" si="197"/>
        <v>0</v>
      </c>
      <c r="AK1616" s="2">
        <f t="shared" si="198"/>
        <v>9.6</v>
      </c>
      <c r="AL1616" s="5">
        <f t="shared" ref="AL1616:AL1679" si="199">(T1616-W1616)/T1616</f>
        <v>1</v>
      </c>
    </row>
    <row r="1617" spans="1:38" hidden="1" x14ac:dyDescent="0.2">
      <c r="A1617" s="2">
        <v>2025</v>
      </c>
      <c r="B1617" s="2">
        <v>6</v>
      </c>
      <c r="D1617" s="2" t="s">
        <v>1090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1091</v>
      </c>
      <c r="J1617" s="2" t="s">
        <v>1092</v>
      </c>
      <c r="K1617" s="2">
        <v>917523997</v>
      </c>
      <c r="L1617" s="2" t="s">
        <v>113</v>
      </c>
      <c r="M1617" s="2" t="s">
        <v>40</v>
      </c>
      <c r="O1617" s="2" t="s">
        <v>1738</v>
      </c>
      <c r="P1617" s="2" t="s">
        <v>115</v>
      </c>
      <c r="Q1617" s="2" t="s">
        <v>1739</v>
      </c>
      <c r="R1617" s="2" t="s">
        <v>1740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5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6"/>
        <v>0</v>
      </c>
      <c r="AJ1617" s="2">
        <f t="shared" si="197"/>
        <v>0</v>
      </c>
      <c r="AK1617" s="2">
        <f t="shared" si="198"/>
        <v>101.32</v>
      </c>
      <c r="AL1617" s="5">
        <f t="shared" si="199"/>
        <v>1</v>
      </c>
    </row>
    <row r="1618" spans="1:38" hidden="1" x14ac:dyDescent="0.2">
      <c r="A1618" s="2">
        <v>2025</v>
      </c>
      <c r="B1618" s="2">
        <v>6</v>
      </c>
      <c r="D1618" s="2" t="s">
        <v>1090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1091</v>
      </c>
      <c r="J1618" s="2" t="s">
        <v>1092</v>
      </c>
      <c r="K1618" s="2">
        <v>917523997</v>
      </c>
      <c r="L1618" s="2" t="s">
        <v>113</v>
      </c>
      <c r="M1618" s="2" t="s">
        <v>40</v>
      </c>
      <c r="O1618" s="2" t="s">
        <v>1738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5"/>
        <v>0.5</v>
      </c>
      <c r="Z1618" s="2" t="s">
        <v>118</v>
      </c>
      <c r="AA1618" s="2" t="s">
        <v>191</v>
      </c>
      <c r="AB1618" s="2" t="s">
        <v>191</v>
      </c>
      <c r="AC1618" s="2" t="s">
        <v>40</v>
      </c>
      <c r="AF1618" s="2">
        <f t="shared" si="196"/>
        <v>0</v>
      </c>
      <c r="AJ1618" s="2">
        <f t="shared" si="197"/>
        <v>0</v>
      </c>
      <c r="AK1618" s="2">
        <f t="shared" si="198"/>
        <v>50</v>
      </c>
      <c r="AL1618" s="5">
        <f t="shared" si="199"/>
        <v>0.5</v>
      </c>
    </row>
    <row r="1619" spans="1:38" hidden="1" x14ac:dyDescent="0.2">
      <c r="A1619" s="2">
        <v>2025</v>
      </c>
      <c r="B1619" s="2">
        <v>6</v>
      </c>
      <c r="D1619" s="2" t="s">
        <v>1741</v>
      </c>
      <c r="P1619" s="2" t="s">
        <v>115</v>
      </c>
      <c r="Q1619" s="2" t="s">
        <v>1742</v>
      </c>
      <c r="R1619" s="2" t="s">
        <v>1743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5"/>
        <v>1</v>
      </c>
      <c r="Z1619" s="2" t="s">
        <v>118</v>
      </c>
      <c r="AF1619" s="2">
        <f t="shared" si="196"/>
        <v>0</v>
      </c>
      <c r="AJ1619" s="2">
        <f t="shared" si="197"/>
        <v>0</v>
      </c>
      <c r="AK1619" s="2">
        <f t="shared" si="198"/>
        <v>700</v>
      </c>
      <c r="AL1619" s="5">
        <f t="shared" si="199"/>
        <v>1</v>
      </c>
    </row>
    <row r="1620" spans="1:38" hidden="1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5"/>
        <v>0.52105128205128204</v>
      </c>
      <c r="Z1620" s="2" t="s">
        <v>3231</v>
      </c>
      <c r="AA1620" s="2" t="s">
        <v>46</v>
      </c>
      <c r="AB1620" s="2" t="s">
        <v>47</v>
      </c>
      <c r="AC1620" s="2" t="s">
        <v>48</v>
      </c>
      <c r="AF1620" s="2">
        <f t="shared" si="196"/>
        <v>0</v>
      </c>
      <c r="AG1620" s="2">
        <v>3.7357999999999998</v>
      </c>
      <c r="AH1620" s="2">
        <v>9</v>
      </c>
      <c r="AJ1620" s="2">
        <f t="shared" si="197"/>
        <v>0</v>
      </c>
      <c r="AK1620" s="2">
        <f t="shared" si="198"/>
        <v>4.0641999999999996</v>
      </c>
      <c r="AL1620" s="5">
        <f t="shared" si="199"/>
        <v>0.52105128205128204</v>
      </c>
    </row>
    <row r="1621" spans="1:38" hidden="1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5"/>
        <v>0.24285714285714285</v>
      </c>
      <c r="Z1621" s="2" t="s">
        <v>3231</v>
      </c>
      <c r="AA1621" s="2" t="s">
        <v>46</v>
      </c>
      <c r="AB1621" s="2" t="s">
        <v>57</v>
      </c>
      <c r="AC1621" s="2" t="s">
        <v>58</v>
      </c>
      <c r="AF1621" s="2">
        <f t="shared" si="196"/>
        <v>0</v>
      </c>
      <c r="AG1621" s="2">
        <v>10.6</v>
      </c>
      <c r="AH1621" s="2">
        <v>18</v>
      </c>
      <c r="AJ1621" s="2">
        <f t="shared" si="197"/>
        <v>0</v>
      </c>
      <c r="AK1621" s="2">
        <f t="shared" si="198"/>
        <v>34</v>
      </c>
      <c r="AL1621" s="5">
        <f t="shared" si="199"/>
        <v>0.24285714285714285</v>
      </c>
    </row>
    <row r="1622" spans="1:38" hidden="1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5"/>
        <v>0.59999999999999987</v>
      </c>
      <c r="Z1622" s="2" t="s">
        <v>118</v>
      </c>
      <c r="AA1622" s="2" t="s">
        <v>191</v>
      </c>
      <c r="AB1622" s="2" t="s">
        <v>190</v>
      </c>
      <c r="AC1622" s="2" t="s">
        <v>40</v>
      </c>
      <c r="AF1622" s="2">
        <f t="shared" si="196"/>
        <v>0</v>
      </c>
      <c r="AJ1622" s="2">
        <f t="shared" si="197"/>
        <v>0</v>
      </c>
      <c r="AK1622" s="2">
        <f t="shared" si="198"/>
        <v>36.599999999999994</v>
      </c>
      <c r="AL1622" s="5">
        <f t="shared" si="199"/>
        <v>0.59999999999999987</v>
      </c>
    </row>
    <row r="1623" spans="1:38" hidden="1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200">(T1623-W1623)/T1623</f>
        <v>0.5</v>
      </c>
      <c r="Z1623" s="2" t="s">
        <v>118</v>
      </c>
      <c r="AA1623" s="2" t="s">
        <v>191</v>
      </c>
      <c r="AB1623" s="2" t="s">
        <v>191</v>
      </c>
      <c r="AC1623" s="2" t="s">
        <v>40</v>
      </c>
      <c r="AF1623" s="2">
        <f t="shared" si="196"/>
        <v>0</v>
      </c>
      <c r="AJ1623" s="2">
        <f t="shared" si="197"/>
        <v>0</v>
      </c>
      <c r="AK1623" s="2">
        <f t="shared" si="198"/>
        <v>37.5</v>
      </c>
      <c r="AL1623" s="5">
        <f t="shared" si="199"/>
        <v>0.5</v>
      </c>
    </row>
    <row r="1624" spans="1:38" hidden="1" x14ac:dyDescent="0.2">
      <c r="A1624" s="2">
        <v>2025</v>
      </c>
      <c r="B1624" s="2">
        <v>6</v>
      </c>
      <c r="D1624" s="2" t="s">
        <v>1744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1128</v>
      </c>
      <c r="J1624" s="2" t="s">
        <v>1745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00"/>
        <v>0.6</v>
      </c>
      <c r="Z1624" s="2" t="s">
        <v>118</v>
      </c>
      <c r="AA1624" s="2" t="s">
        <v>191</v>
      </c>
      <c r="AB1624" s="2" t="s">
        <v>190</v>
      </c>
      <c r="AC1624" s="2" t="s">
        <v>40</v>
      </c>
      <c r="AF1624" s="2">
        <f t="shared" si="196"/>
        <v>0</v>
      </c>
      <c r="AJ1624" s="2">
        <f t="shared" si="197"/>
        <v>0</v>
      </c>
      <c r="AK1624" s="2">
        <f t="shared" si="198"/>
        <v>104.39999999999999</v>
      </c>
      <c r="AL1624" s="5">
        <f t="shared" si="199"/>
        <v>0.6</v>
      </c>
    </row>
    <row r="1625" spans="1:38" hidden="1" x14ac:dyDescent="0.2">
      <c r="A1625" s="2">
        <v>2025</v>
      </c>
      <c r="B1625" s="2">
        <v>6</v>
      </c>
      <c r="D1625" s="2" t="s">
        <v>1744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1128</v>
      </c>
      <c r="J1625" s="2" t="s">
        <v>1745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00"/>
        <v>0.5</v>
      </c>
      <c r="Z1625" s="2" t="s">
        <v>118</v>
      </c>
      <c r="AA1625" s="2" t="s">
        <v>191</v>
      </c>
      <c r="AB1625" s="2" t="s">
        <v>191</v>
      </c>
      <c r="AC1625" s="2" t="s">
        <v>40</v>
      </c>
      <c r="AF1625" s="2">
        <f t="shared" si="196"/>
        <v>0</v>
      </c>
      <c r="AJ1625" s="2">
        <f t="shared" si="197"/>
        <v>0</v>
      </c>
      <c r="AK1625" s="2">
        <f t="shared" si="198"/>
        <v>37.5</v>
      </c>
      <c r="AL1625" s="5">
        <f t="shared" si="199"/>
        <v>0.5</v>
      </c>
    </row>
    <row r="1626" spans="1:38" hidden="1" x14ac:dyDescent="0.2">
      <c r="A1626" s="2">
        <v>2025</v>
      </c>
      <c r="B1626" s="2">
        <v>6</v>
      </c>
      <c r="D1626" s="2" t="s">
        <v>618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619</v>
      </c>
      <c r="J1626" s="2" t="s">
        <v>620</v>
      </c>
      <c r="L1626" s="2" t="s">
        <v>419</v>
      </c>
      <c r="M1626" s="2" t="s">
        <v>40</v>
      </c>
      <c r="P1626" s="2" t="s">
        <v>115</v>
      </c>
      <c r="Q1626" s="2" t="s">
        <v>906</v>
      </c>
      <c r="R1626" s="2" t="s">
        <v>907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00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6"/>
        <v>0</v>
      </c>
      <c r="AJ1626" s="2">
        <f t="shared" si="197"/>
        <v>0</v>
      </c>
      <c r="AK1626" s="2">
        <f t="shared" si="198"/>
        <v>354.09659999999997</v>
      </c>
      <c r="AL1626" s="5">
        <f t="shared" si="199"/>
        <v>0.50635864435864431</v>
      </c>
    </row>
    <row r="1627" spans="1:38" hidden="1" x14ac:dyDescent="0.2">
      <c r="A1627" s="2">
        <v>2025</v>
      </c>
      <c r="B1627" s="2">
        <v>6</v>
      </c>
      <c r="D1627" s="2" t="s">
        <v>618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619</v>
      </c>
      <c r="J1627" s="2" t="s">
        <v>620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00"/>
        <v>0.6</v>
      </c>
      <c r="Z1627" s="2" t="s">
        <v>118</v>
      </c>
      <c r="AA1627" s="2" t="s">
        <v>191</v>
      </c>
      <c r="AB1627" s="2" t="s">
        <v>190</v>
      </c>
      <c r="AC1627" s="2" t="s">
        <v>40</v>
      </c>
      <c r="AF1627" s="2">
        <f t="shared" si="196"/>
        <v>0</v>
      </c>
      <c r="AJ1627" s="2">
        <f t="shared" si="197"/>
        <v>0</v>
      </c>
      <c r="AK1627" s="2">
        <f t="shared" si="198"/>
        <v>61.199999999999996</v>
      </c>
      <c r="AL1627" s="5">
        <f t="shared" si="199"/>
        <v>0.6</v>
      </c>
    </row>
    <row r="1628" spans="1:38" hidden="1" x14ac:dyDescent="0.2">
      <c r="A1628" s="2">
        <v>2025</v>
      </c>
      <c r="B1628" s="2">
        <v>6</v>
      </c>
      <c r="D1628" s="2" t="s">
        <v>618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619</v>
      </c>
      <c r="J1628" s="2" t="s">
        <v>620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B1628" s="2" t="s">
        <v>191</v>
      </c>
      <c r="AC1628" s="2" t="s">
        <v>40</v>
      </c>
      <c r="AF1628" s="2">
        <f t="shared" si="196"/>
        <v>0</v>
      </c>
      <c r="AJ1628" s="2">
        <f t="shared" si="197"/>
        <v>0</v>
      </c>
      <c r="AK1628" s="2">
        <f t="shared" si="198"/>
        <v>0</v>
      </c>
      <c r="AL1628" s="5">
        <v>0</v>
      </c>
    </row>
    <row r="1629" spans="1:38" hidden="1" x14ac:dyDescent="0.2">
      <c r="A1629" s="2">
        <v>2025</v>
      </c>
      <c r="B1629" s="2">
        <v>6</v>
      </c>
      <c r="D1629" s="2" t="s">
        <v>625</v>
      </c>
      <c r="E1629" s="2" t="s">
        <v>38</v>
      </c>
      <c r="F1629" s="2" t="s">
        <v>39</v>
      </c>
      <c r="G1629" s="2" t="s">
        <v>626</v>
      </c>
      <c r="H1629" s="2" t="s">
        <v>40</v>
      </c>
      <c r="I1629" s="2" t="s">
        <v>627</v>
      </c>
      <c r="J1629" s="2" t="s">
        <v>628</v>
      </c>
      <c r="L1629" s="2" t="s">
        <v>627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si="200"/>
        <v>0.3920931043501002</v>
      </c>
      <c r="Z1629" s="2" t="s">
        <v>118</v>
      </c>
      <c r="AA1629" s="2" t="s">
        <v>182</v>
      </c>
      <c r="AB1629" s="2" t="s">
        <v>120</v>
      </c>
      <c r="AC1629" s="2" t="s">
        <v>115</v>
      </c>
      <c r="AF1629" s="2">
        <f t="shared" si="196"/>
        <v>0</v>
      </c>
      <c r="AJ1629" s="2">
        <f t="shared" si="197"/>
        <v>0</v>
      </c>
      <c r="AK1629" s="2">
        <f t="shared" si="198"/>
        <v>89.953999999999979</v>
      </c>
      <c r="AL1629" s="5">
        <f t="shared" si="199"/>
        <v>0.3920931043501002</v>
      </c>
    </row>
    <row r="1630" spans="1:38" hidden="1" x14ac:dyDescent="0.2">
      <c r="A1630" s="2">
        <v>2025</v>
      </c>
      <c r="B1630" s="2">
        <v>6</v>
      </c>
      <c r="D1630" s="2" t="s">
        <v>1661</v>
      </c>
      <c r="P1630" s="2" t="s">
        <v>283</v>
      </c>
      <c r="Q1630" s="2" t="s">
        <v>1514</v>
      </c>
      <c r="R1630" s="2" t="s">
        <v>1515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00"/>
        <v>0.44999999999999996</v>
      </c>
      <c r="Z1630" s="2" t="s">
        <v>3231</v>
      </c>
      <c r="AA1630" s="2" t="s">
        <v>72</v>
      </c>
      <c r="AB1630" s="2" t="s">
        <v>1604</v>
      </c>
      <c r="AC1630" s="2" t="s">
        <v>1604</v>
      </c>
      <c r="AF1630" s="2">
        <f t="shared" si="196"/>
        <v>0</v>
      </c>
      <c r="AJ1630" s="2">
        <f t="shared" si="197"/>
        <v>0</v>
      </c>
      <c r="AK1630" s="2">
        <f t="shared" si="198"/>
        <v>22.454999999999998</v>
      </c>
      <c r="AL1630" s="5">
        <f t="shared" si="199"/>
        <v>0.44999999999999996</v>
      </c>
    </row>
    <row r="1631" spans="1:38" hidden="1" x14ac:dyDescent="0.2">
      <c r="A1631" s="2">
        <v>2025</v>
      </c>
      <c r="B1631" s="2">
        <v>6</v>
      </c>
      <c r="D1631" s="2" t="s">
        <v>1662</v>
      </c>
      <c r="P1631" s="2" t="s">
        <v>283</v>
      </c>
      <c r="Q1631" s="2" t="s">
        <v>1438</v>
      </c>
      <c r="R1631" s="2" t="s">
        <v>1439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00"/>
        <v>0.25579710144927542</v>
      </c>
      <c r="Z1631" s="2" t="s">
        <v>3231</v>
      </c>
      <c r="AA1631" s="2" t="s">
        <v>72</v>
      </c>
      <c r="AB1631" s="2" t="s">
        <v>120</v>
      </c>
      <c r="AC1631" s="2" t="s">
        <v>120</v>
      </c>
      <c r="AF1631" s="2">
        <f t="shared" si="196"/>
        <v>0</v>
      </c>
      <c r="AJ1631" s="2">
        <f t="shared" si="197"/>
        <v>0</v>
      </c>
      <c r="AK1631" s="2">
        <f t="shared" si="198"/>
        <v>17.650000000000006</v>
      </c>
      <c r="AL1631" s="5">
        <f t="shared" si="199"/>
        <v>0.25579710144927542</v>
      </c>
    </row>
    <row r="1632" spans="1:38" hidden="1" x14ac:dyDescent="0.2">
      <c r="A1632" s="2">
        <v>2025</v>
      </c>
      <c r="B1632" s="2">
        <v>6</v>
      </c>
      <c r="D1632" s="2" t="s">
        <v>1746</v>
      </c>
      <c r="P1632" s="2" t="s">
        <v>115</v>
      </c>
      <c r="Q1632" s="2" t="s">
        <v>647</v>
      </c>
      <c r="R1632" s="2" t="s">
        <v>648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200"/>
        <v>1</v>
      </c>
      <c r="Z1632" s="2" t="s">
        <v>118</v>
      </c>
      <c r="AF1632" s="2">
        <f t="shared" si="196"/>
        <v>0</v>
      </c>
      <c r="AJ1632" s="2">
        <f t="shared" si="197"/>
        <v>0</v>
      </c>
      <c r="AK1632" s="2">
        <f t="shared" si="198"/>
        <v>62.6</v>
      </c>
      <c r="AL1632" s="5">
        <f t="shared" si="199"/>
        <v>1</v>
      </c>
    </row>
    <row r="1633" spans="1:38" hidden="1" x14ac:dyDescent="0.2">
      <c r="A1633" s="2">
        <v>2025</v>
      </c>
      <c r="B1633" s="2">
        <v>6</v>
      </c>
      <c r="D1633" s="2" t="s">
        <v>1126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2298</v>
      </c>
      <c r="J1633" s="2" t="s">
        <v>2299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00"/>
        <v>0.59999999999999987</v>
      </c>
      <c r="Z1633" s="2" t="s">
        <v>118</v>
      </c>
      <c r="AA1633" s="2" t="s">
        <v>191</v>
      </c>
      <c r="AB1633" s="2" t="s">
        <v>190</v>
      </c>
      <c r="AC1633" s="2" t="s">
        <v>40</v>
      </c>
      <c r="AF1633" s="2">
        <f t="shared" si="196"/>
        <v>0</v>
      </c>
      <c r="AJ1633" s="2">
        <f t="shared" si="197"/>
        <v>0</v>
      </c>
      <c r="AK1633" s="2">
        <f t="shared" si="198"/>
        <v>39.599999999999994</v>
      </c>
      <c r="AL1633" s="5">
        <f t="shared" si="199"/>
        <v>0.59999999999999987</v>
      </c>
    </row>
    <row r="1634" spans="1:38" hidden="1" x14ac:dyDescent="0.2">
      <c r="A1634" s="2">
        <v>2025</v>
      </c>
      <c r="B1634" s="2">
        <v>6</v>
      </c>
      <c r="D1634" s="2" t="s">
        <v>1126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2298</v>
      </c>
      <c r="J1634" s="2" t="s">
        <v>2299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00"/>
        <v>0.5</v>
      </c>
      <c r="Z1634" s="2" t="s">
        <v>118</v>
      </c>
      <c r="AA1634" s="2" t="s">
        <v>191</v>
      </c>
      <c r="AB1634" s="2" t="s">
        <v>191</v>
      </c>
      <c r="AC1634" s="2" t="s">
        <v>40</v>
      </c>
      <c r="AF1634" s="2">
        <f t="shared" si="196"/>
        <v>0</v>
      </c>
      <c r="AJ1634" s="2">
        <f t="shared" si="197"/>
        <v>0</v>
      </c>
      <c r="AK1634" s="2">
        <f t="shared" si="198"/>
        <v>25</v>
      </c>
      <c r="AL1634" s="5">
        <f t="shared" si="199"/>
        <v>0.5</v>
      </c>
    </row>
    <row r="1635" spans="1:38" hidden="1" x14ac:dyDescent="0.2">
      <c r="A1635" s="2">
        <v>2025</v>
      </c>
      <c r="B1635" s="2">
        <v>6</v>
      </c>
      <c r="D1635" s="2" t="s">
        <v>1747</v>
      </c>
      <c r="P1635" s="2" t="s">
        <v>283</v>
      </c>
      <c r="Q1635" s="2" t="s">
        <v>1748</v>
      </c>
      <c r="R1635" s="2" t="s">
        <v>1749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00"/>
        <v>0.4</v>
      </c>
      <c r="Z1635" s="2" t="s">
        <v>3231</v>
      </c>
      <c r="AA1635" s="2" t="s">
        <v>72</v>
      </c>
      <c r="AB1635" s="2" t="s">
        <v>1604</v>
      </c>
      <c r="AC1635" s="2" t="s">
        <v>1604</v>
      </c>
      <c r="AF1635" s="2">
        <f t="shared" si="196"/>
        <v>0</v>
      </c>
      <c r="AJ1635" s="2">
        <f t="shared" si="197"/>
        <v>0</v>
      </c>
      <c r="AK1635" s="2">
        <f t="shared" si="198"/>
        <v>150</v>
      </c>
      <c r="AL1635" s="5">
        <f t="shared" si="199"/>
        <v>0.4</v>
      </c>
    </row>
    <row r="1636" spans="1:38" hidden="1" x14ac:dyDescent="0.2">
      <c r="A1636" s="2">
        <v>2025</v>
      </c>
      <c r="B1636" s="2">
        <v>6</v>
      </c>
      <c r="D1636" s="2" t="s">
        <v>1747</v>
      </c>
      <c r="P1636" s="2" t="s">
        <v>69</v>
      </c>
      <c r="Q1636" s="2" t="s">
        <v>1750</v>
      </c>
      <c r="R1636" s="2" t="s">
        <v>1751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00"/>
        <v>0.30322580645161284</v>
      </c>
      <c r="Z1636" s="2" t="s">
        <v>3231</v>
      </c>
      <c r="AA1636" s="2" t="s">
        <v>72</v>
      </c>
      <c r="AB1636" s="2" t="s">
        <v>69</v>
      </c>
      <c r="AC1636" s="2" t="s">
        <v>3235</v>
      </c>
      <c r="AF1636" s="2">
        <f t="shared" si="196"/>
        <v>0</v>
      </c>
      <c r="AJ1636" s="2">
        <f t="shared" si="197"/>
        <v>0</v>
      </c>
      <c r="AK1636" s="2">
        <f t="shared" si="198"/>
        <v>4.6999999999999993</v>
      </c>
      <c r="AL1636" s="5">
        <f t="shared" si="199"/>
        <v>0.30322580645161284</v>
      </c>
    </row>
    <row r="1637" spans="1:38" hidden="1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00"/>
        <v>0.28378378378378377</v>
      </c>
      <c r="Z1637" s="2" t="s">
        <v>3231</v>
      </c>
      <c r="AA1637" s="2" t="s">
        <v>46</v>
      </c>
      <c r="AB1637" s="2" t="s">
        <v>57</v>
      </c>
      <c r="AC1637" s="2" t="s">
        <v>58</v>
      </c>
      <c r="AF1637" s="2">
        <f t="shared" si="196"/>
        <v>0</v>
      </c>
      <c r="AG1637" s="2">
        <v>10.6</v>
      </c>
      <c r="AH1637" s="2">
        <v>18</v>
      </c>
      <c r="AJ1637" s="2">
        <f t="shared" si="197"/>
        <v>0</v>
      </c>
      <c r="AK1637" s="2">
        <f t="shared" si="198"/>
        <v>21</v>
      </c>
      <c r="AL1637" s="5">
        <f t="shared" si="199"/>
        <v>0.28378378378378377</v>
      </c>
    </row>
    <row r="1638" spans="1:38" hidden="1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00"/>
        <v>0.21489361702127663</v>
      </c>
      <c r="Z1638" s="2" t="s">
        <v>3231</v>
      </c>
      <c r="AA1638" s="2" t="s">
        <v>46</v>
      </c>
      <c r="AB1638" s="2" t="s">
        <v>61</v>
      </c>
      <c r="AC1638" s="2" t="s">
        <v>58</v>
      </c>
      <c r="AF1638" s="2">
        <f t="shared" si="196"/>
        <v>0</v>
      </c>
      <c r="AG1638" s="2">
        <v>8.1999999999999993</v>
      </c>
      <c r="AH1638" s="2">
        <v>13</v>
      </c>
      <c r="AJ1638" s="2">
        <f t="shared" si="197"/>
        <v>0</v>
      </c>
      <c r="AK1638" s="2">
        <f t="shared" si="198"/>
        <v>20.200000000000003</v>
      </c>
      <c r="AL1638" s="5">
        <f t="shared" si="199"/>
        <v>0.21489361702127663</v>
      </c>
    </row>
    <row r="1639" spans="1:38" hidden="1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973</v>
      </c>
      <c r="R1639" s="2" t="s">
        <v>974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200"/>
        <v>1</v>
      </c>
      <c r="Z1639" s="2" t="s">
        <v>3231</v>
      </c>
      <c r="AA1639" s="2" t="s">
        <v>46</v>
      </c>
      <c r="AB1639" s="2" t="s">
        <v>61</v>
      </c>
      <c r="AC1639" s="2" t="s">
        <v>58</v>
      </c>
      <c r="AF1639" s="2">
        <f t="shared" si="196"/>
        <v>0</v>
      </c>
      <c r="AJ1639" s="2">
        <f t="shared" si="197"/>
        <v>0</v>
      </c>
      <c r="AK1639" s="2">
        <f t="shared" si="198"/>
        <v>29</v>
      </c>
      <c r="AL1639" s="5">
        <f t="shared" si="199"/>
        <v>1</v>
      </c>
    </row>
    <row r="1640" spans="1:38" hidden="1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1752</v>
      </c>
      <c r="P1640" s="2" t="s">
        <v>115</v>
      </c>
      <c r="Q1640" s="2" t="s">
        <v>734</v>
      </c>
      <c r="R1640" s="2" t="s">
        <v>735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00"/>
        <v>1</v>
      </c>
      <c r="Z1640" s="2" t="s">
        <v>118</v>
      </c>
      <c r="AF1640" s="2">
        <f t="shared" si="196"/>
        <v>0</v>
      </c>
      <c r="AJ1640" s="2">
        <f t="shared" si="197"/>
        <v>0</v>
      </c>
      <c r="AK1640" s="2">
        <f t="shared" si="198"/>
        <v>28.25</v>
      </c>
      <c r="AL1640" s="5">
        <f t="shared" si="199"/>
        <v>1</v>
      </c>
    </row>
    <row r="1641" spans="1:38" hidden="1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1753</v>
      </c>
      <c r="P1641" s="2" t="s">
        <v>115</v>
      </c>
      <c r="Q1641" s="2" t="s">
        <v>736</v>
      </c>
      <c r="R1641" s="2" t="s">
        <v>737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200"/>
        <v>1</v>
      </c>
      <c r="AF1641" s="2">
        <f t="shared" si="196"/>
        <v>0</v>
      </c>
      <c r="AJ1641" s="2">
        <f t="shared" si="197"/>
        <v>0</v>
      </c>
      <c r="AK1641" s="2">
        <f t="shared" si="198"/>
        <v>42.99</v>
      </c>
      <c r="AL1641" s="5">
        <f t="shared" si="199"/>
        <v>1</v>
      </c>
    </row>
    <row r="1642" spans="1:38" hidden="1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1753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200"/>
        <v>1</v>
      </c>
      <c r="Z1642" s="2" t="s">
        <v>170</v>
      </c>
      <c r="AA1642" s="2" t="s">
        <v>170</v>
      </c>
      <c r="AF1642" s="2">
        <f t="shared" si="196"/>
        <v>0</v>
      </c>
      <c r="AJ1642" s="2">
        <f t="shared" si="197"/>
        <v>0</v>
      </c>
      <c r="AK1642" s="2">
        <f t="shared" si="198"/>
        <v>8.5</v>
      </c>
      <c r="AL1642" s="5">
        <f t="shared" si="199"/>
        <v>1</v>
      </c>
    </row>
    <row r="1643" spans="1:38" hidden="1" x14ac:dyDescent="0.2">
      <c r="A1643" s="2">
        <v>2025</v>
      </c>
      <c r="B1643" s="2">
        <v>8</v>
      </c>
      <c r="D1643" s="2" t="s">
        <v>938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939</v>
      </c>
      <c r="J1643" s="2" t="s">
        <v>940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1037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00"/>
        <v>0.48486363636363639</v>
      </c>
      <c r="Z1643" s="2" t="s">
        <v>3231</v>
      </c>
      <c r="AA1643" s="2" t="s">
        <v>76</v>
      </c>
      <c r="AB1643" s="2" t="s">
        <v>77</v>
      </c>
      <c r="AC1643" s="2" t="s">
        <v>78</v>
      </c>
      <c r="AF1643" s="2">
        <f t="shared" si="196"/>
        <v>0</v>
      </c>
      <c r="AG1643" s="2">
        <v>113.33</v>
      </c>
      <c r="AH1643" s="2">
        <v>220</v>
      </c>
      <c r="AJ1643" s="2">
        <f t="shared" si="197"/>
        <v>0</v>
      </c>
      <c r="AK1643" s="2">
        <f t="shared" si="198"/>
        <v>106.67</v>
      </c>
      <c r="AL1643" s="5">
        <f t="shared" si="199"/>
        <v>0.48486363636363639</v>
      </c>
    </row>
    <row r="1644" spans="1:38" hidden="1" x14ac:dyDescent="0.2">
      <c r="A1644" s="2">
        <v>2025</v>
      </c>
      <c r="B1644" s="2">
        <v>8</v>
      </c>
      <c r="D1644" s="2" t="s">
        <v>938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939</v>
      </c>
      <c r="J1644" s="2" t="s">
        <v>940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00"/>
        <v>0</v>
      </c>
      <c r="Z1644" s="2" t="s">
        <v>3231</v>
      </c>
      <c r="AA1644" s="2" t="s">
        <v>97</v>
      </c>
      <c r="AB1644" s="2" t="s">
        <v>77</v>
      </c>
      <c r="AC1644" s="2" t="s">
        <v>94</v>
      </c>
      <c r="AF1644" s="2">
        <f t="shared" si="196"/>
        <v>0</v>
      </c>
      <c r="AJ1644" s="2">
        <f t="shared" si="197"/>
        <v>0</v>
      </c>
      <c r="AK1644" s="2">
        <f t="shared" si="198"/>
        <v>0</v>
      </c>
      <c r="AL1644" s="5">
        <f t="shared" si="199"/>
        <v>0</v>
      </c>
    </row>
    <row r="1645" spans="1:38" hidden="1" x14ac:dyDescent="0.2">
      <c r="A1645" s="2">
        <v>2025</v>
      </c>
      <c r="B1645" s="2">
        <v>8</v>
      </c>
      <c r="C1645" s="2" t="s">
        <v>3322</v>
      </c>
      <c r="D1645" s="2" t="s">
        <v>1754</v>
      </c>
      <c r="E1645" s="2" t="s">
        <v>38</v>
      </c>
      <c r="F1645" s="2" t="s">
        <v>39</v>
      </c>
      <c r="I1645" s="2" t="s">
        <v>3393</v>
      </c>
      <c r="L1645" s="2" t="s">
        <v>481</v>
      </c>
      <c r="M1645" s="2" t="s">
        <v>81</v>
      </c>
      <c r="P1645" s="2" t="s">
        <v>73</v>
      </c>
      <c r="Q1645" s="2" t="s">
        <v>1024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00"/>
        <v>0.38904761904761898</v>
      </c>
      <c r="Z1645" s="2" t="s">
        <v>3231</v>
      </c>
      <c r="AA1645" s="2" t="s">
        <v>76</v>
      </c>
      <c r="AB1645" s="2" t="s">
        <v>77</v>
      </c>
      <c r="AC1645" s="2" t="s">
        <v>78</v>
      </c>
      <c r="AF1645" s="2">
        <f t="shared" si="196"/>
        <v>0</v>
      </c>
      <c r="AJ1645" s="2">
        <f t="shared" si="197"/>
        <v>0</v>
      </c>
      <c r="AK1645" s="2">
        <f t="shared" si="198"/>
        <v>81.699999999999989</v>
      </c>
      <c r="AL1645" s="5">
        <f t="shared" si="199"/>
        <v>0.38904761904761898</v>
      </c>
    </row>
    <row r="1646" spans="1:38" hidden="1" x14ac:dyDescent="0.2">
      <c r="A1646" s="2">
        <v>2025</v>
      </c>
      <c r="B1646" s="2">
        <v>8</v>
      </c>
      <c r="C1646" s="2" t="s">
        <v>3322</v>
      </c>
      <c r="D1646" s="2" t="s">
        <v>1754</v>
      </c>
      <c r="E1646" s="2" t="s">
        <v>38</v>
      </c>
      <c r="F1646" s="2" t="s">
        <v>39</v>
      </c>
      <c r="I1646" s="2" t="s">
        <v>3393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00"/>
        <v>0</v>
      </c>
      <c r="Z1646" s="2" t="s">
        <v>3231</v>
      </c>
      <c r="AA1646" s="2" t="s">
        <v>97</v>
      </c>
      <c r="AB1646" s="2" t="s">
        <v>77</v>
      </c>
      <c r="AC1646" s="2" t="s">
        <v>94</v>
      </c>
      <c r="AF1646" s="2">
        <f t="shared" si="196"/>
        <v>0</v>
      </c>
      <c r="AJ1646" s="2">
        <f t="shared" si="197"/>
        <v>0</v>
      </c>
      <c r="AK1646" s="2">
        <f t="shared" si="198"/>
        <v>0</v>
      </c>
      <c r="AL1646" s="5">
        <f t="shared" si="199"/>
        <v>0</v>
      </c>
    </row>
    <row r="1647" spans="1:38" hidden="1" x14ac:dyDescent="0.2">
      <c r="A1647" s="2">
        <v>2025</v>
      </c>
      <c r="B1647" s="2">
        <v>8</v>
      </c>
      <c r="D1647" s="2" t="s">
        <v>948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949</v>
      </c>
      <c r="L1647" s="2" t="s">
        <v>340</v>
      </c>
      <c r="M1647" s="2" t="s">
        <v>40</v>
      </c>
      <c r="O1647" s="2" t="s">
        <v>1755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00"/>
        <v>0.6</v>
      </c>
      <c r="Z1647" s="2" t="s">
        <v>118</v>
      </c>
      <c r="AA1647" s="2" t="s">
        <v>191</v>
      </c>
      <c r="AB1647" s="2" t="s">
        <v>190</v>
      </c>
      <c r="AC1647" s="2" t="s">
        <v>40</v>
      </c>
      <c r="AF1647" s="2">
        <f t="shared" si="196"/>
        <v>0</v>
      </c>
      <c r="AJ1647" s="2">
        <f t="shared" si="197"/>
        <v>0</v>
      </c>
      <c r="AK1647" s="2">
        <f t="shared" si="198"/>
        <v>30</v>
      </c>
      <c r="AL1647" s="5">
        <f t="shared" si="199"/>
        <v>0.6</v>
      </c>
    </row>
    <row r="1648" spans="1:38" hidden="1" x14ac:dyDescent="0.2">
      <c r="A1648" s="2">
        <v>2025</v>
      </c>
      <c r="B1648" s="2">
        <v>8</v>
      </c>
      <c r="D1648" s="2" t="s">
        <v>948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949</v>
      </c>
      <c r="L1648" s="2" t="s">
        <v>340</v>
      </c>
      <c r="M1648" s="2" t="s">
        <v>40</v>
      </c>
      <c r="O1648" s="2" t="s">
        <v>1755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00"/>
        <v>0.5</v>
      </c>
      <c r="Z1648" s="2" t="s">
        <v>118</v>
      </c>
      <c r="AA1648" s="2" t="s">
        <v>191</v>
      </c>
      <c r="AB1648" s="2" t="s">
        <v>191</v>
      </c>
      <c r="AC1648" s="2" t="s">
        <v>40</v>
      </c>
      <c r="AF1648" s="2">
        <f t="shared" si="196"/>
        <v>0</v>
      </c>
      <c r="AJ1648" s="2">
        <f t="shared" si="197"/>
        <v>0</v>
      </c>
      <c r="AK1648" s="2">
        <f t="shared" si="198"/>
        <v>12.5</v>
      </c>
      <c r="AL1648" s="5">
        <f t="shared" si="199"/>
        <v>0.5</v>
      </c>
    </row>
    <row r="1649" spans="1:38" hidden="1" x14ac:dyDescent="0.2">
      <c r="A1649" s="2">
        <v>2025</v>
      </c>
      <c r="B1649" s="2">
        <v>8</v>
      </c>
      <c r="C1649" s="2" t="s">
        <v>3322</v>
      </c>
      <c r="D1649" s="2" t="s">
        <v>1164</v>
      </c>
      <c r="E1649" s="2" t="s">
        <v>753</v>
      </c>
      <c r="G1649" s="2">
        <v>508199280</v>
      </c>
      <c r="H1649" s="2" t="s">
        <v>40</v>
      </c>
      <c r="I1649" s="2" t="s">
        <v>1165</v>
      </c>
      <c r="L1649" s="2" t="s">
        <v>294</v>
      </c>
      <c r="M1649" s="2" t="s">
        <v>81</v>
      </c>
      <c r="P1649" s="2" t="s">
        <v>73</v>
      </c>
      <c r="Q1649" s="2" t="s">
        <v>1450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00"/>
        <v>0.42924306354686104</v>
      </c>
      <c r="Z1649" s="2" t="s">
        <v>3231</v>
      </c>
      <c r="AA1649" s="2" t="s">
        <v>76</v>
      </c>
      <c r="AB1649" s="2" t="s">
        <v>77</v>
      </c>
      <c r="AC1649" s="2" t="s">
        <v>78</v>
      </c>
      <c r="AF1649" s="2">
        <f t="shared" si="196"/>
        <v>0</v>
      </c>
      <c r="AJ1649" s="2">
        <f t="shared" si="197"/>
        <v>0</v>
      </c>
      <c r="AK1649" s="2">
        <f t="shared" si="198"/>
        <v>100.7133</v>
      </c>
      <c r="AL1649" s="5">
        <f t="shared" si="199"/>
        <v>0.42924306354686104</v>
      </c>
    </row>
    <row r="1650" spans="1:38" hidden="1" x14ac:dyDescent="0.2">
      <c r="A1650" s="2">
        <v>2025</v>
      </c>
      <c r="B1650" s="2">
        <v>8</v>
      </c>
      <c r="C1650" s="2" t="s">
        <v>3322</v>
      </c>
      <c r="D1650" s="2" t="s">
        <v>1164</v>
      </c>
      <c r="E1650" s="2" t="s">
        <v>753</v>
      </c>
      <c r="G1650" s="2">
        <v>508199280</v>
      </c>
      <c r="H1650" s="2" t="s">
        <v>40</v>
      </c>
      <c r="I1650" s="2" t="s">
        <v>1165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00"/>
        <v>0</v>
      </c>
      <c r="Z1650" s="2" t="s">
        <v>3231</v>
      </c>
      <c r="AA1650" s="2" t="s">
        <v>97</v>
      </c>
      <c r="AB1650" s="2" t="s">
        <v>77</v>
      </c>
      <c r="AC1650" s="2" t="s">
        <v>94</v>
      </c>
      <c r="AF1650" s="2">
        <f t="shared" si="196"/>
        <v>0</v>
      </c>
      <c r="AJ1650" s="2">
        <f t="shared" si="197"/>
        <v>0</v>
      </c>
      <c r="AK1650" s="2">
        <f t="shared" si="198"/>
        <v>0</v>
      </c>
      <c r="AL1650" s="5">
        <f t="shared" si="199"/>
        <v>0</v>
      </c>
    </row>
    <row r="1651" spans="1:38" hidden="1" x14ac:dyDescent="0.2">
      <c r="A1651" s="2">
        <v>2025</v>
      </c>
      <c r="B1651" s="2">
        <v>8</v>
      </c>
      <c r="D1651" s="2" t="s">
        <v>690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691</v>
      </c>
      <c r="K1651" s="2">
        <v>913036545</v>
      </c>
      <c r="L1651" s="2" t="s">
        <v>178</v>
      </c>
      <c r="M1651" s="2" t="s">
        <v>41</v>
      </c>
      <c r="O1651" s="2" t="s">
        <v>1756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00"/>
        <v>0.24285714285714285</v>
      </c>
      <c r="Z1651" s="2" t="s">
        <v>3231</v>
      </c>
      <c r="AA1651" s="2" t="s">
        <v>46</v>
      </c>
      <c r="AB1651" s="2" t="s">
        <v>57</v>
      </c>
      <c r="AC1651" s="2" t="s">
        <v>58</v>
      </c>
      <c r="AF1651" s="2">
        <f t="shared" si="196"/>
        <v>0</v>
      </c>
      <c r="AG1651" s="2">
        <v>10.6</v>
      </c>
      <c r="AH1651" s="2">
        <v>18</v>
      </c>
      <c r="AJ1651" s="2">
        <f t="shared" si="197"/>
        <v>0</v>
      </c>
      <c r="AK1651" s="2">
        <f t="shared" si="198"/>
        <v>34</v>
      </c>
      <c r="AL1651" s="5">
        <f t="shared" si="199"/>
        <v>0.24285714285714285</v>
      </c>
    </row>
    <row r="1652" spans="1:38" hidden="1" x14ac:dyDescent="0.2">
      <c r="A1652" s="2">
        <v>2025</v>
      </c>
      <c r="B1652" s="2">
        <v>8</v>
      </c>
      <c r="D1652" s="2" t="s">
        <v>690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691</v>
      </c>
      <c r="K1652" s="2">
        <v>913036545</v>
      </c>
      <c r="L1652" s="2" t="s">
        <v>178</v>
      </c>
      <c r="M1652" s="2" t="s">
        <v>41</v>
      </c>
      <c r="O1652" s="2" t="s">
        <v>1757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00"/>
        <v>0.5243888888888889</v>
      </c>
      <c r="Z1652" s="2" t="s">
        <v>3231</v>
      </c>
      <c r="AA1652" s="2" t="s">
        <v>46</v>
      </c>
      <c r="AB1652" s="2" t="s">
        <v>61</v>
      </c>
      <c r="AC1652" s="2" t="s">
        <v>58</v>
      </c>
      <c r="AF1652" s="2">
        <f t="shared" si="196"/>
        <v>0</v>
      </c>
      <c r="AG1652" s="2">
        <v>0.85609999999999997</v>
      </c>
      <c r="AH1652" s="2">
        <v>1.8</v>
      </c>
      <c r="AJ1652" s="2">
        <f t="shared" si="197"/>
        <v>0</v>
      </c>
      <c r="AK1652" s="2">
        <f t="shared" si="198"/>
        <v>18.878</v>
      </c>
      <c r="AL1652" s="5">
        <f t="shared" si="199"/>
        <v>0.5243888888888889</v>
      </c>
    </row>
    <row r="1653" spans="1:38" hidden="1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1758</v>
      </c>
      <c r="P1653" s="2" t="s">
        <v>115</v>
      </c>
      <c r="Q1653" s="2" t="s">
        <v>809</v>
      </c>
      <c r="R1653" s="2" t="s">
        <v>810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00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6"/>
        <v>0</v>
      </c>
      <c r="AG1653" s="2">
        <v>40.357500000000002</v>
      </c>
      <c r="AJ1653" s="2">
        <f t="shared" si="197"/>
        <v>0</v>
      </c>
      <c r="AK1653" s="2">
        <f t="shared" si="198"/>
        <v>43.432500000000005</v>
      </c>
      <c r="AL1653" s="5">
        <f t="shared" si="199"/>
        <v>0.51834944504117442</v>
      </c>
    </row>
    <row r="1654" spans="1:38" hidden="1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1758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B1654" s="2" t="s">
        <v>190</v>
      </c>
      <c r="AC1654" s="2" t="s">
        <v>40</v>
      </c>
      <c r="AF1654" s="2">
        <f t="shared" si="196"/>
        <v>0</v>
      </c>
      <c r="AJ1654" s="2">
        <f t="shared" si="197"/>
        <v>0</v>
      </c>
      <c r="AK1654" s="2">
        <f t="shared" si="198"/>
        <v>0</v>
      </c>
      <c r="AL1654" s="5">
        <v>0</v>
      </c>
    </row>
    <row r="1655" spans="1:38" hidden="1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1758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01">(T1655-W1655)/T1655</f>
        <v>0.5</v>
      </c>
      <c r="Z1655" s="2" t="s">
        <v>118</v>
      </c>
      <c r="AA1655" s="2" t="s">
        <v>191</v>
      </c>
      <c r="AB1655" s="2" t="s">
        <v>191</v>
      </c>
      <c r="AC1655" s="2" t="s">
        <v>40</v>
      </c>
      <c r="AF1655" s="2">
        <f t="shared" si="196"/>
        <v>0</v>
      </c>
      <c r="AJ1655" s="2">
        <f t="shared" si="197"/>
        <v>0</v>
      </c>
      <c r="AK1655" s="2">
        <f t="shared" si="198"/>
        <v>18.75</v>
      </c>
      <c r="AL1655" s="5">
        <f t="shared" si="199"/>
        <v>0.5</v>
      </c>
    </row>
    <row r="1656" spans="1:38" hidden="1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3119</v>
      </c>
      <c r="J1656" s="2" t="s">
        <v>3120</v>
      </c>
      <c r="L1656" s="2" t="s">
        <v>113</v>
      </c>
      <c r="M1656" s="2" t="s">
        <v>40</v>
      </c>
      <c r="O1656" s="2" t="s">
        <v>3122</v>
      </c>
      <c r="P1656" s="2" t="s">
        <v>115</v>
      </c>
      <c r="Q1656" s="2" t="s">
        <v>881</v>
      </c>
      <c r="R1656" s="2" t="s">
        <v>882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01"/>
        <v>0.27129111111111109</v>
      </c>
      <c r="Z1656" s="2" t="s">
        <v>105</v>
      </c>
      <c r="AA1656" s="2" t="s">
        <v>617</v>
      </c>
      <c r="AB1656" s="2" t="s">
        <v>2512</v>
      </c>
      <c r="AC1656" s="2" t="s">
        <v>115</v>
      </c>
      <c r="AF1656" s="2">
        <f t="shared" si="196"/>
        <v>0</v>
      </c>
      <c r="AG1656" s="2">
        <f>3130.82+148.37</f>
        <v>3279.19</v>
      </c>
      <c r="AJ1656" s="2">
        <f t="shared" si="197"/>
        <v>0</v>
      </c>
      <c r="AK1656" s="2">
        <f t="shared" si="198"/>
        <v>1220.81</v>
      </c>
      <c r="AL1656" s="5">
        <f t="shared" si="199"/>
        <v>0.27129111111111109</v>
      </c>
    </row>
    <row r="1657" spans="1:38" hidden="1" x14ac:dyDescent="0.2">
      <c r="A1657" s="2">
        <v>2025</v>
      </c>
      <c r="B1657" s="2">
        <v>8</v>
      </c>
      <c r="D1657" s="2" t="s">
        <v>1180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1181</v>
      </c>
      <c r="J1657" s="2" t="s">
        <v>1182</v>
      </c>
      <c r="L1657" s="2" t="s">
        <v>462</v>
      </c>
      <c r="M1657" s="2" t="s">
        <v>41</v>
      </c>
      <c r="O1657" s="2" t="s">
        <v>1759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01"/>
        <v>0.53508771929824572</v>
      </c>
      <c r="Z1657" s="2" t="s">
        <v>3231</v>
      </c>
      <c r="AA1657" s="2" t="s">
        <v>46</v>
      </c>
      <c r="AB1657" s="2" t="s">
        <v>57</v>
      </c>
      <c r="AC1657" s="2" t="s">
        <v>58</v>
      </c>
      <c r="AF1657" s="2">
        <f t="shared" si="196"/>
        <v>0</v>
      </c>
      <c r="AG1657" s="2">
        <v>10.6</v>
      </c>
      <c r="AH1657" s="2">
        <v>18</v>
      </c>
      <c r="AJ1657" s="2">
        <f t="shared" si="197"/>
        <v>0</v>
      </c>
      <c r="AK1657" s="2">
        <f t="shared" si="198"/>
        <v>36.600000000000009</v>
      </c>
      <c r="AL1657" s="5">
        <f t="shared" si="199"/>
        <v>0.53508771929824572</v>
      </c>
    </row>
    <row r="1658" spans="1:38" hidden="1" x14ac:dyDescent="0.2">
      <c r="A1658" s="2">
        <v>2025</v>
      </c>
      <c r="B1658" s="2">
        <v>8</v>
      </c>
      <c r="D1658" s="2" t="s">
        <v>1180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1181</v>
      </c>
      <c r="J1658" s="2" t="s">
        <v>1182</v>
      </c>
      <c r="L1658" s="2" t="s">
        <v>462</v>
      </c>
      <c r="M1658" s="2" t="s">
        <v>41</v>
      </c>
      <c r="O1658" s="2" t="s">
        <v>1760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01"/>
        <v>0.36923076923076914</v>
      </c>
      <c r="Z1658" s="2" t="s">
        <v>3231</v>
      </c>
      <c r="AA1658" s="2" t="s">
        <v>46</v>
      </c>
      <c r="AB1658" s="2" t="s">
        <v>61</v>
      </c>
      <c r="AC1658" s="2" t="s">
        <v>58</v>
      </c>
      <c r="AF1658" s="2">
        <f t="shared" si="196"/>
        <v>0</v>
      </c>
      <c r="AG1658" s="2">
        <v>8.1999999999999993</v>
      </c>
      <c r="AH1658" s="2">
        <v>13</v>
      </c>
      <c r="AJ1658" s="2">
        <f t="shared" si="197"/>
        <v>0</v>
      </c>
      <c r="AK1658" s="2">
        <f t="shared" si="198"/>
        <v>4.7999999999999989</v>
      </c>
      <c r="AL1658" s="5">
        <f t="shared" si="199"/>
        <v>0.36923076923076914</v>
      </c>
    </row>
    <row r="1659" spans="1:38" hidden="1" x14ac:dyDescent="0.2">
      <c r="A1659" s="2">
        <v>2025</v>
      </c>
      <c r="B1659" s="2">
        <v>8</v>
      </c>
      <c r="D1659" s="2" t="s">
        <v>1180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1181</v>
      </c>
      <c r="J1659" s="2" t="s">
        <v>1182</v>
      </c>
      <c r="L1659" s="2" t="s">
        <v>462</v>
      </c>
      <c r="M1659" s="2" t="s">
        <v>41</v>
      </c>
      <c r="O1659" s="2" t="s">
        <v>1760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01"/>
        <v>0.34714285714285725</v>
      </c>
      <c r="Z1659" s="2" t="s">
        <v>3231</v>
      </c>
      <c r="AA1659" s="2" t="s">
        <v>46</v>
      </c>
      <c r="AB1659" s="2" t="s">
        <v>61</v>
      </c>
      <c r="AC1659" s="2" t="s">
        <v>58</v>
      </c>
      <c r="AF1659" s="2">
        <f t="shared" si="196"/>
        <v>0</v>
      </c>
      <c r="AJ1659" s="2">
        <f t="shared" si="197"/>
        <v>0</v>
      </c>
      <c r="AK1659" s="2">
        <f t="shared" si="198"/>
        <v>4.8600000000000012</v>
      </c>
      <c r="AL1659" s="5">
        <f t="shared" si="199"/>
        <v>0.34714285714285725</v>
      </c>
    </row>
    <row r="1660" spans="1:38" hidden="1" x14ac:dyDescent="0.2">
      <c r="A1660" s="2">
        <v>2025</v>
      </c>
      <c r="B1660" s="2">
        <v>8</v>
      </c>
      <c r="D1660" s="2" t="s">
        <v>1180</v>
      </c>
      <c r="E1660" s="2" t="s">
        <v>38</v>
      </c>
      <c r="G1660" s="2">
        <v>502089075</v>
      </c>
      <c r="H1660" s="2" t="s">
        <v>41</v>
      </c>
      <c r="I1660" s="2" t="s">
        <v>1181</v>
      </c>
      <c r="J1660" s="2" t="s">
        <v>1182</v>
      </c>
      <c r="L1660" s="2" t="s">
        <v>462</v>
      </c>
      <c r="M1660" s="2" t="s">
        <v>41</v>
      </c>
      <c r="O1660" s="2" t="s">
        <v>1759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201"/>
        <v>1</v>
      </c>
      <c r="Z1660" s="2" t="s">
        <v>170</v>
      </c>
      <c r="AA1660" s="2" t="s">
        <v>170</v>
      </c>
      <c r="AF1660" s="2">
        <f t="shared" si="196"/>
        <v>0</v>
      </c>
      <c r="AJ1660" s="2">
        <f t="shared" si="197"/>
        <v>0</v>
      </c>
      <c r="AK1660" s="2">
        <f t="shared" si="198"/>
        <v>8</v>
      </c>
      <c r="AL1660" s="5">
        <f t="shared" si="199"/>
        <v>1</v>
      </c>
    </row>
    <row r="1661" spans="1:38" hidden="1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1761</v>
      </c>
      <c r="P1661" s="2" t="s">
        <v>73</v>
      </c>
      <c r="Q1661" s="2" t="s">
        <v>1762</v>
      </c>
      <c r="R1661" s="2" t="s">
        <v>964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01"/>
        <v>0.42249999999999999</v>
      </c>
      <c r="Z1661" s="2" t="s">
        <v>3231</v>
      </c>
      <c r="AA1661" s="2" t="s">
        <v>76</v>
      </c>
      <c r="AB1661" s="2" t="s">
        <v>77</v>
      </c>
      <c r="AC1661" s="2" t="s">
        <v>78</v>
      </c>
      <c r="AF1661" s="2">
        <f t="shared" si="196"/>
        <v>0</v>
      </c>
      <c r="AJ1661" s="2">
        <f t="shared" si="197"/>
        <v>0</v>
      </c>
      <c r="AK1661" s="2">
        <f t="shared" si="198"/>
        <v>169</v>
      </c>
      <c r="AL1661" s="5">
        <f t="shared" si="199"/>
        <v>0.42249999999999999</v>
      </c>
    </row>
    <row r="1662" spans="1:38" hidden="1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1761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01"/>
        <v>0.25</v>
      </c>
      <c r="Z1662" s="2" t="s">
        <v>170</v>
      </c>
      <c r="AA1662" s="2" t="s">
        <v>170</v>
      </c>
      <c r="AF1662" s="2">
        <f t="shared" si="196"/>
        <v>0</v>
      </c>
      <c r="AJ1662" s="2">
        <f t="shared" si="197"/>
        <v>0</v>
      </c>
      <c r="AK1662" s="2">
        <f t="shared" si="198"/>
        <v>10</v>
      </c>
      <c r="AL1662" s="5">
        <f t="shared" si="199"/>
        <v>0.25</v>
      </c>
    </row>
    <row r="1663" spans="1:38" hidden="1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1761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01"/>
        <v>0</v>
      </c>
      <c r="Z1663" s="2" t="s">
        <v>3231</v>
      </c>
      <c r="AA1663" s="2" t="s">
        <v>97</v>
      </c>
      <c r="AB1663" s="2" t="s">
        <v>77</v>
      </c>
      <c r="AC1663" s="2" t="s">
        <v>94</v>
      </c>
      <c r="AF1663" s="2">
        <f t="shared" si="196"/>
        <v>0</v>
      </c>
      <c r="AJ1663" s="2">
        <f t="shared" si="197"/>
        <v>0</v>
      </c>
      <c r="AK1663" s="2">
        <f t="shared" si="198"/>
        <v>0</v>
      </c>
      <c r="AL1663" s="5">
        <f t="shared" si="199"/>
        <v>0</v>
      </c>
    </row>
    <row r="1664" spans="1:38" hidden="1" x14ac:dyDescent="0.2">
      <c r="A1664" s="2">
        <v>2025</v>
      </c>
      <c r="B1664" s="2">
        <v>8</v>
      </c>
      <c r="D1664" s="2" t="s">
        <v>1763</v>
      </c>
      <c r="P1664" s="2" t="s">
        <v>115</v>
      </c>
      <c r="Q1664" s="2" t="s">
        <v>1764</v>
      </c>
      <c r="R1664" s="2" t="s">
        <v>1765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01"/>
        <v>1</v>
      </c>
      <c r="Z1664" s="2" t="s">
        <v>105</v>
      </c>
      <c r="AF1664" s="2">
        <f t="shared" si="196"/>
        <v>0</v>
      </c>
      <c r="AJ1664" s="2">
        <f t="shared" si="197"/>
        <v>0</v>
      </c>
      <c r="AK1664" s="2">
        <f t="shared" si="198"/>
        <v>5750</v>
      </c>
      <c r="AL1664" s="5">
        <f t="shared" si="199"/>
        <v>1</v>
      </c>
    </row>
    <row r="1665" spans="1:38" hidden="1" x14ac:dyDescent="0.2">
      <c r="A1665" s="2">
        <v>2025</v>
      </c>
      <c r="B1665" s="2">
        <v>8</v>
      </c>
      <c r="D1665" s="2" t="s">
        <v>1763</v>
      </c>
      <c r="P1665" s="2" t="s">
        <v>115</v>
      </c>
      <c r="Q1665" s="2" t="s">
        <v>1766</v>
      </c>
      <c r="R1665" s="2" t="s">
        <v>1767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01"/>
        <v>1</v>
      </c>
      <c r="Z1665" s="2" t="s">
        <v>105</v>
      </c>
      <c r="AF1665" s="2">
        <f t="shared" si="196"/>
        <v>0</v>
      </c>
      <c r="AJ1665" s="2">
        <f t="shared" si="197"/>
        <v>0</v>
      </c>
      <c r="AK1665" s="2">
        <f t="shared" si="198"/>
        <v>6095</v>
      </c>
      <c r="AL1665" s="5">
        <f t="shared" si="199"/>
        <v>1</v>
      </c>
    </row>
    <row r="1666" spans="1:38" hidden="1" x14ac:dyDescent="0.2">
      <c r="A1666" s="2">
        <v>2025</v>
      </c>
      <c r="B1666" s="2">
        <v>8</v>
      </c>
      <c r="D1666" s="2" t="s">
        <v>1768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01"/>
        <v>0.6</v>
      </c>
      <c r="Z1666" s="2" t="s">
        <v>118</v>
      </c>
      <c r="AA1666" s="2" t="s">
        <v>191</v>
      </c>
      <c r="AB1666" s="2" t="s">
        <v>190</v>
      </c>
      <c r="AC1666" s="2" t="s">
        <v>40</v>
      </c>
      <c r="AF1666" s="2">
        <f t="shared" si="196"/>
        <v>0</v>
      </c>
      <c r="AJ1666" s="2">
        <f t="shared" si="197"/>
        <v>0</v>
      </c>
      <c r="AK1666" s="2">
        <f t="shared" si="198"/>
        <v>47.4</v>
      </c>
      <c r="AL1666" s="5">
        <f t="shared" si="199"/>
        <v>0.6</v>
      </c>
    </row>
    <row r="1667" spans="1:38" hidden="1" x14ac:dyDescent="0.2">
      <c r="A1667" s="2">
        <v>2025</v>
      </c>
      <c r="B1667" s="2">
        <v>8</v>
      </c>
      <c r="D1667" s="2" t="s">
        <v>1768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01"/>
        <v>0.5</v>
      </c>
      <c r="Z1667" s="2" t="s">
        <v>118</v>
      </c>
      <c r="AA1667" s="2" t="s">
        <v>191</v>
      </c>
      <c r="AB1667" s="2" t="s">
        <v>191</v>
      </c>
      <c r="AC1667" s="2" t="s">
        <v>40</v>
      </c>
      <c r="AF1667" s="2">
        <f t="shared" ref="AF1667:AF1730" si="202">AJ1667</f>
        <v>0</v>
      </c>
      <c r="AJ1667" s="2">
        <f t="shared" ref="AJ1667:AJ1730" si="203">AI1667*T1667</f>
        <v>0</v>
      </c>
      <c r="AK1667" s="2">
        <f t="shared" ref="AK1667:AK1730" si="204">T1667-W1667</f>
        <v>50</v>
      </c>
      <c r="AL1667" s="5">
        <f t="shared" si="199"/>
        <v>0.5</v>
      </c>
    </row>
    <row r="1668" spans="1:38" hidden="1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01"/>
        <v>0.6</v>
      </c>
      <c r="Z1668" s="2" t="s">
        <v>118</v>
      </c>
      <c r="AA1668" s="2" t="s">
        <v>191</v>
      </c>
      <c r="AB1668" s="2" t="s">
        <v>190</v>
      </c>
      <c r="AC1668" s="2" t="s">
        <v>40</v>
      </c>
      <c r="AF1668" s="2">
        <f t="shared" si="202"/>
        <v>0</v>
      </c>
      <c r="AJ1668" s="2">
        <f t="shared" si="203"/>
        <v>0</v>
      </c>
      <c r="AK1668" s="2">
        <f t="shared" si="204"/>
        <v>42</v>
      </c>
      <c r="AL1668" s="5">
        <f t="shared" si="199"/>
        <v>0.6</v>
      </c>
    </row>
    <row r="1669" spans="1:38" hidden="1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01"/>
        <v>0.5</v>
      </c>
      <c r="Z1669" s="2" t="s">
        <v>118</v>
      </c>
      <c r="AA1669" s="2" t="s">
        <v>191</v>
      </c>
      <c r="AB1669" s="2" t="s">
        <v>191</v>
      </c>
      <c r="AC1669" s="2" t="s">
        <v>40</v>
      </c>
      <c r="AF1669" s="2">
        <f t="shared" si="202"/>
        <v>0</v>
      </c>
      <c r="AJ1669" s="2">
        <f t="shared" si="203"/>
        <v>0</v>
      </c>
      <c r="AK1669" s="2">
        <f t="shared" si="204"/>
        <v>25</v>
      </c>
      <c r="AL1669" s="5">
        <f t="shared" si="199"/>
        <v>0.5</v>
      </c>
    </row>
    <row r="1670" spans="1:38" hidden="1" x14ac:dyDescent="0.2">
      <c r="A1670" s="2">
        <v>2025</v>
      </c>
      <c r="B1670" s="2">
        <v>8</v>
      </c>
      <c r="D1670" s="2" t="s">
        <v>732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733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01"/>
        <v>0.44069999999999998</v>
      </c>
      <c r="Z1670" s="2" t="s">
        <v>3231</v>
      </c>
      <c r="AA1670" s="2" t="s">
        <v>76</v>
      </c>
      <c r="AB1670" s="2" t="s">
        <v>77</v>
      </c>
      <c r="AC1670" s="2" t="s">
        <v>78</v>
      </c>
      <c r="AF1670" s="2">
        <f t="shared" si="202"/>
        <v>0</v>
      </c>
      <c r="AG1670" s="2">
        <v>117.453</v>
      </c>
      <c r="AH1670" s="2">
        <v>220</v>
      </c>
      <c r="AJ1670" s="2">
        <f t="shared" si="203"/>
        <v>0</v>
      </c>
      <c r="AK1670" s="2">
        <f t="shared" si="204"/>
        <v>92.546999999999997</v>
      </c>
      <c r="AL1670" s="5">
        <f t="shared" si="199"/>
        <v>0.44069999999999998</v>
      </c>
    </row>
    <row r="1671" spans="1:38" hidden="1" x14ac:dyDescent="0.2">
      <c r="A1671" s="2">
        <v>2025</v>
      </c>
      <c r="B1671" s="2">
        <v>8</v>
      </c>
      <c r="D1671" s="2" t="s">
        <v>732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733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01"/>
        <v>0</v>
      </c>
      <c r="Z1671" s="2" t="s">
        <v>3231</v>
      </c>
      <c r="AA1671" s="2" t="s">
        <v>97</v>
      </c>
      <c r="AB1671" s="2" t="s">
        <v>77</v>
      </c>
      <c r="AC1671" s="2" t="s">
        <v>94</v>
      </c>
      <c r="AF1671" s="2">
        <f t="shared" si="202"/>
        <v>0</v>
      </c>
      <c r="AG1671" s="2">
        <v>1.1399999999999999</v>
      </c>
      <c r="AH1671" s="2">
        <v>1.1399999999999999</v>
      </c>
      <c r="AJ1671" s="2">
        <f t="shared" si="203"/>
        <v>0</v>
      </c>
      <c r="AK1671" s="2">
        <f t="shared" si="204"/>
        <v>0</v>
      </c>
      <c r="AL1671" s="5">
        <f t="shared" si="199"/>
        <v>0</v>
      </c>
    </row>
    <row r="1672" spans="1:38" hidden="1" x14ac:dyDescent="0.2">
      <c r="A1672" s="2">
        <v>2025</v>
      </c>
      <c r="B1672" s="2">
        <v>8</v>
      </c>
      <c r="D1672" s="2" t="s">
        <v>1769</v>
      </c>
      <c r="P1672" s="2" t="s">
        <v>1608</v>
      </c>
      <c r="Q1672" s="2" t="s">
        <v>1770</v>
      </c>
      <c r="R1672" s="2" t="s">
        <v>1771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201"/>
        <v>1</v>
      </c>
      <c r="Z1672" s="2" t="s">
        <v>118</v>
      </c>
      <c r="AA1672" s="2" t="s">
        <v>119</v>
      </c>
      <c r="AB1672" s="2" t="s">
        <v>120</v>
      </c>
      <c r="AC1672" s="2" t="s">
        <v>1608</v>
      </c>
      <c r="AF1672" s="2">
        <f t="shared" si="202"/>
        <v>0</v>
      </c>
      <c r="AJ1672" s="2">
        <f t="shared" si="203"/>
        <v>0</v>
      </c>
      <c r="AK1672" s="2">
        <f t="shared" si="204"/>
        <v>68.86</v>
      </c>
      <c r="AL1672" s="5">
        <f t="shared" si="199"/>
        <v>1</v>
      </c>
    </row>
    <row r="1673" spans="1:38" hidden="1" x14ac:dyDescent="0.2">
      <c r="A1673" s="2">
        <v>2025</v>
      </c>
      <c r="B1673" s="2">
        <v>8</v>
      </c>
      <c r="D1673" s="2" t="s">
        <v>1769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01"/>
        <v>0.6</v>
      </c>
      <c r="Z1673" s="2" t="s">
        <v>118</v>
      </c>
      <c r="AA1673" s="2" t="s">
        <v>191</v>
      </c>
      <c r="AB1673" s="2" t="s">
        <v>190</v>
      </c>
      <c r="AC1673" s="2" t="s">
        <v>40</v>
      </c>
      <c r="AF1673" s="2">
        <f t="shared" si="202"/>
        <v>0</v>
      </c>
      <c r="AJ1673" s="2">
        <f t="shared" si="203"/>
        <v>0</v>
      </c>
      <c r="AK1673" s="2">
        <f t="shared" si="204"/>
        <v>69</v>
      </c>
      <c r="AL1673" s="5">
        <f t="shared" si="199"/>
        <v>0.6</v>
      </c>
    </row>
    <row r="1674" spans="1:38" hidden="1" x14ac:dyDescent="0.2">
      <c r="A1674" s="2">
        <v>2025</v>
      </c>
      <c r="B1674" s="2">
        <v>8</v>
      </c>
      <c r="D1674" s="2" t="s">
        <v>1769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01"/>
        <v>0.5</v>
      </c>
      <c r="Z1674" s="2" t="s">
        <v>118</v>
      </c>
      <c r="AA1674" s="2" t="s">
        <v>191</v>
      </c>
      <c r="AB1674" s="2" t="s">
        <v>191</v>
      </c>
      <c r="AC1674" s="2" t="s">
        <v>40</v>
      </c>
      <c r="AF1674" s="2">
        <f t="shared" si="202"/>
        <v>0</v>
      </c>
      <c r="AJ1674" s="2">
        <f t="shared" si="203"/>
        <v>0</v>
      </c>
      <c r="AK1674" s="2">
        <f t="shared" si="204"/>
        <v>37.5</v>
      </c>
      <c r="AL1674" s="5">
        <f t="shared" si="199"/>
        <v>0.5</v>
      </c>
    </row>
    <row r="1675" spans="1:38" hidden="1" x14ac:dyDescent="0.2">
      <c r="A1675" s="2">
        <v>2025</v>
      </c>
      <c r="B1675" s="2">
        <v>8</v>
      </c>
      <c r="D1675" s="2" t="s">
        <v>983</v>
      </c>
      <c r="E1675" s="2" t="s">
        <v>109</v>
      </c>
      <c r="F1675" s="2" t="s">
        <v>718</v>
      </c>
      <c r="G1675" s="2">
        <v>500594309</v>
      </c>
      <c r="H1675" s="2" t="s">
        <v>291</v>
      </c>
      <c r="I1675" s="2" t="s">
        <v>984</v>
      </c>
      <c r="J1675" s="2" t="s">
        <v>985</v>
      </c>
      <c r="L1675" s="2" t="s">
        <v>294</v>
      </c>
      <c r="M1675" s="2" t="s">
        <v>81</v>
      </c>
      <c r="O1675" s="2" t="s">
        <v>1772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01"/>
        <v>0.46762608695652175</v>
      </c>
      <c r="Z1675" s="2" t="s">
        <v>3231</v>
      </c>
      <c r="AA1675" s="2" t="s">
        <v>76</v>
      </c>
      <c r="AB1675" s="2" t="s">
        <v>77</v>
      </c>
      <c r="AC1675" s="2" t="s">
        <v>78</v>
      </c>
      <c r="AF1675" s="2">
        <f t="shared" si="202"/>
        <v>0</v>
      </c>
      <c r="AG1675" s="2">
        <v>122.446</v>
      </c>
      <c r="AH1675" s="2">
        <v>230</v>
      </c>
      <c r="AJ1675" s="2">
        <f t="shared" si="203"/>
        <v>0</v>
      </c>
      <c r="AK1675" s="2">
        <f t="shared" si="204"/>
        <v>107.554</v>
      </c>
      <c r="AL1675" s="5">
        <f t="shared" si="199"/>
        <v>0.46762608695652175</v>
      </c>
    </row>
    <row r="1676" spans="1:38" hidden="1" x14ac:dyDescent="0.2">
      <c r="A1676" s="2">
        <v>2025</v>
      </c>
      <c r="B1676" s="2">
        <v>8</v>
      </c>
      <c r="D1676" s="2" t="s">
        <v>983</v>
      </c>
      <c r="E1676" s="2" t="s">
        <v>109</v>
      </c>
      <c r="F1676" s="2" t="s">
        <v>718</v>
      </c>
      <c r="G1676" s="2">
        <v>500594309</v>
      </c>
      <c r="H1676" s="2" t="s">
        <v>291</v>
      </c>
      <c r="I1676" s="2" t="s">
        <v>984</v>
      </c>
      <c r="J1676" s="2" t="s">
        <v>985</v>
      </c>
      <c r="L1676" s="2" t="s">
        <v>294</v>
      </c>
      <c r="M1676" s="2" t="s">
        <v>81</v>
      </c>
      <c r="O1676" s="2" t="s">
        <v>1772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01"/>
        <v>0</v>
      </c>
      <c r="Z1676" s="2" t="s">
        <v>3231</v>
      </c>
      <c r="AA1676" s="2" t="s">
        <v>97</v>
      </c>
      <c r="AB1676" s="2" t="s">
        <v>77</v>
      </c>
      <c r="AC1676" s="2" t="s">
        <v>94</v>
      </c>
      <c r="AF1676" s="2">
        <f t="shared" si="202"/>
        <v>0</v>
      </c>
      <c r="AG1676" s="2">
        <v>1.1399999999999999</v>
      </c>
      <c r="AH1676" s="2">
        <v>1.1399999999999999</v>
      </c>
      <c r="AJ1676" s="2">
        <f t="shared" si="203"/>
        <v>0</v>
      </c>
      <c r="AK1676" s="2">
        <f t="shared" si="204"/>
        <v>0</v>
      </c>
      <c r="AL1676" s="5">
        <f t="shared" si="199"/>
        <v>0</v>
      </c>
    </row>
    <row r="1677" spans="1:38" hidden="1" x14ac:dyDescent="0.2">
      <c r="A1677" s="2">
        <v>2025</v>
      </c>
      <c r="B1677" s="2">
        <v>8</v>
      </c>
      <c r="D1677" s="2" t="s">
        <v>1773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01"/>
        <v>0.6</v>
      </c>
      <c r="Z1677" s="2" t="s">
        <v>118</v>
      </c>
      <c r="AA1677" s="2" t="s">
        <v>191</v>
      </c>
      <c r="AB1677" s="2" t="s">
        <v>190</v>
      </c>
      <c r="AC1677" s="2" t="s">
        <v>40</v>
      </c>
      <c r="AF1677" s="2">
        <f t="shared" si="202"/>
        <v>0</v>
      </c>
      <c r="AJ1677" s="2">
        <f t="shared" si="203"/>
        <v>0</v>
      </c>
      <c r="AK1677" s="2">
        <f t="shared" si="204"/>
        <v>30</v>
      </c>
      <c r="AL1677" s="5">
        <f t="shared" si="199"/>
        <v>0.6</v>
      </c>
    </row>
    <row r="1678" spans="1:38" hidden="1" x14ac:dyDescent="0.2">
      <c r="A1678" s="2">
        <v>2025</v>
      </c>
      <c r="B1678" s="2">
        <v>8</v>
      </c>
      <c r="D1678" s="2" t="s">
        <v>1773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01"/>
        <v>0.5</v>
      </c>
      <c r="Z1678" s="2" t="s">
        <v>118</v>
      </c>
      <c r="AA1678" s="2" t="s">
        <v>191</v>
      </c>
      <c r="AB1678" s="2" t="s">
        <v>191</v>
      </c>
      <c r="AC1678" s="2" t="s">
        <v>40</v>
      </c>
      <c r="AF1678" s="2">
        <f t="shared" si="202"/>
        <v>0</v>
      </c>
      <c r="AJ1678" s="2">
        <f t="shared" si="203"/>
        <v>0</v>
      </c>
      <c r="AK1678" s="2">
        <f t="shared" si="204"/>
        <v>31.25</v>
      </c>
      <c r="AL1678" s="5">
        <f t="shared" si="199"/>
        <v>0.5</v>
      </c>
    </row>
    <row r="1679" spans="1:38" hidden="1" x14ac:dyDescent="0.2">
      <c r="A1679" s="2">
        <v>2025</v>
      </c>
      <c r="B1679" s="2">
        <v>8</v>
      </c>
      <c r="D1679" s="2" t="s">
        <v>1357</v>
      </c>
      <c r="E1679" s="2" t="s">
        <v>753</v>
      </c>
      <c r="F1679" s="2" t="s">
        <v>39</v>
      </c>
      <c r="G1679" s="2">
        <v>518238334</v>
      </c>
      <c r="H1679" s="2" t="s">
        <v>41</v>
      </c>
      <c r="I1679" s="2" t="s">
        <v>763</v>
      </c>
      <c r="J1679" s="2" t="s">
        <v>1358</v>
      </c>
      <c r="L1679" s="2" t="s">
        <v>419</v>
      </c>
      <c r="P1679" s="2" t="s">
        <v>283</v>
      </c>
      <c r="Q1679" s="2" t="s">
        <v>1774</v>
      </c>
      <c r="R1679" s="2" t="s">
        <v>1775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01"/>
        <v>1</v>
      </c>
      <c r="Z1679" s="2" t="s">
        <v>3231</v>
      </c>
      <c r="AF1679" s="2">
        <f t="shared" si="202"/>
        <v>0</v>
      </c>
      <c r="AJ1679" s="2">
        <f t="shared" si="203"/>
        <v>0</v>
      </c>
      <c r="AK1679" s="2">
        <f t="shared" si="204"/>
        <v>180</v>
      </c>
      <c r="AL1679" s="5">
        <f t="shared" si="199"/>
        <v>1</v>
      </c>
    </row>
    <row r="1680" spans="1:38" hidden="1" x14ac:dyDescent="0.2">
      <c r="A1680" s="2">
        <v>2025</v>
      </c>
      <c r="B1680" s="2">
        <v>8</v>
      </c>
      <c r="D1680" s="2" t="s">
        <v>745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746</v>
      </c>
      <c r="J1680" s="2" t="s">
        <v>747</v>
      </c>
      <c r="K1680" s="2">
        <v>962372760</v>
      </c>
      <c r="L1680" s="2" t="s">
        <v>202</v>
      </c>
      <c r="P1680" s="2" t="s">
        <v>115</v>
      </c>
      <c r="Q1680" s="2" t="s">
        <v>1776</v>
      </c>
      <c r="R1680" s="2" t="s">
        <v>1777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01"/>
        <v>1</v>
      </c>
      <c r="AF1680" s="2">
        <f t="shared" si="202"/>
        <v>0</v>
      </c>
      <c r="AJ1680" s="2">
        <f t="shared" si="203"/>
        <v>0</v>
      </c>
      <c r="AK1680" s="2">
        <f t="shared" si="204"/>
        <v>541.59</v>
      </c>
      <c r="AL1680" s="5">
        <f t="shared" ref="AL1680:AL1743" si="205">(T1680-W1680)/T1680</f>
        <v>1</v>
      </c>
    </row>
    <row r="1681" spans="1:38" hidden="1" x14ac:dyDescent="0.2">
      <c r="A1681" s="2">
        <v>2025</v>
      </c>
      <c r="B1681" s="2">
        <v>8</v>
      </c>
      <c r="D1681" s="2" t="s">
        <v>745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746</v>
      </c>
      <c r="J1681" s="2" t="s">
        <v>747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01"/>
        <v>0.60000000000000009</v>
      </c>
      <c r="Z1681" s="2" t="s">
        <v>118</v>
      </c>
      <c r="AA1681" s="2" t="s">
        <v>191</v>
      </c>
      <c r="AB1681" s="2" t="s">
        <v>190</v>
      </c>
      <c r="AC1681" s="2" t="s">
        <v>40</v>
      </c>
      <c r="AF1681" s="2">
        <f t="shared" si="202"/>
        <v>0</v>
      </c>
      <c r="AJ1681" s="2">
        <f t="shared" si="203"/>
        <v>0</v>
      </c>
      <c r="AK1681" s="2">
        <f t="shared" si="204"/>
        <v>79.650000000000006</v>
      </c>
      <c r="AL1681" s="5">
        <f t="shared" si="205"/>
        <v>0.60000000000000009</v>
      </c>
    </row>
    <row r="1682" spans="1:38" hidden="1" x14ac:dyDescent="0.2">
      <c r="A1682" s="2">
        <v>2025</v>
      </c>
      <c r="B1682" s="2">
        <v>8</v>
      </c>
      <c r="D1682" s="2" t="s">
        <v>745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746</v>
      </c>
      <c r="J1682" s="2" t="s">
        <v>747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01"/>
        <v>0.5</v>
      </c>
      <c r="Z1682" s="2" t="s">
        <v>118</v>
      </c>
      <c r="AA1682" s="2" t="s">
        <v>191</v>
      </c>
      <c r="AB1682" s="2" t="s">
        <v>191</v>
      </c>
      <c r="AC1682" s="2" t="s">
        <v>40</v>
      </c>
      <c r="AF1682" s="2">
        <f t="shared" si="202"/>
        <v>0</v>
      </c>
      <c r="AJ1682" s="2">
        <f t="shared" si="203"/>
        <v>0</v>
      </c>
      <c r="AK1682" s="2">
        <f t="shared" si="204"/>
        <v>66.25</v>
      </c>
      <c r="AL1682" s="5">
        <f t="shared" si="205"/>
        <v>0.5</v>
      </c>
    </row>
    <row r="1683" spans="1:38" hidden="1" x14ac:dyDescent="0.2">
      <c r="A1683" s="2">
        <v>2025</v>
      </c>
      <c r="B1683" s="2">
        <v>8</v>
      </c>
      <c r="D1683" s="2" t="s">
        <v>745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746</v>
      </c>
      <c r="J1683" s="2" t="s">
        <v>747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01"/>
        <v>1</v>
      </c>
      <c r="Z1683" s="2" t="s">
        <v>120</v>
      </c>
      <c r="AA1683" s="2" t="s">
        <v>3385</v>
      </c>
      <c r="AF1683" s="2">
        <f t="shared" si="202"/>
        <v>0</v>
      </c>
      <c r="AJ1683" s="2">
        <f t="shared" si="203"/>
        <v>0</v>
      </c>
      <c r="AK1683" s="2">
        <f t="shared" si="204"/>
        <v>99.75</v>
      </c>
      <c r="AL1683" s="5">
        <f t="shared" si="205"/>
        <v>1</v>
      </c>
    </row>
    <row r="1684" spans="1:38" hidden="1" x14ac:dyDescent="0.2">
      <c r="A1684" s="2">
        <v>2025</v>
      </c>
      <c r="B1684" s="2">
        <v>8</v>
      </c>
      <c r="D1684" s="2" t="s">
        <v>1778</v>
      </c>
      <c r="P1684" s="2" t="s">
        <v>102</v>
      </c>
      <c r="Q1684" s="2" t="s">
        <v>1779</v>
      </c>
      <c r="R1684" s="2" t="s">
        <v>1780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01"/>
        <v>1</v>
      </c>
      <c r="Z1684" s="2" t="s">
        <v>105</v>
      </c>
      <c r="AC1684" s="2" t="s">
        <v>102</v>
      </c>
      <c r="AF1684" s="2">
        <f t="shared" si="202"/>
        <v>0</v>
      </c>
      <c r="AJ1684" s="2">
        <f t="shared" si="203"/>
        <v>0</v>
      </c>
      <c r="AK1684" s="2">
        <f t="shared" si="204"/>
        <v>3600</v>
      </c>
      <c r="AL1684" s="5">
        <f t="shared" si="205"/>
        <v>1</v>
      </c>
    </row>
    <row r="1685" spans="1:38" hidden="1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1781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01"/>
        <v>0.6</v>
      </c>
      <c r="Z1685" s="2" t="s">
        <v>118</v>
      </c>
      <c r="AA1685" s="2" t="s">
        <v>191</v>
      </c>
      <c r="AB1685" s="2" t="s">
        <v>190</v>
      </c>
      <c r="AC1685" s="2" t="s">
        <v>40</v>
      </c>
      <c r="AF1685" s="2">
        <f t="shared" si="202"/>
        <v>0</v>
      </c>
      <c r="AJ1685" s="2">
        <f t="shared" si="203"/>
        <v>0</v>
      </c>
      <c r="AK1685" s="2">
        <f t="shared" si="204"/>
        <v>119.39999999999999</v>
      </c>
      <c r="AL1685" s="5">
        <f t="shared" si="205"/>
        <v>0.6</v>
      </c>
    </row>
    <row r="1686" spans="1:38" hidden="1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1781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01"/>
        <v>0.5</v>
      </c>
      <c r="Z1686" s="2" t="s">
        <v>118</v>
      </c>
      <c r="AA1686" s="2" t="s">
        <v>191</v>
      </c>
      <c r="AB1686" s="2" t="s">
        <v>191</v>
      </c>
      <c r="AC1686" s="2" t="s">
        <v>40</v>
      </c>
      <c r="AF1686" s="2">
        <f t="shared" si="202"/>
        <v>0</v>
      </c>
      <c r="AG1686" s="2">
        <v>37.5</v>
      </c>
      <c r="AJ1686" s="2">
        <f t="shared" si="203"/>
        <v>0</v>
      </c>
      <c r="AK1686" s="2">
        <f t="shared" si="204"/>
        <v>37.5</v>
      </c>
      <c r="AL1686" s="5">
        <f t="shared" si="205"/>
        <v>0.5</v>
      </c>
    </row>
    <row r="1687" spans="1:38" hidden="1" x14ac:dyDescent="0.2">
      <c r="A1687" s="2">
        <v>2025</v>
      </c>
      <c r="B1687" s="2">
        <v>8</v>
      </c>
      <c r="D1687" s="2" t="s">
        <v>1782</v>
      </c>
      <c r="P1687" s="2" t="s">
        <v>283</v>
      </c>
      <c r="Q1687" s="2" t="s">
        <v>1783</v>
      </c>
      <c r="R1687" s="2" t="s">
        <v>1784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6">(T1687-W1687)/T1687</f>
        <v>1</v>
      </c>
      <c r="Z1687" s="2" t="s">
        <v>105</v>
      </c>
      <c r="AC1687" s="2" t="s">
        <v>1329</v>
      </c>
      <c r="AF1687" s="2">
        <f t="shared" si="202"/>
        <v>0</v>
      </c>
      <c r="AJ1687" s="2">
        <f t="shared" si="203"/>
        <v>0</v>
      </c>
      <c r="AK1687" s="2">
        <f t="shared" si="204"/>
        <v>2190</v>
      </c>
      <c r="AL1687" s="5">
        <f t="shared" si="205"/>
        <v>1</v>
      </c>
    </row>
    <row r="1688" spans="1:38" hidden="1" x14ac:dyDescent="0.2">
      <c r="A1688" s="2">
        <v>2025</v>
      </c>
      <c r="B1688" s="2">
        <v>8</v>
      </c>
      <c r="D1688" s="2" t="s">
        <v>1782</v>
      </c>
      <c r="P1688" s="2" t="s">
        <v>283</v>
      </c>
      <c r="Q1688" s="2" t="s">
        <v>1785</v>
      </c>
      <c r="R1688" s="2" t="s">
        <v>1786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6"/>
        <v>1</v>
      </c>
      <c r="Z1688" s="2" t="s">
        <v>3231</v>
      </c>
      <c r="AF1688" s="2">
        <f t="shared" si="202"/>
        <v>0</v>
      </c>
      <c r="AJ1688" s="2">
        <f t="shared" si="203"/>
        <v>0</v>
      </c>
      <c r="AK1688" s="2">
        <f t="shared" si="204"/>
        <v>39</v>
      </c>
      <c r="AL1688" s="5">
        <f t="shared" si="205"/>
        <v>1</v>
      </c>
    </row>
    <row r="1689" spans="1:38" hidden="1" x14ac:dyDescent="0.2">
      <c r="A1689" s="2">
        <v>2025</v>
      </c>
      <c r="B1689" s="2">
        <v>8</v>
      </c>
      <c r="D1689" s="2" t="s">
        <v>1782</v>
      </c>
      <c r="P1689" s="2" t="s">
        <v>283</v>
      </c>
      <c r="Q1689" s="2" t="s">
        <v>1787</v>
      </c>
      <c r="R1689" s="2" t="s">
        <v>1786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6"/>
        <v>1</v>
      </c>
      <c r="Z1689" s="2" t="s">
        <v>3231</v>
      </c>
      <c r="AF1689" s="2">
        <f t="shared" si="202"/>
        <v>0</v>
      </c>
      <c r="AJ1689" s="2">
        <f t="shared" si="203"/>
        <v>0</v>
      </c>
      <c r="AK1689" s="2">
        <f t="shared" si="204"/>
        <v>39</v>
      </c>
      <c r="AL1689" s="5">
        <f t="shared" si="205"/>
        <v>1</v>
      </c>
    </row>
    <row r="1690" spans="1:38" hidden="1" x14ac:dyDescent="0.2">
      <c r="A1690" s="2">
        <v>2025</v>
      </c>
      <c r="B1690" s="2">
        <v>8</v>
      </c>
      <c r="D1690" s="2" t="s">
        <v>1782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6"/>
        <v>1</v>
      </c>
      <c r="Z1690" s="2" t="s">
        <v>170</v>
      </c>
      <c r="AA1690" s="2" t="s">
        <v>170</v>
      </c>
      <c r="AF1690" s="2">
        <f t="shared" si="202"/>
        <v>0</v>
      </c>
      <c r="AJ1690" s="2">
        <f t="shared" si="203"/>
        <v>0</v>
      </c>
      <c r="AK1690" s="2">
        <f t="shared" si="204"/>
        <v>8.5</v>
      </c>
      <c r="AL1690" s="5">
        <f t="shared" si="205"/>
        <v>1</v>
      </c>
    </row>
    <row r="1691" spans="1:38" hidden="1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1788</v>
      </c>
      <c r="P1691" s="2" t="s">
        <v>73</v>
      </c>
      <c r="Q1691" s="2" t="s">
        <v>682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6"/>
        <v>0.45005263157894737</v>
      </c>
      <c r="Z1691" s="2" t="s">
        <v>3231</v>
      </c>
      <c r="AA1691" s="2" t="s">
        <v>76</v>
      </c>
      <c r="AB1691" s="2" t="s">
        <v>77</v>
      </c>
      <c r="AC1691" s="2" t="s">
        <v>78</v>
      </c>
      <c r="AF1691" s="2">
        <f t="shared" si="202"/>
        <v>0</v>
      </c>
      <c r="AG1691" s="2">
        <v>104.49</v>
      </c>
      <c r="AH1691" s="2">
        <v>220</v>
      </c>
      <c r="AJ1691" s="2">
        <f t="shared" si="203"/>
        <v>0</v>
      </c>
      <c r="AK1691" s="2">
        <f t="shared" si="204"/>
        <v>85.51</v>
      </c>
      <c r="AL1691" s="5">
        <f t="shared" si="205"/>
        <v>0.45005263157894737</v>
      </c>
    </row>
    <row r="1692" spans="1:38" hidden="1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6"/>
        <v>0</v>
      </c>
      <c r="Z1692" s="2" t="s">
        <v>3231</v>
      </c>
      <c r="AA1692" s="2" t="s">
        <v>97</v>
      </c>
      <c r="AB1692" s="2" t="s">
        <v>77</v>
      </c>
      <c r="AC1692" s="2" t="s">
        <v>94</v>
      </c>
      <c r="AF1692" s="2">
        <f t="shared" si="202"/>
        <v>0</v>
      </c>
      <c r="AJ1692" s="2">
        <f t="shared" si="203"/>
        <v>0</v>
      </c>
      <c r="AK1692" s="2">
        <f t="shared" si="204"/>
        <v>0</v>
      </c>
      <c r="AL1692" s="5">
        <f t="shared" si="205"/>
        <v>0</v>
      </c>
    </row>
    <row r="1693" spans="1:38" hidden="1" x14ac:dyDescent="0.2">
      <c r="A1693" s="2">
        <v>2025</v>
      </c>
      <c r="B1693" s="2">
        <v>8</v>
      </c>
      <c r="D1693" s="2" t="s">
        <v>1789</v>
      </c>
      <c r="P1693" s="2" t="s">
        <v>3234</v>
      </c>
      <c r="Q1693" s="2" t="s">
        <v>1790</v>
      </c>
      <c r="R1693" s="2" t="s">
        <v>1791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6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3234</v>
      </c>
      <c r="AF1693" s="2">
        <f t="shared" si="202"/>
        <v>0</v>
      </c>
      <c r="AJ1693" s="2">
        <f t="shared" si="203"/>
        <v>0</v>
      </c>
      <c r="AK1693" s="2">
        <f t="shared" si="204"/>
        <v>748.04</v>
      </c>
      <c r="AL1693" s="5">
        <f t="shared" si="205"/>
        <v>0.41907002801120447</v>
      </c>
    </row>
    <row r="1694" spans="1:38" hidden="1" x14ac:dyDescent="0.2">
      <c r="A1694" s="2">
        <v>2025</v>
      </c>
      <c r="B1694" s="2">
        <v>8</v>
      </c>
      <c r="D1694" s="2" t="s">
        <v>1792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6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2"/>
        <v>0</v>
      </c>
      <c r="AJ1694" s="2">
        <f t="shared" si="203"/>
        <v>0</v>
      </c>
      <c r="AK1694" s="2">
        <f t="shared" si="204"/>
        <v>5320.6</v>
      </c>
      <c r="AL1694" s="5">
        <f t="shared" si="205"/>
        <v>0.33274546591619764</v>
      </c>
    </row>
    <row r="1695" spans="1:38" hidden="1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6"/>
        <v>0.6</v>
      </c>
      <c r="Z1695" s="2" t="s">
        <v>118</v>
      </c>
      <c r="AA1695" s="2" t="s">
        <v>191</v>
      </c>
      <c r="AB1695" s="2" t="s">
        <v>190</v>
      </c>
      <c r="AC1695" s="2" t="s">
        <v>40</v>
      </c>
      <c r="AF1695" s="2">
        <f t="shared" si="202"/>
        <v>0</v>
      </c>
      <c r="AJ1695" s="2">
        <f t="shared" si="203"/>
        <v>0</v>
      </c>
      <c r="AK1695" s="2">
        <f t="shared" si="204"/>
        <v>102.6</v>
      </c>
      <c r="AL1695" s="5">
        <f t="shared" si="205"/>
        <v>0.6</v>
      </c>
    </row>
    <row r="1696" spans="1:38" hidden="1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6"/>
        <v>0.5</v>
      </c>
      <c r="Z1696" s="2" t="s">
        <v>118</v>
      </c>
      <c r="AA1696" s="2" t="s">
        <v>191</v>
      </c>
      <c r="AB1696" s="2" t="s">
        <v>191</v>
      </c>
      <c r="AC1696" s="2" t="s">
        <v>40</v>
      </c>
      <c r="AF1696" s="2">
        <f t="shared" si="202"/>
        <v>0</v>
      </c>
      <c r="AJ1696" s="2">
        <f t="shared" si="203"/>
        <v>0</v>
      </c>
      <c r="AK1696" s="2">
        <f t="shared" si="204"/>
        <v>25</v>
      </c>
      <c r="AL1696" s="5">
        <f t="shared" si="205"/>
        <v>0.5</v>
      </c>
    </row>
    <row r="1697" spans="1:38" hidden="1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6"/>
        <v>1</v>
      </c>
      <c r="Z1697" s="2" t="s">
        <v>120</v>
      </c>
      <c r="AA1697" s="2" t="s">
        <v>3385</v>
      </c>
      <c r="AF1697" s="2">
        <f t="shared" si="202"/>
        <v>0</v>
      </c>
      <c r="AJ1697" s="2">
        <f t="shared" si="203"/>
        <v>0</v>
      </c>
      <c r="AK1697" s="2">
        <f t="shared" si="204"/>
        <v>267.18</v>
      </c>
      <c r="AL1697" s="5">
        <f t="shared" si="205"/>
        <v>1</v>
      </c>
    </row>
    <row r="1698" spans="1:38" hidden="1" x14ac:dyDescent="0.2">
      <c r="A1698" s="2">
        <v>2025</v>
      </c>
      <c r="B1698" s="2">
        <v>8</v>
      </c>
      <c r="D1698" s="2" t="s">
        <v>1793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6"/>
        <v>0.6</v>
      </c>
      <c r="Z1698" s="2" t="s">
        <v>118</v>
      </c>
      <c r="AA1698" s="2" t="s">
        <v>191</v>
      </c>
      <c r="AB1698" s="2" t="s">
        <v>190</v>
      </c>
      <c r="AC1698" s="2" t="s">
        <v>40</v>
      </c>
      <c r="AF1698" s="2">
        <f t="shared" si="202"/>
        <v>0</v>
      </c>
      <c r="AJ1698" s="2">
        <f t="shared" si="203"/>
        <v>0</v>
      </c>
      <c r="AK1698" s="2">
        <f t="shared" si="204"/>
        <v>33</v>
      </c>
      <c r="AL1698" s="5">
        <f t="shared" si="205"/>
        <v>0.6</v>
      </c>
    </row>
    <row r="1699" spans="1:38" hidden="1" x14ac:dyDescent="0.2">
      <c r="A1699" s="2">
        <v>2025</v>
      </c>
      <c r="B1699" s="2">
        <v>8</v>
      </c>
      <c r="D1699" s="2" t="s">
        <v>1793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6"/>
        <v>0.5</v>
      </c>
      <c r="Z1699" s="2" t="s">
        <v>118</v>
      </c>
      <c r="AA1699" s="2" t="s">
        <v>191</v>
      </c>
      <c r="AB1699" s="2" t="s">
        <v>191</v>
      </c>
      <c r="AC1699" s="2" t="s">
        <v>40</v>
      </c>
      <c r="AF1699" s="2">
        <f t="shared" si="202"/>
        <v>0</v>
      </c>
      <c r="AJ1699" s="2">
        <f t="shared" si="203"/>
        <v>0</v>
      </c>
      <c r="AK1699" s="2">
        <f t="shared" si="204"/>
        <v>37.5</v>
      </c>
      <c r="AL1699" s="5">
        <f t="shared" si="205"/>
        <v>0.5</v>
      </c>
    </row>
    <row r="1700" spans="1:38" hidden="1" x14ac:dyDescent="0.2">
      <c r="A1700" s="2">
        <v>2025</v>
      </c>
      <c r="B1700" s="2">
        <v>8</v>
      </c>
      <c r="D1700" s="2" t="s">
        <v>785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6"/>
        <v>0.44777500000000003</v>
      </c>
      <c r="Z1700" s="2" t="s">
        <v>3231</v>
      </c>
      <c r="AA1700" s="2" t="s">
        <v>46</v>
      </c>
      <c r="AB1700" s="2" t="s">
        <v>47</v>
      </c>
      <c r="AC1700" s="2" t="s">
        <v>48</v>
      </c>
      <c r="AF1700" s="2">
        <f t="shared" si="202"/>
        <v>0</v>
      </c>
      <c r="AG1700" s="2">
        <v>6.6266999999999996</v>
      </c>
      <c r="AH1700" s="2">
        <v>12</v>
      </c>
      <c r="AJ1700" s="2">
        <f t="shared" si="203"/>
        <v>0</v>
      </c>
      <c r="AK1700" s="2">
        <f t="shared" si="204"/>
        <v>10.746600000000001</v>
      </c>
      <c r="AL1700" s="5">
        <f t="shared" si="205"/>
        <v>0.44777500000000003</v>
      </c>
    </row>
    <row r="1701" spans="1:38" hidden="1" x14ac:dyDescent="0.2">
      <c r="A1701" s="2">
        <v>2025</v>
      </c>
      <c r="B1701" s="2">
        <v>8</v>
      </c>
      <c r="D1701" s="2" t="s">
        <v>785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6"/>
        <v>0.52105128205128204</v>
      </c>
      <c r="Z1701" s="2" t="s">
        <v>3231</v>
      </c>
      <c r="AA1701" s="2" t="s">
        <v>46</v>
      </c>
      <c r="AB1701" s="2" t="s">
        <v>47</v>
      </c>
      <c r="AC1701" s="2" t="s">
        <v>48</v>
      </c>
      <c r="AF1701" s="2">
        <f t="shared" si="202"/>
        <v>0</v>
      </c>
      <c r="AG1701" s="2">
        <v>3.7357999999999998</v>
      </c>
      <c r="AH1701" s="2">
        <v>9</v>
      </c>
      <c r="AJ1701" s="2">
        <f t="shared" si="203"/>
        <v>0</v>
      </c>
      <c r="AK1701" s="2">
        <f t="shared" si="204"/>
        <v>4.0641999999999996</v>
      </c>
      <c r="AL1701" s="5">
        <f t="shared" si="205"/>
        <v>0.52105128205128204</v>
      </c>
    </row>
    <row r="1702" spans="1:38" hidden="1" x14ac:dyDescent="0.2">
      <c r="A1702" s="2">
        <v>2025</v>
      </c>
      <c r="B1702" s="2">
        <v>8</v>
      </c>
      <c r="C1702" s="2" t="s">
        <v>3415</v>
      </c>
      <c r="D1702" s="2" t="s">
        <v>3414</v>
      </c>
      <c r="E1702" s="2" t="s">
        <v>109</v>
      </c>
      <c r="F1702" s="2" t="s">
        <v>39</v>
      </c>
      <c r="L1702" s="2" t="s">
        <v>294</v>
      </c>
      <c r="M1702" s="2" t="s">
        <v>40</v>
      </c>
      <c r="O1702" s="2" t="s">
        <v>1794</v>
      </c>
      <c r="P1702" s="2" t="s">
        <v>115</v>
      </c>
      <c r="Q1702" s="2" t="s">
        <v>1795</v>
      </c>
      <c r="R1702" s="2" t="s">
        <v>1796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6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2"/>
        <v>0</v>
      </c>
      <c r="AG1702" s="2">
        <f>6330+159.85</f>
        <v>6489.85</v>
      </c>
      <c r="AJ1702" s="2">
        <f t="shared" si="203"/>
        <v>0</v>
      </c>
      <c r="AK1702" s="2">
        <f t="shared" si="204"/>
        <v>1010.1499999999996</v>
      </c>
      <c r="AL1702" s="5">
        <f t="shared" si="205"/>
        <v>0.13468666666666662</v>
      </c>
    </row>
    <row r="1703" spans="1:38" hidden="1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6"/>
        <v>0.41111111111111115</v>
      </c>
      <c r="Z1703" s="2" t="s">
        <v>3231</v>
      </c>
      <c r="AA1703" s="2" t="s">
        <v>46</v>
      </c>
      <c r="AB1703" s="2" t="s">
        <v>57</v>
      </c>
      <c r="AC1703" s="2" t="s">
        <v>58</v>
      </c>
      <c r="AF1703" s="2">
        <f t="shared" si="202"/>
        <v>0</v>
      </c>
      <c r="AG1703" s="2">
        <v>10.6</v>
      </c>
      <c r="AH1703" s="2">
        <v>18</v>
      </c>
      <c r="AJ1703" s="2">
        <f t="shared" si="203"/>
        <v>0</v>
      </c>
      <c r="AK1703" s="2">
        <f t="shared" si="204"/>
        <v>29.6</v>
      </c>
      <c r="AL1703" s="5">
        <f t="shared" si="205"/>
        <v>0.41111111111111115</v>
      </c>
    </row>
    <row r="1704" spans="1:38" hidden="1" x14ac:dyDescent="0.2">
      <c r="A1704" s="2">
        <v>2025</v>
      </c>
      <c r="B1704" s="2">
        <v>8</v>
      </c>
      <c r="D1704" s="2" t="s">
        <v>1017</v>
      </c>
      <c r="E1704" s="2" t="s">
        <v>109</v>
      </c>
      <c r="F1704" s="2" t="s">
        <v>478</v>
      </c>
      <c r="G1704" s="2">
        <v>503815284</v>
      </c>
      <c r="H1704" s="2" t="s">
        <v>40</v>
      </c>
      <c r="I1704" s="2" t="s">
        <v>157</v>
      </c>
      <c r="J1704" s="2" t="s">
        <v>2542</v>
      </c>
      <c r="L1704" s="2" t="s">
        <v>100</v>
      </c>
      <c r="M1704" s="2" t="s">
        <v>81</v>
      </c>
      <c r="P1704" s="2" t="s">
        <v>283</v>
      </c>
      <c r="Q1704" s="2" t="s">
        <v>1239</v>
      </c>
      <c r="R1704" s="2" t="s">
        <v>1240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6"/>
        <v>0.6428571428571429</v>
      </c>
      <c r="Z1704" s="2" t="s">
        <v>3231</v>
      </c>
      <c r="AA1704" s="2" t="s">
        <v>72</v>
      </c>
      <c r="AB1704" s="2" t="s">
        <v>120</v>
      </c>
      <c r="AC1704" s="2" t="s">
        <v>120</v>
      </c>
      <c r="AF1704" s="2">
        <f t="shared" si="202"/>
        <v>0</v>
      </c>
      <c r="AJ1704" s="2">
        <f t="shared" si="203"/>
        <v>0</v>
      </c>
      <c r="AK1704" s="2">
        <f t="shared" si="204"/>
        <v>90</v>
      </c>
      <c r="AL1704" s="5">
        <f t="shared" si="205"/>
        <v>0.6428571428571429</v>
      </c>
    </row>
    <row r="1705" spans="1:38" hidden="1" x14ac:dyDescent="0.2">
      <c r="A1705" s="2">
        <v>2025</v>
      </c>
      <c r="B1705" s="2">
        <v>8</v>
      </c>
      <c r="D1705" s="2" t="s">
        <v>1017</v>
      </c>
      <c r="E1705" s="2" t="s">
        <v>109</v>
      </c>
      <c r="F1705" s="2" t="s">
        <v>478</v>
      </c>
      <c r="G1705" s="2">
        <v>503815284</v>
      </c>
      <c r="H1705" s="2" t="s">
        <v>40</v>
      </c>
      <c r="I1705" s="2" t="s">
        <v>157</v>
      </c>
      <c r="J1705" s="2" t="s">
        <v>2542</v>
      </c>
      <c r="L1705" s="2" t="s">
        <v>100</v>
      </c>
      <c r="M1705" s="2" t="s">
        <v>81</v>
      </c>
      <c r="P1705" s="2" t="s">
        <v>283</v>
      </c>
      <c r="Q1705" s="2" t="s">
        <v>1536</v>
      </c>
      <c r="R1705" s="2" t="s">
        <v>1537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06"/>
        <v>0.30000000000000004</v>
      </c>
      <c r="Z1705" s="2" t="s">
        <v>3231</v>
      </c>
      <c r="AA1705" s="2" t="s">
        <v>156</v>
      </c>
      <c r="AB1705" s="2" t="s">
        <v>3408</v>
      </c>
      <c r="AC1705" s="2" t="s">
        <v>1329</v>
      </c>
      <c r="AF1705" s="2">
        <f t="shared" si="202"/>
        <v>0</v>
      </c>
      <c r="AJ1705" s="2">
        <f t="shared" si="203"/>
        <v>0</v>
      </c>
      <c r="AK1705" s="2">
        <f t="shared" si="204"/>
        <v>8.1000000000000014</v>
      </c>
      <c r="AL1705" s="5">
        <f t="shared" si="205"/>
        <v>0.30000000000000004</v>
      </c>
    </row>
    <row r="1706" spans="1:38" hidden="1" x14ac:dyDescent="0.2">
      <c r="A1706" s="2">
        <v>2025</v>
      </c>
      <c r="B1706" s="2">
        <v>8</v>
      </c>
      <c r="D1706" s="2" t="s">
        <v>1017</v>
      </c>
      <c r="E1706" s="2" t="s">
        <v>109</v>
      </c>
      <c r="F1706" s="2" t="s">
        <v>478</v>
      </c>
      <c r="G1706" s="2">
        <v>503815284</v>
      </c>
      <c r="H1706" s="2" t="s">
        <v>40</v>
      </c>
      <c r="I1706" s="2" t="s">
        <v>157</v>
      </c>
      <c r="J1706" s="2" t="s">
        <v>2542</v>
      </c>
      <c r="L1706" s="2" t="s">
        <v>100</v>
      </c>
      <c r="M1706" s="2" t="s">
        <v>81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6"/>
        <v>0.37415416666666662</v>
      </c>
      <c r="Z1706" s="2" t="s">
        <v>3231</v>
      </c>
      <c r="AA1706" s="2" t="s">
        <v>46</v>
      </c>
      <c r="AB1706" s="2" t="s">
        <v>68</v>
      </c>
      <c r="AC1706" s="2" t="s">
        <v>58</v>
      </c>
      <c r="AF1706" s="2">
        <f t="shared" si="202"/>
        <v>0</v>
      </c>
      <c r="AG1706" s="2">
        <v>15.020300000000001</v>
      </c>
      <c r="AH1706" s="2">
        <v>27.6</v>
      </c>
      <c r="AJ1706" s="2">
        <f t="shared" si="203"/>
        <v>0</v>
      </c>
      <c r="AK1706" s="2">
        <f t="shared" si="204"/>
        <v>17.959399999999999</v>
      </c>
      <c r="AL1706" s="5">
        <f t="shared" si="205"/>
        <v>0.37415416666666662</v>
      </c>
    </row>
    <row r="1707" spans="1:38" hidden="1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6"/>
        <v>0.45290151515151511</v>
      </c>
      <c r="Z1707" s="2" t="s">
        <v>3231</v>
      </c>
      <c r="AA1707" s="2" t="s">
        <v>46</v>
      </c>
      <c r="AB1707" s="2" t="s">
        <v>57</v>
      </c>
      <c r="AC1707" s="2" t="s">
        <v>58</v>
      </c>
      <c r="AF1707" s="2">
        <f t="shared" si="202"/>
        <v>0</v>
      </c>
      <c r="AG1707" s="2">
        <v>7.2217000000000002</v>
      </c>
      <c r="AH1707" s="2">
        <v>14.4</v>
      </c>
      <c r="AJ1707" s="2">
        <f t="shared" si="203"/>
        <v>0</v>
      </c>
      <c r="AK1707" s="2">
        <f t="shared" si="204"/>
        <v>5.9782999999999991</v>
      </c>
      <c r="AL1707" s="5">
        <f t="shared" si="205"/>
        <v>0.45290151515151511</v>
      </c>
    </row>
    <row r="1708" spans="1:38" hidden="1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06"/>
        <v>0.43981481481481483</v>
      </c>
      <c r="Z1708" s="2" t="s">
        <v>3231</v>
      </c>
      <c r="AA1708" s="2" t="s">
        <v>46</v>
      </c>
      <c r="AB1708" s="2" t="s">
        <v>57</v>
      </c>
      <c r="AC1708" s="2" t="s">
        <v>58</v>
      </c>
      <c r="AF1708" s="2">
        <f t="shared" si="202"/>
        <v>0</v>
      </c>
      <c r="AJ1708" s="2">
        <f t="shared" si="203"/>
        <v>0</v>
      </c>
      <c r="AK1708" s="2">
        <f t="shared" si="204"/>
        <v>7.125</v>
      </c>
      <c r="AL1708" s="5">
        <f t="shared" si="205"/>
        <v>0.43981481481481483</v>
      </c>
    </row>
    <row r="1709" spans="1:38" hidden="1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6"/>
        <v>1</v>
      </c>
      <c r="Z1709" s="2" t="s">
        <v>3231</v>
      </c>
      <c r="AA1709" s="2" t="s">
        <v>46</v>
      </c>
      <c r="AB1709" s="2" t="s">
        <v>57</v>
      </c>
      <c r="AC1709" s="2" t="s">
        <v>58</v>
      </c>
      <c r="AF1709" s="2">
        <f t="shared" si="202"/>
        <v>0</v>
      </c>
      <c r="AJ1709" s="2">
        <f t="shared" si="203"/>
        <v>0</v>
      </c>
      <c r="AK1709" s="2">
        <f t="shared" si="204"/>
        <v>19.8</v>
      </c>
      <c r="AL1709" s="5">
        <f t="shared" si="205"/>
        <v>1</v>
      </c>
    </row>
    <row r="1710" spans="1:38" hidden="1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6"/>
        <v>0.53508771929824561</v>
      </c>
      <c r="Z1710" s="2" t="s">
        <v>3231</v>
      </c>
      <c r="AA1710" s="2" t="s">
        <v>46</v>
      </c>
      <c r="AB1710" s="2" t="s">
        <v>57</v>
      </c>
      <c r="AC1710" s="2" t="s">
        <v>58</v>
      </c>
      <c r="AF1710" s="2">
        <f t="shared" si="202"/>
        <v>0</v>
      </c>
      <c r="AG1710" s="2">
        <v>10.6</v>
      </c>
      <c r="AH1710" s="2">
        <v>18</v>
      </c>
      <c r="AJ1710" s="2">
        <f t="shared" si="203"/>
        <v>0</v>
      </c>
      <c r="AK1710" s="2">
        <f t="shared" si="204"/>
        <v>12.200000000000001</v>
      </c>
      <c r="AL1710" s="5">
        <f t="shared" si="205"/>
        <v>0.53508771929824561</v>
      </c>
    </row>
    <row r="1711" spans="1:38" hidden="1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6"/>
        <v>0.36923076923076914</v>
      </c>
      <c r="Z1711" s="2" t="s">
        <v>3231</v>
      </c>
      <c r="AA1711" s="2" t="s">
        <v>46</v>
      </c>
      <c r="AB1711" s="2" t="s">
        <v>61</v>
      </c>
      <c r="AC1711" s="2" t="s">
        <v>58</v>
      </c>
      <c r="AF1711" s="2">
        <f t="shared" si="202"/>
        <v>0</v>
      </c>
      <c r="AG1711" s="2">
        <v>8.1999999999999993</v>
      </c>
      <c r="AH1711" s="2">
        <v>13</v>
      </c>
      <c r="AJ1711" s="2">
        <f t="shared" si="203"/>
        <v>0</v>
      </c>
      <c r="AK1711" s="2">
        <f t="shared" si="204"/>
        <v>4.7999999999999989</v>
      </c>
      <c r="AL1711" s="5">
        <f t="shared" si="205"/>
        <v>0.36923076923076914</v>
      </c>
    </row>
    <row r="1712" spans="1:38" hidden="1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6"/>
        <v>1</v>
      </c>
      <c r="Z1712" s="2" t="s">
        <v>3231</v>
      </c>
      <c r="AA1712" s="2" t="s">
        <v>46</v>
      </c>
      <c r="AB1712" s="2" t="s">
        <v>91</v>
      </c>
      <c r="AC1712" s="2" t="s">
        <v>58</v>
      </c>
      <c r="AF1712" s="2">
        <f t="shared" si="202"/>
        <v>0</v>
      </c>
      <c r="AJ1712" s="2">
        <f t="shared" si="203"/>
        <v>0</v>
      </c>
      <c r="AK1712" s="2">
        <f t="shared" si="204"/>
        <v>3</v>
      </c>
      <c r="AL1712" s="5">
        <f t="shared" si="205"/>
        <v>1</v>
      </c>
    </row>
    <row r="1713" spans="1:38" hidden="1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6"/>
        <v>0.49679166666666663</v>
      </c>
      <c r="Z1713" s="2" t="s">
        <v>3231</v>
      </c>
      <c r="AA1713" s="2" t="s">
        <v>88</v>
      </c>
      <c r="AB1713" s="2" t="s">
        <v>91</v>
      </c>
      <c r="AC1713" s="2" t="s">
        <v>85</v>
      </c>
      <c r="AF1713" s="2">
        <f t="shared" si="202"/>
        <v>0</v>
      </c>
      <c r="AJ1713" s="2">
        <f t="shared" si="203"/>
        <v>0</v>
      </c>
      <c r="AK1713" s="2">
        <f t="shared" si="204"/>
        <v>2.3845999999999998</v>
      </c>
      <c r="AL1713" s="5">
        <f t="shared" si="205"/>
        <v>0.49679166666666663</v>
      </c>
    </row>
    <row r="1714" spans="1:38" hidden="1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6"/>
        <v>0.36923076923076914</v>
      </c>
      <c r="Z1714" s="2" t="s">
        <v>3231</v>
      </c>
      <c r="AA1714" s="2" t="s">
        <v>46</v>
      </c>
      <c r="AB1714" s="2" t="s">
        <v>61</v>
      </c>
      <c r="AC1714" s="2" t="s">
        <v>58</v>
      </c>
      <c r="AF1714" s="2">
        <f t="shared" si="202"/>
        <v>0</v>
      </c>
      <c r="AG1714" s="2">
        <v>8.1999999999999993</v>
      </c>
      <c r="AH1714" s="2">
        <v>13</v>
      </c>
      <c r="AJ1714" s="2">
        <f t="shared" si="203"/>
        <v>0</v>
      </c>
      <c r="AK1714" s="2">
        <f t="shared" si="204"/>
        <v>4.7999999999999989</v>
      </c>
      <c r="AL1714" s="5">
        <f t="shared" si="205"/>
        <v>0.36923076923076914</v>
      </c>
    </row>
    <row r="1715" spans="1:38" hidden="1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6"/>
        <v>0.28474761904761903</v>
      </c>
      <c r="Z1715" s="2" t="s">
        <v>3231</v>
      </c>
      <c r="AA1715" s="2" t="s">
        <v>46</v>
      </c>
      <c r="AB1715" s="2" t="s">
        <v>68</v>
      </c>
      <c r="AC1715" s="2" t="s">
        <v>58</v>
      </c>
      <c r="AF1715" s="2">
        <f t="shared" si="202"/>
        <v>0</v>
      </c>
      <c r="AG1715" s="2">
        <v>15.020300000000001</v>
      </c>
      <c r="AH1715" s="2">
        <v>27.6</v>
      </c>
      <c r="AJ1715" s="2">
        <f t="shared" si="203"/>
        <v>0</v>
      </c>
      <c r="AK1715" s="2">
        <f t="shared" si="204"/>
        <v>11.959399999999999</v>
      </c>
      <c r="AL1715" s="5">
        <f t="shared" si="205"/>
        <v>0.28474761904761903</v>
      </c>
    </row>
    <row r="1716" spans="1:38" hidden="1" x14ac:dyDescent="0.2">
      <c r="A1716" s="2">
        <v>2025</v>
      </c>
      <c r="B1716" s="2">
        <v>8</v>
      </c>
      <c r="D1716" s="2" t="s">
        <v>1557</v>
      </c>
      <c r="E1716" s="2" t="s">
        <v>109</v>
      </c>
      <c r="F1716" s="2" t="s">
        <v>718</v>
      </c>
      <c r="G1716" s="2">
        <v>500975914</v>
      </c>
      <c r="H1716" s="2" t="s">
        <v>41</v>
      </c>
      <c r="I1716" s="2" t="s">
        <v>1558</v>
      </c>
      <c r="J1716" s="2" t="s">
        <v>1559</v>
      </c>
      <c r="L1716" s="2" t="s">
        <v>100</v>
      </c>
      <c r="M1716" s="2" t="s">
        <v>41</v>
      </c>
      <c r="P1716" s="2" t="s">
        <v>283</v>
      </c>
      <c r="Q1716" s="2" t="s">
        <v>1551</v>
      </c>
      <c r="R1716" s="2" t="s">
        <v>1552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2"/>
        <v>0</v>
      </c>
      <c r="AJ1716" s="2">
        <f t="shared" si="203"/>
        <v>0</v>
      </c>
      <c r="AK1716" s="2">
        <f t="shared" si="204"/>
        <v>0</v>
      </c>
      <c r="AL1716" s="20" t="s">
        <v>3406</v>
      </c>
    </row>
    <row r="1717" spans="1:38" hidden="1" x14ac:dyDescent="0.2">
      <c r="A1717" s="2">
        <v>2025</v>
      </c>
      <c r="B1717" s="2">
        <v>8</v>
      </c>
      <c r="D1717" s="2" t="s">
        <v>1557</v>
      </c>
      <c r="E1717" s="2" t="s">
        <v>109</v>
      </c>
      <c r="F1717" s="2" t="s">
        <v>718</v>
      </c>
      <c r="G1717" s="2">
        <v>500975914</v>
      </c>
      <c r="H1717" s="2" t="s">
        <v>41</v>
      </c>
      <c r="I1717" s="2" t="s">
        <v>1558</v>
      </c>
      <c r="J1717" s="2" t="s">
        <v>1559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6"/>
        <v>0.4</v>
      </c>
      <c r="Z1717" s="2" t="s">
        <v>3231</v>
      </c>
      <c r="AA1717" s="2" t="s">
        <v>46</v>
      </c>
      <c r="AB1717" s="2" t="s">
        <v>61</v>
      </c>
      <c r="AC1717" s="2" t="s">
        <v>3336</v>
      </c>
      <c r="AF1717" s="2">
        <f t="shared" si="202"/>
        <v>0</v>
      </c>
      <c r="AJ1717" s="2">
        <f t="shared" si="203"/>
        <v>0</v>
      </c>
      <c r="AK1717" s="2">
        <f t="shared" si="204"/>
        <v>232</v>
      </c>
      <c r="AL1717" s="5">
        <f t="shared" si="205"/>
        <v>0.4</v>
      </c>
    </row>
    <row r="1718" spans="1:38" hidden="1" x14ac:dyDescent="0.2">
      <c r="A1718" s="2">
        <v>2025</v>
      </c>
      <c r="B1718" s="2">
        <v>8</v>
      </c>
      <c r="D1718" s="2" t="s">
        <v>1557</v>
      </c>
      <c r="E1718" s="2" t="s">
        <v>109</v>
      </c>
      <c r="F1718" s="2" t="s">
        <v>718</v>
      </c>
      <c r="G1718" s="2">
        <v>500975914</v>
      </c>
      <c r="H1718" s="2" t="s">
        <v>41</v>
      </c>
      <c r="I1718" s="2" t="s">
        <v>1558</v>
      </c>
      <c r="J1718" s="2" t="s">
        <v>1559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6"/>
        <v>0.4</v>
      </c>
      <c r="Z1718" s="2" t="s">
        <v>3231</v>
      </c>
      <c r="AA1718" s="2" t="s">
        <v>46</v>
      </c>
      <c r="AB1718" s="2" t="s">
        <v>61</v>
      </c>
      <c r="AC1718" s="2" t="s">
        <v>3336</v>
      </c>
      <c r="AF1718" s="2">
        <f t="shared" si="202"/>
        <v>0</v>
      </c>
      <c r="AJ1718" s="2">
        <f t="shared" si="203"/>
        <v>0</v>
      </c>
      <c r="AK1718" s="2">
        <f t="shared" si="204"/>
        <v>232</v>
      </c>
      <c r="AL1718" s="5">
        <f t="shared" si="205"/>
        <v>0.4</v>
      </c>
    </row>
    <row r="1719" spans="1:38" hidden="1" x14ac:dyDescent="0.2">
      <c r="A1719" s="2">
        <v>2025</v>
      </c>
      <c r="B1719" s="2">
        <v>8</v>
      </c>
      <c r="D1719" s="2" t="s">
        <v>1557</v>
      </c>
      <c r="E1719" s="2" t="s">
        <v>109</v>
      </c>
      <c r="F1719" s="2" t="s">
        <v>718</v>
      </c>
      <c r="G1719" s="2">
        <v>500975914</v>
      </c>
      <c r="H1719" s="2" t="s">
        <v>41</v>
      </c>
      <c r="I1719" s="2" t="s">
        <v>1558</v>
      </c>
      <c r="J1719" s="2" t="s">
        <v>1559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7">(T1719-W1719)/T1719</f>
        <v>0.44777500000000003</v>
      </c>
      <c r="Z1719" s="2" t="s">
        <v>3231</v>
      </c>
      <c r="AA1719" s="2" t="s">
        <v>46</v>
      </c>
      <c r="AB1719" s="2" t="s">
        <v>47</v>
      </c>
      <c r="AC1719" s="2" t="s">
        <v>48</v>
      </c>
      <c r="AF1719" s="2">
        <f t="shared" si="202"/>
        <v>0</v>
      </c>
      <c r="AG1719" s="2">
        <v>6.6266999999999996</v>
      </c>
      <c r="AH1719" s="2">
        <v>12</v>
      </c>
      <c r="AJ1719" s="2">
        <f t="shared" si="203"/>
        <v>0</v>
      </c>
      <c r="AK1719" s="2">
        <f t="shared" si="204"/>
        <v>5.3733000000000004</v>
      </c>
      <c r="AL1719" s="5">
        <f t="shared" si="205"/>
        <v>0.44777500000000003</v>
      </c>
    </row>
    <row r="1720" spans="1:38" hidden="1" x14ac:dyDescent="0.2">
      <c r="A1720" s="2">
        <v>2025</v>
      </c>
      <c r="B1720" s="2">
        <v>8</v>
      </c>
      <c r="D1720" s="2" t="s">
        <v>1557</v>
      </c>
      <c r="E1720" s="2" t="s">
        <v>109</v>
      </c>
      <c r="F1720" s="2" t="s">
        <v>718</v>
      </c>
      <c r="G1720" s="2">
        <v>500975914</v>
      </c>
      <c r="H1720" s="2" t="s">
        <v>41</v>
      </c>
      <c r="I1720" s="2" t="s">
        <v>1558</v>
      </c>
      <c r="J1720" s="2" t="s">
        <v>1559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7"/>
        <v>0.52105128205128204</v>
      </c>
      <c r="Z1720" s="2" t="s">
        <v>3231</v>
      </c>
      <c r="AA1720" s="2" t="s">
        <v>46</v>
      </c>
      <c r="AB1720" s="2" t="s">
        <v>47</v>
      </c>
      <c r="AC1720" s="2" t="s">
        <v>48</v>
      </c>
      <c r="AF1720" s="2">
        <f t="shared" si="202"/>
        <v>0</v>
      </c>
      <c r="AG1720" s="2">
        <v>3.7357999999999998</v>
      </c>
      <c r="AH1720" s="2">
        <v>9</v>
      </c>
      <c r="AJ1720" s="2">
        <f t="shared" si="203"/>
        <v>0</v>
      </c>
      <c r="AK1720" s="2">
        <f t="shared" si="204"/>
        <v>4.0641999999999996</v>
      </c>
      <c r="AL1720" s="5">
        <f t="shared" si="205"/>
        <v>0.52105128205128204</v>
      </c>
    </row>
    <row r="1721" spans="1:38" hidden="1" x14ac:dyDescent="0.2">
      <c r="A1721" s="2">
        <v>2025</v>
      </c>
      <c r="B1721" s="2">
        <v>8</v>
      </c>
      <c r="D1721" s="2" t="s">
        <v>1557</v>
      </c>
      <c r="E1721" s="2" t="s">
        <v>109</v>
      </c>
      <c r="F1721" s="2" t="s">
        <v>718</v>
      </c>
      <c r="G1721" s="2">
        <v>500975914</v>
      </c>
      <c r="H1721" s="2" t="s">
        <v>41</v>
      </c>
      <c r="I1721" s="2" t="s">
        <v>1558</v>
      </c>
      <c r="J1721" s="2" t="s">
        <v>1559</v>
      </c>
      <c r="L1721" s="2" t="s">
        <v>100</v>
      </c>
      <c r="M1721" s="2" t="s">
        <v>41</v>
      </c>
      <c r="P1721" s="2" t="s">
        <v>85</v>
      </c>
      <c r="Q1721" s="2" t="s">
        <v>1797</v>
      </c>
      <c r="R1721" s="2" t="s">
        <v>1798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7"/>
        <v>0.98011111111111104</v>
      </c>
      <c r="Z1721" s="2" t="s">
        <v>3231</v>
      </c>
      <c r="AA1721" s="2" t="s">
        <v>88</v>
      </c>
      <c r="AB1721" s="2" t="s">
        <v>91</v>
      </c>
      <c r="AC1721" s="2" t="s">
        <v>85</v>
      </c>
      <c r="AF1721" s="2">
        <f t="shared" si="202"/>
        <v>0</v>
      </c>
      <c r="AJ1721" s="2">
        <f t="shared" si="203"/>
        <v>0</v>
      </c>
      <c r="AK1721" s="2">
        <f t="shared" si="204"/>
        <v>17.641999999999999</v>
      </c>
      <c r="AL1721" s="5">
        <f t="shared" si="205"/>
        <v>0.98011111111111104</v>
      </c>
    </row>
    <row r="1722" spans="1:38" hidden="1" x14ac:dyDescent="0.2">
      <c r="A1722" s="2">
        <v>2025</v>
      </c>
      <c r="B1722" s="2">
        <v>8</v>
      </c>
      <c r="D1722" s="2" t="s">
        <v>1557</v>
      </c>
      <c r="E1722" s="2" t="s">
        <v>109</v>
      </c>
      <c r="F1722" s="2" t="s">
        <v>718</v>
      </c>
      <c r="G1722" s="2">
        <v>500975914</v>
      </c>
      <c r="H1722" s="2" t="s">
        <v>41</v>
      </c>
      <c r="I1722" s="2" t="s">
        <v>1558</v>
      </c>
      <c r="J1722" s="2" t="s">
        <v>1559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7"/>
        <v>0.51</v>
      </c>
      <c r="Z1722" s="2" t="s">
        <v>3231</v>
      </c>
      <c r="AA1722" s="2" t="s">
        <v>88</v>
      </c>
      <c r="AB1722" s="2" t="s">
        <v>91</v>
      </c>
      <c r="AC1722" s="2" t="s">
        <v>85</v>
      </c>
      <c r="AF1722" s="2">
        <f t="shared" si="202"/>
        <v>0</v>
      </c>
      <c r="AJ1722" s="2">
        <f t="shared" si="203"/>
        <v>0</v>
      </c>
      <c r="AK1722" s="2">
        <f t="shared" si="204"/>
        <v>3.06</v>
      </c>
      <c r="AL1722" s="5">
        <f t="shared" si="205"/>
        <v>0.51</v>
      </c>
    </row>
    <row r="1723" spans="1:38" hidden="1" x14ac:dyDescent="0.2">
      <c r="A1723" s="2">
        <v>2025</v>
      </c>
      <c r="B1723" s="2">
        <v>8</v>
      </c>
      <c r="D1723" s="2" t="s">
        <v>1557</v>
      </c>
      <c r="E1723" s="2" t="s">
        <v>109</v>
      </c>
      <c r="F1723" s="2" t="s">
        <v>718</v>
      </c>
      <c r="G1723" s="2">
        <v>500975914</v>
      </c>
      <c r="H1723" s="2" t="s">
        <v>41</v>
      </c>
      <c r="I1723" s="2" t="s">
        <v>1558</v>
      </c>
      <c r="J1723" s="2" t="s">
        <v>1559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7"/>
        <v>1</v>
      </c>
      <c r="Z1723" s="2" t="s">
        <v>3231</v>
      </c>
      <c r="AA1723" s="2" t="s">
        <v>88</v>
      </c>
      <c r="AB1723" s="2" t="s">
        <v>91</v>
      </c>
      <c r="AC1723" s="2" t="s">
        <v>85</v>
      </c>
      <c r="AF1723" s="2">
        <f t="shared" si="202"/>
        <v>0</v>
      </c>
      <c r="AJ1723" s="2">
        <f t="shared" si="203"/>
        <v>0</v>
      </c>
      <c r="AK1723" s="2">
        <f t="shared" si="204"/>
        <v>6</v>
      </c>
      <c r="AL1723" s="5">
        <f t="shared" si="205"/>
        <v>1</v>
      </c>
    </row>
    <row r="1724" spans="1:38" hidden="1" x14ac:dyDescent="0.2">
      <c r="A1724" s="2">
        <v>2025</v>
      </c>
      <c r="B1724" s="2">
        <v>8</v>
      </c>
      <c r="D1724" s="2" t="s">
        <v>1799</v>
      </c>
      <c r="P1724" s="2" t="s">
        <v>3234</v>
      </c>
      <c r="Q1724" s="2" t="s">
        <v>1790</v>
      </c>
      <c r="R1724" s="2" t="s">
        <v>1791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7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3234</v>
      </c>
      <c r="AF1724" s="2">
        <f t="shared" si="202"/>
        <v>0</v>
      </c>
      <c r="AJ1724" s="2">
        <f t="shared" si="203"/>
        <v>0</v>
      </c>
      <c r="AK1724" s="2">
        <f t="shared" si="204"/>
        <v>763.04</v>
      </c>
      <c r="AL1724" s="5">
        <f t="shared" si="205"/>
        <v>0.42391111111111107</v>
      </c>
    </row>
    <row r="1725" spans="1:38" hidden="1" x14ac:dyDescent="0.2">
      <c r="A1725" s="2">
        <v>2025</v>
      </c>
      <c r="B1725" s="2">
        <v>8</v>
      </c>
      <c r="D1725" s="2" t="s">
        <v>434</v>
      </c>
      <c r="E1725" s="2" t="s">
        <v>38</v>
      </c>
      <c r="F1725" s="2" t="s">
        <v>39</v>
      </c>
      <c r="L1725" s="2" t="s">
        <v>100</v>
      </c>
      <c r="M1725" s="2" t="s">
        <v>41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7"/>
        <v>0.4</v>
      </c>
      <c r="Z1725" s="2" t="s">
        <v>3231</v>
      </c>
      <c r="AA1725" s="2" t="s">
        <v>46</v>
      </c>
      <c r="AB1725" s="2" t="s">
        <v>61</v>
      </c>
      <c r="AC1725" s="2" t="s">
        <v>3336</v>
      </c>
      <c r="AF1725" s="2">
        <f t="shared" si="202"/>
        <v>0</v>
      </c>
      <c r="AJ1725" s="2">
        <f t="shared" si="203"/>
        <v>0</v>
      </c>
      <c r="AK1725" s="2">
        <f t="shared" si="204"/>
        <v>46.400000000000006</v>
      </c>
      <c r="AL1725" s="5">
        <f t="shared" si="205"/>
        <v>0.4</v>
      </c>
    </row>
    <row r="1726" spans="1:38" hidden="1" x14ac:dyDescent="0.2">
      <c r="A1726" s="2">
        <v>2025</v>
      </c>
      <c r="B1726" s="2">
        <v>8</v>
      </c>
      <c r="D1726" s="2" t="s">
        <v>1242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3224</v>
      </c>
      <c r="J1726" s="2" t="s">
        <v>3225</v>
      </c>
      <c r="L1726" s="2" t="s">
        <v>340</v>
      </c>
      <c r="M1726" s="2" t="s">
        <v>81</v>
      </c>
      <c r="O1726" s="2" t="s">
        <v>3227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7"/>
        <v>0.44069999999999998</v>
      </c>
      <c r="Z1726" s="2" t="s">
        <v>3231</v>
      </c>
      <c r="AA1726" s="2" t="s">
        <v>76</v>
      </c>
      <c r="AB1726" s="2" t="s">
        <v>77</v>
      </c>
      <c r="AC1726" s="2" t="s">
        <v>78</v>
      </c>
      <c r="AF1726" s="2">
        <f t="shared" si="202"/>
        <v>0</v>
      </c>
      <c r="AG1726" s="2">
        <v>117.453</v>
      </c>
      <c r="AH1726" s="2">
        <v>220</v>
      </c>
      <c r="AJ1726" s="2">
        <f t="shared" si="203"/>
        <v>0</v>
      </c>
      <c r="AK1726" s="2">
        <f t="shared" si="204"/>
        <v>92.546999999999997</v>
      </c>
      <c r="AL1726" s="5">
        <f t="shared" si="205"/>
        <v>0.44069999999999998</v>
      </c>
    </row>
    <row r="1727" spans="1:38" hidden="1" x14ac:dyDescent="0.2">
      <c r="A1727" s="2">
        <v>2025</v>
      </c>
      <c r="B1727" s="2">
        <v>8</v>
      </c>
      <c r="D1727" s="2" t="s">
        <v>1242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3224</v>
      </c>
      <c r="J1727" s="2" t="s">
        <v>3225</v>
      </c>
      <c r="L1727" s="2" t="s">
        <v>340</v>
      </c>
      <c r="M1727" s="2" t="s">
        <v>81</v>
      </c>
      <c r="O1727" s="2" t="s">
        <v>3227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7"/>
        <v>0</v>
      </c>
      <c r="Z1727" s="2" t="s">
        <v>3231</v>
      </c>
      <c r="AA1727" s="2" t="s">
        <v>97</v>
      </c>
      <c r="AB1727" s="2" t="s">
        <v>77</v>
      </c>
      <c r="AC1727" s="2" t="s">
        <v>94</v>
      </c>
      <c r="AF1727" s="2">
        <f t="shared" si="202"/>
        <v>0</v>
      </c>
      <c r="AG1727" s="2">
        <v>1.1399999999999999</v>
      </c>
      <c r="AH1727" s="2">
        <v>1.1399999999999999</v>
      </c>
      <c r="AJ1727" s="2">
        <f t="shared" si="203"/>
        <v>0</v>
      </c>
      <c r="AK1727" s="2">
        <f t="shared" si="204"/>
        <v>0</v>
      </c>
      <c r="AL1727" s="5">
        <f t="shared" si="205"/>
        <v>0</v>
      </c>
    </row>
    <row r="1728" spans="1:38" hidden="1" x14ac:dyDescent="0.2">
      <c r="A1728" s="2">
        <v>2025</v>
      </c>
      <c r="B1728" s="2">
        <v>8</v>
      </c>
      <c r="D1728" s="2" t="s">
        <v>1800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7"/>
        <v>0.41111111111111115</v>
      </c>
      <c r="Z1728" s="2" t="s">
        <v>3231</v>
      </c>
      <c r="AA1728" s="2" t="s">
        <v>46</v>
      </c>
      <c r="AB1728" s="2" t="s">
        <v>57</v>
      </c>
      <c r="AC1728" s="2" t="s">
        <v>58</v>
      </c>
      <c r="AF1728" s="2">
        <f t="shared" si="202"/>
        <v>0</v>
      </c>
      <c r="AG1728" s="2">
        <v>10.6</v>
      </c>
      <c r="AH1728" s="2">
        <v>18</v>
      </c>
      <c r="AJ1728" s="2">
        <f t="shared" si="203"/>
        <v>0</v>
      </c>
      <c r="AK1728" s="2">
        <f t="shared" si="204"/>
        <v>7.4</v>
      </c>
      <c r="AL1728" s="5">
        <f t="shared" si="205"/>
        <v>0.41111111111111115</v>
      </c>
    </row>
    <row r="1729" spans="1:38" hidden="1" x14ac:dyDescent="0.2">
      <c r="A1729" s="2">
        <v>2025</v>
      </c>
      <c r="B1729" s="2">
        <v>8</v>
      </c>
      <c r="D1729" s="2" t="s">
        <v>1800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7"/>
        <v>0.34714285714285725</v>
      </c>
      <c r="Z1729" s="2" t="s">
        <v>3231</v>
      </c>
      <c r="AA1729" s="2" t="s">
        <v>46</v>
      </c>
      <c r="AB1729" s="2" t="s">
        <v>61</v>
      </c>
      <c r="AC1729" s="2" t="s">
        <v>58</v>
      </c>
      <c r="AF1729" s="2">
        <f t="shared" si="202"/>
        <v>0</v>
      </c>
      <c r="AG1729" s="2">
        <v>9.14</v>
      </c>
      <c r="AH1729" s="2">
        <v>16</v>
      </c>
      <c r="AJ1729" s="2">
        <f t="shared" si="203"/>
        <v>0</v>
      </c>
      <c r="AK1729" s="2">
        <f t="shared" si="204"/>
        <v>4.8600000000000012</v>
      </c>
      <c r="AL1729" s="5">
        <f t="shared" si="205"/>
        <v>0.34714285714285725</v>
      </c>
    </row>
    <row r="1730" spans="1:38" hidden="1" x14ac:dyDescent="0.2">
      <c r="A1730" s="2">
        <v>2025</v>
      </c>
      <c r="B1730" s="2">
        <v>8</v>
      </c>
      <c r="D1730" s="2" t="s">
        <v>1800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7"/>
        <v>0.32745098039215681</v>
      </c>
      <c r="Z1730" s="2" t="s">
        <v>3231</v>
      </c>
      <c r="AA1730" s="2" t="s">
        <v>88</v>
      </c>
      <c r="AB1730" s="2" t="s">
        <v>91</v>
      </c>
      <c r="AC1730" s="2" t="s">
        <v>85</v>
      </c>
      <c r="AF1730" s="2">
        <f t="shared" si="202"/>
        <v>0</v>
      </c>
      <c r="AJ1730" s="2">
        <f t="shared" si="203"/>
        <v>0</v>
      </c>
      <c r="AK1730" s="2">
        <f t="shared" si="204"/>
        <v>3.339999999999999</v>
      </c>
      <c r="AL1730" s="5">
        <f t="shared" si="205"/>
        <v>0.32745098039215681</v>
      </c>
    </row>
    <row r="1731" spans="1:38" hidden="1" x14ac:dyDescent="0.2">
      <c r="A1731" s="2">
        <v>2025</v>
      </c>
      <c r="B1731" s="2">
        <v>8</v>
      </c>
      <c r="D1731" s="2" t="s">
        <v>817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1801</v>
      </c>
      <c r="R1731" s="2" t="s">
        <v>1802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7"/>
        <v>0.4</v>
      </c>
      <c r="Z1731" s="2" t="s">
        <v>3231</v>
      </c>
      <c r="AA1731" s="2" t="s">
        <v>46</v>
      </c>
      <c r="AB1731" s="2" t="s">
        <v>61</v>
      </c>
      <c r="AC1731" s="2" t="s">
        <v>3410</v>
      </c>
      <c r="AF1731" s="2">
        <f t="shared" ref="AF1731:AF1794" si="208">AJ1731</f>
        <v>0</v>
      </c>
      <c r="AJ1731" s="2">
        <f t="shared" ref="AJ1731:AJ1794" si="209">AI1731*T1731</f>
        <v>0</v>
      </c>
      <c r="AK1731" s="2">
        <f t="shared" ref="AK1731:AK1794" si="210">T1731-W1731</f>
        <v>62.400000000000006</v>
      </c>
      <c r="AL1731" s="5">
        <f t="shared" si="205"/>
        <v>0.4</v>
      </c>
    </row>
    <row r="1732" spans="1:38" hidden="1" x14ac:dyDescent="0.2">
      <c r="A1732" s="2">
        <v>2025</v>
      </c>
      <c r="B1732" s="2">
        <v>8</v>
      </c>
      <c r="D1732" s="2" t="s">
        <v>1567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B1732" s="2" t="s">
        <v>190</v>
      </c>
      <c r="AC1732" s="2" t="s">
        <v>40</v>
      </c>
      <c r="AF1732" s="2">
        <f t="shared" si="208"/>
        <v>0</v>
      </c>
      <c r="AJ1732" s="2">
        <f t="shared" si="209"/>
        <v>0</v>
      </c>
      <c r="AK1732" s="2">
        <f t="shared" si="210"/>
        <v>-33</v>
      </c>
      <c r="AL1732" s="5">
        <f t="shared" si="205"/>
        <v>0.6</v>
      </c>
    </row>
    <row r="1733" spans="1:38" hidden="1" x14ac:dyDescent="0.2">
      <c r="A1733" s="2">
        <v>2025</v>
      </c>
      <c r="B1733" s="2">
        <v>8</v>
      </c>
      <c r="D1733" s="2" t="s">
        <v>1567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B1733" s="2" t="s">
        <v>191</v>
      </c>
      <c r="AC1733" s="2" t="s">
        <v>40</v>
      </c>
      <c r="AF1733" s="2">
        <f t="shared" si="208"/>
        <v>0</v>
      </c>
      <c r="AJ1733" s="2">
        <f t="shared" si="209"/>
        <v>0</v>
      </c>
      <c r="AK1733" s="2">
        <f t="shared" si="210"/>
        <v>-75</v>
      </c>
      <c r="AL1733" s="5">
        <f t="shared" si="205"/>
        <v>1</v>
      </c>
    </row>
    <row r="1734" spans="1:38" hidden="1" x14ac:dyDescent="0.2">
      <c r="A1734" s="2">
        <v>2025</v>
      </c>
      <c r="B1734" s="2">
        <v>8</v>
      </c>
      <c r="D1734" s="2" t="s">
        <v>1390</v>
      </c>
      <c r="P1734" s="2" t="s">
        <v>115</v>
      </c>
      <c r="Q1734" s="2" t="s">
        <v>928</v>
      </c>
      <c r="R1734" s="2" t="s">
        <v>929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7"/>
        <v>1</v>
      </c>
      <c r="Z1734" s="2" t="s">
        <v>105</v>
      </c>
      <c r="AF1734" s="2">
        <f t="shared" si="208"/>
        <v>0</v>
      </c>
      <c r="AJ1734" s="2">
        <f t="shared" si="209"/>
        <v>0</v>
      </c>
      <c r="AK1734" s="2">
        <f t="shared" si="210"/>
        <v>420</v>
      </c>
      <c r="AL1734" s="5">
        <f t="shared" si="205"/>
        <v>1</v>
      </c>
    </row>
    <row r="1735" spans="1:38" hidden="1" x14ac:dyDescent="0.2">
      <c r="A1735" s="2">
        <v>2025</v>
      </c>
      <c r="B1735" s="2">
        <v>8</v>
      </c>
      <c r="D1735" s="2" t="s">
        <v>1390</v>
      </c>
      <c r="P1735" s="2" t="s">
        <v>115</v>
      </c>
      <c r="Q1735" s="16" t="s">
        <v>710</v>
      </c>
      <c r="R1735" s="2" t="s">
        <v>711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07"/>
        <v>0.26376065088757394</v>
      </c>
      <c r="Z1735" s="2" t="s">
        <v>105</v>
      </c>
      <c r="AA1735" s="2" t="s">
        <v>579</v>
      </c>
      <c r="AB1735" s="2" t="s">
        <v>702</v>
      </c>
      <c r="AC1735" s="2" t="s">
        <v>115</v>
      </c>
      <c r="AF1735" s="2">
        <f t="shared" si="208"/>
        <v>0</v>
      </c>
      <c r="AJ1735" s="2">
        <f t="shared" si="209"/>
        <v>0</v>
      </c>
      <c r="AK1735" s="2">
        <f t="shared" si="210"/>
        <v>445.75549999999998</v>
      </c>
      <c r="AL1735" s="5">
        <f t="shared" si="205"/>
        <v>0.26376065088757394</v>
      </c>
    </row>
    <row r="1736" spans="1:38" hidden="1" x14ac:dyDescent="0.2">
      <c r="A1736" s="2">
        <v>2025</v>
      </c>
      <c r="B1736" s="2">
        <v>8</v>
      </c>
      <c r="D1736" s="2" t="s">
        <v>1390</v>
      </c>
      <c r="P1736" s="2" t="s">
        <v>115</v>
      </c>
      <c r="Q1736" s="2" t="s">
        <v>1803</v>
      </c>
      <c r="R1736" s="2" t="s">
        <v>1804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7"/>
        <v>1</v>
      </c>
      <c r="Z1736" s="2" t="s">
        <v>105</v>
      </c>
      <c r="AF1736" s="2">
        <f t="shared" si="208"/>
        <v>0</v>
      </c>
      <c r="AJ1736" s="2">
        <f t="shared" si="209"/>
        <v>0</v>
      </c>
      <c r="AK1736" s="2">
        <f t="shared" si="210"/>
        <v>4350</v>
      </c>
      <c r="AL1736" s="5">
        <f t="shared" si="205"/>
        <v>1</v>
      </c>
    </row>
    <row r="1737" spans="1:38" hidden="1" x14ac:dyDescent="0.2">
      <c r="A1737" s="2">
        <v>2025</v>
      </c>
      <c r="B1737" s="2">
        <v>8</v>
      </c>
      <c r="D1737" s="2" t="s">
        <v>1390</v>
      </c>
      <c r="P1737" s="2" t="s">
        <v>115</v>
      </c>
      <c r="Q1737" s="2" t="s">
        <v>1805</v>
      </c>
      <c r="R1737" s="2" t="s">
        <v>1806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7"/>
        <v>1</v>
      </c>
      <c r="Z1737" s="2" t="s">
        <v>105</v>
      </c>
      <c r="AF1737" s="2">
        <f t="shared" si="208"/>
        <v>0</v>
      </c>
      <c r="AJ1737" s="2">
        <f t="shared" si="209"/>
        <v>0</v>
      </c>
      <c r="AK1737" s="2">
        <f t="shared" si="210"/>
        <v>3990</v>
      </c>
      <c r="AL1737" s="5">
        <f t="shared" si="205"/>
        <v>1</v>
      </c>
    </row>
    <row r="1738" spans="1:38" hidden="1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1807</v>
      </c>
      <c r="P1738" s="2" t="s">
        <v>115</v>
      </c>
      <c r="Q1738" s="2" t="s">
        <v>1808</v>
      </c>
      <c r="R1738" s="2" t="s">
        <v>1809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7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8"/>
        <v>0</v>
      </c>
      <c r="AG1738" s="2">
        <v>34.119999999999997</v>
      </c>
      <c r="AJ1738" s="2">
        <f t="shared" si="209"/>
        <v>0</v>
      </c>
      <c r="AK1738" s="2">
        <f t="shared" si="210"/>
        <v>21.470000000000006</v>
      </c>
      <c r="AL1738" s="5">
        <f t="shared" si="205"/>
        <v>0.3862205432631769</v>
      </c>
    </row>
    <row r="1739" spans="1:38" hidden="1" x14ac:dyDescent="0.2">
      <c r="A1739" s="2">
        <v>2025</v>
      </c>
      <c r="B1739" s="2">
        <v>8</v>
      </c>
      <c r="D1739" s="2" t="s">
        <v>1810</v>
      </c>
      <c r="P1739" s="2" t="s">
        <v>283</v>
      </c>
      <c r="Q1739" s="2" t="s">
        <v>1811</v>
      </c>
      <c r="R1739" s="2" t="s">
        <v>1812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7"/>
        <v>1</v>
      </c>
      <c r="Z1739" s="2" t="s">
        <v>3231</v>
      </c>
      <c r="AF1739" s="2">
        <f t="shared" si="208"/>
        <v>0</v>
      </c>
      <c r="AJ1739" s="2">
        <f t="shared" si="209"/>
        <v>0</v>
      </c>
      <c r="AK1739" s="2">
        <f t="shared" si="210"/>
        <v>199</v>
      </c>
      <c r="AL1739" s="5">
        <f t="shared" si="205"/>
        <v>1</v>
      </c>
    </row>
    <row r="1740" spans="1:38" hidden="1" x14ac:dyDescent="0.2">
      <c r="A1740" s="2">
        <v>2025</v>
      </c>
      <c r="B1740" s="2">
        <v>8</v>
      </c>
      <c r="D1740" s="2" t="s">
        <v>1810</v>
      </c>
      <c r="P1740" s="2" t="s">
        <v>283</v>
      </c>
      <c r="Q1740" s="2" t="s">
        <v>1446</v>
      </c>
      <c r="R1740" s="2" t="s">
        <v>1447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7"/>
        <v>1</v>
      </c>
      <c r="Z1740" s="2" t="s">
        <v>3231</v>
      </c>
      <c r="AF1740" s="2">
        <f t="shared" si="208"/>
        <v>0</v>
      </c>
      <c r="AJ1740" s="2">
        <f t="shared" si="209"/>
        <v>0</v>
      </c>
      <c r="AK1740" s="2">
        <f t="shared" si="210"/>
        <v>98</v>
      </c>
      <c r="AL1740" s="5">
        <f t="shared" si="205"/>
        <v>1</v>
      </c>
    </row>
    <row r="1741" spans="1:38" hidden="1" x14ac:dyDescent="0.2">
      <c r="A1741" s="2">
        <v>2025</v>
      </c>
      <c r="B1741" s="2">
        <v>8</v>
      </c>
      <c r="C1741" s="2" t="s">
        <v>3322</v>
      </c>
      <c r="D1741" s="2" t="s">
        <v>3321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7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8"/>
        <v>0</v>
      </c>
      <c r="AJ1741" s="2">
        <f t="shared" si="209"/>
        <v>0</v>
      </c>
      <c r="AK1741" s="2">
        <f t="shared" si="210"/>
        <v>4858.59</v>
      </c>
      <c r="AL1741" s="5">
        <f t="shared" si="205"/>
        <v>0.31289239624703519</v>
      </c>
    </row>
    <row r="1742" spans="1:38" hidden="1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7"/>
        <v>0.44069999999999998</v>
      </c>
      <c r="Z1742" s="2" t="s">
        <v>3231</v>
      </c>
      <c r="AA1742" s="2" t="s">
        <v>76</v>
      </c>
      <c r="AB1742" s="2" t="s">
        <v>77</v>
      </c>
      <c r="AC1742" s="2" t="s">
        <v>78</v>
      </c>
      <c r="AF1742" s="2">
        <f t="shared" si="208"/>
        <v>0</v>
      </c>
      <c r="AG1742" s="2">
        <v>117.453</v>
      </c>
      <c r="AH1742" s="2">
        <v>220</v>
      </c>
      <c r="AJ1742" s="2">
        <f t="shared" si="209"/>
        <v>0</v>
      </c>
      <c r="AK1742" s="2">
        <f t="shared" si="210"/>
        <v>185.09399999999999</v>
      </c>
      <c r="AL1742" s="5">
        <f t="shared" si="205"/>
        <v>0.44069999999999998</v>
      </c>
    </row>
    <row r="1743" spans="1:38" hidden="1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7"/>
        <v>0</v>
      </c>
      <c r="Z1743" s="2" t="s">
        <v>3231</v>
      </c>
      <c r="AA1743" s="2" t="s">
        <v>97</v>
      </c>
      <c r="AB1743" s="2" t="s">
        <v>77</v>
      </c>
      <c r="AC1743" s="2" t="s">
        <v>94</v>
      </c>
      <c r="AF1743" s="2">
        <f t="shared" si="208"/>
        <v>0</v>
      </c>
      <c r="AJ1743" s="2">
        <f t="shared" si="209"/>
        <v>0</v>
      </c>
      <c r="AK1743" s="2">
        <f t="shared" si="210"/>
        <v>0</v>
      </c>
      <c r="AL1743" s="5">
        <f t="shared" si="205"/>
        <v>0</v>
      </c>
    </row>
    <row r="1744" spans="1:38" hidden="1" x14ac:dyDescent="0.2">
      <c r="A1744" s="2">
        <v>2025</v>
      </c>
      <c r="B1744" s="2">
        <v>8</v>
      </c>
      <c r="D1744" s="2" t="s">
        <v>845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846</v>
      </c>
      <c r="L1744" s="2" t="s">
        <v>419</v>
      </c>
      <c r="M1744" s="2" t="s">
        <v>41</v>
      </c>
      <c r="O1744" s="2" t="s">
        <v>1813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7"/>
        <v>0.44777500000000003</v>
      </c>
      <c r="Z1744" s="2" t="s">
        <v>3231</v>
      </c>
      <c r="AA1744" s="2" t="s">
        <v>46</v>
      </c>
      <c r="AB1744" s="2" t="s">
        <v>47</v>
      </c>
      <c r="AC1744" s="2" t="s">
        <v>48</v>
      </c>
      <c r="AF1744" s="2">
        <f t="shared" si="208"/>
        <v>0</v>
      </c>
      <c r="AG1744" s="2">
        <v>6.6266999999999996</v>
      </c>
      <c r="AH1744" s="2">
        <v>12</v>
      </c>
      <c r="AJ1744" s="2">
        <f t="shared" si="209"/>
        <v>0</v>
      </c>
      <c r="AK1744" s="2">
        <f t="shared" si="210"/>
        <v>5.3733000000000004</v>
      </c>
      <c r="AL1744" s="5">
        <f t="shared" ref="AL1744:AL1787" si="211">(T1744-W1744)/T1744</f>
        <v>0.44777500000000003</v>
      </c>
    </row>
    <row r="1745" spans="1:38" hidden="1" x14ac:dyDescent="0.2">
      <c r="A1745" s="2">
        <v>2025</v>
      </c>
      <c r="B1745" s="2">
        <v>8</v>
      </c>
      <c r="D1745" s="2" t="s">
        <v>845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846</v>
      </c>
      <c r="L1745" s="2" t="s">
        <v>419</v>
      </c>
      <c r="M1745" s="2" t="s">
        <v>41</v>
      </c>
      <c r="O1745" s="2" t="s">
        <v>1813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7"/>
        <v>0.41111111111111115</v>
      </c>
      <c r="Z1745" s="2" t="s">
        <v>3231</v>
      </c>
      <c r="AA1745" s="2" t="s">
        <v>46</v>
      </c>
      <c r="AB1745" s="2" t="s">
        <v>57</v>
      </c>
      <c r="AC1745" s="2" t="s">
        <v>58</v>
      </c>
      <c r="AF1745" s="2">
        <f t="shared" si="208"/>
        <v>0</v>
      </c>
      <c r="AG1745" s="2">
        <v>10.6</v>
      </c>
      <c r="AH1745" s="2">
        <v>18</v>
      </c>
      <c r="AJ1745" s="2">
        <f t="shared" si="209"/>
        <v>0</v>
      </c>
      <c r="AK1745" s="2">
        <f t="shared" si="210"/>
        <v>14.8</v>
      </c>
      <c r="AL1745" s="5">
        <f t="shared" si="211"/>
        <v>0.41111111111111115</v>
      </c>
    </row>
    <row r="1746" spans="1:38" hidden="1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7"/>
        <v>1</v>
      </c>
      <c r="Z1746" s="2" t="s">
        <v>120</v>
      </c>
      <c r="AA1746" s="2" t="s">
        <v>493</v>
      </c>
      <c r="AF1746" s="2">
        <f t="shared" si="208"/>
        <v>0</v>
      </c>
      <c r="AJ1746" s="2">
        <f t="shared" si="209"/>
        <v>0</v>
      </c>
      <c r="AK1746" s="2">
        <f t="shared" si="210"/>
        <v>664.04</v>
      </c>
      <c r="AL1746" s="5">
        <f t="shared" si="211"/>
        <v>1</v>
      </c>
    </row>
    <row r="1747" spans="1:38" hidden="1" x14ac:dyDescent="0.2">
      <c r="A1747" s="2">
        <v>2025</v>
      </c>
      <c r="B1747" s="2">
        <v>8</v>
      </c>
      <c r="D1747" s="2" t="s">
        <v>1258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7"/>
        <v>0.41211538461538466</v>
      </c>
      <c r="Z1747" s="2" t="s">
        <v>3231</v>
      </c>
      <c r="AA1747" s="2" t="s">
        <v>76</v>
      </c>
      <c r="AB1747" s="2" t="s">
        <v>77</v>
      </c>
      <c r="AC1747" s="2" t="s">
        <v>78</v>
      </c>
      <c r="AF1747" s="2">
        <f t="shared" si="208"/>
        <v>0</v>
      </c>
      <c r="AG1747" s="2">
        <v>152.85</v>
      </c>
      <c r="AH1747" s="2">
        <v>260</v>
      </c>
      <c r="AJ1747" s="2">
        <f t="shared" si="209"/>
        <v>0</v>
      </c>
      <c r="AK1747" s="2">
        <f t="shared" si="210"/>
        <v>107.15</v>
      </c>
      <c r="AL1747" s="5">
        <f t="shared" si="211"/>
        <v>0.41211538461538466</v>
      </c>
    </row>
    <row r="1748" spans="1:38" hidden="1" x14ac:dyDescent="0.2">
      <c r="A1748" s="2">
        <v>2025</v>
      </c>
      <c r="B1748" s="2">
        <v>8</v>
      </c>
      <c r="D1748" s="2" t="s">
        <v>1258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7"/>
        <v>0</v>
      </c>
      <c r="Z1748" s="2" t="s">
        <v>3231</v>
      </c>
      <c r="AA1748" s="2" t="s">
        <v>97</v>
      </c>
      <c r="AB1748" s="2" t="s">
        <v>77</v>
      </c>
      <c r="AC1748" s="2" t="s">
        <v>94</v>
      </c>
      <c r="AF1748" s="2">
        <f t="shared" si="208"/>
        <v>0</v>
      </c>
      <c r="AJ1748" s="2">
        <f t="shared" si="209"/>
        <v>0</v>
      </c>
      <c r="AK1748" s="2">
        <f t="shared" si="210"/>
        <v>0</v>
      </c>
      <c r="AL1748" s="5">
        <f t="shared" si="211"/>
        <v>0</v>
      </c>
    </row>
    <row r="1749" spans="1:38" hidden="1" x14ac:dyDescent="0.2">
      <c r="A1749" s="2">
        <v>2025</v>
      </c>
      <c r="B1749" s="2">
        <v>8</v>
      </c>
      <c r="D1749" s="2" t="s">
        <v>852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7"/>
        <v>0.37426086956521742</v>
      </c>
      <c r="Z1749" s="2" t="s">
        <v>3231</v>
      </c>
      <c r="AA1749" s="2" t="s">
        <v>76</v>
      </c>
      <c r="AB1749" s="2" t="s">
        <v>77</v>
      </c>
      <c r="AC1749" s="2" t="s">
        <v>78</v>
      </c>
      <c r="AF1749" s="2">
        <f t="shared" si="208"/>
        <v>0</v>
      </c>
      <c r="AJ1749" s="2">
        <f t="shared" si="209"/>
        <v>0</v>
      </c>
      <c r="AK1749" s="2">
        <f t="shared" si="210"/>
        <v>86.080000000000013</v>
      </c>
      <c r="AL1749" s="5">
        <f t="shared" si="211"/>
        <v>0.37426086956521742</v>
      </c>
    </row>
    <row r="1750" spans="1:38" hidden="1" x14ac:dyDescent="0.2">
      <c r="A1750" s="2">
        <v>2025</v>
      </c>
      <c r="B1750" s="2">
        <v>8</v>
      </c>
      <c r="D1750" s="2" t="s">
        <v>852</v>
      </c>
      <c r="M1750" s="2" t="s">
        <v>40</v>
      </c>
      <c r="P1750" s="2" t="s">
        <v>188</v>
      </c>
      <c r="Q1750" s="2" t="s">
        <v>1310</v>
      </c>
      <c r="R1750" s="2" t="s">
        <v>1311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7"/>
        <v>#DIV/0!</v>
      </c>
      <c r="Z1750" s="2" t="s">
        <v>118</v>
      </c>
      <c r="AA1750" s="2" t="s">
        <v>1312</v>
      </c>
      <c r="AF1750" s="2">
        <f t="shared" si="208"/>
        <v>0</v>
      </c>
      <c r="AJ1750" s="2">
        <f t="shared" si="209"/>
        <v>0</v>
      </c>
      <c r="AK1750" s="2">
        <f t="shared" si="210"/>
        <v>0</v>
      </c>
      <c r="AL1750" s="5" t="e">
        <f t="shared" si="211"/>
        <v>#DIV/0!</v>
      </c>
    </row>
    <row r="1751" spans="1:38" hidden="1" x14ac:dyDescent="0.2">
      <c r="A1751" s="2">
        <v>2025</v>
      </c>
      <c r="B1751" s="2">
        <v>8</v>
      </c>
      <c r="D1751" s="2" t="s">
        <v>852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2">(T1751-W1751)/T1751</f>
        <v>0</v>
      </c>
      <c r="Z1751" s="2" t="s">
        <v>3231</v>
      </c>
      <c r="AA1751" s="2" t="s">
        <v>97</v>
      </c>
      <c r="AB1751" s="2" t="s">
        <v>77</v>
      </c>
      <c r="AC1751" s="2" t="s">
        <v>94</v>
      </c>
      <c r="AF1751" s="2">
        <f t="shared" si="208"/>
        <v>0</v>
      </c>
      <c r="AJ1751" s="2">
        <f t="shared" si="209"/>
        <v>0</v>
      </c>
      <c r="AK1751" s="2">
        <f t="shared" si="210"/>
        <v>0</v>
      </c>
      <c r="AL1751" s="5">
        <f t="shared" si="211"/>
        <v>0</v>
      </c>
    </row>
    <row r="1752" spans="1:38" hidden="1" x14ac:dyDescent="0.2">
      <c r="A1752" s="2">
        <v>2025</v>
      </c>
      <c r="B1752" s="2">
        <v>8</v>
      </c>
      <c r="D1752" s="2" t="s">
        <v>855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856</v>
      </c>
      <c r="J1752" s="2" t="s">
        <v>857</v>
      </c>
      <c r="K1752" s="2">
        <v>917665950</v>
      </c>
      <c r="L1752" s="2" t="s">
        <v>100</v>
      </c>
      <c r="M1752" s="2" t="s">
        <v>41</v>
      </c>
      <c r="O1752" s="2" t="s">
        <v>1814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2"/>
        <v>0.52105128205128204</v>
      </c>
      <c r="Z1752" s="2" t="s">
        <v>3231</v>
      </c>
      <c r="AA1752" s="2" t="s">
        <v>46</v>
      </c>
      <c r="AB1752" s="2" t="s">
        <v>47</v>
      </c>
      <c r="AC1752" s="2" t="s">
        <v>48</v>
      </c>
      <c r="AF1752" s="2">
        <f t="shared" si="208"/>
        <v>0</v>
      </c>
      <c r="AG1752" s="2">
        <v>3.7357999999999998</v>
      </c>
      <c r="AH1752" s="2">
        <v>9</v>
      </c>
      <c r="AJ1752" s="2">
        <f t="shared" si="209"/>
        <v>0</v>
      </c>
      <c r="AK1752" s="2">
        <f t="shared" si="210"/>
        <v>4.0641999999999996</v>
      </c>
      <c r="AL1752" s="5">
        <f t="shared" si="211"/>
        <v>0.52105128205128204</v>
      </c>
    </row>
    <row r="1753" spans="1:38" hidden="1" x14ac:dyDescent="0.2">
      <c r="A1753" s="2">
        <v>2025</v>
      </c>
      <c r="B1753" s="2">
        <v>8</v>
      </c>
      <c r="D1753" s="2" t="s">
        <v>863</v>
      </c>
      <c r="P1753" s="2" t="s">
        <v>283</v>
      </c>
      <c r="Q1753" s="2" t="s">
        <v>1815</v>
      </c>
      <c r="R1753" s="2" t="s">
        <v>1816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2"/>
        <v>1</v>
      </c>
      <c r="Z1753" s="2" t="s">
        <v>3231</v>
      </c>
      <c r="AA1753" s="2" t="s">
        <v>72</v>
      </c>
      <c r="AB1753" s="2" t="s">
        <v>1604</v>
      </c>
      <c r="AC1753" s="2" t="s">
        <v>1604</v>
      </c>
      <c r="AF1753" s="2">
        <f t="shared" si="208"/>
        <v>0</v>
      </c>
      <c r="AJ1753" s="2">
        <f t="shared" si="209"/>
        <v>0</v>
      </c>
      <c r="AK1753" s="2">
        <f t="shared" si="210"/>
        <v>1190</v>
      </c>
      <c r="AL1753" s="5">
        <f t="shared" si="211"/>
        <v>1</v>
      </c>
    </row>
    <row r="1754" spans="1:38" hidden="1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1817</v>
      </c>
      <c r="R1754" s="2" t="s">
        <v>1818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2"/>
        <v>1</v>
      </c>
      <c r="Z1754" s="2" t="s">
        <v>3231</v>
      </c>
      <c r="AA1754" s="2" t="s">
        <v>72</v>
      </c>
      <c r="AB1754" s="2" t="s">
        <v>1604</v>
      </c>
      <c r="AC1754" s="2" t="s">
        <v>1604</v>
      </c>
      <c r="AF1754" s="2">
        <f t="shared" si="208"/>
        <v>0</v>
      </c>
      <c r="AJ1754" s="2">
        <f t="shared" si="209"/>
        <v>0</v>
      </c>
      <c r="AK1754" s="2">
        <f t="shared" si="210"/>
        <v>21.9</v>
      </c>
      <c r="AL1754" s="5">
        <f t="shared" si="211"/>
        <v>1</v>
      </c>
    </row>
    <row r="1755" spans="1:38" hidden="1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1819</v>
      </c>
      <c r="R1755" s="2" t="s">
        <v>1820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2"/>
        <v>1</v>
      </c>
      <c r="Z1755" s="2" t="s">
        <v>3231</v>
      </c>
      <c r="AA1755" s="2" t="s">
        <v>72</v>
      </c>
      <c r="AB1755" s="2" t="s">
        <v>1604</v>
      </c>
      <c r="AC1755" s="2" t="s">
        <v>1604</v>
      </c>
      <c r="AF1755" s="2">
        <f t="shared" si="208"/>
        <v>0</v>
      </c>
      <c r="AJ1755" s="2">
        <f t="shared" si="209"/>
        <v>0</v>
      </c>
      <c r="AK1755" s="2">
        <f t="shared" si="210"/>
        <v>36.9</v>
      </c>
      <c r="AL1755" s="5">
        <f t="shared" si="211"/>
        <v>1</v>
      </c>
    </row>
    <row r="1756" spans="1:38" hidden="1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1821</v>
      </c>
      <c r="R1756" s="2" t="s">
        <v>1822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2"/>
        <v>1</v>
      </c>
      <c r="Z1756" s="2" t="s">
        <v>3231</v>
      </c>
      <c r="AF1756" s="2">
        <f t="shared" si="208"/>
        <v>0</v>
      </c>
      <c r="AJ1756" s="2">
        <f t="shared" si="209"/>
        <v>0</v>
      </c>
      <c r="AK1756" s="2">
        <f t="shared" si="210"/>
        <v>8.1999999999999993</v>
      </c>
      <c r="AL1756" s="5">
        <f t="shared" si="211"/>
        <v>1</v>
      </c>
    </row>
    <row r="1757" spans="1:38" hidden="1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1823</v>
      </c>
      <c r="R1757" s="2" t="s">
        <v>1824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2"/>
        <v>1</v>
      </c>
      <c r="Z1757" s="2" t="s">
        <v>3231</v>
      </c>
      <c r="AF1757" s="2">
        <f t="shared" si="208"/>
        <v>0</v>
      </c>
      <c r="AJ1757" s="2">
        <f t="shared" si="209"/>
        <v>0</v>
      </c>
      <c r="AK1757" s="2">
        <f t="shared" si="210"/>
        <v>7.2</v>
      </c>
      <c r="AL1757" s="5">
        <f t="shared" si="211"/>
        <v>1</v>
      </c>
    </row>
    <row r="1758" spans="1:38" hidden="1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1065</v>
      </c>
      <c r="R1758" s="2" t="s">
        <v>1066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2"/>
        <v>1</v>
      </c>
      <c r="Z1758" s="2" t="s">
        <v>3231</v>
      </c>
      <c r="AF1758" s="2">
        <f t="shared" si="208"/>
        <v>0</v>
      </c>
      <c r="AJ1758" s="2">
        <f t="shared" si="209"/>
        <v>0</v>
      </c>
      <c r="AK1758" s="2">
        <f t="shared" si="210"/>
        <v>28.9</v>
      </c>
      <c r="AL1758" s="5">
        <f t="shared" si="211"/>
        <v>1</v>
      </c>
    </row>
    <row r="1759" spans="1:38" hidden="1" x14ac:dyDescent="0.2">
      <c r="A1759" s="2">
        <v>2025</v>
      </c>
      <c r="B1759" s="2">
        <v>8</v>
      </c>
      <c r="D1759" s="2" t="s">
        <v>1067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2"/>
        <v>0.21904761904761905</v>
      </c>
      <c r="Z1759" s="2" t="s">
        <v>3231</v>
      </c>
      <c r="AA1759" s="2" t="s">
        <v>46</v>
      </c>
      <c r="AB1759" s="2" t="s">
        <v>61</v>
      </c>
      <c r="AC1759" s="2" t="s">
        <v>58</v>
      </c>
      <c r="AF1759" s="2">
        <f t="shared" si="208"/>
        <v>0</v>
      </c>
      <c r="AG1759" s="2">
        <v>8.1999999999999993</v>
      </c>
      <c r="AH1759" s="2">
        <v>13</v>
      </c>
      <c r="AJ1759" s="2">
        <f t="shared" si="209"/>
        <v>0</v>
      </c>
      <c r="AK1759" s="2">
        <f t="shared" si="210"/>
        <v>23</v>
      </c>
      <c r="AL1759" s="5">
        <f t="shared" si="211"/>
        <v>0.21904761904761905</v>
      </c>
    </row>
    <row r="1760" spans="1:38" hidden="1" x14ac:dyDescent="0.2">
      <c r="A1760" s="2">
        <v>2025</v>
      </c>
      <c r="B1760" s="2">
        <v>8</v>
      </c>
      <c r="D1760" s="2" t="s">
        <v>1067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2"/>
        <v>0.28474761904761897</v>
      </c>
      <c r="Z1760" s="2" t="s">
        <v>3231</v>
      </c>
      <c r="AA1760" s="2" t="s">
        <v>46</v>
      </c>
      <c r="AB1760" s="2" t="s">
        <v>68</v>
      </c>
      <c r="AC1760" s="2" t="s">
        <v>58</v>
      </c>
      <c r="AF1760" s="2">
        <f t="shared" si="208"/>
        <v>0</v>
      </c>
      <c r="AG1760" s="2">
        <v>15.020300000000001</v>
      </c>
      <c r="AH1760" s="2">
        <v>27.6</v>
      </c>
      <c r="AJ1760" s="2">
        <f t="shared" si="209"/>
        <v>0</v>
      </c>
      <c r="AK1760" s="2">
        <f t="shared" si="210"/>
        <v>35.878199999999993</v>
      </c>
      <c r="AL1760" s="5">
        <f t="shared" si="211"/>
        <v>0.28474761904761897</v>
      </c>
    </row>
    <row r="1761" spans="1:38" hidden="1" x14ac:dyDescent="0.2">
      <c r="A1761" s="2">
        <v>2025</v>
      </c>
      <c r="B1761" s="2">
        <v>8</v>
      </c>
      <c r="D1761" s="2" t="s">
        <v>1825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2"/>
        <v>0.6</v>
      </c>
      <c r="Z1761" s="2" t="s">
        <v>118</v>
      </c>
      <c r="AA1761" s="2" t="s">
        <v>191</v>
      </c>
      <c r="AB1761" s="2" t="s">
        <v>190</v>
      </c>
      <c r="AC1761" s="2" t="s">
        <v>40</v>
      </c>
      <c r="AF1761" s="2">
        <f t="shared" si="208"/>
        <v>0</v>
      </c>
      <c r="AJ1761" s="2">
        <f t="shared" si="209"/>
        <v>0</v>
      </c>
      <c r="AK1761" s="2">
        <f t="shared" si="210"/>
        <v>30</v>
      </c>
      <c r="AL1761" s="5">
        <f t="shared" si="211"/>
        <v>0.6</v>
      </c>
    </row>
    <row r="1762" spans="1:38" hidden="1" x14ac:dyDescent="0.2">
      <c r="A1762" s="2">
        <v>2025</v>
      </c>
      <c r="B1762" s="2">
        <v>8</v>
      </c>
      <c r="D1762" s="2" t="s">
        <v>1825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2"/>
        <v>0.5</v>
      </c>
      <c r="Z1762" s="2" t="s">
        <v>118</v>
      </c>
      <c r="AA1762" s="2" t="s">
        <v>191</v>
      </c>
      <c r="AB1762" s="2" t="s">
        <v>191</v>
      </c>
      <c r="AC1762" s="2" t="s">
        <v>40</v>
      </c>
      <c r="AF1762" s="2">
        <f t="shared" si="208"/>
        <v>0</v>
      </c>
      <c r="AJ1762" s="2">
        <f t="shared" si="209"/>
        <v>0</v>
      </c>
      <c r="AK1762" s="2">
        <f t="shared" si="210"/>
        <v>25</v>
      </c>
      <c r="AL1762" s="5">
        <f t="shared" si="211"/>
        <v>0.5</v>
      </c>
    </row>
    <row r="1763" spans="1:38" hidden="1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2"/>
        <v>0.50777499999999998</v>
      </c>
      <c r="Z1763" s="2" t="s">
        <v>3231</v>
      </c>
      <c r="AA1763" s="2" t="s">
        <v>46</v>
      </c>
      <c r="AB1763" s="2" t="s">
        <v>57</v>
      </c>
      <c r="AC1763" s="2" t="s">
        <v>58</v>
      </c>
      <c r="AF1763" s="2">
        <f t="shared" si="208"/>
        <v>0</v>
      </c>
      <c r="AG1763" s="2">
        <v>5.9066999999999998</v>
      </c>
      <c r="AH1763" s="2">
        <v>12.6</v>
      </c>
      <c r="AJ1763" s="2">
        <f t="shared" si="209"/>
        <v>0</v>
      </c>
      <c r="AK1763" s="2">
        <f t="shared" si="210"/>
        <v>6.0933000000000002</v>
      </c>
      <c r="AL1763" s="5">
        <f t="shared" si="211"/>
        <v>0.50777499999999998</v>
      </c>
    </row>
    <row r="1764" spans="1:38" hidden="1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2"/>
        <v>0.45290151515151511</v>
      </c>
      <c r="Z1764" s="2" t="s">
        <v>3231</v>
      </c>
      <c r="AA1764" s="2" t="s">
        <v>46</v>
      </c>
      <c r="AB1764" s="2" t="s">
        <v>57</v>
      </c>
      <c r="AC1764" s="2" t="s">
        <v>58</v>
      </c>
      <c r="AF1764" s="2">
        <f t="shared" si="208"/>
        <v>0</v>
      </c>
      <c r="AG1764" s="2">
        <v>7.2217000000000002</v>
      </c>
      <c r="AH1764" s="2">
        <v>14.4</v>
      </c>
      <c r="AJ1764" s="2">
        <f t="shared" si="209"/>
        <v>0</v>
      </c>
      <c r="AK1764" s="2">
        <f t="shared" si="210"/>
        <v>5.9782999999999991</v>
      </c>
      <c r="AL1764" s="5">
        <f t="shared" si="211"/>
        <v>0.45290151515151511</v>
      </c>
    </row>
    <row r="1765" spans="1:38" hidden="1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2"/>
        <v>0.43104924242424236</v>
      </c>
      <c r="Z1765" s="2" t="s">
        <v>3231</v>
      </c>
      <c r="AA1765" s="2" t="s">
        <v>46</v>
      </c>
      <c r="AB1765" s="2" t="s">
        <v>68</v>
      </c>
      <c r="AC1765" s="2" t="s">
        <v>58</v>
      </c>
      <c r="AF1765" s="2">
        <f t="shared" si="208"/>
        <v>0</v>
      </c>
      <c r="AG1765" s="2">
        <v>15.020300000000001</v>
      </c>
      <c r="AH1765" s="2">
        <v>27.6</v>
      </c>
      <c r="AJ1765" s="2">
        <f t="shared" si="209"/>
        <v>0</v>
      </c>
      <c r="AK1765" s="2">
        <f t="shared" si="210"/>
        <v>11.379699999999998</v>
      </c>
      <c r="AL1765" s="5">
        <f t="shared" si="211"/>
        <v>0.43104924242424236</v>
      </c>
    </row>
    <row r="1766" spans="1:38" hidden="1" x14ac:dyDescent="0.2">
      <c r="A1766" s="2">
        <v>2025</v>
      </c>
      <c r="B1766" s="2">
        <v>8</v>
      </c>
      <c r="D1766" s="2" t="s">
        <v>1594</v>
      </c>
      <c r="P1766" s="2" t="s">
        <v>115</v>
      </c>
      <c r="Q1766" s="2" t="s">
        <v>1595</v>
      </c>
      <c r="R1766" s="2" t="s">
        <v>1596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2"/>
        <v>1</v>
      </c>
      <c r="Z1766" s="2" t="s">
        <v>118</v>
      </c>
      <c r="AF1766" s="2">
        <f t="shared" si="208"/>
        <v>0</v>
      </c>
      <c r="AJ1766" s="2">
        <f t="shared" si="209"/>
        <v>0</v>
      </c>
      <c r="AK1766" s="2">
        <f t="shared" si="210"/>
        <v>46.59</v>
      </c>
      <c r="AL1766" s="5">
        <f t="shared" si="211"/>
        <v>1</v>
      </c>
    </row>
    <row r="1767" spans="1:38" hidden="1" x14ac:dyDescent="0.2">
      <c r="A1767" s="2">
        <v>2025</v>
      </c>
      <c r="B1767" s="2">
        <v>8</v>
      </c>
      <c r="D1767" s="2" t="s">
        <v>866</v>
      </c>
      <c r="P1767" s="2" t="s">
        <v>283</v>
      </c>
      <c r="Q1767" s="2" t="s">
        <v>1826</v>
      </c>
      <c r="R1767" s="2" t="s">
        <v>1827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2"/>
        <v>1</v>
      </c>
      <c r="Z1767" s="2" t="s">
        <v>3231</v>
      </c>
      <c r="AF1767" s="2">
        <f t="shared" si="208"/>
        <v>0</v>
      </c>
      <c r="AJ1767" s="2">
        <f t="shared" si="209"/>
        <v>0</v>
      </c>
      <c r="AK1767" s="2">
        <f t="shared" si="210"/>
        <v>100</v>
      </c>
      <c r="AL1767" s="5">
        <f t="shared" si="211"/>
        <v>1</v>
      </c>
    </row>
    <row r="1768" spans="1:38" hidden="1" x14ac:dyDescent="0.2">
      <c r="A1768" s="2">
        <v>2025</v>
      </c>
      <c r="B1768" s="2">
        <v>8</v>
      </c>
      <c r="D1768" s="2" t="s">
        <v>866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2"/>
        <v>0.44777500000000003</v>
      </c>
      <c r="Z1768" s="2" t="s">
        <v>3231</v>
      </c>
      <c r="AA1768" s="2" t="s">
        <v>46</v>
      </c>
      <c r="AB1768" s="2" t="s">
        <v>47</v>
      </c>
      <c r="AC1768" s="2" t="s">
        <v>48</v>
      </c>
      <c r="AF1768" s="2">
        <f t="shared" si="208"/>
        <v>0</v>
      </c>
      <c r="AG1768" s="2">
        <v>6.6266999999999996</v>
      </c>
      <c r="AH1768" s="2">
        <v>12</v>
      </c>
      <c r="AJ1768" s="2">
        <f t="shared" si="209"/>
        <v>0</v>
      </c>
      <c r="AK1768" s="2">
        <f t="shared" si="210"/>
        <v>5.3733000000000004</v>
      </c>
      <c r="AL1768" s="5">
        <f t="shared" si="211"/>
        <v>0.44777500000000003</v>
      </c>
    </row>
    <row r="1769" spans="1:38" hidden="1" x14ac:dyDescent="0.2">
      <c r="A1769" s="2">
        <v>2025</v>
      </c>
      <c r="B1769" s="2">
        <v>8</v>
      </c>
      <c r="D1769" s="2" t="s">
        <v>866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2"/>
        <v>0.41111111111111115</v>
      </c>
      <c r="Z1769" s="2" t="s">
        <v>3231</v>
      </c>
      <c r="AA1769" s="2" t="s">
        <v>46</v>
      </c>
      <c r="AB1769" s="2" t="s">
        <v>57</v>
      </c>
      <c r="AC1769" s="2" t="s">
        <v>58</v>
      </c>
      <c r="AF1769" s="2">
        <f t="shared" si="208"/>
        <v>0</v>
      </c>
      <c r="AG1769" s="2">
        <v>10.6</v>
      </c>
      <c r="AH1769" s="2">
        <v>18</v>
      </c>
      <c r="AJ1769" s="2">
        <f t="shared" si="209"/>
        <v>0</v>
      </c>
      <c r="AK1769" s="2">
        <f t="shared" si="210"/>
        <v>7.4</v>
      </c>
      <c r="AL1769" s="5">
        <f t="shared" si="211"/>
        <v>0.41111111111111115</v>
      </c>
    </row>
    <row r="1770" spans="1:38" hidden="1" x14ac:dyDescent="0.2">
      <c r="A1770" s="2">
        <v>2025</v>
      </c>
      <c r="B1770" s="2">
        <v>8</v>
      </c>
      <c r="D1770" s="2" t="s">
        <v>1073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1558</v>
      </c>
      <c r="J1770" s="2" t="s">
        <v>1828</v>
      </c>
      <c r="L1770" s="2" t="s">
        <v>178</v>
      </c>
      <c r="P1770" s="2" t="s">
        <v>283</v>
      </c>
      <c r="Q1770" s="2" t="s">
        <v>1330</v>
      </c>
      <c r="R1770" s="2" t="s">
        <v>1331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2"/>
        <v>0.33974895397489541</v>
      </c>
      <c r="Z1770" s="2" t="s">
        <v>105</v>
      </c>
      <c r="AA1770" s="2" t="s">
        <v>388</v>
      </c>
      <c r="AB1770" s="2" t="s">
        <v>1332</v>
      </c>
      <c r="AC1770" s="2" t="s">
        <v>1329</v>
      </c>
      <c r="AF1770" s="2">
        <f t="shared" si="208"/>
        <v>0</v>
      </c>
      <c r="AJ1770" s="2">
        <f t="shared" si="209"/>
        <v>0</v>
      </c>
      <c r="AK1770" s="2">
        <f t="shared" si="210"/>
        <v>812</v>
      </c>
      <c r="AL1770" s="5">
        <f t="shared" si="211"/>
        <v>0.33974895397489541</v>
      </c>
    </row>
    <row r="1771" spans="1:38" hidden="1" x14ac:dyDescent="0.2">
      <c r="A1771" s="2">
        <v>2025</v>
      </c>
      <c r="B1771" s="2">
        <v>8</v>
      </c>
      <c r="D1771" s="2" t="s">
        <v>1073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1558</v>
      </c>
      <c r="J1771" s="2" t="s">
        <v>1828</v>
      </c>
      <c r="L1771" s="2" t="s">
        <v>178</v>
      </c>
      <c r="M1771" s="2" t="s">
        <v>41</v>
      </c>
      <c r="O1771" s="2" t="s">
        <v>1829</v>
      </c>
      <c r="P1771" s="2" t="s">
        <v>43</v>
      </c>
      <c r="Q1771" s="2" t="s">
        <v>670</v>
      </c>
      <c r="R1771" s="2" t="s">
        <v>671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2"/>
        <v>0.26824999999999999</v>
      </c>
      <c r="Z1771" s="2" t="s">
        <v>3231</v>
      </c>
      <c r="AA1771" s="2" t="s">
        <v>46</v>
      </c>
      <c r="AB1771" s="2" t="s">
        <v>57</v>
      </c>
      <c r="AC1771" s="2" t="s">
        <v>58</v>
      </c>
      <c r="AF1771" s="2">
        <f t="shared" si="208"/>
        <v>0</v>
      </c>
      <c r="AG1771" s="2">
        <v>29.27</v>
      </c>
      <c r="AH1771" s="2">
        <v>60</v>
      </c>
      <c r="AJ1771" s="2">
        <f t="shared" si="209"/>
        <v>0</v>
      </c>
      <c r="AK1771" s="2">
        <f t="shared" si="210"/>
        <v>10.73</v>
      </c>
      <c r="AL1771" s="5">
        <f t="shared" si="211"/>
        <v>0.26824999999999999</v>
      </c>
    </row>
    <row r="1772" spans="1:38" hidden="1" x14ac:dyDescent="0.2">
      <c r="A1772" s="2">
        <v>2025</v>
      </c>
      <c r="B1772" s="2">
        <v>8</v>
      </c>
      <c r="D1772" s="2" t="s">
        <v>1073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1558</v>
      </c>
      <c r="J1772" s="2" t="s">
        <v>1828</v>
      </c>
      <c r="L1772" s="2" t="s">
        <v>178</v>
      </c>
      <c r="M1772" s="2" t="s">
        <v>41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2"/>
        <v>0.36923076923076914</v>
      </c>
      <c r="Z1772" s="2" t="s">
        <v>3231</v>
      </c>
      <c r="AA1772" s="2" t="s">
        <v>46</v>
      </c>
      <c r="AB1772" s="2" t="s">
        <v>61</v>
      </c>
      <c r="AC1772" s="2" t="s">
        <v>58</v>
      </c>
      <c r="AF1772" s="2">
        <f t="shared" si="208"/>
        <v>0</v>
      </c>
      <c r="AG1772" s="2">
        <v>8.1999999999999993</v>
      </c>
      <c r="AH1772" s="2">
        <v>13</v>
      </c>
      <c r="AJ1772" s="2">
        <f t="shared" si="209"/>
        <v>0</v>
      </c>
      <c r="AK1772" s="2">
        <f t="shared" si="210"/>
        <v>4.7999999999999989</v>
      </c>
      <c r="AL1772" s="5">
        <f t="shared" si="211"/>
        <v>0.36923076923076914</v>
      </c>
    </row>
    <row r="1773" spans="1:38" hidden="1" x14ac:dyDescent="0.2">
      <c r="A1773" s="2">
        <v>2025</v>
      </c>
      <c r="B1773" s="2">
        <v>8</v>
      </c>
      <c r="D1773" s="2" t="s">
        <v>1073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1558</v>
      </c>
      <c r="J1773" s="2" t="s">
        <v>1828</v>
      </c>
      <c r="L1773" s="2" t="s">
        <v>178</v>
      </c>
      <c r="M1773" s="2" t="s">
        <v>41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2"/>
        <v>0.31725909090909088</v>
      </c>
      <c r="Z1773" s="2" t="s">
        <v>3231</v>
      </c>
      <c r="AA1773" s="2" t="s">
        <v>46</v>
      </c>
      <c r="AB1773" s="2" t="s">
        <v>68</v>
      </c>
      <c r="AC1773" s="2" t="s">
        <v>58</v>
      </c>
      <c r="AF1773" s="2">
        <f t="shared" si="208"/>
        <v>0</v>
      </c>
      <c r="AG1773" s="2">
        <v>15.020300000000001</v>
      </c>
      <c r="AH1773" s="2">
        <v>27.6</v>
      </c>
      <c r="AJ1773" s="2">
        <f t="shared" si="209"/>
        <v>0</v>
      </c>
      <c r="AK1773" s="2">
        <f t="shared" si="210"/>
        <v>6.9796999999999993</v>
      </c>
      <c r="AL1773" s="5">
        <f t="shared" si="211"/>
        <v>0.31725909090909088</v>
      </c>
    </row>
    <row r="1774" spans="1:38" hidden="1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2"/>
        <v>0.46583136256139712</v>
      </c>
      <c r="Z1774" s="2" t="s">
        <v>3231</v>
      </c>
      <c r="AA1774" s="2" t="s">
        <v>76</v>
      </c>
      <c r="AB1774" s="2" t="s">
        <v>77</v>
      </c>
      <c r="AC1774" s="2" t="s">
        <v>78</v>
      </c>
      <c r="AF1774" s="2">
        <f t="shared" si="208"/>
        <v>0</v>
      </c>
      <c r="AG1774" s="2">
        <v>117.453</v>
      </c>
      <c r="AH1774" s="2">
        <v>220</v>
      </c>
      <c r="AJ1774" s="2">
        <f t="shared" si="209"/>
        <v>0</v>
      </c>
      <c r="AK1774" s="2">
        <f t="shared" si="210"/>
        <v>102.42699999999999</v>
      </c>
      <c r="AL1774" s="5">
        <f t="shared" si="211"/>
        <v>0.46583136256139712</v>
      </c>
    </row>
    <row r="1775" spans="1:38" hidden="1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3210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2"/>
        <v>0.45172346259302781</v>
      </c>
      <c r="Z1775" s="2" t="s">
        <v>3231</v>
      </c>
      <c r="AA1775" s="2" t="s">
        <v>76</v>
      </c>
      <c r="AB1775" s="2" t="s">
        <v>77</v>
      </c>
      <c r="AC1775" s="2" t="s">
        <v>78</v>
      </c>
      <c r="AF1775" s="2">
        <f t="shared" si="208"/>
        <v>0</v>
      </c>
      <c r="AG1775" s="2">
        <v>111.98</v>
      </c>
      <c r="AH1775" s="2">
        <v>210</v>
      </c>
      <c r="AJ1775" s="2">
        <f t="shared" si="209"/>
        <v>0</v>
      </c>
      <c r="AK1775" s="2">
        <f t="shared" si="210"/>
        <v>92.26</v>
      </c>
      <c r="AL1775" s="5">
        <f t="shared" si="211"/>
        <v>0.45172346259302781</v>
      </c>
    </row>
    <row r="1776" spans="1:38" hidden="1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3198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2"/>
        <v>0.40539024390243905</v>
      </c>
      <c r="Z1776" s="2" t="s">
        <v>3231</v>
      </c>
      <c r="AA1776" s="2" t="s">
        <v>76</v>
      </c>
      <c r="AB1776" s="2" t="s">
        <v>77</v>
      </c>
      <c r="AC1776" s="2" t="s">
        <v>78</v>
      </c>
      <c r="AF1776" s="2">
        <f t="shared" si="208"/>
        <v>0</v>
      </c>
      <c r="AG1776" s="2">
        <f>110.125+11.77</f>
        <v>121.895</v>
      </c>
      <c r="AJ1776" s="2">
        <f t="shared" si="209"/>
        <v>0</v>
      </c>
      <c r="AK1776" s="2">
        <f t="shared" si="210"/>
        <v>83.105000000000004</v>
      </c>
      <c r="AL1776" s="5">
        <f t="shared" si="211"/>
        <v>0.40539024390243905</v>
      </c>
    </row>
    <row r="1777" spans="1:38" hidden="1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2"/>
        <v>0</v>
      </c>
      <c r="Z1777" s="2" t="s">
        <v>3231</v>
      </c>
      <c r="AA1777" s="2" t="s">
        <v>97</v>
      </c>
      <c r="AB1777" s="2" t="s">
        <v>77</v>
      </c>
      <c r="AC1777" s="2" t="s">
        <v>94</v>
      </c>
      <c r="AF1777" s="2">
        <f t="shared" si="208"/>
        <v>0</v>
      </c>
      <c r="AJ1777" s="2">
        <f t="shared" si="209"/>
        <v>0</v>
      </c>
      <c r="AK1777" s="2">
        <f t="shared" si="210"/>
        <v>0</v>
      </c>
      <c r="AL1777" s="5">
        <f t="shared" si="211"/>
        <v>0</v>
      </c>
    </row>
    <row r="1778" spans="1:38" hidden="1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1830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2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8"/>
        <v>0</v>
      </c>
      <c r="AG1778" s="2">
        <v>22.2</v>
      </c>
      <c r="AJ1778" s="2">
        <f t="shared" si="209"/>
        <v>0</v>
      </c>
      <c r="AK1778" s="2">
        <f t="shared" si="210"/>
        <v>15.588000000000001</v>
      </c>
      <c r="AL1778" s="5">
        <f t="shared" si="211"/>
        <v>0.40352057986021228</v>
      </c>
    </row>
    <row r="1779" spans="1:38" hidden="1" x14ac:dyDescent="0.2">
      <c r="A1779" s="2">
        <v>2025</v>
      </c>
      <c r="B1779" s="2">
        <v>8</v>
      </c>
      <c r="D1779" s="2" t="s">
        <v>1831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1128</v>
      </c>
      <c r="J1779" s="2" t="s">
        <v>3236</v>
      </c>
      <c r="L1779" s="2" t="s">
        <v>462</v>
      </c>
      <c r="M1779" s="2" t="s">
        <v>41</v>
      </c>
      <c r="O1779" s="2" t="s">
        <v>3237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2"/>
        <v>0.2007514018691588</v>
      </c>
      <c r="Z1779" s="2" t="s">
        <v>105</v>
      </c>
      <c r="AA1779" s="2" t="s">
        <v>617</v>
      </c>
      <c r="AB1779" s="2" t="s">
        <v>3177</v>
      </c>
      <c r="AC1779" s="2" t="s">
        <v>115</v>
      </c>
      <c r="AF1779" s="2">
        <f t="shared" si="208"/>
        <v>0</v>
      </c>
      <c r="AJ1779" s="2">
        <f t="shared" si="209"/>
        <v>0</v>
      </c>
      <c r="AK1779" s="2">
        <f t="shared" si="210"/>
        <v>1074.0199999999995</v>
      </c>
      <c r="AL1779" s="5">
        <f t="shared" si="211"/>
        <v>0.2007514018691588</v>
      </c>
    </row>
    <row r="1780" spans="1:38" hidden="1" x14ac:dyDescent="0.2">
      <c r="A1780" s="2">
        <v>2025</v>
      </c>
      <c r="B1780" s="2">
        <v>8</v>
      </c>
      <c r="D1780" s="2" t="s">
        <v>1625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2"/>
        <v>0.50777499999999998</v>
      </c>
      <c r="Z1780" s="2" t="s">
        <v>3231</v>
      </c>
      <c r="AA1780" s="2" t="s">
        <v>46</v>
      </c>
      <c r="AB1780" s="2" t="s">
        <v>57</v>
      </c>
      <c r="AC1780" s="2" t="s">
        <v>58</v>
      </c>
      <c r="AF1780" s="2">
        <f t="shared" si="208"/>
        <v>0</v>
      </c>
      <c r="AG1780" s="2">
        <v>5.9066999999999998</v>
      </c>
      <c r="AH1780" s="2">
        <v>12.6</v>
      </c>
      <c r="AJ1780" s="2">
        <f t="shared" si="209"/>
        <v>0</v>
      </c>
      <c r="AK1780" s="2">
        <f t="shared" si="210"/>
        <v>6.0933000000000002</v>
      </c>
      <c r="AL1780" s="5">
        <f t="shared" si="211"/>
        <v>0.50777499999999998</v>
      </c>
    </row>
    <row r="1781" spans="1:38" hidden="1" x14ac:dyDescent="0.2">
      <c r="A1781" s="2">
        <v>2025</v>
      </c>
      <c r="B1781" s="2">
        <v>8</v>
      </c>
      <c r="D1781" s="2" t="s">
        <v>1625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2"/>
        <v>0.45290151515151511</v>
      </c>
      <c r="Z1781" s="2" t="s">
        <v>3231</v>
      </c>
      <c r="AA1781" s="2" t="s">
        <v>46</v>
      </c>
      <c r="AB1781" s="2" t="s">
        <v>57</v>
      </c>
      <c r="AC1781" s="2" t="s">
        <v>58</v>
      </c>
      <c r="AF1781" s="2">
        <f t="shared" si="208"/>
        <v>0</v>
      </c>
      <c r="AG1781" s="2">
        <v>7.2217000000000002</v>
      </c>
      <c r="AH1781" s="2">
        <v>14.4</v>
      </c>
      <c r="AJ1781" s="2">
        <f t="shared" si="209"/>
        <v>0</v>
      </c>
      <c r="AK1781" s="2">
        <f t="shared" si="210"/>
        <v>11.956599999999998</v>
      </c>
      <c r="AL1781" s="5">
        <f t="shared" si="211"/>
        <v>0.45290151515151511</v>
      </c>
    </row>
    <row r="1782" spans="1:38" hidden="1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2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8"/>
        <v>0</v>
      </c>
      <c r="AJ1782" s="2">
        <f t="shared" si="209"/>
        <v>0</v>
      </c>
      <c r="AK1782" s="2">
        <f t="shared" si="210"/>
        <v>68.12</v>
      </c>
      <c r="AL1782" s="5">
        <f t="shared" si="211"/>
        <v>1</v>
      </c>
    </row>
    <row r="1783" spans="1:38" hidden="1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1832</v>
      </c>
      <c r="R1783" s="2" t="s">
        <v>1833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3231</v>
      </c>
      <c r="AA1783" s="2" t="s">
        <v>72</v>
      </c>
      <c r="AB1783" s="2" t="s">
        <v>1604</v>
      </c>
      <c r="AC1783" s="2" t="s">
        <v>1604</v>
      </c>
      <c r="AF1783" s="2">
        <f t="shared" si="208"/>
        <v>0</v>
      </c>
      <c r="AJ1783" s="2">
        <f t="shared" si="209"/>
        <v>0</v>
      </c>
      <c r="AK1783" s="2">
        <f t="shared" si="210"/>
        <v>7.0100000000000051</v>
      </c>
      <c r="AL1783" s="5">
        <f t="shared" si="211"/>
        <v>5.608000000000004E-2</v>
      </c>
    </row>
    <row r="1784" spans="1:38" hidden="1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1834</v>
      </c>
      <c r="R1784" s="2" t="s">
        <v>1835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3231</v>
      </c>
      <c r="AA1784" s="2" t="s">
        <v>72</v>
      </c>
      <c r="AB1784" s="2" t="s">
        <v>1604</v>
      </c>
      <c r="AC1784" s="2" t="s">
        <v>1604</v>
      </c>
      <c r="AF1784" s="2">
        <f t="shared" si="208"/>
        <v>0</v>
      </c>
      <c r="AJ1784" s="2">
        <f t="shared" si="209"/>
        <v>0</v>
      </c>
      <c r="AK1784" s="2">
        <f t="shared" si="210"/>
        <v>9.86</v>
      </c>
      <c r="AL1784" s="5">
        <f t="shared" si="211"/>
        <v>0.18638941398865783</v>
      </c>
    </row>
    <row r="1785" spans="1:38" hidden="1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3231</v>
      </c>
      <c r="AA1785" s="2" t="s">
        <v>46</v>
      </c>
      <c r="AB1785" s="2" t="s">
        <v>61</v>
      </c>
      <c r="AC1785" s="2" t="s">
        <v>58</v>
      </c>
      <c r="AF1785" s="2">
        <f t="shared" si="208"/>
        <v>0</v>
      </c>
      <c r="AG1785" s="2">
        <v>0.85609999999999997</v>
      </c>
      <c r="AH1785" s="2">
        <v>1.8</v>
      </c>
      <c r="AJ1785" s="2">
        <f t="shared" si="209"/>
        <v>0</v>
      </c>
      <c r="AK1785" s="2">
        <f t="shared" si="210"/>
        <v>18.878</v>
      </c>
      <c r="AL1785" s="5">
        <f t="shared" si="211"/>
        <v>0.5243888888888889</v>
      </c>
    </row>
    <row r="1786" spans="1:38" hidden="1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3231</v>
      </c>
      <c r="AA1786" s="2" t="s">
        <v>46</v>
      </c>
      <c r="AB1786" s="2" t="s">
        <v>68</v>
      </c>
      <c r="AC1786" s="2" t="s">
        <v>58</v>
      </c>
      <c r="AF1786" s="2">
        <f t="shared" si="208"/>
        <v>0</v>
      </c>
      <c r="AG1786" s="2">
        <v>15.020300000000001</v>
      </c>
      <c r="AH1786" s="2">
        <v>27.6</v>
      </c>
      <c r="AJ1786" s="2">
        <f t="shared" si="209"/>
        <v>0</v>
      </c>
      <c r="AK1786" s="2">
        <f t="shared" si="210"/>
        <v>99.593999999999994</v>
      </c>
      <c r="AL1786" s="5">
        <f t="shared" si="211"/>
        <v>0.24898499999999998</v>
      </c>
    </row>
    <row r="1787" spans="1:38" hidden="1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3231</v>
      </c>
      <c r="AA1787" s="2" t="s">
        <v>46</v>
      </c>
      <c r="AB1787" s="2" t="s">
        <v>57</v>
      </c>
      <c r="AC1787" s="2" t="s">
        <v>58</v>
      </c>
      <c r="AF1787" s="2">
        <f t="shared" si="208"/>
        <v>0</v>
      </c>
      <c r="AG1787" s="2">
        <v>10.6</v>
      </c>
      <c r="AH1787" s="2">
        <v>18</v>
      </c>
      <c r="AJ1787" s="2">
        <f t="shared" si="209"/>
        <v>0</v>
      </c>
      <c r="AK1787" s="2">
        <f t="shared" si="210"/>
        <v>34</v>
      </c>
      <c r="AL1787" s="5">
        <f t="shared" si="211"/>
        <v>0.24285714285714285</v>
      </c>
    </row>
    <row r="1788" spans="1:38" hidden="1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1836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3231</v>
      </c>
      <c r="AA1788" s="2" t="s">
        <v>46</v>
      </c>
      <c r="AB1788" s="2" t="s">
        <v>47</v>
      </c>
      <c r="AC1788" s="2" t="s">
        <v>48</v>
      </c>
      <c r="AF1788" s="2">
        <f t="shared" si="208"/>
        <v>0</v>
      </c>
      <c r="AG1788" s="2">
        <v>6.6266999999999996</v>
      </c>
      <c r="AH1788" s="2">
        <v>12</v>
      </c>
      <c r="AJ1788" s="2">
        <f t="shared" si="209"/>
        <v>0</v>
      </c>
      <c r="AK1788" s="2">
        <f t="shared" ref="AK1788:AK1791" si="213">T1788-W1788</f>
        <v>-13.253399999999999</v>
      </c>
      <c r="AL1788" s="18">
        <v>-1</v>
      </c>
    </row>
    <row r="1789" spans="1:38" hidden="1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1836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3231</v>
      </c>
      <c r="AA1789" s="2" t="s">
        <v>46</v>
      </c>
      <c r="AB1789" s="2" t="s">
        <v>47</v>
      </c>
      <c r="AC1789" s="2" t="s">
        <v>48</v>
      </c>
      <c r="AF1789" s="2">
        <f t="shared" si="208"/>
        <v>0</v>
      </c>
      <c r="AG1789" s="2">
        <v>10.2346</v>
      </c>
      <c r="AH1789" s="2">
        <v>18</v>
      </c>
      <c r="AJ1789" s="2">
        <f t="shared" si="209"/>
        <v>0</v>
      </c>
      <c r="AK1789" s="2">
        <f t="shared" si="213"/>
        <v>-14.4</v>
      </c>
      <c r="AL1789" s="5">
        <v>-1</v>
      </c>
    </row>
    <row r="1790" spans="1:38" hidden="1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1836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3231</v>
      </c>
      <c r="AA1790" s="2" t="s">
        <v>46</v>
      </c>
      <c r="AB1790" s="2" t="s">
        <v>47</v>
      </c>
      <c r="AC1790" s="2" t="s">
        <v>48</v>
      </c>
      <c r="AF1790" s="2">
        <f t="shared" si="208"/>
        <v>0</v>
      </c>
      <c r="AG1790" s="2">
        <v>3.7357999999999998</v>
      </c>
      <c r="AH1790" s="2">
        <v>9</v>
      </c>
      <c r="AJ1790" s="2">
        <f t="shared" si="209"/>
        <v>0</v>
      </c>
      <c r="AK1790" s="2">
        <f t="shared" si="213"/>
        <v>-7.4715999999999996</v>
      </c>
      <c r="AL1790" s="18">
        <v>-1</v>
      </c>
    </row>
    <row r="1791" spans="1:38" hidden="1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1836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3231</v>
      </c>
      <c r="AA1791" s="2" t="s">
        <v>46</v>
      </c>
      <c r="AB1791" s="2" t="s">
        <v>47</v>
      </c>
      <c r="AC1791" s="2" t="s">
        <v>48</v>
      </c>
      <c r="AF1791" s="2">
        <f t="shared" si="208"/>
        <v>0</v>
      </c>
      <c r="AG1791" s="2">
        <v>5.2972999999999999</v>
      </c>
      <c r="AH1791" s="2">
        <v>10.8</v>
      </c>
      <c r="AJ1791" s="2">
        <f t="shared" si="209"/>
        <v>0</v>
      </c>
      <c r="AK1791" s="2">
        <f t="shared" si="213"/>
        <v>-10.5946</v>
      </c>
      <c r="AL1791" s="18">
        <v>-1</v>
      </c>
    </row>
    <row r="1792" spans="1:38" hidden="1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1836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3231</v>
      </c>
      <c r="AA1792" s="2" t="s">
        <v>88</v>
      </c>
      <c r="AB1792" s="2" t="s">
        <v>91</v>
      </c>
      <c r="AC1792" s="2" t="s">
        <v>85</v>
      </c>
      <c r="AF1792" s="2">
        <f t="shared" si="208"/>
        <v>0</v>
      </c>
      <c r="AJ1792" s="2">
        <f t="shared" si="209"/>
        <v>0</v>
      </c>
    </row>
    <row r="1793" spans="1:38" hidden="1" x14ac:dyDescent="0.2">
      <c r="A1793" s="2">
        <v>2025</v>
      </c>
      <c r="B1793" s="2">
        <v>8</v>
      </c>
      <c r="C1793" s="2" t="s">
        <v>3322</v>
      </c>
      <c r="D1793" s="2" t="s">
        <v>1639</v>
      </c>
      <c r="E1793" s="2" t="s">
        <v>2450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1640</v>
      </c>
      <c r="R1793" s="2" t="s">
        <v>1641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3231</v>
      </c>
      <c r="AA1793" s="2" t="s">
        <v>72</v>
      </c>
      <c r="AB1793" s="2" t="s">
        <v>1604</v>
      </c>
      <c r="AC1793" s="2" t="s">
        <v>1604</v>
      </c>
      <c r="AF1793" s="2">
        <f t="shared" si="208"/>
        <v>0</v>
      </c>
      <c r="AJ1793" s="2">
        <f t="shared" si="209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hidden="1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3157</v>
      </c>
      <c r="M1794" s="2" t="s">
        <v>41</v>
      </c>
      <c r="O1794" s="2" t="s">
        <v>3156</v>
      </c>
      <c r="P1794" s="2" t="s">
        <v>1040</v>
      </c>
      <c r="Q1794" s="2" t="s">
        <v>1837</v>
      </c>
      <c r="R1794" s="2" t="s">
        <v>1838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4">(T1794-W1794)/T1794</f>
        <v>0.39288461538461539</v>
      </c>
      <c r="Z1794" s="2" t="s">
        <v>3231</v>
      </c>
      <c r="AA1794" s="2" t="s">
        <v>76</v>
      </c>
      <c r="AB1794" s="2" t="s">
        <v>77</v>
      </c>
      <c r="AC1794" s="2" t="s">
        <v>1040</v>
      </c>
      <c r="AF1794" s="2">
        <f t="shared" si="208"/>
        <v>0</v>
      </c>
      <c r="AG1794" s="2">
        <v>157.85</v>
      </c>
      <c r="AJ1794" s="2">
        <f t="shared" si="209"/>
        <v>0</v>
      </c>
      <c r="AK1794" s="2">
        <f t="shared" si="210"/>
        <v>102.15</v>
      </c>
      <c r="AL1794" s="5">
        <f t="shared" ref="AL1794:AL1823" si="215">(T1794-W1794)/T1794</f>
        <v>0.39288461538461539</v>
      </c>
    </row>
    <row r="1795" spans="1:38" hidden="1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4"/>
        <v>0</v>
      </c>
      <c r="Z1795" s="2" t="s">
        <v>3231</v>
      </c>
      <c r="AA1795" s="2" t="s">
        <v>97</v>
      </c>
      <c r="AB1795" s="2" t="s">
        <v>77</v>
      </c>
      <c r="AC1795" s="2" t="s">
        <v>94</v>
      </c>
      <c r="AF1795" s="2">
        <f t="shared" ref="AF1795:AF1858" si="216">AJ1795</f>
        <v>0</v>
      </c>
      <c r="AJ1795" s="2">
        <f t="shared" ref="AJ1795:AJ1858" si="217">AI1795*T1795</f>
        <v>0</v>
      </c>
      <c r="AK1795" s="2">
        <f t="shared" ref="AK1795:AK1858" si="218">T1795-W1795</f>
        <v>0</v>
      </c>
      <c r="AL1795" s="5">
        <f t="shared" si="215"/>
        <v>0</v>
      </c>
    </row>
    <row r="1796" spans="1:38" hidden="1" x14ac:dyDescent="0.2">
      <c r="A1796" s="2">
        <v>2025</v>
      </c>
      <c r="B1796" s="2">
        <v>8</v>
      </c>
      <c r="D1796" s="2" t="s">
        <v>1297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1298</v>
      </c>
      <c r="L1796" s="2" t="s">
        <v>340</v>
      </c>
      <c r="M1796" s="2" t="s">
        <v>81</v>
      </c>
      <c r="P1796" s="2" t="s">
        <v>40</v>
      </c>
      <c r="Q1796" s="2" t="s">
        <v>1839</v>
      </c>
      <c r="R1796" s="2" t="s">
        <v>1840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4"/>
        <v>0.47619047619047616</v>
      </c>
      <c r="Z1796" s="2" t="s">
        <v>3231</v>
      </c>
      <c r="AA1796" s="2" t="s">
        <v>76</v>
      </c>
      <c r="AB1796" s="2" t="s">
        <v>77</v>
      </c>
      <c r="AC1796" s="2" t="s">
        <v>40</v>
      </c>
      <c r="AF1796" s="2">
        <f t="shared" si="216"/>
        <v>0</v>
      </c>
      <c r="AJ1796" s="2">
        <f t="shared" si="217"/>
        <v>0</v>
      </c>
      <c r="AK1796" s="2">
        <f t="shared" si="218"/>
        <v>100</v>
      </c>
      <c r="AL1796" s="5">
        <f t="shared" si="215"/>
        <v>0.47619047619047616</v>
      </c>
    </row>
    <row r="1797" spans="1:38" hidden="1" x14ac:dyDescent="0.2">
      <c r="A1797" s="2">
        <v>2025</v>
      </c>
      <c r="B1797" s="2">
        <v>8</v>
      </c>
      <c r="D1797" s="2" t="s">
        <v>1297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1298</v>
      </c>
      <c r="L1797" s="2" t="s">
        <v>340</v>
      </c>
      <c r="M1797" s="2" t="s">
        <v>291</v>
      </c>
      <c r="O1797" s="2" t="s">
        <v>3209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4"/>
        <v>0.45375609756097557</v>
      </c>
      <c r="Z1797" s="2" t="s">
        <v>3231</v>
      </c>
      <c r="AA1797" s="2" t="s">
        <v>76</v>
      </c>
      <c r="AB1797" s="2" t="s">
        <v>77</v>
      </c>
      <c r="AC1797" s="2" t="s">
        <v>78</v>
      </c>
      <c r="AF1797" s="2">
        <f t="shared" si="216"/>
        <v>0</v>
      </c>
      <c r="AG1797" s="2">
        <v>111.98</v>
      </c>
      <c r="AH1797" s="2">
        <v>210</v>
      </c>
      <c r="AJ1797" s="2">
        <f t="shared" si="217"/>
        <v>0</v>
      </c>
      <c r="AK1797" s="2">
        <f t="shared" si="218"/>
        <v>93.02</v>
      </c>
      <c r="AL1797" s="5">
        <f t="shared" si="215"/>
        <v>0.45375609756097557</v>
      </c>
    </row>
    <row r="1798" spans="1:38" hidden="1" x14ac:dyDescent="0.2">
      <c r="A1798" s="2">
        <v>2025</v>
      </c>
      <c r="B1798" s="2">
        <v>8</v>
      </c>
      <c r="D1798" s="2" t="s">
        <v>1297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1298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4"/>
        <v>0</v>
      </c>
      <c r="Z1798" s="2" t="s">
        <v>3231</v>
      </c>
      <c r="AA1798" s="2" t="s">
        <v>97</v>
      </c>
      <c r="AB1798" s="2" t="s">
        <v>77</v>
      </c>
      <c r="AC1798" s="2" t="s">
        <v>94</v>
      </c>
      <c r="AF1798" s="2">
        <f t="shared" si="216"/>
        <v>0</v>
      </c>
      <c r="AJ1798" s="2">
        <f t="shared" si="217"/>
        <v>0</v>
      </c>
      <c r="AK1798" s="2">
        <f t="shared" si="218"/>
        <v>0</v>
      </c>
      <c r="AL1798" s="5">
        <f t="shared" si="215"/>
        <v>0</v>
      </c>
    </row>
    <row r="1799" spans="1:38" hidden="1" x14ac:dyDescent="0.2">
      <c r="A1799" s="2">
        <v>2025</v>
      </c>
      <c r="B1799" s="2">
        <v>8</v>
      </c>
      <c r="D1799" s="2" t="s">
        <v>618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619</v>
      </c>
      <c r="J1799" s="2" t="s">
        <v>620</v>
      </c>
      <c r="L1799" s="2" t="s">
        <v>419</v>
      </c>
      <c r="M1799" s="2" t="s">
        <v>41</v>
      </c>
      <c r="O1799" s="2" t="s">
        <v>1841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4"/>
        <v>0.5</v>
      </c>
      <c r="Z1799" s="2" t="s">
        <v>3231</v>
      </c>
      <c r="AA1799" s="2" t="s">
        <v>46</v>
      </c>
      <c r="AB1799" s="2" t="s">
        <v>47</v>
      </c>
      <c r="AC1799" s="2" t="s">
        <v>48</v>
      </c>
      <c r="AF1799" s="2">
        <f t="shared" si="216"/>
        <v>0</v>
      </c>
      <c r="AG1799" s="2">
        <v>9.3000000000000007</v>
      </c>
      <c r="AH1799" s="2">
        <v>21</v>
      </c>
      <c r="AJ1799" s="2">
        <f t="shared" si="217"/>
        <v>0</v>
      </c>
      <c r="AK1799" s="2">
        <f t="shared" si="218"/>
        <v>9.3000000000000007</v>
      </c>
      <c r="AL1799" s="5">
        <f t="shared" si="215"/>
        <v>0.5</v>
      </c>
    </row>
    <row r="1800" spans="1:38" hidden="1" x14ac:dyDescent="0.2">
      <c r="A1800" s="2">
        <v>2025</v>
      </c>
      <c r="B1800" s="2">
        <v>8</v>
      </c>
      <c r="D1800" s="2" t="s">
        <v>618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619</v>
      </c>
      <c r="J1800" s="2" t="s">
        <v>620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4"/>
        <v>0.24285714285714285</v>
      </c>
      <c r="Z1800" s="2" t="s">
        <v>3231</v>
      </c>
      <c r="AA1800" s="2" t="s">
        <v>46</v>
      </c>
      <c r="AB1800" s="2" t="s">
        <v>57</v>
      </c>
      <c r="AC1800" s="2" t="s">
        <v>58</v>
      </c>
      <c r="AF1800" s="2">
        <f t="shared" si="216"/>
        <v>0</v>
      </c>
      <c r="AG1800" s="2">
        <v>10.6</v>
      </c>
      <c r="AH1800" s="2">
        <v>18</v>
      </c>
      <c r="AJ1800" s="2">
        <f t="shared" si="217"/>
        <v>0</v>
      </c>
      <c r="AK1800" s="2">
        <f t="shared" si="218"/>
        <v>34</v>
      </c>
      <c r="AL1800" s="5">
        <f t="shared" si="215"/>
        <v>0.24285714285714285</v>
      </c>
    </row>
    <row r="1801" spans="1:38" hidden="1" x14ac:dyDescent="0.2">
      <c r="A1801" s="2">
        <v>2025</v>
      </c>
      <c r="B1801" s="2">
        <v>8</v>
      </c>
      <c r="D1801" s="2" t="s">
        <v>618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619</v>
      </c>
      <c r="J1801" s="2" t="s">
        <v>620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4"/>
        <v>0.29692307692307696</v>
      </c>
      <c r="Z1801" s="2" t="s">
        <v>3231</v>
      </c>
      <c r="AA1801" s="2" t="s">
        <v>46</v>
      </c>
      <c r="AB1801" s="2" t="s">
        <v>61</v>
      </c>
      <c r="AC1801" s="2" t="s">
        <v>58</v>
      </c>
      <c r="AF1801" s="2">
        <f t="shared" si="216"/>
        <v>0</v>
      </c>
      <c r="AG1801" s="2">
        <v>9.14</v>
      </c>
      <c r="AH1801" s="2">
        <v>16</v>
      </c>
      <c r="AJ1801" s="2">
        <f t="shared" si="217"/>
        <v>0</v>
      </c>
      <c r="AK1801" s="2">
        <f t="shared" si="218"/>
        <v>11.580000000000002</v>
      </c>
      <c r="AL1801" s="5">
        <f t="shared" si="215"/>
        <v>0.29692307692307696</v>
      </c>
    </row>
    <row r="1802" spans="1:38" hidden="1" x14ac:dyDescent="0.2">
      <c r="A1802" s="2">
        <v>2025</v>
      </c>
      <c r="B1802" s="2">
        <v>8</v>
      </c>
      <c r="D1802" s="2" t="s">
        <v>618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619</v>
      </c>
      <c r="J1802" s="2" t="s">
        <v>620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4"/>
        <v>0.31666666666666665</v>
      </c>
      <c r="Z1802" s="2" t="s">
        <v>3231</v>
      </c>
      <c r="AA1802" s="2" t="s">
        <v>46</v>
      </c>
      <c r="AB1802" s="2" t="s">
        <v>61</v>
      </c>
      <c r="AC1802" s="2" t="s">
        <v>58</v>
      </c>
      <c r="AF1802" s="2">
        <f t="shared" si="216"/>
        <v>0</v>
      </c>
      <c r="AG1802" s="2">
        <v>8.1999999999999993</v>
      </c>
      <c r="AH1802" s="2">
        <v>13</v>
      </c>
      <c r="AJ1802" s="2">
        <f t="shared" si="217"/>
        <v>0</v>
      </c>
      <c r="AK1802" s="2">
        <f t="shared" si="218"/>
        <v>11.399999999999999</v>
      </c>
      <c r="AL1802" s="5">
        <f t="shared" si="215"/>
        <v>0.31666666666666665</v>
      </c>
    </row>
    <row r="1803" spans="1:38" hidden="1" x14ac:dyDescent="0.2">
      <c r="A1803" s="2">
        <v>2025</v>
      </c>
      <c r="B1803" s="2">
        <v>8</v>
      </c>
      <c r="D1803" s="2" t="s">
        <v>1842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B1803" s="2" t="s">
        <v>190</v>
      </c>
      <c r="AC1803" s="2" t="s">
        <v>40</v>
      </c>
      <c r="AF1803" s="2">
        <f t="shared" si="216"/>
        <v>0</v>
      </c>
      <c r="AJ1803" s="2">
        <f t="shared" si="217"/>
        <v>0</v>
      </c>
      <c r="AK1803" s="2">
        <f t="shared" si="218"/>
        <v>0</v>
      </c>
      <c r="AL1803" s="5">
        <v>0</v>
      </c>
    </row>
    <row r="1804" spans="1:38" hidden="1" x14ac:dyDescent="0.2">
      <c r="A1804" s="2">
        <v>2025</v>
      </c>
      <c r="B1804" s="2">
        <v>8</v>
      </c>
      <c r="D1804" s="2" t="s">
        <v>1842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4"/>
        <v>0.5</v>
      </c>
      <c r="Z1804" s="2" t="s">
        <v>118</v>
      </c>
      <c r="AA1804" s="2" t="s">
        <v>191</v>
      </c>
      <c r="AB1804" s="2" t="s">
        <v>191</v>
      </c>
      <c r="AC1804" s="2" t="s">
        <v>40</v>
      </c>
      <c r="AF1804" s="2">
        <f t="shared" si="216"/>
        <v>0</v>
      </c>
      <c r="AJ1804" s="2">
        <f t="shared" si="217"/>
        <v>0</v>
      </c>
      <c r="AK1804" s="2">
        <f t="shared" si="218"/>
        <v>12.5</v>
      </c>
      <c r="AL1804" s="5">
        <f t="shared" si="215"/>
        <v>0.5</v>
      </c>
    </row>
    <row r="1805" spans="1:38" hidden="1" x14ac:dyDescent="0.2">
      <c r="A1805" s="2">
        <v>2025</v>
      </c>
      <c r="B1805" s="2">
        <v>8</v>
      </c>
      <c r="D1805" s="2" t="s">
        <v>1115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1116</v>
      </c>
      <c r="J1805" s="2" t="s">
        <v>1117</v>
      </c>
      <c r="K1805" s="2">
        <v>914550474</v>
      </c>
      <c r="L1805" s="2" t="s">
        <v>100</v>
      </c>
      <c r="M1805" s="2" t="s">
        <v>81</v>
      </c>
      <c r="O1805" s="2" t="s">
        <v>1843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4"/>
        <v>0.52105128205128204</v>
      </c>
      <c r="Z1805" s="2" t="s">
        <v>3231</v>
      </c>
      <c r="AA1805" s="2" t="s">
        <v>46</v>
      </c>
      <c r="AB1805" s="2" t="s">
        <v>47</v>
      </c>
      <c r="AC1805" s="2" t="s">
        <v>48</v>
      </c>
      <c r="AF1805" s="2">
        <f t="shared" si="216"/>
        <v>0</v>
      </c>
      <c r="AG1805" s="2">
        <v>3.7357999999999998</v>
      </c>
      <c r="AH1805" s="2">
        <v>9</v>
      </c>
      <c r="AJ1805" s="2">
        <f t="shared" si="217"/>
        <v>0</v>
      </c>
      <c r="AK1805" s="2">
        <f t="shared" si="218"/>
        <v>24.385199999999998</v>
      </c>
      <c r="AL1805" s="5">
        <f t="shared" si="215"/>
        <v>0.52105128205128204</v>
      </c>
    </row>
    <row r="1806" spans="1:38" hidden="1" x14ac:dyDescent="0.2">
      <c r="A1806" s="2">
        <v>2025</v>
      </c>
      <c r="B1806" s="2">
        <v>8</v>
      </c>
      <c r="D1806" s="2" t="s">
        <v>1655</v>
      </c>
      <c r="E1806" s="2" t="s">
        <v>38</v>
      </c>
      <c r="F1806" s="2" t="s">
        <v>39</v>
      </c>
      <c r="H1806" s="2" t="s">
        <v>41</v>
      </c>
      <c r="I1806" s="2" t="s">
        <v>1656</v>
      </c>
      <c r="J1806" s="2" t="s">
        <v>1657</v>
      </c>
      <c r="L1806" s="2" t="s">
        <v>113</v>
      </c>
      <c r="M1806" s="2" t="s">
        <v>40</v>
      </c>
      <c r="O1806" s="2" t="s">
        <v>1844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B1806" s="2" t="s">
        <v>190</v>
      </c>
      <c r="AC1806" s="2" t="s">
        <v>40</v>
      </c>
      <c r="AF1806" s="2">
        <f t="shared" si="216"/>
        <v>0</v>
      </c>
      <c r="AJ1806" s="2">
        <f t="shared" si="217"/>
        <v>0</v>
      </c>
      <c r="AK1806" s="2">
        <f t="shared" si="218"/>
        <v>-72.599999999999994</v>
      </c>
    </row>
    <row r="1807" spans="1:38" hidden="1" x14ac:dyDescent="0.2">
      <c r="A1807" s="2">
        <v>2025</v>
      </c>
      <c r="B1807" s="2">
        <v>8</v>
      </c>
      <c r="D1807" s="2" t="s">
        <v>1655</v>
      </c>
      <c r="E1807" s="2" t="s">
        <v>38</v>
      </c>
      <c r="F1807" s="2" t="s">
        <v>39</v>
      </c>
      <c r="H1807" s="2" t="s">
        <v>41</v>
      </c>
      <c r="I1807" s="2" t="s">
        <v>1656</v>
      </c>
      <c r="J1807" s="2" t="s">
        <v>1657</v>
      </c>
      <c r="L1807" s="2" t="s">
        <v>113</v>
      </c>
      <c r="M1807" s="2" t="s">
        <v>40</v>
      </c>
      <c r="O1807" s="2" t="s">
        <v>1844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B1807" s="2" t="s">
        <v>191</v>
      </c>
      <c r="AC1807" s="2" t="s">
        <v>40</v>
      </c>
      <c r="AF1807" s="2">
        <f t="shared" si="216"/>
        <v>0</v>
      </c>
      <c r="AJ1807" s="2">
        <f t="shared" si="217"/>
        <v>0</v>
      </c>
      <c r="AK1807" s="2">
        <f t="shared" si="218"/>
        <v>-100</v>
      </c>
    </row>
    <row r="1808" spans="1:38" hidden="1" x14ac:dyDescent="0.2">
      <c r="A1808" s="2">
        <v>2025</v>
      </c>
      <c r="B1808" s="2">
        <v>8</v>
      </c>
      <c r="D1808" s="2" t="s">
        <v>1655</v>
      </c>
      <c r="E1808" s="2" t="s">
        <v>38</v>
      </c>
      <c r="F1808" s="2" t="s">
        <v>39</v>
      </c>
      <c r="H1808" s="2" t="s">
        <v>41</v>
      </c>
      <c r="I1808" s="2" t="s">
        <v>1656</v>
      </c>
      <c r="J1808" s="2" t="s">
        <v>1657</v>
      </c>
      <c r="L1808" s="2" t="s">
        <v>113</v>
      </c>
      <c r="M1808" s="2" t="s">
        <v>40</v>
      </c>
      <c r="O1808" s="2" t="s">
        <v>1844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6"/>
        <v>0</v>
      </c>
      <c r="AJ1808" s="2">
        <f t="shared" si="217"/>
        <v>0</v>
      </c>
    </row>
    <row r="1809" spans="1:38" hidden="1" x14ac:dyDescent="0.2">
      <c r="A1809" s="2">
        <v>2025</v>
      </c>
      <c r="B1809" s="2">
        <v>8</v>
      </c>
      <c r="D1809" s="2" t="s">
        <v>1663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4"/>
        <v>1</v>
      </c>
      <c r="AF1809" s="2">
        <f t="shared" si="216"/>
        <v>0</v>
      </c>
      <c r="AJ1809" s="2">
        <f t="shared" si="217"/>
        <v>0</v>
      </c>
      <c r="AK1809" s="2">
        <f t="shared" si="218"/>
        <v>14.29</v>
      </c>
      <c r="AL1809" s="5">
        <f t="shared" si="215"/>
        <v>1</v>
      </c>
    </row>
    <row r="1810" spans="1:38" hidden="1" x14ac:dyDescent="0.2">
      <c r="A1810" s="2">
        <v>2025</v>
      </c>
      <c r="B1810" s="2">
        <v>8</v>
      </c>
      <c r="D1810" s="2" t="s">
        <v>1663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4"/>
        <v>1</v>
      </c>
      <c r="Z1810" s="2" t="s">
        <v>170</v>
      </c>
      <c r="AA1810" s="2" t="s">
        <v>170</v>
      </c>
      <c r="AF1810" s="2">
        <f t="shared" si="216"/>
        <v>0</v>
      </c>
      <c r="AJ1810" s="2">
        <f t="shared" si="217"/>
        <v>0</v>
      </c>
      <c r="AK1810" s="2">
        <f t="shared" si="218"/>
        <v>8</v>
      </c>
      <c r="AL1810" s="5">
        <f t="shared" si="215"/>
        <v>1</v>
      </c>
    </row>
    <row r="1811" spans="1:38" hidden="1" x14ac:dyDescent="0.2">
      <c r="A1811" s="2">
        <v>2025</v>
      </c>
      <c r="B1811" s="2">
        <v>8</v>
      </c>
      <c r="D1811" s="2" t="s">
        <v>919</v>
      </c>
      <c r="E1811" s="2" t="s">
        <v>753</v>
      </c>
      <c r="F1811" s="2" t="s">
        <v>920</v>
      </c>
      <c r="G1811" s="2">
        <v>505973960</v>
      </c>
      <c r="H1811" s="2" t="s">
        <v>40</v>
      </c>
      <c r="I1811" s="2" t="s">
        <v>157</v>
      </c>
      <c r="J1811" s="2" t="s">
        <v>921</v>
      </c>
      <c r="L1811" s="2" t="s">
        <v>100</v>
      </c>
      <c r="M1811" s="2" t="s">
        <v>81</v>
      </c>
      <c r="O1811" s="2" t="s">
        <v>1845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4"/>
        <v>0.53508771929824561</v>
      </c>
      <c r="Z1811" s="2" t="s">
        <v>3231</v>
      </c>
      <c r="AA1811" s="2" t="s">
        <v>46</v>
      </c>
      <c r="AB1811" s="2" t="s">
        <v>57</v>
      </c>
      <c r="AC1811" s="2" t="s">
        <v>58</v>
      </c>
      <c r="AF1811" s="2">
        <f t="shared" si="216"/>
        <v>0</v>
      </c>
      <c r="AG1811" s="2">
        <v>10.6</v>
      </c>
      <c r="AH1811" s="2">
        <v>18</v>
      </c>
      <c r="AJ1811" s="2">
        <f t="shared" si="217"/>
        <v>0</v>
      </c>
      <c r="AK1811" s="2">
        <f t="shared" si="218"/>
        <v>12.200000000000001</v>
      </c>
      <c r="AL1811" s="5">
        <f t="shared" si="215"/>
        <v>0.53508771929824561</v>
      </c>
    </row>
    <row r="1812" spans="1:38" hidden="1" x14ac:dyDescent="0.2">
      <c r="A1812" s="2">
        <v>2025</v>
      </c>
      <c r="B1812" s="2">
        <v>8</v>
      </c>
      <c r="D1812" s="2" t="s">
        <v>1846</v>
      </c>
      <c r="P1812" s="2" t="s">
        <v>283</v>
      </c>
      <c r="Q1812" s="2" t="s">
        <v>1847</v>
      </c>
      <c r="R1812" s="2" t="s">
        <v>1848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4"/>
        <v>1</v>
      </c>
      <c r="Z1812" s="2" t="s">
        <v>3231</v>
      </c>
      <c r="AF1812" s="2">
        <f t="shared" si="216"/>
        <v>0</v>
      </c>
      <c r="AJ1812" s="2">
        <f t="shared" si="217"/>
        <v>0</v>
      </c>
      <c r="AK1812" s="2">
        <f t="shared" si="218"/>
        <v>698</v>
      </c>
      <c r="AL1812" s="5">
        <f t="shared" si="215"/>
        <v>1</v>
      </c>
    </row>
    <row r="1813" spans="1:38" hidden="1" x14ac:dyDescent="0.2">
      <c r="A1813" s="2">
        <v>2025</v>
      </c>
      <c r="B1813" s="2">
        <v>8</v>
      </c>
      <c r="D1813" s="2" t="s">
        <v>1314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1315</v>
      </c>
      <c r="L1813" s="2" t="s">
        <v>178</v>
      </c>
      <c r="M1813" s="2" t="s">
        <v>41</v>
      </c>
      <c r="O1813" s="2" t="s">
        <v>1849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4"/>
        <v>0.33750000000000008</v>
      </c>
      <c r="Z1813" s="2" t="s">
        <v>3231</v>
      </c>
      <c r="AA1813" s="2" t="s">
        <v>46</v>
      </c>
      <c r="AB1813" s="2" t="s">
        <v>57</v>
      </c>
      <c r="AC1813" s="2" t="s">
        <v>58</v>
      </c>
      <c r="AF1813" s="2">
        <f t="shared" si="216"/>
        <v>0</v>
      </c>
      <c r="AG1813" s="2">
        <v>10.6</v>
      </c>
      <c r="AH1813" s="2">
        <v>18</v>
      </c>
      <c r="AJ1813" s="2">
        <f t="shared" si="217"/>
        <v>0</v>
      </c>
      <c r="AK1813" s="2">
        <f t="shared" si="218"/>
        <v>16.200000000000003</v>
      </c>
      <c r="AL1813" s="5">
        <f t="shared" si="215"/>
        <v>0.33750000000000008</v>
      </c>
    </row>
    <row r="1814" spans="1:38" hidden="1" x14ac:dyDescent="0.2">
      <c r="A1814" s="2">
        <v>2025</v>
      </c>
      <c r="B1814" s="2">
        <v>8</v>
      </c>
      <c r="D1814" s="2" t="s">
        <v>1314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1315</v>
      </c>
      <c r="L1814" s="2" t="s">
        <v>178</v>
      </c>
      <c r="M1814" s="2" t="s">
        <v>41</v>
      </c>
      <c r="O1814" s="2" t="s">
        <v>1849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4"/>
        <v>0.3166666666666666</v>
      </c>
      <c r="Z1814" s="2" t="s">
        <v>3231</v>
      </c>
      <c r="AA1814" s="2" t="s">
        <v>46</v>
      </c>
      <c r="AB1814" s="2" t="s">
        <v>61</v>
      </c>
      <c r="AC1814" s="2" t="s">
        <v>58</v>
      </c>
      <c r="AF1814" s="2">
        <f t="shared" si="216"/>
        <v>0</v>
      </c>
      <c r="AG1814" s="2">
        <v>8.1999999999999993</v>
      </c>
      <c r="AH1814" s="2">
        <v>13</v>
      </c>
      <c r="AJ1814" s="2">
        <f t="shared" si="217"/>
        <v>0</v>
      </c>
      <c r="AK1814" s="2">
        <f t="shared" si="218"/>
        <v>7.5999999999999979</v>
      </c>
      <c r="AL1814" s="5">
        <f t="shared" si="215"/>
        <v>0.3166666666666666</v>
      </c>
    </row>
    <row r="1815" spans="1:38" hidden="1" x14ac:dyDescent="0.2">
      <c r="A1815" s="2">
        <v>2025</v>
      </c>
      <c r="B1815" s="2">
        <v>8</v>
      </c>
      <c r="D1815" s="2" t="s">
        <v>1314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1315</v>
      </c>
      <c r="L1815" s="2" t="s">
        <v>178</v>
      </c>
      <c r="M1815" s="2" t="s">
        <v>41</v>
      </c>
      <c r="O1815" s="2" t="s">
        <v>1849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4"/>
        <v>0.34714285714285725</v>
      </c>
      <c r="Z1815" s="2" t="s">
        <v>3231</v>
      </c>
      <c r="AA1815" s="2" t="s">
        <v>46</v>
      </c>
      <c r="AB1815" s="2" t="s">
        <v>61</v>
      </c>
      <c r="AC1815" s="2" t="s">
        <v>58</v>
      </c>
      <c r="AF1815" s="2">
        <f t="shared" si="216"/>
        <v>0</v>
      </c>
      <c r="AJ1815" s="2">
        <f t="shared" si="217"/>
        <v>0</v>
      </c>
      <c r="AK1815" s="2">
        <f t="shared" si="218"/>
        <v>4.8600000000000012</v>
      </c>
      <c r="AL1815" s="5">
        <f t="shared" si="215"/>
        <v>0.34714285714285725</v>
      </c>
    </row>
    <row r="1816" spans="1:38" hidden="1" x14ac:dyDescent="0.2">
      <c r="A1816" s="2">
        <v>2025</v>
      </c>
      <c r="B1816" s="2">
        <v>10</v>
      </c>
      <c r="C1816" s="2" t="s">
        <v>3416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4"/>
        <v>0.72000000000000008</v>
      </c>
      <c r="Z1816" s="2" t="s">
        <v>3231</v>
      </c>
      <c r="AA1816" s="2" t="s">
        <v>156</v>
      </c>
      <c r="AB1816" s="2" t="s">
        <v>155</v>
      </c>
      <c r="AC1816" s="2" t="s">
        <v>153</v>
      </c>
      <c r="AF1816" s="2">
        <f t="shared" si="216"/>
        <v>0</v>
      </c>
      <c r="AJ1816" s="2">
        <f t="shared" si="217"/>
        <v>0</v>
      </c>
      <c r="AK1816" s="2">
        <f t="shared" si="218"/>
        <v>25.200000000000003</v>
      </c>
      <c r="AL1816" s="5">
        <f t="shared" si="215"/>
        <v>0.72000000000000008</v>
      </c>
    </row>
    <row r="1817" spans="1:38" hidden="1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1850</v>
      </c>
      <c r="R1817" s="2" t="s">
        <v>1851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4"/>
        <v>1</v>
      </c>
      <c r="Z1817" s="2" t="s">
        <v>3231</v>
      </c>
      <c r="AF1817" s="2">
        <f t="shared" si="216"/>
        <v>0</v>
      </c>
      <c r="AJ1817" s="2">
        <f t="shared" si="217"/>
        <v>0</v>
      </c>
      <c r="AK1817" s="2">
        <f t="shared" si="218"/>
        <v>36.9</v>
      </c>
      <c r="AL1817" s="5">
        <f t="shared" si="215"/>
        <v>1</v>
      </c>
    </row>
    <row r="1818" spans="1:38" hidden="1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1592</v>
      </c>
      <c r="R1818" s="2" t="s">
        <v>1593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4"/>
        <v>0.26642857142857146</v>
      </c>
      <c r="Z1818" s="2" t="s">
        <v>3231</v>
      </c>
      <c r="AA1818" s="2" t="s">
        <v>72</v>
      </c>
      <c r="AB1818" s="2" t="s">
        <v>120</v>
      </c>
      <c r="AC1818" s="2" t="s">
        <v>120</v>
      </c>
      <c r="AF1818" s="2">
        <f t="shared" si="216"/>
        <v>0</v>
      </c>
      <c r="AJ1818" s="2">
        <f t="shared" si="217"/>
        <v>0</v>
      </c>
      <c r="AK1818" s="2">
        <f t="shared" si="218"/>
        <v>1.8650000000000002</v>
      </c>
      <c r="AL1818" s="5">
        <f t="shared" si="215"/>
        <v>0.26642857142857146</v>
      </c>
    </row>
    <row r="1819" spans="1:38" hidden="1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1852</v>
      </c>
      <c r="R1819" s="2" t="s">
        <v>1853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4"/>
        <v>1</v>
      </c>
      <c r="Z1819" s="2" t="s">
        <v>3231</v>
      </c>
      <c r="AF1819" s="2">
        <f t="shared" si="216"/>
        <v>0</v>
      </c>
      <c r="AJ1819" s="2">
        <f t="shared" si="217"/>
        <v>0</v>
      </c>
      <c r="AK1819" s="2">
        <f t="shared" si="218"/>
        <v>10.9</v>
      </c>
      <c r="AL1819" s="5">
        <f t="shared" si="215"/>
        <v>1</v>
      </c>
    </row>
    <row r="1820" spans="1:38" hidden="1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1854</v>
      </c>
      <c r="R1820" s="2" t="s">
        <v>1855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4"/>
        <v>1</v>
      </c>
      <c r="Z1820" s="2" t="s">
        <v>3231</v>
      </c>
      <c r="AF1820" s="2">
        <f t="shared" si="216"/>
        <v>0</v>
      </c>
      <c r="AJ1820" s="2">
        <f t="shared" si="217"/>
        <v>0</v>
      </c>
      <c r="AK1820" s="2">
        <f t="shared" si="218"/>
        <v>56.91</v>
      </c>
      <c r="AL1820" s="5">
        <f t="shared" si="215"/>
        <v>1</v>
      </c>
    </row>
    <row r="1821" spans="1:38" hidden="1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1446</v>
      </c>
      <c r="R1821" s="2" t="s">
        <v>1447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4"/>
        <v>1</v>
      </c>
      <c r="Z1821" s="2" t="s">
        <v>3231</v>
      </c>
      <c r="AF1821" s="2">
        <f t="shared" si="216"/>
        <v>0</v>
      </c>
      <c r="AJ1821" s="2">
        <f t="shared" si="217"/>
        <v>0</v>
      </c>
      <c r="AK1821" s="2">
        <f t="shared" si="218"/>
        <v>80</v>
      </c>
      <c r="AL1821" s="5">
        <f t="shared" si="215"/>
        <v>1</v>
      </c>
    </row>
    <row r="1822" spans="1:38" hidden="1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4"/>
        <v>0.41111111111111115</v>
      </c>
      <c r="Z1822" s="2" t="s">
        <v>3231</v>
      </c>
      <c r="AA1822" s="2" t="s">
        <v>46</v>
      </c>
      <c r="AB1822" s="2" t="s">
        <v>57</v>
      </c>
      <c r="AC1822" s="2" t="s">
        <v>58</v>
      </c>
      <c r="AF1822" s="2">
        <f t="shared" si="216"/>
        <v>0</v>
      </c>
      <c r="AG1822" s="2">
        <v>10.6</v>
      </c>
      <c r="AH1822" s="2">
        <v>18</v>
      </c>
      <c r="AJ1822" s="2">
        <f t="shared" si="217"/>
        <v>0</v>
      </c>
      <c r="AK1822" s="2">
        <f t="shared" si="218"/>
        <v>22.200000000000003</v>
      </c>
      <c r="AL1822" s="5">
        <f t="shared" si="215"/>
        <v>0.41111111111111115</v>
      </c>
    </row>
    <row r="1823" spans="1:38" hidden="1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1856</v>
      </c>
      <c r="L1823" s="2" t="s">
        <v>100</v>
      </c>
      <c r="M1823" s="2" t="s">
        <v>81</v>
      </c>
      <c r="O1823" s="2" t="s">
        <v>1857</v>
      </c>
      <c r="P1823" s="2" t="s">
        <v>43</v>
      </c>
      <c r="Q1823" s="2" t="s">
        <v>670</v>
      </c>
      <c r="R1823" s="2" t="s">
        <v>671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4"/>
        <v>0.58185714285714296</v>
      </c>
      <c r="Z1823" s="2" t="s">
        <v>3231</v>
      </c>
      <c r="AA1823" s="2" t="s">
        <v>46</v>
      </c>
      <c r="AB1823" s="2" t="s">
        <v>57</v>
      </c>
      <c r="AC1823" s="2" t="s">
        <v>58</v>
      </c>
      <c r="AF1823" s="2">
        <f t="shared" si="216"/>
        <v>0</v>
      </c>
      <c r="AG1823" s="2">
        <v>29.27</v>
      </c>
      <c r="AH1823" s="2">
        <v>60</v>
      </c>
      <c r="AJ1823" s="2">
        <f t="shared" si="217"/>
        <v>0</v>
      </c>
      <c r="AK1823" s="2">
        <f t="shared" si="218"/>
        <v>40.730000000000004</v>
      </c>
      <c r="AL1823" s="5">
        <f t="shared" si="215"/>
        <v>0.58185714285714296</v>
      </c>
    </row>
    <row r="1824" spans="1:38" hidden="1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4"/>
        <v>0.5243888888888889</v>
      </c>
      <c r="Z1824" s="2" t="s">
        <v>3231</v>
      </c>
      <c r="AA1824" s="2" t="s">
        <v>46</v>
      </c>
      <c r="AB1824" s="2" t="s">
        <v>61</v>
      </c>
      <c r="AC1824" s="2" t="s">
        <v>58</v>
      </c>
      <c r="AF1824" s="2">
        <f t="shared" si="216"/>
        <v>0</v>
      </c>
      <c r="AG1824" s="2">
        <v>0.85609999999999997</v>
      </c>
      <c r="AH1824" s="2">
        <v>1.8</v>
      </c>
      <c r="AJ1824" s="2">
        <f t="shared" si="217"/>
        <v>0</v>
      </c>
      <c r="AK1824" s="2">
        <f t="shared" si="218"/>
        <v>18.878</v>
      </c>
      <c r="AL1824" s="5">
        <f t="shared" ref="AL1824:AL1839" si="219">(T1824-W1824)/T1824</f>
        <v>0.5243888888888889</v>
      </c>
    </row>
    <row r="1825" spans="1:38" hidden="1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4"/>
        <v>0.46925333333333336</v>
      </c>
      <c r="Z1825" s="2" t="s">
        <v>3231</v>
      </c>
      <c r="AA1825" s="2" t="s">
        <v>46</v>
      </c>
      <c r="AB1825" s="2" t="s">
        <v>68</v>
      </c>
      <c r="AC1825" s="2" t="s">
        <v>58</v>
      </c>
      <c r="AF1825" s="2">
        <f t="shared" si="216"/>
        <v>0</v>
      </c>
      <c r="AG1825" s="2">
        <v>7.9611999999999998</v>
      </c>
      <c r="AH1825" s="2">
        <v>14.4</v>
      </c>
      <c r="AJ1825" s="2">
        <f t="shared" si="217"/>
        <v>0</v>
      </c>
      <c r="AK1825" s="2">
        <f t="shared" si="218"/>
        <v>7.0388000000000002</v>
      </c>
      <c r="AL1825" s="5">
        <f t="shared" si="219"/>
        <v>0.46925333333333336</v>
      </c>
    </row>
    <row r="1826" spans="1:38" hidden="1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4"/>
        <v>0.30712499999999993</v>
      </c>
      <c r="Z1826" s="2" t="s">
        <v>3231</v>
      </c>
      <c r="AA1826" s="2" t="s">
        <v>46</v>
      </c>
      <c r="AB1826" s="2" t="s">
        <v>68</v>
      </c>
      <c r="AC1826" s="2" t="s">
        <v>58</v>
      </c>
      <c r="AF1826" s="2">
        <f t="shared" si="216"/>
        <v>0</v>
      </c>
      <c r="AG1826" s="2">
        <v>8.3145000000000007</v>
      </c>
      <c r="AH1826" s="2">
        <v>15</v>
      </c>
      <c r="AJ1826" s="2">
        <f t="shared" si="217"/>
        <v>0</v>
      </c>
      <c r="AK1826" s="2">
        <f t="shared" si="218"/>
        <v>7.3709999999999987</v>
      </c>
      <c r="AL1826" s="5">
        <f t="shared" si="219"/>
        <v>0.30712499999999993</v>
      </c>
    </row>
    <row r="1827" spans="1:38" hidden="1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914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4"/>
        <v>0.52164705882352935</v>
      </c>
      <c r="Z1827" s="2" t="s">
        <v>3231</v>
      </c>
      <c r="AA1827" s="2" t="s">
        <v>76</v>
      </c>
      <c r="AB1827" s="2" t="s">
        <v>77</v>
      </c>
      <c r="AC1827" s="2" t="s">
        <v>78</v>
      </c>
      <c r="AF1827" s="2">
        <f t="shared" si="216"/>
        <v>0</v>
      </c>
      <c r="AJ1827" s="2">
        <f t="shared" si="217"/>
        <v>0</v>
      </c>
      <c r="AK1827" s="2">
        <f t="shared" si="218"/>
        <v>133.01999999999998</v>
      </c>
      <c r="AL1827" s="5">
        <f t="shared" si="219"/>
        <v>0.52164705882352935</v>
      </c>
    </row>
    <row r="1828" spans="1:38" hidden="1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1040</v>
      </c>
      <c r="Q1828" s="2" t="s">
        <v>1858</v>
      </c>
      <c r="R1828" s="2" t="s">
        <v>1859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4"/>
        <v>0.42702782711663712</v>
      </c>
      <c r="Z1828" s="2" t="s">
        <v>3231</v>
      </c>
      <c r="AA1828" s="2" t="s">
        <v>76</v>
      </c>
      <c r="AB1828" s="2" t="s">
        <v>77</v>
      </c>
      <c r="AC1828" s="2" t="s">
        <v>1040</v>
      </c>
      <c r="AF1828" s="2">
        <f t="shared" si="216"/>
        <v>0</v>
      </c>
      <c r="AJ1828" s="2">
        <f t="shared" si="217"/>
        <v>0</v>
      </c>
      <c r="AK1828" s="2">
        <f t="shared" si="218"/>
        <v>173.10000000000002</v>
      </c>
      <c r="AL1828" s="5">
        <f t="shared" si="219"/>
        <v>0.42702782711663712</v>
      </c>
    </row>
    <row r="1829" spans="1:38" hidden="1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1040</v>
      </c>
      <c r="Q1829" s="2" t="s">
        <v>1860</v>
      </c>
      <c r="R1829" s="2" t="s">
        <v>1861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4"/>
        <v>0.32995687783984018</v>
      </c>
      <c r="Z1829" s="2" t="s">
        <v>3231</v>
      </c>
      <c r="AA1829" s="2" t="s">
        <v>1043</v>
      </c>
      <c r="AB1829" s="2" t="s">
        <v>1320</v>
      </c>
      <c r="AC1829" s="2" t="s">
        <v>1040</v>
      </c>
      <c r="AF1829" s="2">
        <f t="shared" si="216"/>
        <v>0</v>
      </c>
      <c r="AJ1829" s="2">
        <f t="shared" si="217"/>
        <v>0</v>
      </c>
      <c r="AK1829" s="2">
        <f t="shared" si="218"/>
        <v>228.01999999999992</v>
      </c>
      <c r="AL1829" s="5">
        <f t="shared" si="219"/>
        <v>0.32995687783984018</v>
      </c>
    </row>
    <row r="1830" spans="1:38" hidden="1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4"/>
        <v>0</v>
      </c>
      <c r="Z1830" s="2" t="s">
        <v>3231</v>
      </c>
      <c r="AA1830" s="2" t="s">
        <v>97</v>
      </c>
      <c r="AB1830" s="2" t="s">
        <v>77</v>
      </c>
      <c r="AC1830" s="2" t="s">
        <v>94</v>
      </c>
      <c r="AF1830" s="2">
        <f t="shared" si="216"/>
        <v>0</v>
      </c>
      <c r="AJ1830" s="2">
        <f t="shared" si="217"/>
        <v>0</v>
      </c>
      <c r="AK1830" s="2">
        <f t="shared" si="218"/>
        <v>0</v>
      </c>
      <c r="AL1830" s="5">
        <f t="shared" si="219"/>
        <v>0</v>
      </c>
    </row>
    <row r="1831" spans="1:38" hidden="1" x14ac:dyDescent="0.2">
      <c r="A1831" s="2">
        <v>2025</v>
      </c>
      <c r="B1831" s="2">
        <v>10</v>
      </c>
      <c r="D1831" s="2" t="s">
        <v>1862</v>
      </c>
      <c r="E1831" s="2" t="s">
        <v>109</v>
      </c>
      <c r="G1831" s="2">
        <v>515549134</v>
      </c>
      <c r="H1831" s="2" t="s">
        <v>41</v>
      </c>
      <c r="I1831" s="2" t="s">
        <v>1863</v>
      </c>
      <c r="J1831" s="2" t="s">
        <v>1864</v>
      </c>
      <c r="L1831" s="2" t="s">
        <v>178</v>
      </c>
      <c r="M1831" s="2" t="s">
        <v>41</v>
      </c>
      <c r="O1831" s="2" t="s">
        <v>1865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14"/>
        <v>0.42644927536231886</v>
      </c>
      <c r="Z1831" s="2" t="s">
        <v>3231</v>
      </c>
      <c r="AA1831" s="2" t="s">
        <v>46</v>
      </c>
      <c r="AB1831" s="2" t="s">
        <v>57</v>
      </c>
      <c r="AC1831" s="2" t="s">
        <v>58</v>
      </c>
      <c r="AF1831" s="2">
        <f t="shared" si="216"/>
        <v>0</v>
      </c>
      <c r="AG1831" s="2">
        <v>7.915</v>
      </c>
      <c r="AJ1831" s="2">
        <f t="shared" si="217"/>
        <v>0</v>
      </c>
      <c r="AK1831" s="2">
        <f t="shared" si="218"/>
        <v>5.8850000000000007</v>
      </c>
      <c r="AL1831" s="5">
        <f t="shared" si="219"/>
        <v>0.42644927536231886</v>
      </c>
    </row>
    <row r="1832" spans="1:38" hidden="1" x14ac:dyDescent="0.2">
      <c r="A1832" s="2">
        <v>2025</v>
      </c>
      <c r="B1832" s="2">
        <v>10</v>
      </c>
      <c r="D1832" s="2" t="s">
        <v>1862</v>
      </c>
      <c r="E1832" s="2" t="s">
        <v>109</v>
      </c>
      <c r="G1832" s="2">
        <v>515549134</v>
      </c>
      <c r="H1832" s="2" t="s">
        <v>41</v>
      </c>
      <c r="I1832" s="2" t="s">
        <v>1863</v>
      </c>
      <c r="J1832" s="2" t="s">
        <v>1864</v>
      </c>
      <c r="L1832" s="2" t="s">
        <v>178</v>
      </c>
      <c r="M1832" s="2" t="s">
        <v>41</v>
      </c>
      <c r="O1832" s="2" t="s">
        <v>1865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4"/>
        <v>0.42327586206896545</v>
      </c>
      <c r="Z1832" s="2" t="s">
        <v>3231</v>
      </c>
      <c r="AA1832" s="2" t="s">
        <v>46</v>
      </c>
      <c r="AB1832" s="2" t="s">
        <v>57</v>
      </c>
      <c r="AC1832" s="2" t="s">
        <v>58</v>
      </c>
      <c r="AF1832" s="2">
        <f t="shared" si="216"/>
        <v>0</v>
      </c>
      <c r="AG1832" s="2">
        <v>10.035</v>
      </c>
      <c r="AJ1832" s="2">
        <f t="shared" si="217"/>
        <v>0</v>
      </c>
      <c r="AK1832" s="2">
        <f t="shared" si="218"/>
        <v>7.3649999999999984</v>
      </c>
      <c r="AL1832" s="5">
        <f t="shared" si="219"/>
        <v>0.42327586206896545</v>
      </c>
    </row>
    <row r="1833" spans="1:38" hidden="1" x14ac:dyDescent="0.2">
      <c r="A1833" s="2">
        <v>2025</v>
      </c>
      <c r="B1833" s="2">
        <v>10</v>
      </c>
      <c r="D1833" s="2" t="s">
        <v>1862</v>
      </c>
      <c r="E1833" s="2" t="s">
        <v>109</v>
      </c>
      <c r="G1833" s="2">
        <v>515549134</v>
      </c>
      <c r="H1833" s="2" t="s">
        <v>41</v>
      </c>
      <c r="I1833" s="2" t="s">
        <v>1863</v>
      </c>
      <c r="J1833" s="2" t="s">
        <v>1864</v>
      </c>
      <c r="L1833" s="2" t="s">
        <v>178</v>
      </c>
      <c r="M1833" s="2" t="s">
        <v>41</v>
      </c>
      <c r="O1833" s="2" t="s">
        <v>1865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4"/>
        <v>0.40745714285714285</v>
      </c>
      <c r="Z1833" s="2" t="s">
        <v>3231</v>
      </c>
      <c r="AA1833" s="2" t="s">
        <v>46</v>
      </c>
      <c r="AB1833" s="2" t="s">
        <v>57</v>
      </c>
      <c r="AC1833" s="2" t="s">
        <v>58</v>
      </c>
      <c r="AF1833" s="2">
        <f t="shared" si="216"/>
        <v>0</v>
      </c>
      <c r="AG1833" s="2">
        <v>12.4434</v>
      </c>
      <c r="AJ1833" s="2">
        <f t="shared" si="217"/>
        <v>0</v>
      </c>
      <c r="AK1833" s="2">
        <f t="shared" si="218"/>
        <v>8.5565999999999995</v>
      </c>
      <c r="AL1833" s="5">
        <f t="shared" si="219"/>
        <v>0.40745714285714285</v>
      </c>
    </row>
    <row r="1834" spans="1:38" hidden="1" x14ac:dyDescent="0.2">
      <c r="A1834" s="2">
        <v>2025</v>
      </c>
      <c r="B1834" s="2">
        <v>10</v>
      </c>
      <c r="D1834" s="2" t="s">
        <v>1862</v>
      </c>
      <c r="E1834" s="2" t="s">
        <v>109</v>
      </c>
      <c r="G1834" s="2">
        <v>515549134</v>
      </c>
      <c r="H1834" s="2" t="s">
        <v>41</v>
      </c>
      <c r="I1834" s="2" t="s">
        <v>1863</v>
      </c>
      <c r="J1834" s="2" t="s">
        <v>1864</v>
      </c>
      <c r="L1834" s="2" t="s">
        <v>178</v>
      </c>
      <c r="M1834" s="2" t="s">
        <v>41</v>
      </c>
      <c r="O1834" s="2" t="s">
        <v>1865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4"/>
        <v>0.44000000000000006</v>
      </c>
      <c r="Z1834" s="2" t="s">
        <v>3231</v>
      </c>
      <c r="AA1834" s="2" t="s">
        <v>46</v>
      </c>
      <c r="AB1834" s="2" t="s">
        <v>57</v>
      </c>
      <c r="AC1834" s="2" t="s">
        <v>58</v>
      </c>
      <c r="AF1834" s="2">
        <f t="shared" si="216"/>
        <v>0</v>
      </c>
      <c r="AG1834" s="2">
        <v>11.087999999999999</v>
      </c>
      <c r="AJ1834" s="2">
        <f t="shared" si="217"/>
        <v>0</v>
      </c>
      <c r="AK1834" s="2">
        <f t="shared" si="218"/>
        <v>8.7120000000000015</v>
      </c>
      <c r="AL1834" s="5">
        <f t="shared" si="219"/>
        <v>0.44000000000000006</v>
      </c>
    </row>
    <row r="1835" spans="1:38" hidden="1" x14ac:dyDescent="0.2">
      <c r="A1835" s="2">
        <v>2025</v>
      </c>
      <c r="B1835" s="2">
        <v>10</v>
      </c>
      <c r="D1835" s="2" t="s">
        <v>1862</v>
      </c>
      <c r="E1835" s="2" t="s">
        <v>109</v>
      </c>
      <c r="G1835" s="2">
        <v>515549134</v>
      </c>
      <c r="H1835" s="2" t="s">
        <v>41</v>
      </c>
      <c r="I1835" s="2" t="s">
        <v>1863</v>
      </c>
      <c r="J1835" s="2" t="s">
        <v>1864</v>
      </c>
      <c r="L1835" s="2" t="s">
        <v>178</v>
      </c>
      <c r="M1835" s="2" t="s">
        <v>41</v>
      </c>
      <c r="O1835" s="2" t="s">
        <v>1865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4"/>
        <v>0.28474761904761903</v>
      </c>
      <c r="Z1835" s="2" t="s">
        <v>3231</v>
      </c>
      <c r="AA1835" s="2" t="s">
        <v>46</v>
      </c>
      <c r="AB1835" s="2" t="s">
        <v>68</v>
      </c>
      <c r="AC1835" s="2" t="s">
        <v>58</v>
      </c>
      <c r="AF1835" s="2">
        <f t="shared" si="216"/>
        <v>0</v>
      </c>
      <c r="AG1835" s="2">
        <v>15.020300000000001</v>
      </c>
      <c r="AH1835" s="2">
        <v>27.6</v>
      </c>
      <c r="AJ1835" s="2">
        <f t="shared" si="217"/>
        <v>0</v>
      </c>
      <c r="AK1835" s="2">
        <f t="shared" si="218"/>
        <v>23.918799999999997</v>
      </c>
      <c r="AL1835" s="5">
        <f t="shared" si="219"/>
        <v>0.28474761904761903</v>
      </c>
    </row>
    <row r="1836" spans="1:38" hidden="1" x14ac:dyDescent="0.2">
      <c r="A1836" s="2">
        <v>2025</v>
      </c>
      <c r="B1836" s="2">
        <v>10</v>
      </c>
      <c r="C1836" s="2" t="s">
        <v>3418</v>
      </c>
      <c r="D1836" s="2" t="s">
        <v>1452</v>
      </c>
      <c r="E1836" s="2" t="s">
        <v>38</v>
      </c>
      <c r="F1836" s="2" t="s">
        <v>478</v>
      </c>
      <c r="L1836" s="2" t="s">
        <v>113</v>
      </c>
      <c r="M1836" s="2" t="s">
        <v>40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4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6"/>
        <v>0</v>
      </c>
      <c r="AJ1836" s="2">
        <f t="shared" si="217"/>
        <v>0</v>
      </c>
      <c r="AK1836" s="2">
        <f t="shared" si="218"/>
        <v>3330.6000000000004</v>
      </c>
      <c r="AL1836" s="5">
        <f t="shared" si="219"/>
        <v>0.23790000000000003</v>
      </c>
    </row>
    <row r="1837" spans="1:38" hidden="1" x14ac:dyDescent="0.2">
      <c r="A1837" s="2">
        <v>2025</v>
      </c>
      <c r="B1837" s="2">
        <v>10</v>
      </c>
      <c r="D1837" s="2" t="s">
        <v>1866</v>
      </c>
      <c r="P1837" s="2" t="s">
        <v>73</v>
      </c>
      <c r="Q1837" s="2" t="s">
        <v>1037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4"/>
        <v>0.46033333333333332</v>
      </c>
      <c r="Z1837" s="2" t="s">
        <v>3231</v>
      </c>
      <c r="AA1837" s="2" t="s">
        <v>76</v>
      </c>
      <c r="AB1837" s="2" t="s">
        <v>77</v>
      </c>
      <c r="AC1837" s="2" t="s">
        <v>78</v>
      </c>
      <c r="AF1837" s="2">
        <f t="shared" si="216"/>
        <v>0</v>
      </c>
      <c r="AG1837" s="2">
        <v>113.33</v>
      </c>
      <c r="AH1837" s="2">
        <v>220</v>
      </c>
      <c r="AJ1837" s="2">
        <f t="shared" si="217"/>
        <v>0</v>
      </c>
      <c r="AK1837" s="2">
        <f t="shared" si="218"/>
        <v>96.67</v>
      </c>
      <c r="AL1837" s="5">
        <f t="shared" si="219"/>
        <v>0.46033333333333332</v>
      </c>
    </row>
    <row r="1838" spans="1:38" hidden="1" x14ac:dyDescent="0.2">
      <c r="A1838" s="2">
        <v>2025</v>
      </c>
      <c r="B1838" s="2">
        <v>10</v>
      </c>
      <c r="D1838" s="2" t="s">
        <v>1866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4"/>
        <v>0</v>
      </c>
      <c r="Z1838" s="2" t="s">
        <v>3231</v>
      </c>
      <c r="AA1838" s="2" t="s">
        <v>97</v>
      </c>
      <c r="AB1838" s="2" t="s">
        <v>77</v>
      </c>
      <c r="AC1838" s="2" t="s">
        <v>94</v>
      </c>
      <c r="AF1838" s="2">
        <f t="shared" si="216"/>
        <v>0</v>
      </c>
      <c r="AJ1838" s="2">
        <f t="shared" si="217"/>
        <v>0</v>
      </c>
      <c r="AK1838" s="2">
        <f t="shared" si="218"/>
        <v>0</v>
      </c>
      <c r="AL1838" s="5">
        <f t="shared" si="219"/>
        <v>0</v>
      </c>
    </row>
    <row r="1839" spans="1:38" hidden="1" x14ac:dyDescent="0.2">
      <c r="A1839" s="2">
        <v>2025</v>
      </c>
      <c r="B1839" s="2">
        <v>10</v>
      </c>
      <c r="C1839" s="2" t="s">
        <v>3416</v>
      </c>
      <c r="D1839" s="2" t="s">
        <v>1460</v>
      </c>
      <c r="E1839" s="2" t="s">
        <v>38</v>
      </c>
      <c r="F1839" s="2" t="s">
        <v>39</v>
      </c>
      <c r="L1839" s="2" t="s">
        <v>340</v>
      </c>
      <c r="M1839" s="2" t="s">
        <v>81</v>
      </c>
      <c r="P1839" s="2" t="s">
        <v>283</v>
      </c>
      <c r="Q1839" s="2" t="s">
        <v>1551</v>
      </c>
      <c r="R1839" s="2" t="s">
        <v>1552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4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6"/>
        <v>0</v>
      </c>
      <c r="AJ1839" s="2">
        <f t="shared" si="217"/>
        <v>0</v>
      </c>
      <c r="AK1839" s="2">
        <f t="shared" si="218"/>
        <v>298</v>
      </c>
      <c r="AL1839" s="5">
        <f t="shared" si="219"/>
        <v>0.50084033613445378</v>
      </c>
    </row>
    <row r="1840" spans="1:38" hidden="1" x14ac:dyDescent="0.2">
      <c r="A1840" s="2">
        <v>2025</v>
      </c>
      <c r="B1840" s="2">
        <v>10</v>
      </c>
      <c r="C1840" s="2" t="s">
        <v>3416</v>
      </c>
      <c r="D1840" s="2" t="s">
        <v>1460</v>
      </c>
      <c r="E1840" s="2" t="s">
        <v>38</v>
      </c>
      <c r="F1840" s="2" t="s">
        <v>39</v>
      </c>
      <c r="L1840" s="2" t="s">
        <v>340</v>
      </c>
      <c r="M1840" s="2" t="s">
        <v>81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3231</v>
      </c>
      <c r="AA1840" s="2" t="s">
        <v>46</v>
      </c>
      <c r="AB1840" s="2" t="s">
        <v>61</v>
      </c>
      <c r="AC1840" s="2" t="s">
        <v>3336</v>
      </c>
      <c r="AF1840" s="2">
        <f t="shared" si="216"/>
        <v>0</v>
      </c>
      <c r="AJ1840" s="2">
        <f t="shared" si="217"/>
        <v>0</v>
      </c>
      <c r="AK1840" s="2">
        <f t="shared" si="218"/>
        <v>-102.53399999999999</v>
      </c>
      <c r="AL1840" s="18">
        <v>-1</v>
      </c>
    </row>
    <row r="1841" spans="1:38" hidden="1" x14ac:dyDescent="0.2">
      <c r="A1841" s="2">
        <v>2025</v>
      </c>
      <c r="B1841" s="2">
        <v>10</v>
      </c>
      <c r="C1841" s="2" t="s">
        <v>3416</v>
      </c>
      <c r="D1841" s="2" t="s">
        <v>1460</v>
      </c>
      <c r="E1841" s="2" t="s">
        <v>38</v>
      </c>
      <c r="F1841" s="2" t="s">
        <v>39</v>
      </c>
      <c r="L1841" s="2" t="s">
        <v>340</v>
      </c>
      <c r="M1841" s="2" t="s">
        <v>81</v>
      </c>
      <c r="P1841" s="2" t="s">
        <v>43</v>
      </c>
      <c r="Q1841" s="2" t="s">
        <v>971</v>
      </c>
      <c r="R1841" s="2" t="s">
        <v>972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 t="shared" ref="X1841:X1842" si="220">SIGN(T1841)*((ABS(T1841)-W1841)/ABS(T1841))</f>
        <v>-0.36648620689655176</v>
      </c>
      <c r="Z1841" s="2" t="s">
        <v>3231</v>
      </c>
      <c r="AA1841" s="2" t="s">
        <v>46</v>
      </c>
      <c r="AB1841" s="2" t="s">
        <v>61</v>
      </c>
      <c r="AC1841" s="2" t="s">
        <v>58</v>
      </c>
      <c r="AF1841" s="2">
        <f t="shared" si="216"/>
        <v>0</v>
      </c>
      <c r="AJ1841" s="2">
        <f t="shared" si="217"/>
        <v>0</v>
      </c>
      <c r="AK1841" s="2">
        <f t="shared" ref="AK1841:AK1842" si="221">T1841+(W1841)</f>
        <v>-63.768600000000006</v>
      </c>
      <c r="AL1841" s="18">
        <f t="shared" ref="AL1841:AL1842" si="222">SIGN(T1841)*((ABS(T1841)-W1841)/ABS(T1841))</f>
        <v>-0.36648620689655176</v>
      </c>
    </row>
    <row r="1842" spans="1:38" hidden="1" x14ac:dyDescent="0.2">
      <c r="A1842" s="2">
        <v>2025</v>
      </c>
      <c r="B1842" s="2">
        <v>10</v>
      </c>
      <c r="C1842" s="2" t="s">
        <v>3416</v>
      </c>
      <c r="D1842" s="2" t="s">
        <v>1460</v>
      </c>
      <c r="E1842" s="2" t="s">
        <v>38</v>
      </c>
      <c r="F1842" s="2" t="s">
        <v>39</v>
      </c>
      <c r="L1842" s="2" t="s">
        <v>340</v>
      </c>
      <c r="M1842" s="2" t="s">
        <v>81</v>
      </c>
      <c r="P1842" s="2" t="s">
        <v>43</v>
      </c>
      <c r="Q1842" s="2" t="s">
        <v>973</v>
      </c>
      <c r="R1842" s="2" t="s">
        <v>974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v>110.23139999999999</v>
      </c>
      <c r="X1842" s="18">
        <f t="shared" si="220"/>
        <v>-0.36648620689655176</v>
      </c>
      <c r="Z1842" s="2" t="s">
        <v>3231</v>
      </c>
      <c r="AA1842" s="2" t="s">
        <v>46</v>
      </c>
      <c r="AB1842" s="2" t="s">
        <v>61</v>
      </c>
      <c r="AC1842" s="2" t="s">
        <v>58</v>
      </c>
      <c r="AF1842" s="2">
        <f t="shared" si="216"/>
        <v>0</v>
      </c>
      <c r="AJ1842" s="2">
        <f t="shared" si="217"/>
        <v>0</v>
      </c>
      <c r="AK1842" s="2">
        <f t="shared" si="221"/>
        <v>-63.768600000000006</v>
      </c>
      <c r="AL1842" s="18">
        <f t="shared" si="222"/>
        <v>-0.36648620689655176</v>
      </c>
    </row>
    <row r="1843" spans="1:38" hidden="1" x14ac:dyDescent="0.2">
      <c r="A1843" s="2">
        <v>2025</v>
      </c>
      <c r="B1843" s="2">
        <v>10</v>
      </c>
      <c r="D1843" s="2" t="s">
        <v>943</v>
      </c>
      <c r="E1843" s="2" t="s">
        <v>38</v>
      </c>
      <c r="F1843" s="2" t="s">
        <v>39</v>
      </c>
      <c r="L1843" s="2" t="s">
        <v>178</v>
      </c>
      <c r="M1843" s="2" t="s">
        <v>41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1" si="223">(T1843-W1843)/T1843</f>
        <v>0.52105128205128204</v>
      </c>
      <c r="Z1843" s="2" t="s">
        <v>3231</v>
      </c>
      <c r="AA1843" s="2" t="s">
        <v>46</v>
      </c>
      <c r="AB1843" s="2" t="s">
        <v>47</v>
      </c>
      <c r="AC1843" s="2" t="s">
        <v>48</v>
      </c>
      <c r="AF1843" s="2">
        <f t="shared" si="216"/>
        <v>0</v>
      </c>
      <c r="AG1843" s="2">
        <v>3.7357999999999998</v>
      </c>
      <c r="AH1843" s="2">
        <v>9</v>
      </c>
      <c r="AJ1843" s="2">
        <f t="shared" si="217"/>
        <v>0</v>
      </c>
      <c r="AK1843" s="2">
        <f t="shared" si="218"/>
        <v>4.0641999999999996</v>
      </c>
      <c r="AL1843" s="5">
        <f t="shared" ref="AL1843:AL1906" si="224">(T1843-W1843)/T1843</f>
        <v>0.52105128205128204</v>
      </c>
    </row>
    <row r="1844" spans="1:38" hidden="1" x14ac:dyDescent="0.2">
      <c r="A1844" s="2">
        <v>2025</v>
      </c>
      <c r="B1844" s="2">
        <v>10</v>
      </c>
      <c r="D1844" s="2" t="s">
        <v>943</v>
      </c>
      <c r="E1844" s="2" t="s">
        <v>38</v>
      </c>
      <c r="F1844" s="2" t="s">
        <v>39</v>
      </c>
      <c r="L1844" s="2" t="s">
        <v>178</v>
      </c>
      <c r="M1844" s="2" t="s">
        <v>41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3"/>
        <v>0.45290151515151511</v>
      </c>
      <c r="Z1844" s="2" t="s">
        <v>3231</v>
      </c>
      <c r="AA1844" s="2" t="s">
        <v>46</v>
      </c>
      <c r="AB1844" s="2" t="s">
        <v>57</v>
      </c>
      <c r="AC1844" s="2" t="s">
        <v>58</v>
      </c>
      <c r="AF1844" s="2">
        <f t="shared" si="216"/>
        <v>0</v>
      </c>
      <c r="AG1844" s="2">
        <v>7.2217000000000002</v>
      </c>
      <c r="AH1844" s="2">
        <v>14.4</v>
      </c>
      <c r="AJ1844" s="2">
        <f t="shared" si="217"/>
        <v>0</v>
      </c>
      <c r="AK1844" s="2">
        <f t="shared" si="218"/>
        <v>5.9782999999999991</v>
      </c>
      <c r="AL1844" s="5">
        <f t="shared" si="224"/>
        <v>0.45290151515151511</v>
      </c>
    </row>
    <row r="1845" spans="1:38" hidden="1" x14ac:dyDescent="0.2">
      <c r="A1845" s="2">
        <v>2025</v>
      </c>
      <c r="B1845" s="2">
        <v>10</v>
      </c>
      <c r="D1845" s="2" t="s">
        <v>943</v>
      </c>
      <c r="E1845" s="2" t="s">
        <v>38</v>
      </c>
      <c r="F1845" s="2" t="s">
        <v>39</v>
      </c>
      <c r="L1845" s="2" t="s">
        <v>178</v>
      </c>
      <c r="M1845" s="2" t="s">
        <v>41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3"/>
        <v>0.41111111111111115</v>
      </c>
      <c r="Z1845" s="2" t="s">
        <v>3231</v>
      </c>
      <c r="AA1845" s="2" t="s">
        <v>46</v>
      </c>
      <c r="AB1845" s="2" t="s">
        <v>57</v>
      </c>
      <c r="AC1845" s="2" t="s">
        <v>58</v>
      </c>
      <c r="AF1845" s="2">
        <f t="shared" si="216"/>
        <v>0</v>
      </c>
      <c r="AG1845" s="2">
        <v>10.6</v>
      </c>
      <c r="AH1845" s="2">
        <v>18</v>
      </c>
      <c r="AJ1845" s="2">
        <f t="shared" si="217"/>
        <v>0</v>
      </c>
      <c r="AK1845" s="2">
        <f t="shared" si="218"/>
        <v>7.4</v>
      </c>
      <c r="AL1845" s="5">
        <f t="shared" si="224"/>
        <v>0.41111111111111115</v>
      </c>
    </row>
    <row r="1846" spans="1:38" hidden="1" x14ac:dyDescent="0.2">
      <c r="A1846" s="2">
        <v>2025</v>
      </c>
      <c r="B1846" s="2">
        <v>10</v>
      </c>
      <c r="D1846" s="2" t="s">
        <v>943</v>
      </c>
      <c r="E1846" s="2" t="s">
        <v>38</v>
      </c>
      <c r="F1846" s="2" t="s">
        <v>39</v>
      </c>
      <c r="L1846" s="2" t="s">
        <v>178</v>
      </c>
      <c r="M1846" s="2" t="s">
        <v>41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3"/>
        <v>0.36923076923076914</v>
      </c>
      <c r="Z1846" s="2" t="s">
        <v>3231</v>
      </c>
      <c r="AA1846" s="2" t="s">
        <v>46</v>
      </c>
      <c r="AB1846" s="2" t="s">
        <v>61</v>
      </c>
      <c r="AC1846" s="2" t="s">
        <v>58</v>
      </c>
      <c r="AF1846" s="2">
        <f t="shared" si="216"/>
        <v>0</v>
      </c>
      <c r="AG1846" s="2">
        <v>8.1999999999999993</v>
      </c>
      <c r="AH1846" s="2">
        <v>13</v>
      </c>
      <c r="AJ1846" s="2">
        <f t="shared" si="217"/>
        <v>0</v>
      </c>
      <c r="AK1846" s="2">
        <f t="shared" si="218"/>
        <v>4.7999999999999989</v>
      </c>
      <c r="AL1846" s="5">
        <f t="shared" si="224"/>
        <v>0.36923076923076914</v>
      </c>
    </row>
    <row r="1847" spans="1:38" hidden="1" x14ac:dyDescent="0.2">
      <c r="A1847" s="2">
        <v>2025</v>
      </c>
      <c r="B1847" s="2">
        <v>10</v>
      </c>
      <c r="D1847" s="2" t="s">
        <v>1867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3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6"/>
        <v>0</v>
      </c>
      <c r="AJ1847" s="2">
        <f t="shared" si="217"/>
        <v>0</v>
      </c>
      <c r="AK1847" s="2">
        <f t="shared" si="218"/>
        <v>352.72999999999996</v>
      </c>
      <c r="AL1847" s="5">
        <f t="shared" si="224"/>
        <v>0.50440440440440437</v>
      </c>
    </row>
    <row r="1848" spans="1:38" hidden="1" x14ac:dyDescent="0.2">
      <c r="A1848" s="2">
        <v>2025</v>
      </c>
      <c r="B1848" s="2">
        <v>10</v>
      </c>
      <c r="D1848" s="2" t="s">
        <v>1867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3"/>
        <v>0.59999999999999987</v>
      </c>
      <c r="Z1848" s="2" t="s">
        <v>118</v>
      </c>
      <c r="AA1848" s="2" t="s">
        <v>191</v>
      </c>
      <c r="AB1848" s="2" t="s">
        <v>190</v>
      </c>
      <c r="AC1848" s="2" t="s">
        <v>40</v>
      </c>
      <c r="AF1848" s="2">
        <f t="shared" si="216"/>
        <v>0</v>
      </c>
      <c r="AJ1848" s="2">
        <f t="shared" si="217"/>
        <v>0</v>
      </c>
      <c r="AK1848" s="2">
        <f t="shared" si="218"/>
        <v>64.199999999999989</v>
      </c>
      <c r="AL1848" s="5">
        <f t="shared" si="224"/>
        <v>0.59999999999999987</v>
      </c>
    </row>
    <row r="1849" spans="1:38" hidden="1" x14ac:dyDescent="0.2">
      <c r="A1849" s="2">
        <v>2025</v>
      </c>
      <c r="B1849" s="2">
        <v>10</v>
      </c>
      <c r="D1849" s="2" t="s">
        <v>1867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B1849" s="2" t="s">
        <v>191</v>
      </c>
      <c r="AC1849" s="2" t="s">
        <v>40</v>
      </c>
      <c r="AF1849" s="2">
        <f t="shared" si="216"/>
        <v>0</v>
      </c>
      <c r="AJ1849" s="2">
        <f t="shared" si="217"/>
        <v>0</v>
      </c>
      <c r="AK1849" s="2">
        <f t="shared" si="218"/>
        <v>0</v>
      </c>
      <c r="AL1849" s="5">
        <v>0</v>
      </c>
    </row>
    <row r="1850" spans="1:38" hidden="1" x14ac:dyDescent="0.2">
      <c r="A1850" s="2">
        <v>2025</v>
      </c>
      <c r="B1850" s="2">
        <v>10</v>
      </c>
      <c r="D1850" s="2" t="s">
        <v>1868</v>
      </c>
      <c r="P1850" s="2" t="s">
        <v>69</v>
      </c>
      <c r="Q1850" s="2" t="s">
        <v>1162</v>
      </c>
      <c r="R1850" s="2" t="s">
        <v>1163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3"/>
        <v>0.25937500000000002</v>
      </c>
      <c r="Z1850" s="2" t="s">
        <v>3231</v>
      </c>
      <c r="AA1850" s="2" t="s">
        <v>72</v>
      </c>
      <c r="AB1850" s="2" t="s">
        <v>69</v>
      </c>
      <c r="AC1850" s="2" t="s">
        <v>3235</v>
      </c>
      <c r="AF1850" s="2">
        <f t="shared" si="216"/>
        <v>0</v>
      </c>
      <c r="AJ1850" s="2">
        <f t="shared" si="217"/>
        <v>0</v>
      </c>
      <c r="AK1850" s="2">
        <f t="shared" si="218"/>
        <v>16.600000000000001</v>
      </c>
      <c r="AL1850" s="5">
        <f t="shared" si="224"/>
        <v>0.25937500000000002</v>
      </c>
    </row>
    <row r="1851" spans="1:38" hidden="1" x14ac:dyDescent="0.2">
      <c r="A1851" s="2">
        <v>2025</v>
      </c>
      <c r="B1851" s="2">
        <v>10</v>
      </c>
      <c r="D1851" s="2" t="s">
        <v>1868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3"/>
        <v>1</v>
      </c>
      <c r="Z1851" s="2" t="s">
        <v>170</v>
      </c>
      <c r="AA1851" s="2" t="s">
        <v>170</v>
      </c>
      <c r="AF1851" s="2">
        <f t="shared" si="216"/>
        <v>0</v>
      </c>
      <c r="AJ1851" s="2">
        <f t="shared" si="217"/>
        <v>0</v>
      </c>
      <c r="AK1851" s="2">
        <f t="shared" si="218"/>
        <v>8</v>
      </c>
      <c r="AL1851" s="5">
        <f t="shared" si="224"/>
        <v>1</v>
      </c>
    </row>
    <row r="1852" spans="1:38" hidden="1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1869</v>
      </c>
      <c r="P1852" s="2" t="s">
        <v>115</v>
      </c>
      <c r="Q1852" s="2" t="s">
        <v>809</v>
      </c>
      <c r="R1852" s="2" t="s">
        <v>810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3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6"/>
        <v>0</v>
      </c>
      <c r="AG1852" s="2">
        <v>40.357500000000002</v>
      </c>
      <c r="AJ1852" s="2">
        <f t="shared" si="217"/>
        <v>0</v>
      </c>
      <c r="AK1852" s="2">
        <f t="shared" si="218"/>
        <v>31.462499999999991</v>
      </c>
      <c r="AL1852" s="5">
        <f t="shared" si="224"/>
        <v>0.43807435254803667</v>
      </c>
    </row>
    <row r="1853" spans="1:38" hidden="1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1870</v>
      </c>
      <c r="P1853" s="2" t="s">
        <v>115</v>
      </c>
      <c r="Q1853" s="2" t="s">
        <v>955</v>
      </c>
      <c r="R1853" s="2" t="s">
        <v>956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3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6"/>
        <v>0</v>
      </c>
      <c r="AG1853" s="2">
        <v>14.4</v>
      </c>
      <c r="AJ1853" s="2">
        <f t="shared" si="217"/>
        <v>0</v>
      </c>
      <c r="AK1853" s="2">
        <f t="shared" si="218"/>
        <v>6.4799999999999986</v>
      </c>
      <c r="AL1853" s="5">
        <f t="shared" si="224"/>
        <v>0.31034482758620685</v>
      </c>
    </row>
    <row r="1854" spans="1:38" hidden="1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1870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3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6"/>
        <v>0</v>
      </c>
      <c r="AG1854" s="2">
        <v>22.2</v>
      </c>
      <c r="AJ1854" s="2">
        <f t="shared" si="217"/>
        <v>0</v>
      </c>
      <c r="AK1854" s="2">
        <f t="shared" si="218"/>
        <v>18.917999999999999</v>
      </c>
      <c r="AL1854" s="5">
        <f t="shared" si="224"/>
        <v>0.45085795996186839</v>
      </c>
    </row>
    <row r="1855" spans="1:38" hidden="1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1869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3"/>
        <v>0.5</v>
      </c>
      <c r="Z1855" s="2" t="s">
        <v>118</v>
      </c>
      <c r="AA1855" s="2" t="s">
        <v>191</v>
      </c>
      <c r="AB1855" s="2" t="s">
        <v>191</v>
      </c>
      <c r="AC1855" s="2" t="s">
        <v>40</v>
      </c>
      <c r="AF1855" s="2">
        <f t="shared" si="216"/>
        <v>0</v>
      </c>
      <c r="AG1855" s="2">
        <v>11.246700000000001</v>
      </c>
      <c r="AJ1855" s="2">
        <f t="shared" si="217"/>
        <v>0</v>
      </c>
      <c r="AK1855" s="2">
        <f t="shared" si="218"/>
        <v>22.5</v>
      </c>
      <c r="AL1855" s="5">
        <f t="shared" si="224"/>
        <v>0.5</v>
      </c>
    </row>
    <row r="1856" spans="1:38" hidden="1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3"/>
        <v>0.46612272727272724</v>
      </c>
      <c r="Z1856" s="2" t="s">
        <v>3231</v>
      </c>
      <c r="AA1856" s="2" t="s">
        <v>76</v>
      </c>
      <c r="AB1856" s="2" t="s">
        <v>77</v>
      </c>
      <c r="AC1856" s="2" t="s">
        <v>78</v>
      </c>
      <c r="AF1856" s="2">
        <f t="shared" si="216"/>
        <v>0</v>
      </c>
      <c r="AG1856" s="2">
        <v>117.453</v>
      </c>
      <c r="AH1856" s="2">
        <v>220</v>
      </c>
      <c r="AJ1856" s="2">
        <f t="shared" si="217"/>
        <v>0</v>
      </c>
      <c r="AK1856" s="2">
        <f t="shared" si="218"/>
        <v>102.547</v>
      </c>
      <c r="AL1856" s="5">
        <f t="shared" si="224"/>
        <v>0.46612272727272724</v>
      </c>
    </row>
    <row r="1857" spans="1:38" hidden="1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3"/>
        <v>0</v>
      </c>
      <c r="Z1857" s="2" t="s">
        <v>3231</v>
      </c>
      <c r="AA1857" s="2" t="s">
        <v>97</v>
      </c>
      <c r="AB1857" s="2" t="s">
        <v>77</v>
      </c>
      <c r="AC1857" s="2" t="s">
        <v>94</v>
      </c>
      <c r="AF1857" s="2">
        <f t="shared" si="216"/>
        <v>0</v>
      </c>
      <c r="AJ1857" s="2">
        <f t="shared" si="217"/>
        <v>0</v>
      </c>
      <c r="AK1857" s="2">
        <f t="shared" si="218"/>
        <v>0</v>
      </c>
      <c r="AL1857" s="5">
        <f t="shared" si="224"/>
        <v>0</v>
      </c>
    </row>
    <row r="1858" spans="1:38" hidden="1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3"/>
        <v>0.46925333333333336</v>
      </c>
      <c r="Z1858" s="2" t="s">
        <v>3231</v>
      </c>
      <c r="AA1858" s="2" t="s">
        <v>46</v>
      </c>
      <c r="AB1858" s="2" t="s">
        <v>68</v>
      </c>
      <c r="AC1858" s="2" t="s">
        <v>58</v>
      </c>
      <c r="AF1858" s="2">
        <f t="shared" si="216"/>
        <v>0</v>
      </c>
      <c r="AG1858" s="2">
        <v>7.9611999999999998</v>
      </c>
      <c r="AH1858" s="2">
        <v>14.4</v>
      </c>
      <c r="AJ1858" s="2">
        <f t="shared" si="217"/>
        <v>0</v>
      </c>
      <c r="AK1858" s="2">
        <f t="shared" si="218"/>
        <v>7.0388000000000002</v>
      </c>
      <c r="AL1858" s="5">
        <f t="shared" si="224"/>
        <v>0.46925333333333336</v>
      </c>
    </row>
    <row r="1859" spans="1:38" hidden="1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3"/>
        <v>1</v>
      </c>
      <c r="Z1859" s="2" t="s">
        <v>170</v>
      </c>
      <c r="AA1859" s="2" t="s">
        <v>170</v>
      </c>
      <c r="AF1859" s="2">
        <f t="shared" ref="AF1859:AF1922" si="225">AJ1859</f>
        <v>0</v>
      </c>
      <c r="AJ1859" s="2">
        <f t="shared" ref="AJ1859:AJ1922" si="226">AI1859*T1859</f>
        <v>0</v>
      </c>
      <c r="AK1859" s="2">
        <f t="shared" ref="AK1859:AK1922" si="227">T1859-W1859</f>
        <v>8</v>
      </c>
      <c r="AL1859" s="5">
        <f t="shared" si="224"/>
        <v>1</v>
      </c>
    </row>
    <row r="1860" spans="1:38" hidden="1" x14ac:dyDescent="0.2">
      <c r="A1860" s="2">
        <v>2025</v>
      </c>
      <c r="B1860" s="2">
        <v>10</v>
      </c>
      <c r="D1860" s="2" t="s">
        <v>694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695</v>
      </c>
      <c r="J1860" s="2" t="s">
        <v>696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3"/>
        <v>0.62926666666666664</v>
      </c>
      <c r="Z1860" s="2" t="s">
        <v>3231</v>
      </c>
      <c r="AA1860" s="2" t="s">
        <v>46</v>
      </c>
      <c r="AB1860" s="2" t="s">
        <v>61</v>
      </c>
      <c r="AC1860" s="2" t="s">
        <v>58</v>
      </c>
      <c r="AF1860" s="2">
        <f t="shared" si="225"/>
        <v>0</v>
      </c>
      <c r="AG1860" s="2">
        <v>1.1122000000000001</v>
      </c>
      <c r="AH1860" s="2">
        <v>3</v>
      </c>
      <c r="AJ1860" s="2">
        <f t="shared" si="226"/>
        <v>0</v>
      </c>
      <c r="AK1860" s="2">
        <f t="shared" si="227"/>
        <v>37.756</v>
      </c>
      <c r="AL1860" s="5">
        <f t="shared" si="224"/>
        <v>0.62926666666666664</v>
      </c>
    </row>
    <row r="1861" spans="1:38" hidden="1" x14ac:dyDescent="0.2">
      <c r="A1861" s="2">
        <v>2025</v>
      </c>
      <c r="B1861" s="2">
        <v>10</v>
      </c>
      <c r="D1861" s="2" t="s">
        <v>1488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3"/>
        <v>1</v>
      </c>
      <c r="Z1861" s="2" t="s">
        <v>120</v>
      </c>
      <c r="AA1861" s="2" t="s">
        <v>3385</v>
      </c>
      <c r="AF1861" s="2">
        <f t="shared" si="225"/>
        <v>0</v>
      </c>
      <c r="AJ1861" s="2">
        <f t="shared" si="226"/>
        <v>0</v>
      </c>
      <c r="AK1861" s="2">
        <f t="shared" si="227"/>
        <v>8000</v>
      </c>
      <c r="AL1861" s="5">
        <f t="shared" si="224"/>
        <v>1</v>
      </c>
    </row>
    <row r="1862" spans="1:38" hidden="1" x14ac:dyDescent="0.2">
      <c r="A1862" s="2">
        <v>2025</v>
      </c>
      <c r="B1862" s="2">
        <v>10</v>
      </c>
      <c r="D1862" s="2" t="s">
        <v>1492</v>
      </c>
      <c r="P1862" s="2" t="s">
        <v>115</v>
      </c>
      <c r="Q1862" s="2" t="s">
        <v>1582</v>
      </c>
      <c r="R1862" s="2" t="s">
        <v>1583</v>
      </c>
      <c r="S1862" s="2">
        <v>-1</v>
      </c>
      <c r="T1862" s="2">
        <v>-6680</v>
      </c>
      <c r="U1862" s="2">
        <v>-1536.4</v>
      </c>
      <c r="V1862" s="2">
        <v>-8216.4</v>
      </c>
      <c r="AF1862" s="2">
        <f t="shared" si="225"/>
        <v>0</v>
      </c>
      <c r="AJ1862" s="2">
        <f t="shared" si="226"/>
        <v>0</v>
      </c>
      <c r="AK1862" s="2">
        <f t="shared" si="227"/>
        <v>-6680</v>
      </c>
      <c r="AL1862" s="5">
        <f t="shared" si="224"/>
        <v>1</v>
      </c>
    </row>
    <row r="1863" spans="1:38" hidden="1" x14ac:dyDescent="0.2">
      <c r="A1863" s="2">
        <v>2025</v>
      </c>
      <c r="B1863" s="2">
        <v>10</v>
      </c>
      <c r="D1863" s="2" t="s">
        <v>1492</v>
      </c>
      <c r="M1863" s="2" t="s">
        <v>40</v>
      </c>
      <c r="P1863" s="2" t="s">
        <v>188</v>
      </c>
      <c r="Q1863" s="2" t="s">
        <v>1310</v>
      </c>
      <c r="R1863" s="2" t="s">
        <v>1311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1312</v>
      </c>
      <c r="AF1863" s="2">
        <f t="shared" si="225"/>
        <v>0</v>
      </c>
      <c r="AJ1863" s="2">
        <f t="shared" si="226"/>
        <v>0</v>
      </c>
      <c r="AK1863" s="2">
        <f t="shared" si="227"/>
        <v>0</v>
      </c>
      <c r="AL1863" s="5" t="e">
        <f t="shared" si="224"/>
        <v>#DIV/0!</v>
      </c>
    </row>
    <row r="1864" spans="1:38" hidden="1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1871</v>
      </c>
      <c r="P1864" s="2" t="s">
        <v>115</v>
      </c>
      <c r="Q1864" s="2" t="s">
        <v>1872</v>
      </c>
      <c r="R1864" s="2" t="s">
        <v>1873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8">(T1864-W1864)/T1864</f>
        <v>1</v>
      </c>
      <c r="AF1864" s="2">
        <f t="shared" si="225"/>
        <v>0</v>
      </c>
      <c r="AJ1864" s="2">
        <f t="shared" si="226"/>
        <v>0</v>
      </c>
      <c r="AK1864" s="2">
        <f t="shared" si="227"/>
        <v>1495.7</v>
      </c>
      <c r="AL1864" s="5">
        <f t="shared" si="224"/>
        <v>1</v>
      </c>
    </row>
    <row r="1865" spans="1:38" hidden="1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1871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8"/>
        <v>0.6</v>
      </c>
      <c r="Z1865" s="2" t="s">
        <v>118</v>
      </c>
      <c r="AA1865" s="2" t="s">
        <v>191</v>
      </c>
      <c r="AB1865" s="2" t="s">
        <v>190</v>
      </c>
      <c r="AC1865" s="2" t="s">
        <v>40</v>
      </c>
      <c r="AF1865" s="2">
        <f t="shared" si="225"/>
        <v>0</v>
      </c>
      <c r="AJ1865" s="2">
        <f t="shared" si="226"/>
        <v>0</v>
      </c>
      <c r="AK1865" s="2">
        <f t="shared" si="227"/>
        <v>94.8</v>
      </c>
      <c r="AL1865" s="5">
        <f t="shared" si="224"/>
        <v>0.6</v>
      </c>
    </row>
    <row r="1866" spans="1:38" hidden="1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1871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8"/>
        <v>0.5</v>
      </c>
      <c r="Z1866" s="2" t="s">
        <v>118</v>
      </c>
      <c r="AA1866" s="2" t="s">
        <v>191</v>
      </c>
      <c r="AB1866" s="2" t="s">
        <v>191</v>
      </c>
      <c r="AC1866" s="2" t="s">
        <v>40</v>
      </c>
      <c r="AF1866" s="2">
        <f t="shared" si="225"/>
        <v>0</v>
      </c>
      <c r="AJ1866" s="2">
        <f t="shared" si="226"/>
        <v>0</v>
      </c>
      <c r="AK1866" s="2">
        <f t="shared" si="227"/>
        <v>100</v>
      </c>
      <c r="AL1866" s="5">
        <f t="shared" si="224"/>
        <v>0.5</v>
      </c>
    </row>
    <row r="1867" spans="1:38" hidden="1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1871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8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5"/>
        <v>0</v>
      </c>
      <c r="AJ1867" s="2">
        <f t="shared" si="226"/>
        <v>0</v>
      </c>
      <c r="AK1867" s="2">
        <f t="shared" si="227"/>
        <v>698.32</v>
      </c>
      <c r="AL1867" s="5">
        <f t="shared" si="224"/>
        <v>1</v>
      </c>
    </row>
    <row r="1868" spans="1:38" hidden="1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1874</v>
      </c>
      <c r="P1868" s="2" t="s">
        <v>43</v>
      </c>
      <c r="Q1868" s="2" t="s">
        <v>971</v>
      </c>
      <c r="R1868" s="2" t="s">
        <v>972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28"/>
        <v>0.33595542168674691</v>
      </c>
      <c r="Z1868" s="2" t="s">
        <v>3231</v>
      </c>
      <c r="AA1868" s="2" t="s">
        <v>46</v>
      </c>
      <c r="AB1868" s="2" t="s">
        <v>61</v>
      </c>
      <c r="AC1868" s="2" t="s">
        <v>58</v>
      </c>
      <c r="AF1868" s="2">
        <f t="shared" si="225"/>
        <v>0</v>
      </c>
      <c r="AJ1868" s="2">
        <f t="shared" si="226"/>
        <v>0</v>
      </c>
      <c r="AK1868" s="2">
        <f t="shared" si="227"/>
        <v>167.30579999999998</v>
      </c>
      <c r="AL1868" s="5">
        <f t="shared" si="224"/>
        <v>0.33595542168674691</v>
      </c>
    </row>
    <row r="1869" spans="1:38" hidden="1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1874</v>
      </c>
      <c r="P1869" s="2" t="s">
        <v>43</v>
      </c>
      <c r="Q1869" s="2" t="s">
        <v>973</v>
      </c>
      <c r="R1869" s="2" t="s">
        <v>974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8"/>
        <v>1</v>
      </c>
      <c r="Z1869" s="2" t="s">
        <v>3231</v>
      </c>
      <c r="AA1869" s="2" t="s">
        <v>46</v>
      </c>
      <c r="AB1869" s="2" t="s">
        <v>61</v>
      </c>
      <c r="AC1869" s="2" t="s">
        <v>58</v>
      </c>
      <c r="AF1869" s="2">
        <f t="shared" si="225"/>
        <v>0</v>
      </c>
      <c r="AJ1869" s="2">
        <f t="shared" si="226"/>
        <v>0</v>
      </c>
      <c r="AK1869" s="2">
        <f t="shared" si="227"/>
        <v>498</v>
      </c>
      <c r="AL1869" s="5">
        <f t="shared" si="224"/>
        <v>1</v>
      </c>
    </row>
    <row r="1870" spans="1:38" hidden="1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1875</v>
      </c>
      <c r="P1870" s="2" t="s">
        <v>73</v>
      </c>
      <c r="Q1870" s="2" t="s">
        <v>914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8"/>
        <v>0.44554545454545452</v>
      </c>
      <c r="Z1870" s="2" t="s">
        <v>3231</v>
      </c>
      <c r="AA1870" s="2" t="s">
        <v>76</v>
      </c>
      <c r="AB1870" s="2" t="s">
        <v>77</v>
      </c>
      <c r="AC1870" s="2" t="s">
        <v>78</v>
      </c>
      <c r="AF1870" s="2">
        <f t="shared" si="225"/>
        <v>0</v>
      </c>
      <c r="AG1870" s="2">
        <v>121.0733</v>
      </c>
      <c r="AH1870" s="2">
        <v>220</v>
      </c>
      <c r="AJ1870" s="2">
        <f t="shared" si="226"/>
        <v>0</v>
      </c>
      <c r="AK1870" s="2">
        <f t="shared" si="227"/>
        <v>98.02</v>
      </c>
      <c r="AL1870" s="5">
        <f t="shared" si="224"/>
        <v>0.44554545454545452</v>
      </c>
    </row>
    <row r="1871" spans="1:38" hidden="1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1876</v>
      </c>
      <c r="P1871" s="2" t="s">
        <v>73</v>
      </c>
      <c r="Q1871" s="2" t="s">
        <v>1451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8"/>
        <v>0.44342727272727273</v>
      </c>
      <c r="Z1871" s="2" t="s">
        <v>3231</v>
      </c>
      <c r="AA1871" s="2" t="s">
        <v>76</v>
      </c>
      <c r="AB1871" s="2" t="s">
        <v>77</v>
      </c>
      <c r="AC1871" s="2" t="s">
        <v>78</v>
      </c>
      <c r="AF1871" s="2">
        <f t="shared" si="225"/>
        <v>0</v>
      </c>
      <c r="AG1871" s="2">
        <v>122.446</v>
      </c>
      <c r="AH1871" s="2">
        <v>230</v>
      </c>
      <c r="AJ1871" s="2">
        <f t="shared" si="226"/>
        <v>0</v>
      </c>
      <c r="AK1871" s="2">
        <f t="shared" si="227"/>
        <v>97.554000000000002</v>
      </c>
      <c r="AL1871" s="5">
        <f t="shared" si="224"/>
        <v>0.44342727272727273</v>
      </c>
    </row>
    <row r="1872" spans="1:38" hidden="1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1877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8"/>
        <v>0.44659999999999994</v>
      </c>
      <c r="Z1872" s="2" t="s">
        <v>3231</v>
      </c>
      <c r="AA1872" s="2" t="s">
        <v>76</v>
      </c>
      <c r="AB1872" s="2" t="s">
        <v>77</v>
      </c>
      <c r="AC1872" s="2" t="s">
        <v>78</v>
      </c>
      <c r="AF1872" s="2">
        <f t="shared" si="225"/>
        <v>0</v>
      </c>
      <c r="AG1872" s="2">
        <v>110.68</v>
      </c>
      <c r="AH1872" s="2">
        <v>210</v>
      </c>
      <c r="AJ1872" s="2">
        <f t="shared" si="226"/>
        <v>0</v>
      </c>
      <c r="AK1872" s="2">
        <f t="shared" si="227"/>
        <v>89.32</v>
      </c>
      <c r="AL1872" s="5">
        <f t="shared" si="224"/>
        <v>0.44659999999999994</v>
      </c>
    </row>
    <row r="1873" spans="1:38" hidden="1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1875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8"/>
        <v>0</v>
      </c>
      <c r="Z1873" s="2" t="s">
        <v>3231</v>
      </c>
      <c r="AA1873" s="2" t="s">
        <v>97</v>
      </c>
      <c r="AB1873" s="2" t="s">
        <v>77</v>
      </c>
      <c r="AC1873" s="2" t="s">
        <v>94</v>
      </c>
      <c r="AF1873" s="2">
        <f t="shared" si="225"/>
        <v>0</v>
      </c>
      <c r="AG1873" s="2">
        <v>1.1399999999999999</v>
      </c>
      <c r="AH1873" s="2">
        <v>1.1399999999999999</v>
      </c>
      <c r="AJ1873" s="2">
        <f t="shared" si="226"/>
        <v>0</v>
      </c>
      <c r="AK1873" s="2">
        <f t="shared" si="227"/>
        <v>0</v>
      </c>
      <c r="AL1873" s="5">
        <f t="shared" si="224"/>
        <v>0</v>
      </c>
    </row>
    <row r="1874" spans="1:38" hidden="1" x14ac:dyDescent="0.2">
      <c r="A1874" s="2">
        <v>2025</v>
      </c>
      <c r="B1874" s="2">
        <v>10</v>
      </c>
      <c r="D1874" s="2" t="s">
        <v>1878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8"/>
        <v>0.6</v>
      </c>
      <c r="Z1874" s="2" t="s">
        <v>118</v>
      </c>
      <c r="AA1874" s="2" t="s">
        <v>191</v>
      </c>
      <c r="AB1874" s="2" t="s">
        <v>190</v>
      </c>
      <c r="AC1874" s="2" t="s">
        <v>40</v>
      </c>
      <c r="AF1874" s="2">
        <f t="shared" si="225"/>
        <v>0</v>
      </c>
      <c r="AJ1874" s="2">
        <f t="shared" si="226"/>
        <v>0</v>
      </c>
      <c r="AK1874" s="2">
        <f t="shared" si="227"/>
        <v>32.4</v>
      </c>
      <c r="AL1874" s="5">
        <f t="shared" si="224"/>
        <v>0.6</v>
      </c>
    </row>
    <row r="1875" spans="1:38" hidden="1" x14ac:dyDescent="0.2">
      <c r="A1875" s="2">
        <v>2025</v>
      </c>
      <c r="B1875" s="2">
        <v>10</v>
      </c>
      <c r="D1875" s="2" t="s">
        <v>1878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8"/>
        <v>0.5</v>
      </c>
      <c r="Z1875" s="2" t="s">
        <v>118</v>
      </c>
      <c r="AA1875" s="2" t="s">
        <v>191</v>
      </c>
      <c r="AB1875" s="2" t="s">
        <v>191</v>
      </c>
      <c r="AC1875" s="2" t="s">
        <v>40</v>
      </c>
      <c r="AF1875" s="2">
        <f t="shared" si="225"/>
        <v>0</v>
      </c>
      <c r="AJ1875" s="2">
        <f t="shared" si="226"/>
        <v>0</v>
      </c>
      <c r="AK1875" s="2">
        <f t="shared" si="227"/>
        <v>37.5</v>
      </c>
      <c r="AL1875" s="5">
        <f t="shared" si="224"/>
        <v>0.5</v>
      </c>
    </row>
    <row r="1876" spans="1:38" hidden="1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8"/>
        <v>0.41191666666666665</v>
      </c>
      <c r="Z1876" s="2" t="s">
        <v>3231</v>
      </c>
      <c r="AA1876" s="2" t="s">
        <v>46</v>
      </c>
      <c r="AB1876" s="2" t="s">
        <v>61</v>
      </c>
      <c r="AC1876" s="2" t="s">
        <v>58</v>
      </c>
      <c r="AF1876" s="2">
        <f t="shared" si="225"/>
        <v>0</v>
      </c>
      <c r="AG1876" s="2">
        <v>1.4114</v>
      </c>
      <c r="AH1876" s="2">
        <v>3</v>
      </c>
      <c r="AJ1876" s="2">
        <f t="shared" si="226"/>
        <v>0</v>
      </c>
      <c r="AK1876" s="2">
        <f t="shared" si="227"/>
        <v>3.9543999999999997</v>
      </c>
      <c r="AL1876" s="5">
        <f t="shared" si="224"/>
        <v>0.41191666666666665</v>
      </c>
    </row>
    <row r="1877" spans="1:38" hidden="1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28"/>
        <v>0.46722222222222221</v>
      </c>
      <c r="Z1877" s="2" t="s">
        <v>3231</v>
      </c>
      <c r="AA1877" s="2" t="s">
        <v>46</v>
      </c>
      <c r="AB1877" s="2" t="s">
        <v>61</v>
      </c>
      <c r="AC1877" s="2" t="s">
        <v>58</v>
      </c>
      <c r="AF1877" s="2">
        <f t="shared" si="225"/>
        <v>0</v>
      </c>
      <c r="AJ1877" s="2">
        <f t="shared" si="226"/>
        <v>0</v>
      </c>
      <c r="AK1877" s="2">
        <f t="shared" si="227"/>
        <v>8.41</v>
      </c>
      <c r="AL1877" s="5">
        <f t="shared" si="224"/>
        <v>0.46722222222222221</v>
      </c>
    </row>
    <row r="1878" spans="1:38" hidden="1" x14ac:dyDescent="0.2">
      <c r="A1878" s="2">
        <v>2025</v>
      </c>
      <c r="B1878" s="2">
        <v>10</v>
      </c>
      <c r="D1878" s="2" t="s">
        <v>732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733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8"/>
        <v>0.46612272727272724</v>
      </c>
      <c r="Z1878" s="2" t="s">
        <v>3231</v>
      </c>
      <c r="AA1878" s="2" t="s">
        <v>76</v>
      </c>
      <c r="AB1878" s="2" t="s">
        <v>77</v>
      </c>
      <c r="AC1878" s="2" t="s">
        <v>78</v>
      </c>
      <c r="AF1878" s="2">
        <f t="shared" si="225"/>
        <v>0</v>
      </c>
      <c r="AG1878" s="2">
        <v>117.453</v>
      </c>
      <c r="AH1878" s="2">
        <v>220</v>
      </c>
      <c r="AJ1878" s="2">
        <f t="shared" si="226"/>
        <v>0</v>
      </c>
      <c r="AK1878" s="2">
        <f t="shared" si="227"/>
        <v>102.547</v>
      </c>
      <c r="AL1878" s="5">
        <f t="shared" si="224"/>
        <v>0.46612272727272724</v>
      </c>
    </row>
    <row r="1879" spans="1:38" hidden="1" x14ac:dyDescent="0.2">
      <c r="A1879" s="2">
        <v>2025</v>
      </c>
      <c r="B1879" s="2">
        <v>10</v>
      </c>
      <c r="D1879" s="2" t="s">
        <v>732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733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8"/>
        <v>0</v>
      </c>
      <c r="Z1879" s="2" t="s">
        <v>3231</v>
      </c>
      <c r="AA1879" s="2" t="s">
        <v>97</v>
      </c>
      <c r="AB1879" s="2" t="s">
        <v>77</v>
      </c>
      <c r="AC1879" s="2" t="s">
        <v>94</v>
      </c>
      <c r="AF1879" s="2">
        <f t="shared" si="225"/>
        <v>0</v>
      </c>
      <c r="AG1879" s="2">
        <v>1.1399999999999999</v>
      </c>
      <c r="AH1879" s="2">
        <v>1.1399999999999999</v>
      </c>
      <c r="AJ1879" s="2">
        <f t="shared" si="226"/>
        <v>0</v>
      </c>
      <c r="AK1879" s="2">
        <f t="shared" si="227"/>
        <v>0</v>
      </c>
      <c r="AL1879" s="5">
        <f t="shared" si="224"/>
        <v>0</v>
      </c>
    </row>
    <row r="1880" spans="1:38" hidden="1" x14ac:dyDescent="0.2">
      <c r="A1880" s="2">
        <v>2025</v>
      </c>
      <c r="B1880" s="2">
        <v>10</v>
      </c>
      <c r="D1880" s="2" t="s">
        <v>1352</v>
      </c>
      <c r="P1880" s="2" t="s">
        <v>115</v>
      </c>
      <c r="Q1880" s="2" t="s">
        <v>1879</v>
      </c>
      <c r="R1880" s="2" t="s">
        <v>1880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8"/>
        <v>1</v>
      </c>
      <c r="Z1880" s="2" t="s">
        <v>118</v>
      </c>
      <c r="AF1880" s="2">
        <f t="shared" si="225"/>
        <v>0</v>
      </c>
      <c r="AJ1880" s="2">
        <f t="shared" si="226"/>
        <v>0</v>
      </c>
      <c r="AK1880" s="2">
        <f t="shared" si="227"/>
        <v>438.9</v>
      </c>
      <c r="AL1880" s="5">
        <f t="shared" si="224"/>
        <v>1</v>
      </c>
    </row>
    <row r="1881" spans="1:38" hidden="1" x14ac:dyDescent="0.2">
      <c r="A1881" s="2">
        <v>2025</v>
      </c>
      <c r="B1881" s="2">
        <v>10</v>
      </c>
      <c r="D1881" s="2" t="s">
        <v>1352</v>
      </c>
      <c r="P1881" s="2" t="s">
        <v>115</v>
      </c>
      <c r="Q1881" s="2" t="s">
        <v>780</v>
      </c>
      <c r="R1881" s="2" t="s">
        <v>781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8"/>
        <v>1</v>
      </c>
      <c r="Z1881" s="2" t="s">
        <v>118</v>
      </c>
      <c r="AF1881" s="2">
        <f t="shared" si="225"/>
        <v>0</v>
      </c>
      <c r="AJ1881" s="2">
        <f t="shared" si="226"/>
        <v>0</v>
      </c>
      <c r="AK1881" s="2">
        <f t="shared" si="227"/>
        <v>153.34</v>
      </c>
      <c r="AL1881" s="5">
        <f t="shared" si="224"/>
        <v>1</v>
      </c>
    </row>
    <row r="1882" spans="1:38" hidden="1" x14ac:dyDescent="0.2">
      <c r="A1882" s="2">
        <v>2025</v>
      </c>
      <c r="B1882" s="2">
        <v>10</v>
      </c>
      <c r="D1882" s="2" t="s">
        <v>1352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8"/>
        <v>1</v>
      </c>
      <c r="Z1882" s="2" t="s">
        <v>118</v>
      </c>
      <c r="AF1882" s="2">
        <f t="shared" si="225"/>
        <v>0</v>
      </c>
      <c r="AJ1882" s="2">
        <f t="shared" si="226"/>
        <v>0</v>
      </c>
      <c r="AK1882" s="2">
        <f t="shared" si="227"/>
        <v>57.15</v>
      </c>
      <c r="AL1882" s="5">
        <f t="shared" si="224"/>
        <v>1</v>
      </c>
    </row>
    <row r="1883" spans="1:38" hidden="1" x14ac:dyDescent="0.2">
      <c r="A1883" s="2">
        <v>2025</v>
      </c>
      <c r="B1883" s="2">
        <v>10</v>
      </c>
      <c r="D1883" s="2" t="s">
        <v>1352</v>
      </c>
      <c r="M1883" s="2" t="s">
        <v>40</v>
      </c>
      <c r="P1883" s="2" t="s">
        <v>115</v>
      </c>
      <c r="Q1883" s="2" t="s">
        <v>906</v>
      </c>
      <c r="R1883" s="2" t="s">
        <v>907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8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5"/>
        <v>0</v>
      </c>
      <c r="AJ1883" s="2">
        <f t="shared" si="226"/>
        <v>0</v>
      </c>
      <c r="AK1883" s="2">
        <f t="shared" si="227"/>
        <v>354.09659999999997</v>
      </c>
      <c r="AL1883" s="5">
        <f t="shared" si="224"/>
        <v>0.50635864435864431</v>
      </c>
    </row>
    <row r="1884" spans="1:38" hidden="1" x14ac:dyDescent="0.2">
      <c r="A1884" s="2">
        <v>2025</v>
      </c>
      <c r="B1884" s="2">
        <v>10</v>
      </c>
      <c r="D1884" s="2" t="s">
        <v>1352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8"/>
        <v>0.6</v>
      </c>
      <c r="Z1884" s="2" t="s">
        <v>118</v>
      </c>
      <c r="AA1884" s="2" t="s">
        <v>191</v>
      </c>
      <c r="AB1884" s="2" t="s">
        <v>190</v>
      </c>
      <c r="AC1884" s="2" t="s">
        <v>40</v>
      </c>
      <c r="AF1884" s="2">
        <f t="shared" si="225"/>
        <v>0</v>
      </c>
      <c r="AJ1884" s="2">
        <f t="shared" si="226"/>
        <v>0</v>
      </c>
      <c r="AK1884" s="2">
        <f t="shared" si="227"/>
        <v>33</v>
      </c>
      <c r="AL1884" s="5">
        <f t="shared" si="224"/>
        <v>0.6</v>
      </c>
    </row>
    <row r="1885" spans="1:38" hidden="1" x14ac:dyDescent="0.2">
      <c r="A1885" s="2">
        <v>2025</v>
      </c>
      <c r="B1885" s="2">
        <v>10</v>
      </c>
      <c r="D1885" s="2" t="s">
        <v>1352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8"/>
        <v>0.5</v>
      </c>
      <c r="Z1885" s="2" t="s">
        <v>118</v>
      </c>
      <c r="AA1885" s="2" t="s">
        <v>191</v>
      </c>
      <c r="AB1885" s="2" t="s">
        <v>191</v>
      </c>
      <c r="AC1885" s="2" t="s">
        <v>40</v>
      </c>
      <c r="AF1885" s="2">
        <f t="shared" si="225"/>
        <v>0</v>
      </c>
      <c r="AJ1885" s="2">
        <f t="shared" si="226"/>
        <v>0</v>
      </c>
      <c r="AK1885" s="2">
        <f t="shared" si="227"/>
        <v>25</v>
      </c>
      <c r="AL1885" s="5">
        <f t="shared" si="224"/>
        <v>0.5</v>
      </c>
    </row>
    <row r="1886" spans="1:38" hidden="1" x14ac:dyDescent="0.2">
      <c r="A1886" s="2">
        <v>2025</v>
      </c>
      <c r="B1886" s="2">
        <v>10</v>
      </c>
      <c r="D1886" s="2" t="s">
        <v>1881</v>
      </c>
      <c r="P1886" s="2" t="s">
        <v>115</v>
      </c>
      <c r="Q1886" s="2" t="s">
        <v>780</v>
      </c>
      <c r="R1886" s="2" t="s">
        <v>781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8"/>
        <v>1</v>
      </c>
      <c r="Z1886" s="2" t="s">
        <v>118</v>
      </c>
      <c r="AF1886" s="2">
        <f t="shared" si="225"/>
        <v>0</v>
      </c>
      <c r="AJ1886" s="2">
        <f t="shared" si="226"/>
        <v>0</v>
      </c>
      <c r="AK1886" s="2">
        <f t="shared" si="227"/>
        <v>153.34</v>
      </c>
      <c r="AL1886" s="5">
        <f t="shared" si="224"/>
        <v>1</v>
      </c>
    </row>
    <row r="1887" spans="1:38" hidden="1" x14ac:dyDescent="0.2">
      <c r="A1887" s="2">
        <v>2025</v>
      </c>
      <c r="B1887" s="2">
        <v>10</v>
      </c>
      <c r="D1887" s="2" t="s">
        <v>1506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1507</v>
      </c>
      <c r="J1887" s="2" t="s">
        <v>1508</v>
      </c>
      <c r="K1887" s="2">
        <v>961386655</v>
      </c>
      <c r="L1887" s="2" t="s">
        <v>134</v>
      </c>
      <c r="M1887" s="2" t="s">
        <v>40</v>
      </c>
      <c r="O1887" s="2" t="s">
        <v>1882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8"/>
        <v>0.49679166666666663</v>
      </c>
      <c r="Z1887" s="2" t="s">
        <v>3231</v>
      </c>
      <c r="AA1887" s="2" t="s">
        <v>88</v>
      </c>
      <c r="AB1887" s="2" t="s">
        <v>91</v>
      </c>
      <c r="AC1887" s="2" t="s">
        <v>85</v>
      </c>
      <c r="AF1887" s="2">
        <f t="shared" si="225"/>
        <v>0</v>
      </c>
      <c r="AJ1887" s="2">
        <f t="shared" si="226"/>
        <v>0</v>
      </c>
      <c r="AK1887" s="2">
        <f t="shared" si="227"/>
        <v>2.3845999999999998</v>
      </c>
      <c r="AL1887" s="5">
        <f t="shared" si="224"/>
        <v>0.49679166666666663</v>
      </c>
    </row>
    <row r="1888" spans="1:38" hidden="1" x14ac:dyDescent="0.2">
      <c r="A1888" s="2">
        <v>2025</v>
      </c>
      <c r="B1888" s="2">
        <v>10</v>
      </c>
      <c r="D1888" s="2" t="s">
        <v>745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746</v>
      </c>
      <c r="J1888" s="2" t="s">
        <v>747</v>
      </c>
      <c r="K1888" s="2">
        <v>962372760</v>
      </c>
      <c r="L1888" s="2" t="s">
        <v>202</v>
      </c>
      <c r="P1888" s="2" t="s">
        <v>115</v>
      </c>
      <c r="Q1888" s="2" t="s">
        <v>1883</v>
      </c>
      <c r="R1888" s="2" t="s">
        <v>1884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8"/>
        <v>1</v>
      </c>
      <c r="Z1888" s="2" t="s">
        <v>3231</v>
      </c>
      <c r="AF1888" s="2">
        <f t="shared" si="225"/>
        <v>0</v>
      </c>
      <c r="AJ1888" s="2">
        <f t="shared" si="226"/>
        <v>0</v>
      </c>
      <c r="AK1888" s="2">
        <f t="shared" si="227"/>
        <v>913.93</v>
      </c>
      <c r="AL1888" s="5">
        <f t="shared" si="224"/>
        <v>1</v>
      </c>
    </row>
    <row r="1889" spans="1:38" hidden="1" x14ac:dyDescent="0.2">
      <c r="A1889" s="2">
        <v>2025</v>
      </c>
      <c r="B1889" s="2">
        <v>10</v>
      </c>
      <c r="D1889" s="2" t="s">
        <v>992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993</v>
      </c>
      <c r="J1889" s="2" t="s">
        <v>994</v>
      </c>
      <c r="K1889" s="2">
        <v>964159861</v>
      </c>
      <c r="L1889" s="2" t="s">
        <v>202</v>
      </c>
      <c r="M1889" s="2" t="s">
        <v>81</v>
      </c>
      <c r="O1889" s="2" t="s">
        <v>1885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8"/>
        <v>0.44777500000000003</v>
      </c>
      <c r="Z1889" s="2" t="s">
        <v>3231</v>
      </c>
      <c r="AA1889" s="2" t="s">
        <v>46</v>
      </c>
      <c r="AB1889" s="2" t="s">
        <v>47</v>
      </c>
      <c r="AC1889" s="2" t="s">
        <v>48</v>
      </c>
      <c r="AF1889" s="2">
        <f t="shared" si="225"/>
        <v>0</v>
      </c>
      <c r="AG1889" s="2">
        <v>6.6266999999999996</v>
      </c>
      <c r="AH1889" s="2">
        <v>12</v>
      </c>
      <c r="AJ1889" s="2">
        <f t="shared" si="226"/>
        <v>0</v>
      </c>
      <c r="AK1889" s="2">
        <f t="shared" si="227"/>
        <v>16.119900000000001</v>
      </c>
      <c r="AL1889" s="5">
        <f t="shared" si="224"/>
        <v>0.44777500000000003</v>
      </c>
    </row>
    <row r="1890" spans="1:38" hidden="1" x14ac:dyDescent="0.2">
      <c r="A1890" s="2">
        <v>2025</v>
      </c>
      <c r="B1890" s="2">
        <v>10</v>
      </c>
      <c r="D1890" s="2" t="s">
        <v>992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993</v>
      </c>
      <c r="J1890" s="2" t="s">
        <v>994</v>
      </c>
      <c r="K1890" s="2">
        <v>964159861</v>
      </c>
      <c r="L1890" s="2" t="s">
        <v>202</v>
      </c>
      <c r="M1890" s="2" t="s">
        <v>81</v>
      </c>
      <c r="O1890" s="2" t="s">
        <v>1885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8"/>
        <v>0.52105128205128204</v>
      </c>
      <c r="Z1890" s="2" t="s">
        <v>3231</v>
      </c>
      <c r="AA1890" s="2" t="s">
        <v>46</v>
      </c>
      <c r="AB1890" s="2" t="s">
        <v>47</v>
      </c>
      <c r="AC1890" s="2" t="s">
        <v>48</v>
      </c>
      <c r="AF1890" s="2">
        <f t="shared" si="225"/>
        <v>0</v>
      </c>
      <c r="AG1890" s="2">
        <v>3.7357999999999998</v>
      </c>
      <c r="AH1890" s="2">
        <v>9</v>
      </c>
      <c r="AJ1890" s="2">
        <f t="shared" si="226"/>
        <v>0</v>
      </c>
      <c r="AK1890" s="2">
        <f t="shared" si="227"/>
        <v>4.0641999999999996</v>
      </c>
      <c r="AL1890" s="5">
        <f t="shared" si="224"/>
        <v>0.52105128205128204</v>
      </c>
    </row>
    <row r="1891" spans="1:38" hidden="1" x14ac:dyDescent="0.2">
      <c r="A1891" s="2">
        <v>2025</v>
      </c>
      <c r="B1891" s="2">
        <v>10</v>
      </c>
      <c r="D1891" s="2" t="s">
        <v>992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993</v>
      </c>
      <c r="J1891" s="2" t="s">
        <v>994</v>
      </c>
      <c r="K1891" s="2">
        <v>964159861</v>
      </c>
      <c r="L1891" s="2" t="s">
        <v>202</v>
      </c>
      <c r="M1891" s="2" t="s">
        <v>81</v>
      </c>
      <c r="O1891" s="2" t="s">
        <v>1885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8"/>
        <v>0.41111111111111115</v>
      </c>
      <c r="Z1891" s="2" t="s">
        <v>3231</v>
      </c>
      <c r="AA1891" s="2" t="s">
        <v>46</v>
      </c>
      <c r="AB1891" s="2" t="s">
        <v>57</v>
      </c>
      <c r="AC1891" s="2" t="s">
        <v>58</v>
      </c>
      <c r="AF1891" s="2">
        <f t="shared" si="225"/>
        <v>0</v>
      </c>
      <c r="AG1891" s="2">
        <v>10.6</v>
      </c>
      <c r="AH1891" s="2">
        <v>18</v>
      </c>
      <c r="AJ1891" s="2">
        <f t="shared" si="226"/>
        <v>0</v>
      </c>
      <c r="AK1891" s="2">
        <f t="shared" si="227"/>
        <v>14.8</v>
      </c>
      <c r="AL1891" s="5">
        <f t="shared" si="224"/>
        <v>0.41111111111111115</v>
      </c>
    </row>
    <row r="1892" spans="1:38" hidden="1" x14ac:dyDescent="0.2">
      <c r="A1892" s="2">
        <v>2025</v>
      </c>
      <c r="B1892" s="2">
        <v>10</v>
      </c>
      <c r="D1892" s="2" t="s">
        <v>992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993</v>
      </c>
      <c r="J1892" s="2" t="s">
        <v>994</v>
      </c>
      <c r="K1892" s="2">
        <v>964159861</v>
      </c>
      <c r="L1892" s="2" t="s">
        <v>202</v>
      </c>
      <c r="M1892" s="2" t="s">
        <v>81</v>
      </c>
      <c r="O1892" s="2" t="s">
        <v>1885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8"/>
        <v>0.46925333333333336</v>
      </c>
      <c r="Z1892" s="2" t="s">
        <v>3231</v>
      </c>
      <c r="AA1892" s="2" t="s">
        <v>46</v>
      </c>
      <c r="AB1892" s="2" t="s">
        <v>68</v>
      </c>
      <c r="AC1892" s="2" t="s">
        <v>58</v>
      </c>
      <c r="AF1892" s="2">
        <f t="shared" si="225"/>
        <v>0</v>
      </c>
      <c r="AG1892" s="2">
        <v>7.9611999999999998</v>
      </c>
      <c r="AH1892" s="2">
        <v>14.4</v>
      </c>
      <c r="AJ1892" s="2">
        <f t="shared" si="226"/>
        <v>0</v>
      </c>
      <c r="AK1892" s="2">
        <f t="shared" si="227"/>
        <v>7.0388000000000002</v>
      </c>
      <c r="AL1892" s="5">
        <f t="shared" si="224"/>
        <v>0.46925333333333336</v>
      </c>
    </row>
    <row r="1893" spans="1:38" hidden="1" x14ac:dyDescent="0.2">
      <c r="A1893" s="2">
        <v>2025</v>
      </c>
      <c r="B1893" s="2">
        <v>10</v>
      </c>
      <c r="D1893" s="2" t="s">
        <v>992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993</v>
      </c>
      <c r="J1893" s="2" t="s">
        <v>994</v>
      </c>
      <c r="K1893" s="2">
        <v>964159861</v>
      </c>
      <c r="L1893" s="2" t="s">
        <v>202</v>
      </c>
      <c r="M1893" s="2" t="s">
        <v>81</v>
      </c>
      <c r="O1893" s="2" t="s">
        <v>1885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8"/>
        <v>0.67333333333333334</v>
      </c>
      <c r="Z1893" s="2" t="s">
        <v>3231</v>
      </c>
      <c r="AA1893" s="2" t="s">
        <v>88</v>
      </c>
      <c r="AB1893" s="2" t="s">
        <v>91</v>
      </c>
      <c r="AC1893" s="2" t="s">
        <v>85</v>
      </c>
      <c r="AF1893" s="2">
        <f t="shared" si="225"/>
        <v>0</v>
      </c>
      <c r="AJ1893" s="2">
        <f t="shared" si="226"/>
        <v>0</v>
      </c>
      <c r="AK1893" s="2">
        <f t="shared" si="227"/>
        <v>6.0600000000000005</v>
      </c>
      <c r="AL1893" s="5">
        <f t="shared" si="224"/>
        <v>0.67333333333333334</v>
      </c>
    </row>
    <row r="1894" spans="1:38" hidden="1" x14ac:dyDescent="0.2">
      <c r="A1894" s="2">
        <v>2025</v>
      </c>
      <c r="B1894" s="2">
        <v>10</v>
      </c>
      <c r="D1894" s="2" t="s">
        <v>992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993</v>
      </c>
      <c r="J1894" s="2" t="s">
        <v>994</v>
      </c>
      <c r="K1894" s="2">
        <v>964159861</v>
      </c>
      <c r="L1894" s="2" t="s">
        <v>202</v>
      </c>
      <c r="M1894" s="2" t="s">
        <v>81</v>
      </c>
      <c r="O1894" s="2" t="s">
        <v>1885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8"/>
        <v>1</v>
      </c>
      <c r="Z1894" s="2" t="s">
        <v>3231</v>
      </c>
      <c r="AA1894" s="2" t="s">
        <v>88</v>
      </c>
      <c r="AB1894" s="2" t="s">
        <v>91</v>
      </c>
      <c r="AC1894" s="2" t="s">
        <v>85</v>
      </c>
      <c r="AF1894" s="2">
        <f t="shared" si="225"/>
        <v>0</v>
      </c>
      <c r="AJ1894" s="2">
        <f t="shared" si="226"/>
        <v>0</v>
      </c>
      <c r="AK1894" s="2">
        <f t="shared" si="227"/>
        <v>9</v>
      </c>
      <c r="AL1894" s="5">
        <f t="shared" si="224"/>
        <v>1</v>
      </c>
    </row>
    <row r="1895" spans="1:38" hidden="1" x14ac:dyDescent="0.2">
      <c r="A1895" s="2">
        <v>2025</v>
      </c>
      <c r="B1895" s="2">
        <v>10</v>
      </c>
      <c r="C1895" s="2" t="s">
        <v>3409</v>
      </c>
      <c r="D1895" s="2" t="s">
        <v>750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751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801</v>
      </c>
      <c r="R1895" s="2" t="s">
        <v>802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8"/>
        <v>0.18588888888888891</v>
      </c>
      <c r="Z1895" s="2" t="s">
        <v>3231</v>
      </c>
      <c r="AA1895" s="2" t="s">
        <v>72</v>
      </c>
      <c r="AB1895" s="2" t="s">
        <v>120</v>
      </c>
      <c r="AC1895" s="2" t="s">
        <v>120</v>
      </c>
      <c r="AF1895" s="2">
        <f t="shared" si="225"/>
        <v>0</v>
      </c>
      <c r="AJ1895" s="2">
        <f t="shared" si="226"/>
        <v>0</v>
      </c>
      <c r="AK1895" s="2">
        <f t="shared" si="227"/>
        <v>1003.8000000000002</v>
      </c>
      <c r="AL1895" s="5">
        <f t="shared" si="224"/>
        <v>0.18588888888888891</v>
      </c>
    </row>
    <row r="1896" spans="1:38" hidden="1" x14ac:dyDescent="0.2">
      <c r="A1896" s="2">
        <v>2025</v>
      </c>
      <c r="B1896" s="2">
        <v>10</v>
      </c>
      <c r="D1896" s="2" t="s">
        <v>1778</v>
      </c>
      <c r="P1896" s="2" t="s">
        <v>3234</v>
      </c>
      <c r="Q1896" s="2" t="s">
        <v>1886</v>
      </c>
      <c r="R1896" s="2" t="s">
        <v>1887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9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3234</v>
      </c>
      <c r="AF1896" s="2">
        <f t="shared" si="225"/>
        <v>0</v>
      </c>
      <c r="AJ1896" s="2">
        <f t="shared" si="226"/>
        <v>0</v>
      </c>
      <c r="AK1896" s="2">
        <f t="shared" si="227"/>
        <v>1912.2773</v>
      </c>
      <c r="AL1896" s="5">
        <f t="shared" si="224"/>
        <v>0.6594059655172414</v>
      </c>
    </row>
    <row r="1897" spans="1:38" hidden="1" x14ac:dyDescent="0.2">
      <c r="A1897" s="2">
        <v>2025</v>
      </c>
      <c r="B1897" s="2">
        <v>10</v>
      </c>
      <c r="D1897" s="2" t="s">
        <v>998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9"/>
        <v>0.44069999999999998</v>
      </c>
      <c r="Z1897" s="2" t="s">
        <v>3231</v>
      </c>
      <c r="AA1897" s="2" t="s">
        <v>76</v>
      </c>
      <c r="AB1897" s="2" t="s">
        <v>77</v>
      </c>
      <c r="AC1897" s="2" t="s">
        <v>78</v>
      </c>
      <c r="AF1897" s="2">
        <f t="shared" si="225"/>
        <v>0</v>
      </c>
      <c r="AG1897" s="2">
        <v>117.453</v>
      </c>
      <c r="AH1897" s="2">
        <v>220</v>
      </c>
      <c r="AJ1897" s="2">
        <f t="shared" si="226"/>
        <v>0</v>
      </c>
      <c r="AK1897" s="2">
        <f t="shared" si="227"/>
        <v>92.546999999999997</v>
      </c>
      <c r="AL1897" s="5">
        <f t="shared" si="224"/>
        <v>0.44069999999999998</v>
      </c>
    </row>
    <row r="1898" spans="1:38" hidden="1" x14ac:dyDescent="0.2">
      <c r="A1898" s="2">
        <v>2025</v>
      </c>
      <c r="B1898" s="2">
        <v>10</v>
      </c>
      <c r="D1898" s="2" t="s">
        <v>998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9"/>
        <v>0</v>
      </c>
      <c r="Z1898" s="2" t="s">
        <v>3231</v>
      </c>
      <c r="AA1898" s="2" t="s">
        <v>97</v>
      </c>
      <c r="AB1898" s="2" t="s">
        <v>77</v>
      </c>
      <c r="AC1898" s="2" t="s">
        <v>94</v>
      </c>
      <c r="AF1898" s="2">
        <f t="shared" si="225"/>
        <v>0</v>
      </c>
      <c r="AJ1898" s="2">
        <f t="shared" si="226"/>
        <v>0</v>
      </c>
      <c r="AK1898" s="2">
        <f t="shared" si="227"/>
        <v>0</v>
      </c>
      <c r="AL1898" s="5">
        <f t="shared" si="224"/>
        <v>0</v>
      </c>
    </row>
    <row r="1899" spans="1:38" hidden="1" x14ac:dyDescent="0.2">
      <c r="A1899" s="2">
        <v>2025</v>
      </c>
      <c r="B1899" s="2">
        <v>10</v>
      </c>
      <c r="D1899" s="2" t="s">
        <v>1888</v>
      </c>
      <c r="M1899" s="2" t="s">
        <v>40</v>
      </c>
      <c r="P1899" s="2" t="s">
        <v>115</v>
      </c>
      <c r="Q1899" s="2" t="s">
        <v>906</v>
      </c>
      <c r="R1899" s="2" t="s">
        <v>907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5"/>
        <v>0</v>
      </c>
      <c r="AJ1899" s="2">
        <f t="shared" si="226"/>
        <v>0</v>
      </c>
      <c r="AK1899" s="2">
        <v>0</v>
      </c>
      <c r="AL1899" s="5">
        <v>0</v>
      </c>
    </row>
    <row r="1900" spans="1:38" hidden="1" x14ac:dyDescent="0.2">
      <c r="A1900" s="2">
        <v>2025</v>
      </c>
      <c r="B1900" s="2">
        <v>10</v>
      </c>
      <c r="D1900" s="2" t="s">
        <v>1888</v>
      </c>
      <c r="P1900" s="2" t="s">
        <v>115</v>
      </c>
      <c r="Q1900" s="2" t="s">
        <v>1889</v>
      </c>
      <c r="R1900" s="2" t="s">
        <v>1890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9"/>
        <v>1</v>
      </c>
      <c r="Z1900" s="2" t="s">
        <v>105</v>
      </c>
      <c r="AF1900" s="2">
        <f t="shared" si="225"/>
        <v>0</v>
      </c>
      <c r="AJ1900" s="2">
        <f t="shared" si="226"/>
        <v>0</v>
      </c>
      <c r="AK1900" s="2">
        <f t="shared" si="227"/>
        <v>6770</v>
      </c>
      <c r="AL1900" s="5">
        <f t="shared" si="224"/>
        <v>1</v>
      </c>
    </row>
    <row r="1901" spans="1:38" hidden="1" x14ac:dyDescent="0.2">
      <c r="A1901" s="2">
        <v>2025</v>
      </c>
      <c r="B1901" s="2">
        <v>10</v>
      </c>
      <c r="C1901" s="2" t="s">
        <v>3409</v>
      </c>
      <c r="D1901" s="2" t="s">
        <v>1891</v>
      </c>
      <c r="E1901" s="2" t="s">
        <v>38</v>
      </c>
      <c r="F1901" s="2" t="s">
        <v>39</v>
      </c>
      <c r="L1901" s="2" t="s">
        <v>462</v>
      </c>
      <c r="M1901" s="2" t="s">
        <v>40</v>
      </c>
      <c r="P1901" s="2" t="s">
        <v>115</v>
      </c>
      <c r="Q1901" s="2" t="s">
        <v>1892</v>
      </c>
      <c r="R1901" s="2" t="s">
        <v>1893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29"/>
        <v>0.44443308455168179</v>
      </c>
      <c r="Z1901" s="2" t="s">
        <v>118</v>
      </c>
      <c r="AA1901" s="2" t="s">
        <v>119</v>
      </c>
      <c r="AB1901" s="2" t="s">
        <v>120</v>
      </c>
      <c r="AC1901" s="2" t="s">
        <v>115</v>
      </c>
      <c r="AF1901" s="2">
        <f t="shared" si="225"/>
        <v>0</v>
      </c>
      <c r="AJ1901" s="2">
        <f t="shared" si="226"/>
        <v>0</v>
      </c>
      <c r="AK1901" s="2">
        <f t="shared" si="227"/>
        <v>43.47</v>
      </c>
      <c r="AL1901" s="5">
        <f t="shared" si="224"/>
        <v>0.44443308455168179</v>
      </c>
    </row>
    <row r="1902" spans="1:38" hidden="1" x14ac:dyDescent="0.2">
      <c r="A1902" s="2">
        <v>2025</v>
      </c>
      <c r="B1902" s="2">
        <v>10</v>
      </c>
      <c r="C1902" s="2" t="s">
        <v>3409</v>
      </c>
      <c r="D1902" s="2" t="s">
        <v>1891</v>
      </c>
      <c r="E1902" s="2" t="s">
        <v>38</v>
      </c>
      <c r="F1902" s="2" t="s">
        <v>39</v>
      </c>
      <c r="L1902" s="2" t="s">
        <v>462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9"/>
        <v>0.60000000000000009</v>
      </c>
      <c r="Z1902" s="2" t="s">
        <v>118</v>
      </c>
      <c r="AA1902" s="2" t="s">
        <v>191</v>
      </c>
      <c r="AB1902" s="2" t="s">
        <v>190</v>
      </c>
      <c r="AC1902" s="2" t="s">
        <v>40</v>
      </c>
      <c r="AF1902" s="2">
        <f t="shared" si="225"/>
        <v>0</v>
      </c>
      <c r="AJ1902" s="2">
        <f t="shared" si="226"/>
        <v>0</v>
      </c>
      <c r="AK1902" s="2">
        <f t="shared" si="227"/>
        <v>36.450000000000003</v>
      </c>
      <c r="AL1902" s="5">
        <f t="shared" si="224"/>
        <v>0.60000000000000009</v>
      </c>
    </row>
    <row r="1903" spans="1:38" hidden="1" x14ac:dyDescent="0.2">
      <c r="A1903" s="2">
        <v>2025</v>
      </c>
      <c r="B1903" s="2">
        <v>10</v>
      </c>
      <c r="C1903" s="2" t="s">
        <v>3409</v>
      </c>
      <c r="D1903" s="2" t="s">
        <v>1891</v>
      </c>
      <c r="E1903" s="2" t="s">
        <v>38</v>
      </c>
      <c r="F1903" s="2" t="s">
        <v>39</v>
      </c>
      <c r="L1903" s="2" t="s">
        <v>462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9"/>
        <v>0.5</v>
      </c>
      <c r="Z1903" s="2" t="s">
        <v>118</v>
      </c>
      <c r="AA1903" s="2" t="s">
        <v>191</v>
      </c>
      <c r="AB1903" s="2" t="s">
        <v>191</v>
      </c>
      <c r="AC1903" s="2" t="s">
        <v>40</v>
      </c>
      <c r="AF1903" s="2">
        <f t="shared" si="225"/>
        <v>0</v>
      </c>
      <c r="AJ1903" s="2">
        <f t="shared" si="226"/>
        <v>0</v>
      </c>
      <c r="AK1903" s="2">
        <f t="shared" si="227"/>
        <v>22.5</v>
      </c>
      <c r="AL1903" s="5">
        <f t="shared" si="224"/>
        <v>0.5</v>
      </c>
    </row>
    <row r="1904" spans="1:38" hidden="1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1347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9"/>
        <v>0.51924999999999999</v>
      </c>
      <c r="Z1904" s="2" t="s">
        <v>3231</v>
      </c>
      <c r="AA1904" s="2" t="s">
        <v>76</v>
      </c>
      <c r="AB1904" s="2" t="s">
        <v>77</v>
      </c>
      <c r="AC1904" s="2" t="s">
        <v>78</v>
      </c>
      <c r="AF1904" s="2">
        <f t="shared" si="225"/>
        <v>0</v>
      </c>
      <c r="AJ1904" s="2">
        <f t="shared" si="226"/>
        <v>0</v>
      </c>
      <c r="AK1904" s="2">
        <f t="shared" si="227"/>
        <v>103.85</v>
      </c>
      <c r="AL1904" s="5">
        <f t="shared" si="224"/>
        <v>0.51924999999999999</v>
      </c>
    </row>
    <row r="1905" spans="1:38" hidden="1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9"/>
        <v>0</v>
      </c>
      <c r="Z1905" s="2" t="s">
        <v>3231</v>
      </c>
      <c r="AA1905" s="2" t="s">
        <v>97</v>
      </c>
      <c r="AB1905" s="2" t="s">
        <v>77</v>
      </c>
      <c r="AC1905" s="2" t="s">
        <v>94</v>
      </c>
      <c r="AF1905" s="2">
        <f t="shared" si="225"/>
        <v>0</v>
      </c>
      <c r="AJ1905" s="2">
        <f t="shared" si="226"/>
        <v>0</v>
      </c>
      <c r="AK1905" s="2">
        <f t="shared" si="227"/>
        <v>0</v>
      </c>
      <c r="AL1905" s="5">
        <f t="shared" si="224"/>
        <v>0</v>
      </c>
    </row>
    <row r="1906" spans="1:38" hidden="1" x14ac:dyDescent="0.2">
      <c r="A1906" s="2">
        <v>2025</v>
      </c>
      <c r="B1906" s="2">
        <v>10</v>
      </c>
      <c r="D1906" s="2" t="s">
        <v>1010</v>
      </c>
      <c r="E1906" s="2" t="s">
        <v>109</v>
      </c>
      <c r="F1906" s="2" t="s">
        <v>39</v>
      </c>
      <c r="L1906" s="2" t="s">
        <v>419</v>
      </c>
      <c r="M1906" s="2" t="s">
        <v>41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9"/>
        <v>0.41111111111111115</v>
      </c>
      <c r="Z1906" s="2" t="s">
        <v>3231</v>
      </c>
      <c r="AA1906" s="2" t="s">
        <v>46</v>
      </c>
      <c r="AB1906" s="2" t="s">
        <v>57</v>
      </c>
      <c r="AC1906" s="2" t="s">
        <v>58</v>
      </c>
      <c r="AF1906" s="2">
        <f t="shared" si="225"/>
        <v>0</v>
      </c>
      <c r="AG1906" s="2">
        <v>10.6</v>
      </c>
      <c r="AH1906" s="2">
        <v>18</v>
      </c>
      <c r="AJ1906" s="2">
        <f t="shared" si="226"/>
        <v>0</v>
      </c>
      <c r="AK1906" s="2">
        <f t="shared" si="227"/>
        <v>14.8</v>
      </c>
      <c r="AL1906" s="5">
        <f t="shared" si="224"/>
        <v>0.41111111111111115</v>
      </c>
    </row>
    <row r="1907" spans="1:38" hidden="1" x14ac:dyDescent="0.2">
      <c r="A1907" s="2">
        <v>2025</v>
      </c>
      <c r="B1907" s="2">
        <v>10</v>
      </c>
      <c r="D1907" s="2" t="s">
        <v>1010</v>
      </c>
      <c r="E1907" s="2" t="s">
        <v>109</v>
      </c>
      <c r="F1907" s="2" t="s">
        <v>39</v>
      </c>
      <c r="L1907" s="2" t="s">
        <v>419</v>
      </c>
      <c r="M1907" s="2" t="s">
        <v>41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9"/>
        <v>0.36923076923076914</v>
      </c>
      <c r="Z1907" s="2" t="s">
        <v>3231</v>
      </c>
      <c r="AA1907" s="2" t="s">
        <v>46</v>
      </c>
      <c r="AB1907" s="2" t="s">
        <v>61</v>
      </c>
      <c r="AC1907" s="2" t="s">
        <v>58</v>
      </c>
      <c r="AF1907" s="2">
        <f t="shared" si="225"/>
        <v>0</v>
      </c>
      <c r="AG1907" s="2">
        <v>8.1999999999999993</v>
      </c>
      <c r="AH1907" s="2">
        <v>13</v>
      </c>
      <c r="AJ1907" s="2">
        <f t="shared" si="226"/>
        <v>0</v>
      </c>
      <c r="AK1907" s="2">
        <f t="shared" si="227"/>
        <v>9.5999999999999979</v>
      </c>
      <c r="AL1907" s="5">
        <f t="shared" ref="AL1907:AL1970" si="230">(T1907-W1907)/T1907</f>
        <v>0.36923076923076914</v>
      </c>
    </row>
    <row r="1908" spans="1:38" hidden="1" x14ac:dyDescent="0.2">
      <c r="A1908" s="2">
        <v>2025</v>
      </c>
      <c r="B1908" s="2">
        <v>10</v>
      </c>
      <c r="C1908" s="2" t="s">
        <v>3418</v>
      </c>
      <c r="D1908" s="2" t="s">
        <v>1010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9"/>
        <v>0.33666666666666667</v>
      </c>
      <c r="Z1908" s="2" t="s">
        <v>3231</v>
      </c>
      <c r="AA1908" s="2" t="s">
        <v>72</v>
      </c>
      <c r="AB1908" s="2" t="s">
        <v>69</v>
      </c>
      <c r="AC1908" s="2" t="s">
        <v>3235</v>
      </c>
      <c r="AF1908" s="2">
        <f t="shared" si="225"/>
        <v>0</v>
      </c>
      <c r="AJ1908" s="2">
        <f t="shared" si="226"/>
        <v>0</v>
      </c>
      <c r="AK1908" s="2">
        <f t="shared" si="227"/>
        <v>12.120000000000001</v>
      </c>
      <c r="AL1908" s="5">
        <f t="shared" si="230"/>
        <v>0.33666666666666667</v>
      </c>
    </row>
    <row r="1909" spans="1:38" hidden="1" x14ac:dyDescent="0.2">
      <c r="A1909" s="2">
        <v>2025</v>
      </c>
      <c r="B1909" s="2">
        <v>10</v>
      </c>
      <c r="D1909" s="2" t="s">
        <v>782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783</v>
      </c>
      <c r="J1909" s="2" t="s">
        <v>784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1156</v>
      </c>
      <c r="R1909" s="2" t="s">
        <v>1157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9"/>
        <v>0</v>
      </c>
      <c r="Z1909" s="2" t="s">
        <v>105</v>
      </c>
      <c r="AA1909" s="2" t="s">
        <v>1578</v>
      </c>
      <c r="AB1909" s="2" t="s">
        <v>389</v>
      </c>
      <c r="AC1909" s="2" t="s">
        <v>1329</v>
      </c>
      <c r="AF1909" s="2">
        <f t="shared" si="225"/>
        <v>0</v>
      </c>
      <c r="AJ1909" s="2">
        <f t="shared" si="226"/>
        <v>0</v>
      </c>
      <c r="AK1909" s="2">
        <f t="shared" si="227"/>
        <v>0</v>
      </c>
      <c r="AL1909" s="5">
        <f t="shared" si="230"/>
        <v>0</v>
      </c>
    </row>
    <row r="1910" spans="1:38" hidden="1" x14ac:dyDescent="0.2">
      <c r="A1910" s="2">
        <v>2025</v>
      </c>
      <c r="B1910" s="2">
        <v>10</v>
      </c>
      <c r="D1910" s="2" t="s">
        <v>782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783</v>
      </c>
      <c r="J1910" s="2" t="s">
        <v>784</v>
      </c>
      <c r="K1910" s="2">
        <v>917341136</v>
      </c>
      <c r="L1910" s="2" t="s">
        <v>100</v>
      </c>
      <c r="P1910" s="2" t="s">
        <v>283</v>
      </c>
      <c r="Q1910" s="2" t="s">
        <v>1160</v>
      </c>
      <c r="R1910" s="2" t="s">
        <v>1161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9"/>
        <v>1</v>
      </c>
      <c r="AF1910" s="2">
        <f t="shared" si="225"/>
        <v>0</v>
      </c>
      <c r="AJ1910" s="2">
        <f t="shared" si="226"/>
        <v>0</v>
      </c>
      <c r="AK1910" s="2">
        <f t="shared" si="227"/>
        <v>330</v>
      </c>
      <c r="AL1910" s="5">
        <f t="shared" si="230"/>
        <v>1</v>
      </c>
    </row>
    <row r="1911" spans="1:38" hidden="1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2480</v>
      </c>
      <c r="J1911" s="2" t="s">
        <v>3127</v>
      </c>
      <c r="K1911" s="2">
        <v>965864665</v>
      </c>
      <c r="L1911" s="2" t="s">
        <v>345</v>
      </c>
      <c r="M1911" s="2" t="s">
        <v>81</v>
      </c>
      <c r="O1911" s="2" t="s">
        <v>3130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9"/>
        <v>0.46612272727272724</v>
      </c>
      <c r="Z1911" s="2" t="s">
        <v>3231</v>
      </c>
      <c r="AA1911" s="2" t="s">
        <v>76</v>
      </c>
      <c r="AB1911" s="2" t="s">
        <v>77</v>
      </c>
      <c r="AC1911" s="2" t="s">
        <v>78</v>
      </c>
      <c r="AF1911" s="2">
        <f t="shared" si="225"/>
        <v>0</v>
      </c>
      <c r="AG1911" s="2">
        <v>117.453</v>
      </c>
      <c r="AH1911" s="2">
        <v>220</v>
      </c>
      <c r="AJ1911" s="2">
        <f t="shared" si="226"/>
        <v>0</v>
      </c>
      <c r="AK1911" s="2">
        <f t="shared" si="227"/>
        <v>102.547</v>
      </c>
      <c r="AL1911" s="5">
        <f t="shared" si="230"/>
        <v>0.46612272727272724</v>
      </c>
    </row>
    <row r="1912" spans="1:38" hidden="1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2480</v>
      </c>
      <c r="J1912" s="2" t="s">
        <v>3127</v>
      </c>
      <c r="K1912" s="2">
        <v>965864665</v>
      </c>
      <c r="L1912" s="2" t="s">
        <v>345</v>
      </c>
      <c r="M1912" s="2" t="s">
        <v>81</v>
      </c>
      <c r="O1912" s="2" t="s">
        <v>3130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9"/>
        <v>0</v>
      </c>
      <c r="Z1912" s="2" t="s">
        <v>3231</v>
      </c>
      <c r="AA1912" s="2" t="s">
        <v>97</v>
      </c>
      <c r="AB1912" s="2" t="s">
        <v>77</v>
      </c>
      <c r="AC1912" s="2" t="s">
        <v>94</v>
      </c>
      <c r="AF1912" s="2">
        <f t="shared" si="225"/>
        <v>0</v>
      </c>
      <c r="AJ1912" s="2">
        <f t="shared" si="226"/>
        <v>0</v>
      </c>
      <c r="AK1912" s="2">
        <f t="shared" si="227"/>
        <v>0</v>
      </c>
      <c r="AL1912" s="5">
        <f t="shared" si="230"/>
        <v>0</v>
      </c>
    </row>
    <row r="1913" spans="1:38" hidden="1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9"/>
        <v>0.36923076923076914</v>
      </c>
      <c r="Z1913" s="2" t="s">
        <v>3231</v>
      </c>
      <c r="AA1913" s="2" t="s">
        <v>46</v>
      </c>
      <c r="AB1913" s="2" t="s">
        <v>61</v>
      </c>
      <c r="AC1913" s="2" t="s">
        <v>58</v>
      </c>
      <c r="AF1913" s="2">
        <f t="shared" si="225"/>
        <v>0</v>
      </c>
      <c r="AG1913" s="2">
        <v>8.1999999999999993</v>
      </c>
      <c r="AH1913" s="2">
        <v>13</v>
      </c>
      <c r="AJ1913" s="2">
        <f t="shared" si="226"/>
        <v>0</v>
      </c>
      <c r="AK1913" s="2">
        <f t="shared" si="227"/>
        <v>9.5999999999999979</v>
      </c>
      <c r="AL1913" s="5">
        <f t="shared" si="230"/>
        <v>0.36923076923076914</v>
      </c>
    </row>
    <row r="1914" spans="1:38" hidden="1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9"/>
        <v>0.45095172413793105</v>
      </c>
      <c r="Z1914" s="2" t="s">
        <v>3231</v>
      </c>
      <c r="AA1914" s="2" t="s">
        <v>46</v>
      </c>
      <c r="AB1914" s="2" t="s">
        <v>68</v>
      </c>
      <c r="AC1914" s="2" t="s">
        <v>58</v>
      </c>
      <c r="AF1914" s="2">
        <f t="shared" si="225"/>
        <v>0</v>
      </c>
      <c r="AG1914" s="2">
        <v>7.9611999999999998</v>
      </c>
      <c r="AH1914" s="2">
        <v>14.4</v>
      </c>
      <c r="AJ1914" s="2">
        <f t="shared" si="226"/>
        <v>0</v>
      </c>
      <c r="AK1914" s="2">
        <f t="shared" si="227"/>
        <v>6.5388000000000002</v>
      </c>
      <c r="AL1914" s="5">
        <f t="shared" si="230"/>
        <v>0.45095172413793105</v>
      </c>
    </row>
    <row r="1915" spans="1:38" hidden="1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9"/>
        <v>0.41111111111111115</v>
      </c>
      <c r="Z1915" s="2" t="s">
        <v>3231</v>
      </c>
      <c r="AA1915" s="2" t="s">
        <v>46</v>
      </c>
      <c r="AB1915" s="2" t="s">
        <v>57</v>
      </c>
      <c r="AC1915" s="2" t="s">
        <v>58</v>
      </c>
      <c r="AF1915" s="2">
        <f t="shared" si="225"/>
        <v>0</v>
      </c>
      <c r="AG1915" s="2">
        <v>10.6</v>
      </c>
      <c r="AH1915" s="2">
        <v>18</v>
      </c>
      <c r="AJ1915" s="2">
        <f t="shared" si="226"/>
        <v>0</v>
      </c>
      <c r="AK1915" s="2">
        <f t="shared" si="227"/>
        <v>22.200000000000003</v>
      </c>
      <c r="AL1915" s="5">
        <f t="shared" si="230"/>
        <v>0.41111111111111115</v>
      </c>
    </row>
    <row r="1916" spans="1:38" hidden="1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9"/>
        <v>0.36923076923076914</v>
      </c>
      <c r="Z1916" s="2" t="s">
        <v>3231</v>
      </c>
      <c r="AA1916" s="2" t="s">
        <v>46</v>
      </c>
      <c r="AB1916" s="2" t="s">
        <v>61</v>
      </c>
      <c r="AC1916" s="2" t="s">
        <v>58</v>
      </c>
      <c r="AF1916" s="2">
        <f t="shared" si="225"/>
        <v>0</v>
      </c>
      <c r="AG1916" s="2">
        <v>8.1999999999999993</v>
      </c>
      <c r="AH1916" s="2">
        <v>13</v>
      </c>
      <c r="AJ1916" s="2">
        <f t="shared" si="226"/>
        <v>0</v>
      </c>
      <c r="AK1916" s="2">
        <f t="shared" si="227"/>
        <v>4.7999999999999989</v>
      </c>
      <c r="AL1916" s="5">
        <f t="shared" si="230"/>
        <v>0.36923076923076914</v>
      </c>
    </row>
    <row r="1917" spans="1:38" hidden="1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9"/>
        <v>0.42875000000000008</v>
      </c>
      <c r="Z1917" s="2" t="s">
        <v>3231</v>
      </c>
      <c r="AA1917" s="2" t="s">
        <v>46</v>
      </c>
      <c r="AB1917" s="2" t="s">
        <v>61</v>
      </c>
      <c r="AC1917" s="2" t="s">
        <v>58</v>
      </c>
      <c r="AF1917" s="2">
        <f t="shared" si="225"/>
        <v>0</v>
      </c>
      <c r="AJ1917" s="2">
        <f t="shared" si="226"/>
        <v>0</v>
      </c>
      <c r="AK1917" s="2">
        <f t="shared" si="227"/>
        <v>6.8600000000000012</v>
      </c>
      <c r="AL1917" s="5">
        <f t="shared" si="230"/>
        <v>0.42875000000000008</v>
      </c>
    </row>
    <row r="1918" spans="1:38" hidden="1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9"/>
        <v>0.41111111111111115</v>
      </c>
      <c r="Z1918" s="2" t="s">
        <v>3231</v>
      </c>
      <c r="AA1918" s="2" t="s">
        <v>46</v>
      </c>
      <c r="AB1918" s="2" t="s">
        <v>57</v>
      </c>
      <c r="AC1918" s="2" t="s">
        <v>58</v>
      </c>
      <c r="AF1918" s="2">
        <f t="shared" si="225"/>
        <v>0</v>
      </c>
      <c r="AG1918" s="2">
        <v>10.6</v>
      </c>
      <c r="AH1918" s="2">
        <v>18</v>
      </c>
      <c r="AJ1918" s="2">
        <f t="shared" si="226"/>
        <v>0</v>
      </c>
      <c r="AK1918" s="2">
        <f t="shared" si="227"/>
        <v>7.4</v>
      </c>
      <c r="AL1918" s="5">
        <f t="shared" si="230"/>
        <v>0.41111111111111115</v>
      </c>
    </row>
    <row r="1919" spans="1:38" hidden="1" x14ac:dyDescent="0.2">
      <c r="A1919" s="2">
        <v>2025</v>
      </c>
      <c r="B1919" s="2">
        <v>10</v>
      </c>
      <c r="D1919" s="2" t="s">
        <v>1375</v>
      </c>
      <c r="P1919" s="2" t="s">
        <v>115</v>
      </c>
      <c r="Q1919" s="2" t="s">
        <v>673</v>
      </c>
      <c r="R1919" s="2" t="s">
        <v>674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9"/>
        <v>1</v>
      </c>
      <c r="AF1919" s="2">
        <f t="shared" si="225"/>
        <v>0</v>
      </c>
      <c r="AJ1919" s="2">
        <f t="shared" si="226"/>
        <v>0</v>
      </c>
      <c r="AK1919" s="2">
        <f t="shared" si="227"/>
        <v>12.81</v>
      </c>
      <c r="AL1919" s="5">
        <f t="shared" si="230"/>
        <v>1</v>
      </c>
    </row>
    <row r="1920" spans="1:38" hidden="1" x14ac:dyDescent="0.2">
      <c r="A1920" s="2">
        <v>2025</v>
      </c>
      <c r="B1920" s="2">
        <v>10</v>
      </c>
      <c r="D1920" s="2" t="s">
        <v>1375</v>
      </c>
      <c r="P1920" s="2" t="s">
        <v>115</v>
      </c>
      <c r="Q1920" s="2" t="s">
        <v>980</v>
      </c>
      <c r="R1920" s="2" t="s">
        <v>981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9"/>
        <v>1</v>
      </c>
      <c r="AF1920" s="2">
        <f t="shared" si="225"/>
        <v>0</v>
      </c>
      <c r="AJ1920" s="2">
        <f t="shared" si="226"/>
        <v>0</v>
      </c>
      <c r="AK1920" s="2">
        <f t="shared" si="227"/>
        <v>68.42</v>
      </c>
      <c r="AL1920" s="5">
        <f t="shared" si="230"/>
        <v>1</v>
      </c>
    </row>
    <row r="1921" spans="1:38" hidden="1" x14ac:dyDescent="0.2">
      <c r="A1921" s="2">
        <v>2025</v>
      </c>
      <c r="B1921" s="2">
        <v>10</v>
      </c>
      <c r="D1921" s="2" t="s">
        <v>1894</v>
      </c>
      <c r="P1921" s="2" t="s">
        <v>73</v>
      </c>
      <c r="Q1921" s="2" t="s">
        <v>1895</v>
      </c>
      <c r="R1921" s="2" t="s">
        <v>997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9"/>
        <v>0.44304109589041096</v>
      </c>
      <c r="Z1921" s="2" t="s">
        <v>3231</v>
      </c>
      <c r="AA1921" s="2" t="s">
        <v>76</v>
      </c>
      <c r="AB1921" s="2" t="s">
        <v>77</v>
      </c>
      <c r="AC1921" s="2" t="s">
        <v>78</v>
      </c>
      <c r="AF1921" s="2">
        <f t="shared" si="225"/>
        <v>0</v>
      </c>
      <c r="AJ1921" s="2">
        <f t="shared" si="226"/>
        <v>0</v>
      </c>
      <c r="AK1921" s="2">
        <f t="shared" si="227"/>
        <v>161.71</v>
      </c>
      <c r="AL1921" s="5">
        <f t="shared" si="230"/>
        <v>0.44304109589041096</v>
      </c>
    </row>
    <row r="1922" spans="1:38" hidden="1" x14ac:dyDescent="0.2">
      <c r="A1922" s="2">
        <v>2025</v>
      </c>
      <c r="B1922" s="2">
        <v>10</v>
      </c>
      <c r="D1922" s="2" t="s">
        <v>1894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9"/>
        <v>0</v>
      </c>
      <c r="Z1922" s="2" t="s">
        <v>3231</v>
      </c>
      <c r="AA1922" s="2" t="s">
        <v>97</v>
      </c>
      <c r="AB1922" s="2" t="s">
        <v>77</v>
      </c>
      <c r="AC1922" s="2" t="s">
        <v>94</v>
      </c>
      <c r="AF1922" s="2">
        <f t="shared" si="225"/>
        <v>0</v>
      </c>
      <c r="AJ1922" s="2">
        <f t="shared" si="226"/>
        <v>0</v>
      </c>
      <c r="AK1922" s="2">
        <f t="shared" si="227"/>
        <v>0</v>
      </c>
      <c r="AL1922" s="5">
        <f t="shared" si="230"/>
        <v>0</v>
      </c>
    </row>
    <row r="1923" spans="1:38" hidden="1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1896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9"/>
        <v>0.40798308220988633</v>
      </c>
      <c r="Z1923" s="2" t="s">
        <v>3231</v>
      </c>
      <c r="AA1923" s="2" t="s">
        <v>76</v>
      </c>
      <c r="AB1923" s="2" t="s">
        <v>77</v>
      </c>
      <c r="AC1923" s="2" t="s">
        <v>78</v>
      </c>
      <c r="AF1923" s="2">
        <f t="shared" ref="AF1923:AF1986" si="231">AJ1923</f>
        <v>0</v>
      </c>
      <c r="AG1923" s="2">
        <v>111.98</v>
      </c>
      <c r="AH1923" s="2">
        <v>210</v>
      </c>
      <c r="AJ1923" s="2">
        <f t="shared" ref="AJ1923:AJ1986" si="232">AI1923*T1923</f>
        <v>0</v>
      </c>
      <c r="AK1923" s="2">
        <f t="shared" ref="AK1923:AK1986" si="233">T1923-W1923</f>
        <v>154.34</v>
      </c>
      <c r="AL1923" s="5">
        <f t="shared" si="230"/>
        <v>0.40798308220988633</v>
      </c>
    </row>
    <row r="1924" spans="1:38" hidden="1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1897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9"/>
        <v>0.55119661266568498</v>
      </c>
      <c r="Z1924" s="2" t="s">
        <v>3231</v>
      </c>
      <c r="AA1924" s="2" t="s">
        <v>76</v>
      </c>
      <c r="AB1924" s="2" t="s">
        <v>77</v>
      </c>
      <c r="AC1924" s="2" t="s">
        <v>78</v>
      </c>
      <c r="AF1924" s="2">
        <f t="shared" si="231"/>
        <v>0</v>
      </c>
      <c r="AG1924" s="2">
        <f>110.125+11.77</f>
        <v>121.895</v>
      </c>
      <c r="AJ1924" s="2">
        <f t="shared" si="232"/>
        <v>0</v>
      </c>
      <c r="AK1924" s="2">
        <f t="shared" si="233"/>
        <v>149.70500000000004</v>
      </c>
      <c r="AL1924" s="5">
        <f t="shared" si="230"/>
        <v>0.55119661266568498</v>
      </c>
    </row>
    <row r="1925" spans="1:38" hidden="1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1897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9"/>
        <v>1</v>
      </c>
      <c r="Z1925" s="2" t="s">
        <v>170</v>
      </c>
      <c r="AA1925" s="2" t="s">
        <v>170</v>
      </c>
      <c r="AF1925" s="2">
        <f t="shared" si="231"/>
        <v>0</v>
      </c>
      <c r="AJ1925" s="2">
        <f t="shared" si="232"/>
        <v>0</v>
      </c>
      <c r="AK1925" s="2">
        <f t="shared" si="233"/>
        <v>120</v>
      </c>
      <c r="AL1925" s="5">
        <f t="shared" si="230"/>
        <v>1</v>
      </c>
    </row>
    <row r="1926" spans="1:38" hidden="1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1898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9"/>
        <v>0</v>
      </c>
      <c r="Z1926" s="2" t="s">
        <v>3231</v>
      </c>
      <c r="AA1926" s="2" t="s">
        <v>97</v>
      </c>
      <c r="AB1926" s="2" t="s">
        <v>77</v>
      </c>
      <c r="AC1926" s="2" t="s">
        <v>94</v>
      </c>
      <c r="AF1926" s="2">
        <f t="shared" si="231"/>
        <v>0</v>
      </c>
      <c r="AJ1926" s="2">
        <f t="shared" si="232"/>
        <v>0</v>
      </c>
      <c r="AK1926" s="2">
        <f t="shared" si="233"/>
        <v>0</v>
      </c>
      <c r="AL1926" s="5">
        <f t="shared" si="230"/>
        <v>0</v>
      </c>
    </row>
    <row r="1927" spans="1:38" hidden="1" x14ac:dyDescent="0.2">
      <c r="A1927" s="2">
        <v>2025</v>
      </c>
      <c r="B1927" s="2">
        <v>10</v>
      </c>
      <c r="D1927" s="2" t="s">
        <v>1557</v>
      </c>
      <c r="E1927" s="2" t="s">
        <v>109</v>
      </c>
      <c r="F1927" s="2" t="s">
        <v>718</v>
      </c>
      <c r="G1927" s="2">
        <v>500975914</v>
      </c>
      <c r="H1927" s="2" t="s">
        <v>41</v>
      </c>
      <c r="I1927" s="2" t="s">
        <v>1558</v>
      </c>
      <c r="J1927" s="2" t="s">
        <v>1559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4">17.4*S1927</f>
        <v>348</v>
      </c>
      <c r="X1927" s="5">
        <f t="shared" si="229"/>
        <v>0.13</v>
      </c>
      <c r="Z1927" s="2" t="s">
        <v>3231</v>
      </c>
      <c r="AA1927" s="2" t="s">
        <v>46</v>
      </c>
      <c r="AB1927" s="2" t="s">
        <v>61</v>
      </c>
      <c r="AC1927" s="2" t="s">
        <v>3336</v>
      </c>
      <c r="AF1927" s="2">
        <f t="shared" si="231"/>
        <v>0</v>
      </c>
      <c r="AJ1927" s="2">
        <f t="shared" si="232"/>
        <v>0</v>
      </c>
      <c r="AK1927" s="2">
        <f t="shared" si="233"/>
        <v>52</v>
      </c>
      <c r="AL1927" s="5">
        <f t="shared" si="230"/>
        <v>0.13</v>
      </c>
    </row>
    <row r="1928" spans="1:38" hidden="1" x14ac:dyDescent="0.2">
      <c r="A1928" s="2">
        <v>2025</v>
      </c>
      <c r="B1928" s="2">
        <v>10</v>
      </c>
      <c r="D1928" s="2" t="s">
        <v>1557</v>
      </c>
      <c r="E1928" s="2" t="s">
        <v>109</v>
      </c>
      <c r="F1928" s="2" t="s">
        <v>718</v>
      </c>
      <c r="G1928" s="2">
        <v>500975914</v>
      </c>
      <c r="H1928" s="2" t="s">
        <v>41</v>
      </c>
      <c r="I1928" s="2" t="s">
        <v>1558</v>
      </c>
      <c r="J1928" s="2" t="s">
        <v>1559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4"/>
        <v>348</v>
      </c>
      <c r="X1928" s="5">
        <f t="shared" ref="X1928:X1959" si="235">(T1928-W1928)/T1928</f>
        <v>0.13</v>
      </c>
      <c r="Z1928" s="2" t="s">
        <v>3231</v>
      </c>
      <c r="AA1928" s="2" t="s">
        <v>46</v>
      </c>
      <c r="AB1928" s="2" t="s">
        <v>61</v>
      </c>
      <c r="AC1928" s="2" t="s">
        <v>3336</v>
      </c>
      <c r="AF1928" s="2">
        <f t="shared" si="231"/>
        <v>0</v>
      </c>
      <c r="AJ1928" s="2">
        <f t="shared" si="232"/>
        <v>0</v>
      </c>
      <c r="AK1928" s="2">
        <f t="shared" si="233"/>
        <v>52</v>
      </c>
      <c r="AL1928" s="5">
        <f t="shared" si="230"/>
        <v>0.13</v>
      </c>
    </row>
    <row r="1929" spans="1:38" hidden="1" x14ac:dyDescent="0.2">
      <c r="A1929" s="2">
        <v>2025</v>
      </c>
      <c r="B1929" s="2">
        <v>10</v>
      </c>
      <c r="D1929" s="2" t="s">
        <v>1899</v>
      </c>
      <c r="P1929" s="2" t="s">
        <v>3234</v>
      </c>
      <c r="Q1929" s="2" t="s">
        <v>1900</v>
      </c>
      <c r="R1929" s="2" t="s">
        <v>1901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5"/>
        <v>0.32085821428571432</v>
      </c>
      <c r="Z1929" s="2" t="s">
        <v>105</v>
      </c>
      <c r="AA1929" s="2" t="s">
        <v>265</v>
      </c>
      <c r="AB1929" s="2" t="s">
        <v>1902</v>
      </c>
      <c r="AC1929" s="2" t="s">
        <v>3234</v>
      </c>
      <c r="AF1929" s="2">
        <f t="shared" si="231"/>
        <v>0</v>
      </c>
      <c r="AJ1929" s="2">
        <f t="shared" si="232"/>
        <v>0</v>
      </c>
      <c r="AK1929" s="2">
        <f t="shared" si="233"/>
        <v>898.40300000000002</v>
      </c>
      <c r="AL1929" s="5">
        <f t="shared" si="230"/>
        <v>0.32085821428571432</v>
      </c>
    </row>
    <row r="1930" spans="1:38" hidden="1" x14ac:dyDescent="0.2">
      <c r="A1930" s="2">
        <v>2025</v>
      </c>
      <c r="B1930" s="2">
        <v>10</v>
      </c>
      <c r="D1930" s="2" t="s">
        <v>1899</v>
      </c>
      <c r="P1930" s="2" t="s">
        <v>69</v>
      </c>
      <c r="Q1930" s="2" t="s">
        <v>1903</v>
      </c>
      <c r="R1930" s="2" t="s">
        <v>1904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5"/>
        <v>1</v>
      </c>
      <c r="Z1930" s="2" t="s">
        <v>105</v>
      </c>
      <c r="AC1930" s="2" t="s">
        <v>3235</v>
      </c>
      <c r="AF1930" s="2">
        <f t="shared" si="231"/>
        <v>0</v>
      </c>
      <c r="AJ1930" s="2">
        <f t="shared" si="232"/>
        <v>0</v>
      </c>
      <c r="AK1930" s="2">
        <f t="shared" si="233"/>
        <v>3800</v>
      </c>
      <c r="AL1930" s="5">
        <f t="shared" si="230"/>
        <v>1</v>
      </c>
    </row>
    <row r="1931" spans="1:38" hidden="1" x14ac:dyDescent="0.2">
      <c r="A1931" s="2">
        <v>2025</v>
      </c>
      <c r="B1931" s="2">
        <v>10</v>
      </c>
      <c r="D1931" s="2" t="s">
        <v>1905</v>
      </c>
      <c r="P1931" s="2" t="s">
        <v>115</v>
      </c>
      <c r="Q1931" s="2" t="s">
        <v>1906</v>
      </c>
      <c r="R1931" s="2" t="s">
        <v>1907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5"/>
        <v>1</v>
      </c>
      <c r="AF1931" s="2">
        <f t="shared" si="231"/>
        <v>0</v>
      </c>
      <c r="AJ1931" s="2">
        <f t="shared" si="232"/>
        <v>0</v>
      </c>
      <c r="AK1931" s="2">
        <f t="shared" si="233"/>
        <v>1031.94</v>
      </c>
      <c r="AL1931" s="5">
        <f t="shared" si="230"/>
        <v>1</v>
      </c>
    </row>
    <row r="1932" spans="1:38" hidden="1" x14ac:dyDescent="0.2">
      <c r="A1932" s="2">
        <v>2025</v>
      </c>
      <c r="B1932" s="2">
        <v>10</v>
      </c>
      <c r="D1932" s="2" t="s">
        <v>1905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5"/>
        <v>0.6</v>
      </c>
      <c r="Z1932" s="2" t="s">
        <v>118</v>
      </c>
      <c r="AA1932" s="2" t="s">
        <v>191</v>
      </c>
      <c r="AB1932" s="2" t="s">
        <v>190</v>
      </c>
      <c r="AC1932" s="2" t="s">
        <v>40</v>
      </c>
      <c r="AF1932" s="2">
        <f t="shared" si="231"/>
        <v>0</v>
      </c>
      <c r="AJ1932" s="2">
        <f t="shared" si="232"/>
        <v>0</v>
      </c>
      <c r="AK1932" s="2">
        <f t="shared" si="233"/>
        <v>39</v>
      </c>
      <c r="AL1932" s="5">
        <f t="shared" si="230"/>
        <v>0.6</v>
      </c>
    </row>
    <row r="1933" spans="1:38" hidden="1" x14ac:dyDescent="0.2">
      <c r="A1933" s="2">
        <v>2025</v>
      </c>
      <c r="B1933" s="2">
        <v>10</v>
      </c>
      <c r="D1933" s="2" t="s">
        <v>1905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B1933" s="2" t="s">
        <v>191</v>
      </c>
      <c r="AC1933" s="2" t="s">
        <v>40</v>
      </c>
      <c r="AF1933" s="2">
        <f t="shared" si="231"/>
        <v>0</v>
      </c>
      <c r="AJ1933" s="2">
        <f t="shared" si="232"/>
        <v>0</v>
      </c>
      <c r="AK1933" s="2">
        <f t="shared" si="233"/>
        <v>0</v>
      </c>
      <c r="AL1933" s="5">
        <v>0</v>
      </c>
    </row>
    <row r="1934" spans="1:38" hidden="1" x14ac:dyDescent="0.2">
      <c r="A1934" s="2">
        <v>2025</v>
      </c>
      <c r="B1934" s="2">
        <v>10</v>
      </c>
      <c r="C1934" s="2" t="s">
        <v>3409</v>
      </c>
      <c r="D1934" s="2" t="s">
        <v>3467</v>
      </c>
      <c r="E1934" s="2" t="s">
        <v>109</v>
      </c>
      <c r="F1934" s="2" t="s">
        <v>39</v>
      </c>
      <c r="L1934" s="2" t="s">
        <v>178</v>
      </c>
      <c r="M1934" s="2" t="s">
        <v>41</v>
      </c>
      <c r="P1934" s="2" t="s">
        <v>115</v>
      </c>
      <c r="Q1934" s="16" t="s">
        <v>710</v>
      </c>
      <c r="R1934" s="2" t="s">
        <v>711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si="235"/>
        <v>0.14308230027548208</v>
      </c>
      <c r="Z1934" s="2" t="s">
        <v>105</v>
      </c>
      <c r="AA1934" s="2" t="s">
        <v>579</v>
      </c>
      <c r="AB1934" s="2" t="s">
        <v>702</v>
      </c>
      <c r="AC1934" s="2" t="s">
        <v>115</v>
      </c>
      <c r="AF1934" s="2">
        <f t="shared" si="231"/>
        <v>0</v>
      </c>
      <c r="AJ1934" s="2">
        <f t="shared" si="232"/>
        <v>0</v>
      </c>
      <c r="AK1934" s="2">
        <f t="shared" si="233"/>
        <v>207.75549999999998</v>
      </c>
      <c r="AL1934" s="5">
        <f t="shared" si="230"/>
        <v>0.14308230027548208</v>
      </c>
    </row>
    <row r="1935" spans="1:38" hidden="1" x14ac:dyDescent="0.2">
      <c r="A1935" s="2">
        <v>2025</v>
      </c>
      <c r="B1935" s="2">
        <v>10</v>
      </c>
      <c r="C1935" s="2" t="s">
        <v>3409</v>
      </c>
      <c r="D1935" s="2" t="s">
        <v>3467</v>
      </c>
      <c r="E1935" s="2" t="s">
        <v>109</v>
      </c>
      <c r="F1935" s="2" t="s">
        <v>39</v>
      </c>
      <c r="L1935" s="2" t="s">
        <v>178</v>
      </c>
      <c r="M1935" s="2" t="s">
        <v>41</v>
      </c>
      <c r="P1935" s="2" t="s">
        <v>115</v>
      </c>
      <c r="Q1935" s="2" t="s">
        <v>1908</v>
      </c>
      <c r="R1935" s="2" t="s">
        <v>1909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5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31"/>
        <v>0</v>
      </c>
      <c r="AJ1935" s="2">
        <f t="shared" si="232"/>
        <v>0</v>
      </c>
      <c r="AK1935" s="2">
        <f t="shared" si="233"/>
        <v>2862.0299999999988</v>
      </c>
      <c r="AL1935" s="5">
        <f t="shared" si="230"/>
        <v>0.14408850626793529</v>
      </c>
    </row>
    <row r="1936" spans="1:38" hidden="1" x14ac:dyDescent="0.2">
      <c r="A1936" s="2">
        <v>2025</v>
      </c>
      <c r="B1936" s="2">
        <v>10</v>
      </c>
      <c r="C1936" s="2" t="s">
        <v>3409</v>
      </c>
      <c r="D1936" s="2" t="s">
        <v>3467</v>
      </c>
      <c r="E1936" s="2" t="s">
        <v>109</v>
      </c>
      <c r="F1936" s="2" t="s">
        <v>39</v>
      </c>
      <c r="L1936" s="2" t="s">
        <v>178</v>
      </c>
      <c r="M1936" s="2" t="s">
        <v>41</v>
      </c>
      <c r="P1936" s="2" t="s">
        <v>115</v>
      </c>
      <c r="Q1936" s="2" t="s">
        <v>839</v>
      </c>
      <c r="R1936" s="2" t="s">
        <v>840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5"/>
        <v>1</v>
      </c>
      <c r="Z1936" s="2" t="s">
        <v>105</v>
      </c>
      <c r="AF1936" s="2">
        <f t="shared" si="231"/>
        <v>0</v>
      </c>
      <c r="AJ1936" s="2">
        <f t="shared" si="232"/>
        <v>0</v>
      </c>
      <c r="AK1936" s="2">
        <f t="shared" si="233"/>
        <v>3685</v>
      </c>
      <c r="AL1936" s="5">
        <f t="shared" si="230"/>
        <v>1</v>
      </c>
    </row>
    <row r="1937" spans="1:38" hidden="1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5"/>
        <v>0.46612272727272724</v>
      </c>
      <c r="Z1937" s="2" t="s">
        <v>3231</v>
      </c>
      <c r="AA1937" s="2" t="s">
        <v>76</v>
      </c>
      <c r="AB1937" s="2" t="s">
        <v>77</v>
      </c>
      <c r="AC1937" s="2" t="s">
        <v>78</v>
      </c>
      <c r="AF1937" s="2">
        <f t="shared" si="231"/>
        <v>0</v>
      </c>
      <c r="AG1937" s="2">
        <v>117.453</v>
      </c>
      <c r="AH1937" s="2">
        <v>220</v>
      </c>
      <c r="AJ1937" s="2">
        <f t="shared" si="232"/>
        <v>0</v>
      </c>
      <c r="AK1937" s="2">
        <f t="shared" si="233"/>
        <v>102.547</v>
      </c>
      <c r="AL1937" s="5">
        <f t="shared" si="230"/>
        <v>0.46612272727272724</v>
      </c>
    </row>
    <row r="1938" spans="1:38" hidden="1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5"/>
        <v>0</v>
      </c>
      <c r="Z1938" s="2" t="s">
        <v>3231</v>
      </c>
      <c r="AA1938" s="2" t="s">
        <v>97</v>
      </c>
      <c r="AB1938" s="2" t="s">
        <v>77</v>
      </c>
      <c r="AC1938" s="2" t="s">
        <v>94</v>
      </c>
      <c r="AF1938" s="2">
        <f t="shared" si="231"/>
        <v>0</v>
      </c>
      <c r="AJ1938" s="2">
        <f t="shared" si="232"/>
        <v>0</v>
      </c>
      <c r="AK1938" s="2">
        <f t="shared" si="233"/>
        <v>0</v>
      </c>
      <c r="AL1938" s="5">
        <f t="shared" si="230"/>
        <v>0</v>
      </c>
    </row>
    <row r="1939" spans="1:38" hidden="1" x14ac:dyDescent="0.2">
      <c r="A1939" s="2">
        <v>2025</v>
      </c>
      <c r="B1939" s="2">
        <v>10</v>
      </c>
      <c r="D1939" s="2" t="s">
        <v>845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846</v>
      </c>
      <c r="L1939" s="2" t="s">
        <v>419</v>
      </c>
      <c r="M1939" s="2" t="s">
        <v>41</v>
      </c>
      <c r="O1939" s="2" t="s">
        <v>1910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5"/>
        <v>0.44777500000000003</v>
      </c>
      <c r="Z1939" s="2" t="s">
        <v>3231</v>
      </c>
      <c r="AA1939" s="2" t="s">
        <v>46</v>
      </c>
      <c r="AB1939" s="2" t="s">
        <v>47</v>
      </c>
      <c r="AC1939" s="2" t="s">
        <v>48</v>
      </c>
      <c r="AF1939" s="2">
        <f t="shared" si="231"/>
        <v>0</v>
      </c>
      <c r="AG1939" s="2">
        <v>6.6266999999999996</v>
      </c>
      <c r="AH1939" s="2">
        <v>12</v>
      </c>
      <c r="AJ1939" s="2">
        <f t="shared" si="232"/>
        <v>0</v>
      </c>
      <c r="AK1939" s="2">
        <f t="shared" si="233"/>
        <v>5.3733000000000004</v>
      </c>
      <c r="AL1939" s="5">
        <f t="shared" si="230"/>
        <v>0.44777500000000003</v>
      </c>
    </row>
    <row r="1940" spans="1:38" hidden="1" x14ac:dyDescent="0.2">
      <c r="A1940" s="2">
        <v>2025</v>
      </c>
      <c r="B1940" s="2">
        <v>10</v>
      </c>
      <c r="D1940" s="2" t="s">
        <v>845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846</v>
      </c>
      <c r="L1940" s="2" t="s">
        <v>419</v>
      </c>
      <c r="M1940" s="2" t="s">
        <v>41</v>
      </c>
      <c r="O1940" s="2" t="s">
        <v>1910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5"/>
        <v>0.41111111111111115</v>
      </c>
      <c r="Z1940" s="2" t="s">
        <v>3231</v>
      </c>
      <c r="AA1940" s="2" t="s">
        <v>46</v>
      </c>
      <c r="AB1940" s="2" t="s">
        <v>57</v>
      </c>
      <c r="AC1940" s="2" t="s">
        <v>58</v>
      </c>
      <c r="AF1940" s="2">
        <f t="shared" si="231"/>
        <v>0</v>
      </c>
      <c r="AG1940" s="2">
        <v>10.6</v>
      </c>
      <c r="AH1940" s="2">
        <v>18</v>
      </c>
      <c r="AJ1940" s="2">
        <f t="shared" si="232"/>
        <v>0</v>
      </c>
      <c r="AK1940" s="2">
        <f t="shared" si="233"/>
        <v>14.8</v>
      </c>
      <c r="AL1940" s="5">
        <f t="shared" si="230"/>
        <v>0.41111111111111115</v>
      </c>
    </row>
    <row r="1941" spans="1:38" hidden="1" x14ac:dyDescent="0.2">
      <c r="A1941" s="2">
        <v>2025</v>
      </c>
      <c r="B1941" s="2">
        <v>10</v>
      </c>
      <c r="D1941" s="2" t="s">
        <v>845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846</v>
      </c>
      <c r="L1941" s="2" t="s">
        <v>419</v>
      </c>
      <c r="M1941" s="2" t="s">
        <v>41</v>
      </c>
      <c r="O1941" s="2" t="s">
        <v>1910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5"/>
        <v>1</v>
      </c>
      <c r="Z1941" s="2" t="s">
        <v>170</v>
      </c>
      <c r="AA1941" s="2" t="s">
        <v>170</v>
      </c>
      <c r="AF1941" s="2">
        <f t="shared" si="231"/>
        <v>0</v>
      </c>
      <c r="AJ1941" s="2">
        <f t="shared" si="232"/>
        <v>0</v>
      </c>
      <c r="AK1941" s="2">
        <f t="shared" si="233"/>
        <v>8</v>
      </c>
      <c r="AL1941" s="5">
        <f t="shared" si="230"/>
        <v>1</v>
      </c>
    </row>
    <row r="1942" spans="1:38" hidden="1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M1942" s="2" t="s">
        <v>41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5"/>
        <v>0.21904761904761905</v>
      </c>
      <c r="Z1942" s="2" t="s">
        <v>3231</v>
      </c>
      <c r="AA1942" s="2" t="s">
        <v>46</v>
      </c>
      <c r="AB1942" s="2" t="s">
        <v>61</v>
      </c>
      <c r="AC1942" s="2" t="s">
        <v>58</v>
      </c>
      <c r="AF1942" s="2">
        <f t="shared" si="231"/>
        <v>0</v>
      </c>
      <c r="AG1942" s="2">
        <v>8.1999999999999993</v>
      </c>
      <c r="AH1942" s="2">
        <v>13</v>
      </c>
      <c r="AJ1942" s="2">
        <f t="shared" si="232"/>
        <v>0</v>
      </c>
      <c r="AK1942" s="2">
        <f t="shared" si="233"/>
        <v>46</v>
      </c>
      <c r="AL1942" s="5">
        <f t="shared" si="230"/>
        <v>0.21904761904761905</v>
      </c>
    </row>
    <row r="1943" spans="1:38" hidden="1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M1943" s="2" t="s">
        <v>41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5"/>
        <v>0.31725909090909088</v>
      </c>
      <c r="Z1943" s="2" t="s">
        <v>3231</v>
      </c>
      <c r="AA1943" s="2" t="s">
        <v>46</v>
      </c>
      <c r="AB1943" s="2" t="s">
        <v>68</v>
      </c>
      <c r="AC1943" s="2" t="s">
        <v>58</v>
      </c>
      <c r="AF1943" s="2">
        <f t="shared" si="231"/>
        <v>0</v>
      </c>
      <c r="AG1943" s="2">
        <v>15.020300000000001</v>
      </c>
      <c r="AH1943" s="2">
        <v>27.6</v>
      </c>
      <c r="AJ1943" s="2">
        <f t="shared" si="232"/>
        <v>0</v>
      </c>
      <c r="AK1943" s="2">
        <f t="shared" si="233"/>
        <v>27.918799999999997</v>
      </c>
      <c r="AL1943" s="5">
        <f t="shared" si="230"/>
        <v>0.31725909090909088</v>
      </c>
    </row>
    <row r="1944" spans="1:38" hidden="1" x14ac:dyDescent="0.2">
      <c r="A1944" s="2">
        <v>2025</v>
      </c>
      <c r="B1944" s="2">
        <v>10</v>
      </c>
      <c r="D1944" s="2" t="s">
        <v>1911</v>
      </c>
      <c r="P1944" s="2" t="s">
        <v>115</v>
      </c>
      <c r="Q1944" s="2" t="s">
        <v>835</v>
      </c>
      <c r="R1944" s="2" t="s">
        <v>836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118</v>
      </c>
      <c r="AF1944" s="2">
        <f t="shared" si="231"/>
        <v>0</v>
      </c>
      <c r="AJ1944" s="2">
        <f t="shared" si="232"/>
        <v>0</v>
      </c>
      <c r="AK1944" s="2">
        <f t="shared" si="233"/>
        <v>0</v>
      </c>
      <c r="AL1944" s="5" t="e">
        <f t="shared" si="230"/>
        <v>#DIV/0!</v>
      </c>
    </row>
    <row r="1945" spans="1:38" hidden="1" x14ac:dyDescent="0.2">
      <c r="A1945" s="2">
        <v>2025</v>
      </c>
      <c r="B1945" s="2">
        <v>10</v>
      </c>
      <c r="D1945" s="2" t="s">
        <v>1911</v>
      </c>
      <c r="P1945" s="2" t="s">
        <v>115</v>
      </c>
      <c r="Q1945" s="2" t="s">
        <v>837</v>
      </c>
      <c r="R1945" s="2" t="s">
        <v>838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5"/>
        <v>1</v>
      </c>
      <c r="Z1945" s="2" t="s">
        <v>105</v>
      </c>
      <c r="AF1945" s="2">
        <f t="shared" si="231"/>
        <v>0</v>
      </c>
      <c r="AJ1945" s="2">
        <f t="shared" si="232"/>
        <v>0</v>
      </c>
      <c r="AK1945" s="2">
        <f t="shared" si="233"/>
        <v>13990</v>
      </c>
      <c r="AL1945" s="5">
        <f t="shared" si="230"/>
        <v>1</v>
      </c>
    </row>
    <row r="1946" spans="1:38" hidden="1" x14ac:dyDescent="0.2">
      <c r="A1946" s="2">
        <v>2025</v>
      </c>
      <c r="B1946" s="2">
        <v>10</v>
      </c>
      <c r="D1946" s="2" t="s">
        <v>1911</v>
      </c>
      <c r="P1946" s="2" t="s">
        <v>69</v>
      </c>
      <c r="Q1946" s="2" t="s">
        <v>1912</v>
      </c>
      <c r="R1946" s="2" t="s">
        <v>1913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5"/>
        <v>1</v>
      </c>
      <c r="Z1946" s="2" t="s">
        <v>3231</v>
      </c>
      <c r="AC1946" s="2" t="s">
        <v>3235</v>
      </c>
      <c r="AF1946" s="2">
        <f t="shared" si="231"/>
        <v>0</v>
      </c>
      <c r="AJ1946" s="2">
        <f t="shared" si="232"/>
        <v>0</v>
      </c>
      <c r="AK1946" s="2">
        <f t="shared" si="233"/>
        <v>1450</v>
      </c>
      <c r="AL1946" s="5">
        <f t="shared" si="230"/>
        <v>1</v>
      </c>
    </row>
    <row r="1947" spans="1:38" hidden="1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5"/>
        <v>1</v>
      </c>
      <c r="Z1947" s="2" t="s">
        <v>120</v>
      </c>
      <c r="AA1947" s="2" t="s">
        <v>493</v>
      </c>
      <c r="AF1947" s="2">
        <f t="shared" si="231"/>
        <v>0</v>
      </c>
      <c r="AJ1947" s="2">
        <f t="shared" si="232"/>
        <v>0</v>
      </c>
      <c r="AK1947" s="2">
        <f t="shared" si="233"/>
        <v>664.04</v>
      </c>
      <c r="AL1947" s="5">
        <f t="shared" si="230"/>
        <v>1</v>
      </c>
    </row>
    <row r="1948" spans="1:38" hidden="1" x14ac:dyDescent="0.2">
      <c r="A1948" s="2">
        <v>2025</v>
      </c>
      <c r="B1948" s="2">
        <v>10</v>
      </c>
      <c r="D1948" s="2" t="s">
        <v>1055</v>
      </c>
      <c r="E1948" s="2" t="s">
        <v>184</v>
      </c>
      <c r="F1948" s="2" t="s">
        <v>1056</v>
      </c>
      <c r="G1948" s="2">
        <v>500199523</v>
      </c>
      <c r="H1948" s="2" t="s">
        <v>291</v>
      </c>
      <c r="I1948" s="2" t="s">
        <v>294</v>
      </c>
      <c r="J1948" s="2" t="s">
        <v>1057</v>
      </c>
      <c r="L1948" s="2" t="s">
        <v>294</v>
      </c>
      <c r="M1948" s="2" t="s">
        <v>81</v>
      </c>
      <c r="O1948" s="2" t="s">
        <v>1914</v>
      </c>
      <c r="P1948" s="2" t="s">
        <v>73</v>
      </c>
      <c r="Q1948" s="2" t="s">
        <v>774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5"/>
        <v>0.46950000000000003</v>
      </c>
      <c r="Z1948" s="2" t="s">
        <v>3231</v>
      </c>
      <c r="AA1948" s="2" t="s">
        <v>76</v>
      </c>
      <c r="AB1948" s="2" t="s">
        <v>77</v>
      </c>
      <c r="AC1948" s="2" t="s">
        <v>78</v>
      </c>
      <c r="AF1948" s="2">
        <f t="shared" si="231"/>
        <v>0</v>
      </c>
      <c r="AG1948" s="2">
        <f>98.28+7.82</f>
        <v>106.1</v>
      </c>
      <c r="AJ1948" s="2">
        <f t="shared" si="232"/>
        <v>0</v>
      </c>
      <c r="AK1948" s="2">
        <f t="shared" si="233"/>
        <v>93.9</v>
      </c>
      <c r="AL1948" s="5">
        <f t="shared" si="230"/>
        <v>0.46950000000000003</v>
      </c>
    </row>
    <row r="1949" spans="1:38" hidden="1" x14ac:dyDescent="0.2">
      <c r="A1949" s="2">
        <v>2025</v>
      </c>
      <c r="B1949" s="2">
        <v>10</v>
      </c>
      <c r="D1949" s="2" t="s">
        <v>1055</v>
      </c>
      <c r="E1949" s="2" t="s">
        <v>184</v>
      </c>
      <c r="F1949" s="2" t="s">
        <v>1056</v>
      </c>
      <c r="G1949" s="2">
        <v>500199523</v>
      </c>
      <c r="H1949" s="2" t="s">
        <v>291</v>
      </c>
      <c r="I1949" s="2" t="s">
        <v>294</v>
      </c>
      <c r="J1949" s="2" t="s">
        <v>1057</v>
      </c>
      <c r="L1949" s="2" t="s">
        <v>294</v>
      </c>
      <c r="M1949" s="2" t="s">
        <v>81</v>
      </c>
      <c r="O1949" s="2" t="s">
        <v>1915</v>
      </c>
      <c r="P1949" s="2" t="s">
        <v>73</v>
      </c>
      <c r="Q1949" s="2" t="s">
        <v>1451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5"/>
        <v>0.46762608695652175</v>
      </c>
      <c r="Z1949" s="2" t="s">
        <v>3231</v>
      </c>
      <c r="AA1949" s="2" t="s">
        <v>76</v>
      </c>
      <c r="AB1949" s="2" t="s">
        <v>77</v>
      </c>
      <c r="AC1949" s="2" t="s">
        <v>78</v>
      </c>
      <c r="AF1949" s="2">
        <f t="shared" si="231"/>
        <v>0</v>
      </c>
      <c r="AG1949" s="2">
        <v>122.446</v>
      </c>
      <c r="AH1949" s="2">
        <v>230</v>
      </c>
      <c r="AJ1949" s="2">
        <f t="shared" si="232"/>
        <v>0</v>
      </c>
      <c r="AK1949" s="2">
        <f t="shared" si="233"/>
        <v>107.554</v>
      </c>
      <c r="AL1949" s="5">
        <f t="shared" si="230"/>
        <v>0.46762608695652175</v>
      </c>
    </row>
    <row r="1950" spans="1:38" hidden="1" x14ac:dyDescent="0.2">
      <c r="A1950" s="2">
        <v>2025</v>
      </c>
      <c r="B1950" s="2">
        <v>10</v>
      </c>
      <c r="D1950" s="2" t="s">
        <v>1055</v>
      </c>
      <c r="E1950" s="2" t="s">
        <v>184</v>
      </c>
      <c r="F1950" s="2" t="s">
        <v>1056</v>
      </c>
      <c r="G1950" s="2">
        <v>500199523</v>
      </c>
      <c r="H1950" s="2" t="s">
        <v>291</v>
      </c>
      <c r="I1950" s="2" t="s">
        <v>294</v>
      </c>
      <c r="J1950" s="2" t="s">
        <v>1057</v>
      </c>
      <c r="L1950" s="2" t="s">
        <v>294</v>
      </c>
      <c r="M1950" s="2" t="s">
        <v>81</v>
      </c>
      <c r="O1950" s="2" t="s">
        <v>1915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5"/>
        <v>0.23333333333333334</v>
      </c>
      <c r="Z1950" s="2" t="s">
        <v>170</v>
      </c>
      <c r="AA1950" s="2" t="s">
        <v>170</v>
      </c>
      <c r="AF1950" s="2">
        <f t="shared" si="231"/>
        <v>0</v>
      </c>
      <c r="AJ1950" s="2">
        <f t="shared" si="232"/>
        <v>0</v>
      </c>
      <c r="AK1950" s="2">
        <f t="shared" si="233"/>
        <v>7</v>
      </c>
      <c r="AL1950" s="5">
        <f t="shared" si="230"/>
        <v>0.23333333333333334</v>
      </c>
    </row>
    <row r="1951" spans="1:38" hidden="1" x14ac:dyDescent="0.2">
      <c r="A1951" s="2">
        <v>2025</v>
      </c>
      <c r="B1951" s="2">
        <v>10</v>
      </c>
      <c r="D1951" s="2" t="s">
        <v>1055</v>
      </c>
      <c r="E1951" s="2" t="s">
        <v>184</v>
      </c>
      <c r="F1951" s="2" t="s">
        <v>1056</v>
      </c>
      <c r="G1951" s="2">
        <v>500199523</v>
      </c>
      <c r="H1951" s="2" t="s">
        <v>291</v>
      </c>
      <c r="I1951" s="2" t="s">
        <v>294</v>
      </c>
      <c r="J1951" s="2" t="s">
        <v>1057</v>
      </c>
      <c r="L1951" s="2" t="s">
        <v>294</v>
      </c>
      <c r="M1951" s="2" t="s">
        <v>81</v>
      </c>
      <c r="O1951" s="2" t="s">
        <v>1916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5"/>
        <v>0</v>
      </c>
      <c r="Z1951" s="2" t="s">
        <v>3231</v>
      </c>
      <c r="AA1951" s="2" t="s">
        <v>97</v>
      </c>
      <c r="AB1951" s="2" t="s">
        <v>77</v>
      </c>
      <c r="AC1951" s="2" t="s">
        <v>94</v>
      </c>
      <c r="AF1951" s="2">
        <f t="shared" si="231"/>
        <v>0</v>
      </c>
      <c r="AJ1951" s="2">
        <f t="shared" si="232"/>
        <v>0</v>
      </c>
      <c r="AK1951" s="2">
        <f t="shared" si="233"/>
        <v>0</v>
      </c>
      <c r="AL1951" s="5">
        <f t="shared" si="230"/>
        <v>0</v>
      </c>
    </row>
    <row r="1952" spans="1:38" hidden="1" x14ac:dyDescent="0.2">
      <c r="A1952" s="2">
        <v>2025</v>
      </c>
      <c r="B1952" s="2">
        <v>10</v>
      </c>
      <c r="D1952" s="2" t="s">
        <v>1067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5"/>
        <v>0.31725909090909088</v>
      </c>
      <c r="Z1952" s="2" t="s">
        <v>3231</v>
      </c>
      <c r="AA1952" s="2" t="s">
        <v>46</v>
      </c>
      <c r="AB1952" s="2" t="s">
        <v>68</v>
      </c>
      <c r="AC1952" s="2" t="s">
        <v>58</v>
      </c>
      <c r="AF1952" s="2">
        <f t="shared" si="231"/>
        <v>0</v>
      </c>
      <c r="AG1952" s="2">
        <v>15.020300000000001</v>
      </c>
      <c r="AH1952" s="2">
        <v>27.6</v>
      </c>
      <c r="AJ1952" s="2">
        <f t="shared" si="232"/>
        <v>0</v>
      </c>
      <c r="AK1952" s="2">
        <f t="shared" si="233"/>
        <v>13.959399999999999</v>
      </c>
      <c r="AL1952" s="5">
        <f t="shared" si="230"/>
        <v>0.31725909090909088</v>
      </c>
    </row>
    <row r="1953" spans="1:38" hidden="1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3138</v>
      </c>
      <c r="L1953" s="2" t="s">
        <v>178</v>
      </c>
      <c r="M1953" s="2" t="s">
        <v>41</v>
      </c>
      <c r="O1953" s="2" t="s">
        <v>3144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5"/>
        <v>0.44777500000000003</v>
      </c>
      <c r="Z1953" s="2" t="s">
        <v>3231</v>
      </c>
      <c r="AA1953" s="2" t="s">
        <v>46</v>
      </c>
      <c r="AB1953" s="2" t="s">
        <v>47</v>
      </c>
      <c r="AC1953" s="2" t="s">
        <v>48</v>
      </c>
      <c r="AF1953" s="2">
        <f t="shared" si="231"/>
        <v>0</v>
      </c>
      <c r="AG1953" s="2">
        <v>6.6266999999999996</v>
      </c>
      <c r="AH1953" s="2">
        <v>12</v>
      </c>
      <c r="AJ1953" s="2">
        <f t="shared" si="232"/>
        <v>0</v>
      </c>
      <c r="AK1953" s="2">
        <f t="shared" si="233"/>
        <v>5.3733000000000004</v>
      </c>
      <c r="AL1953" s="5">
        <f t="shared" si="230"/>
        <v>0.44777500000000003</v>
      </c>
    </row>
    <row r="1954" spans="1:38" hidden="1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3138</v>
      </c>
      <c r="L1954" s="2" t="s">
        <v>178</v>
      </c>
      <c r="M1954" s="2" t="s">
        <v>41</v>
      </c>
      <c r="O1954" s="2" t="s">
        <v>3144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5"/>
        <v>0.44819791666666664</v>
      </c>
      <c r="Z1954" s="2" t="s">
        <v>3231</v>
      </c>
      <c r="AA1954" s="2" t="s">
        <v>46</v>
      </c>
      <c r="AB1954" s="2" t="s">
        <v>47</v>
      </c>
      <c r="AC1954" s="2" t="s">
        <v>48</v>
      </c>
      <c r="AF1954" s="2">
        <f t="shared" si="231"/>
        <v>0</v>
      </c>
      <c r="AG1954" s="2">
        <v>5.2972999999999999</v>
      </c>
      <c r="AH1954" s="2">
        <v>10.8</v>
      </c>
      <c r="AJ1954" s="2">
        <f t="shared" si="232"/>
        <v>0</v>
      </c>
      <c r="AK1954" s="2">
        <f t="shared" si="233"/>
        <v>8.6053999999999995</v>
      </c>
      <c r="AL1954" s="5">
        <f t="shared" si="230"/>
        <v>0.44819791666666664</v>
      </c>
    </row>
    <row r="1955" spans="1:38" hidden="1" x14ac:dyDescent="0.2">
      <c r="A1955" s="2">
        <v>2025</v>
      </c>
      <c r="B1955" s="2">
        <v>10</v>
      </c>
      <c r="D1955" s="2" t="s">
        <v>1917</v>
      </c>
      <c r="P1955" s="2" t="s">
        <v>115</v>
      </c>
      <c r="Q1955" s="16" t="s">
        <v>710</v>
      </c>
      <c r="R1955" s="2" t="s">
        <v>711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35"/>
        <v>0.33462860962566843</v>
      </c>
      <c r="Z1955" s="2" t="s">
        <v>105</v>
      </c>
      <c r="AA1955" s="2" t="s">
        <v>579</v>
      </c>
      <c r="AB1955" s="2" t="s">
        <v>702</v>
      </c>
      <c r="AC1955" s="2" t="s">
        <v>115</v>
      </c>
      <c r="AF1955" s="2">
        <f t="shared" si="231"/>
        <v>0</v>
      </c>
      <c r="AJ1955" s="2">
        <f t="shared" si="232"/>
        <v>0</v>
      </c>
      <c r="AK1955" s="2">
        <f t="shared" si="233"/>
        <v>625.75549999999998</v>
      </c>
      <c r="AL1955" s="5">
        <f t="shared" si="230"/>
        <v>0.33462860962566843</v>
      </c>
    </row>
    <row r="1956" spans="1:38" hidden="1" x14ac:dyDescent="0.2">
      <c r="A1956" s="2">
        <v>2025</v>
      </c>
      <c r="B1956" s="2">
        <v>10</v>
      </c>
      <c r="D1956" s="2" t="s">
        <v>1918</v>
      </c>
      <c r="P1956" s="2" t="s">
        <v>115</v>
      </c>
      <c r="Q1956" s="2" t="s">
        <v>1919</v>
      </c>
      <c r="R1956" s="2" t="s">
        <v>1920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5"/>
        <v>1</v>
      </c>
      <c r="Z1956" s="2" t="s">
        <v>118</v>
      </c>
      <c r="AF1956" s="2">
        <f t="shared" si="231"/>
        <v>0</v>
      </c>
      <c r="AJ1956" s="2">
        <f t="shared" si="232"/>
        <v>0</v>
      </c>
      <c r="AK1956" s="2">
        <f t="shared" si="233"/>
        <v>523.41999999999996</v>
      </c>
      <c r="AL1956" s="5">
        <f t="shared" si="230"/>
        <v>1</v>
      </c>
    </row>
    <row r="1957" spans="1:38" hidden="1" x14ac:dyDescent="0.2">
      <c r="A1957" s="2">
        <v>2025</v>
      </c>
      <c r="B1957" s="2">
        <v>10</v>
      </c>
      <c r="D1957" s="2" t="s">
        <v>1597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1598</v>
      </c>
      <c r="J1957" s="2" t="s">
        <v>1599</v>
      </c>
      <c r="L1957" s="2" t="s">
        <v>202</v>
      </c>
      <c r="M1957" s="2" t="s">
        <v>41</v>
      </c>
      <c r="O1957" s="2" t="s">
        <v>1921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6">17.4*S1957</f>
        <v>208.79999999999998</v>
      </c>
      <c r="X1957" s="5">
        <f t="shared" si="235"/>
        <v>0.13000000000000006</v>
      </c>
      <c r="Z1957" s="2" t="s">
        <v>3231</v>
      </c>
      <c r="AA1957" s="2" t="s">
        <v>46</v>
      </c>
      <c r="AB1957" s="2" t="s">
        <v>61</v>
      </c>
      <c r="AC1957" s="2" t="s">
        <v>3336</v>
      </c>
      <c r="AF1957" s="2">
        <f t="shared" si="231"/>
        <v>0</v>
      </c>
      <c r="AJ1957" s="2">
        <f t="shared" si="232"/>
        <v>0</v>
      </c>
      <c r="AK1957" s="2">
        <f t="shared" si="233"/>
        <v>31.200000000000017</v>
      </c>
      <c r="AL1957" s="5">
        <f t="shared" si="230"/>
        <v>0.13000000000000006</v>
      </c>
    </row>
    <row r="1958" spans="1:38" hidden="1" x14ac:dyDescent="0.2">
      <c r="A1958" s="2">
        <v>2025</v>
      </c>
      <c r="B1958" s="2">
        <v>10</v>
      </c>
      <c r="D1958" s="2" t="s">
        <v>1597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1598</v>
      </c>
      <c r="J1958" s="2" t="s">
        <v>1599</v>
      </c>
      <c r="L1958" s="2" t="s">
        <v>202</v>
      </c>
      <c r="M1958" s="2" t="s">
        <v>41</v>
      </c>
      <c r="O1958" s="2" t="s">
        <v>1921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6"/>
        <v>139.19999999999999</v>
      </c>
      <c r="X1958" s="5">
        <f t="shared" si="235"/>
        <v>0.13000000000000006</v>
      </c>
      <c r="Z1958" s="2" t="s">
        <v>3231</v>
      </c>
      <c r="AA1958" s="2" t="s">
        <v>46</v>
      </c>
      <c r="AB1958" s="2" t="s">
        <v>61</v>
      </c>
      <c r="AC1958" s="2" t="s">
        <v>3336</v>
      </c>
      <c r="AF1958" s="2">
        <f t="shared" si="231"/>
        <v>0</v>
      </c>
      <c r="AJ1958" s="2">
        <f t="shared" si="232"/>
        <v>0</v>
      </c>
      <c r="AK1958" s="2">
        <f t="shared" si="233"/>
        <v>20.800000000000011</v>
      </c>
      <c r="AL1958" s="5">
        <f t="shared" si="230"/>
        <v>0.13000000000000006</v>
      </c>
    </row>
    <row r="1959" spans="1:38" hidden="1" x14ac:dyDescent="0.2">
      <c r="A1959" s="2">
        <v>2025</v>
      </c>
      <c r="B1959" s="2">
        <v>10</v>
      </c>
      <c r="D1959" s="2" t="s">
        <v>869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870</v>
      </c>
      <c r="J1959" s="2" t="s">
        <v>871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5"/>
        <v>0.21904761904761905</v>
      </c>
      <c r="Z1959" s="2" t="s">
        <v>3231</v>
      </c>
      <c r="AA1959" s="2" t="s">
        <v>46</v>
      </c>
      <c r="AB1959" s="2" t="s">
        <v>61</v>
      </c>
      <c r="AC1959" s="2" t="s">
        <v>58</v>
      </c>
      <c r="AF1959" s="2">
        <f t="shared" si="231"/>
        <v>0</v>
      </c>
      <c r="AG1959" s="2">
        <v>8.1999999999999993</v>
      </c>
      <c r="AH1959" s="2">
        <v>13</v>
      </c>
      <c r="AJ1959" s="2">
        <f t="shared" si="232"/>
        <v>0</v>
      </c>
      <c r="AK1959" s="2">
        <f t="shared" si="233"/>
        <v>23</v>
      </c>
      <c r="AL1959" s="5">
        <f t="shared" si="230"/>
        <v>0.21904761904761905</v>
      </c>
    </row>
    <row r="1960" spans="1:38" hidden="1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833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7">(T1960-W1960)/T1960</f>
        <v>0.45135528470074587</v>
      </c>
      <c r="Z1960" s="2" t="s">
        <v>3231</v>
      </c>
      <c r="AA1960" s="2" t="s">
        <v>76</v>
      </c>
      <c r="AB1960" s="2" t="s">
        <v>77</v>
      </c>
      <c r="AC1960" s="2" t="s">
        <v>78</v>
      </c>
      <c r="AF1960" s="2">
        <f t="shared" si="231"/>
        <v>0</v>
      </c>
      <c r="AG1960" s="2">
        <v>120.636</v>
      </c>
      <c r="AH1960" s="2">
        <v>220</v>
      </c>
      <c r="AJ1960" s="2">
        <f t="shared" si="232"/>
        <v>0</v>
      </c>
      <c r="AK1960" s="2">
        <f t="shared" si="233"/>
        <v>99.244</v>
      </c>
      <c r="AL1960" s="5">
        <f t="shared" si="230"/>
        <v>0.45135528470074587</v>
      </c>
    </row>
    <row r="1961" spans="1:38" hidden="1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31"/>
        <v>0</v>
      </c>
      <c r="AJ1961" s="2">
        <f t="shared" si="232"/>
        <v>0</v>
      </c>
    </row>
    <row r="1962" spans="1:38" hidden="1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7"/>
        <v>0</v>
      </c>
      <c r="Z1962" s="2" t="s">
        <v>3231</v>
      </c>
      <c r="AA1962" s="2" t="s">
        <v>97</v>
      </c>
      <c r="AB1962" s="2" t="s">
        <v>77</v>
      </c>
      <c r="AC1962" s="2" t="s">
        <v>94</v>
      </c>
      <c r="AF1962" s="2">
        <f t="shared" si="231"/>
        <v>0</v>
      </c>
      <c r="AJ1962" s="2">
        <f t="shared" si="232"/>
        <v>0</v>
      </c>
      <c r="AK1962" s="2">
        <f t="shared" si="233"/>
        <v>0</v>
      </c>
      <c r="AL1962" s="5">
        <f t="shared" si="230"/>
        <v>0</v>
      </c>
    </row>
    <row r="1963" spans="1:38" hidden="1" x14ac:dyDescent="0.2">
      <c r="A1963" s="2">
        <v>2025</v>
      </c>
      <c r="B1963" s="2">
        <v>10</v>
      </c>
      <c r="D1963" s="2" t="s">
        <v>1420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2415</v>
      </c>
      <c r="J1963" s="2" t="s">
        <v>2416</v>
      </c>
      <c r="L1963" s="2" t="s">
        <v>202</v>
      </c>
      <c r="M1963" s="2" t="s">
        <v>81</v>
      </c>
      <c r="P1963" s="2" t="s">
        <v>1040</v>
      </c>
      <c r="Q1963" s="2" t="s">
        <v>1922</v>
      </c>
      <c r="R1963" s="2" t="s">
        <v>1923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7"/>
        <v>0.37140045726854398</v>
      </c>
      <c r="Z1963" s="2" t="s">
        <v>3231</v>
      </c>
      <c r="AA1963" s="2" t="s">
        <v>1043</v>
      </c>
      <c r="AB1963" s="2" t="s">
        <v>1320</v>
      </c>
      <c r="AC1963" s="2" t="s">
        <v>1040</v>
      </c>
      <c r="AF1963" s="2">
        <f t="shared" si="231"/>
        <v>0</v>
      </c>
      <c r="AJ1963" s="2">
        <f t="shared" si="232"/>
        <v>0</v>
      </c>
      <c r="AK1963" s="2">
        <f t="shared" si="233"/>
        <v>256.65999999999997</v>
      </c>
      <c r="AL1963" s="5">
        <f t="shared" si="230"/>
        <v>0.37140045726854398</v>
      </c>
    </row>
    <row r="1964" spans="1:38" hidden="1" x14ac:dyDescent="0.2">
      <c r="A1964" s="2">
        <v>2025</v>
      </c>
      <c r="B1964" s="2">
        <v>10</v>
      </c>
      <c r="D1964" s="2" t="s">
        <v>1420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2415</v>
      </c>
      <c r="J1964" s="2" t="s">
        <v>2416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7"/>
        <v>0.08</v>
      </c>
      <c r="Z1964" s="2" t="s">
        <v>170</v>
      </c>
      <c r="AA1964" s="2" t="s">
        <v>170</v>
      </c>
      <c r="AF1964" s="2">
        <f t="shared" si="231"/>
        <v>0</v>
      </c>
      <c r="AJ1964" s="2">
        <f t="shared" si="232"/>
        <v>0</v>
      </c>
      <c r="AK1964" s="2">
        <f t="shared" si="233"/>
        <v>2</v>
      </c>
      <c r="AL1964" s="5">
        <f t="shared" si="230"/>
        <v>0.08</v>
      </c>
    </row>
    <row r="1965" spans="1:38" hidden="1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1908</v>
      </c>
      <c r="R1965" s="2" t="s">
        <v>1909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7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31"/>
        <v>0</v>
      </c>
      <c r="AJ1965" s="2">
        <f t="shared" si="232"/>
        <v>0</v>
      </c>
      <c r="AK1965" s="2">
        <f t="shared" si="233"/>
        <v>2649.0299999999988</v>
      </c>
      <c r="AL1965" s="5">
        <f t="shared" si="230"/>
        <v>0.13481068702290069</v>
      </c>
    </row>
    <row r="1966" spans="1:38" hidden="1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1924</v>
      </c>
      <c r="R1966" s="2" t="s">
        <v>1925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7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31"/>
        <v>0</v>
      </c>
      <c r="AG1966" s="2">
        <f>19501.14+492.45</f>
        <v>19993.59</v>
      </c>
      <c r="AJ1966" s="2">
        <f t="shared" si="232"/>
        <v>0</v>
      </c>
      <c r="AK1966" s="2">
        <f t="shared" si="233"/>
        <v>1006.8199999999997</v>
      </c>
      <c r="AL1966" s="5">
        <f t="shared" si="230"/>
        <v>4.7942873496279348E-2</v>
      </c>
    </row>
    <row r="1967" spans="1:38" hidden="1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3228</v>
      </c>
      <c r="P1967" s="2" t="s">
        <v>283</v>
      </c>
      <c r="Q1967" s="2" t="s">
        <v>1393</v>
      </c>
      <c r="R1967" s="2" t="s">
        <v>1394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7"/>
        <v>0.20368147258903563</v>
      </c>
      <c r="Z1967" s="2" t="s">
        <v>3231</v>
      </c>
      <c r="AA1967" s="2" t="s">
        <v>72</v>
      </c>
      <c r="AB1967" s="2" t="s">
        <v>1604</v>
      </c>
      <c r="AC1967" s="2" t="s">
        <v>1604</v>
      </c>
      <c r="AF1967" s="2">
        <f t="shared" si="231"/>
        <v>0</v>
      </c>
      <c r="AG1967" s="2">
        <v>1990</v>
      </c>
      <c r="AJ1967" s="2">
        <f t="shared" si="232"/>
        <v>0</v>
      </c>
      <c r="AK1967" s="2">
        <f t="shared" si="233"/>
        <v>509</v>
      </c>
      <c r="AL1967" s="5">
        <f t="shared" si="230"/>
        <v>0.20368147258903563</v>
      </c>
    </row>
    <row r="1968" spans="1:38" hidden="1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3229</v>
      </c>
      <c r="P1968" s="2" t="s">
        <v>283</v>
      </c>
      <c r="Q1968" s="2" t="s">
        <v>1446</v>
      </c>
      <c r="R1968" s="2" t="s">
        <v>1447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7"/>
        <v>0.28060000000000002</v>
      </c>
      <c r="Z1968" s="2" t="s">
        <v>3231</v>
      </c>
      <c r="AA1968" s="2" t="s">
        <v>72</v>
      </c>
      <c r="AB1968" s="2" t="s">
        <v>1604</v>
      </c>
      <c r="AC1968" s="2" t="s">
        <v>1604</v>
      </c>
      <c r="AF1968" s="2">
        <f t="shared" si="231"/>
        <v>0</v>
      </c>
      <c r="AG1968" s="2">
        <v>71.94</v>
      </c>
      <c r="AJ1968" s="2">
        <f t="shared" si="232"/>
        <v>0</v>
      </c>
      <c r="AK1968" s="2">
        <f t="shared" si="233"/>
        <v>28.060000000000002</v>
      </c>
      <c r="AL1968" s="5">
        <f t="shared" si="230"/>
        <v>0.28060000000000002</v>
      </c>
    </row>
    <row r="1969" spans="1:38" hidden="1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1040</v>
      </c>
      <c r="Q1969" s="2" t="s">
        <v>1926</v>
      </c>
      <c r="R1969" s="2" t="s">
        <v>1927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7"/>
        <v>0.21153308672420881</v>
      </c>
      <c r="Z1969" s="2" t="s">
        <v>3231</v>
      </c>
      <c r="AA1969" s="2" t="s">
        <v>1043</v>
      </c>
      <c r="AB1969" s="2" t="s">
        <v>1272</v>
      </c>
      <c r="AC1969" s="2" t="s">
        <v>1040</v>
      </c>
      <c r="AF1969" s="2">
        <f t="shared" si="231"/>
        <v>0</v>
      </c>
      <c r="AJ1969" s="2">
        <f t="shared" si="232"/>
        <v>0</v>
      </c>
      <c r="AK1969" s="2">
        <f t="shared" si="233"/>
        <v>102.93200000000002</v>
      </c>
      <c r="AL1969" s="5">
        <f t="shared" si="230"/>
        <v>0.21153308672420881</v>
      </c>
    </row>
    <row r="1970" spans="1:38" hidden="1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1040</v>
      </c>
      <c r="Q1970" s="2" t="s">
        <v>1928</v>
      </c>
      <c r="R1970" s="2" t="s">
        <v>1929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7"/>
        <v>0.22005754212905884</v>
      </c>
      <c r="Z1970" s="2" t="s">
        <v>3231</v>
      </c>
      <c r="AA1970" s="2" t="s">
        <v>1043</v>
      </c>
      <c r="AB1970" s="2" t="s">
        <v>1272</v>
      </c>
      <c r="AC1970" s="2" t="s">
        <v>1040</v>
      </c>
      <c r="AF1970" s="2">
        <f t="shared" si="231"/>
        <v>0</v>
      </c>
      <c r="AJ1970" s="2">
        <f t="shared" si="232"/>
        <v>0</v>
      </c>
      <c r="AK1970" s="2">
        <f t="shared" si="233"/>
        <v>107.08000000000004</v>
      </c>
      <c r="AL1970" s="5">
        <f t="shared" si="230"/>
        <v>0.22005754212905884</v>
      </c>
    </row>
    <row r="1971" spans="1:38" hidden="1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1040</v>
      </c>
      <c r="Q1971" s="2" t="s">
        <v>1930</v>
      </c>
      <c r="R1971" s="2" t="s">
        <v>1931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7"/>
        <v>0.16134797687861271</v>
      </c>
      <c r="Z1971" s="2" t="s">
        <v>3231</v>
      </c>
      <c r="AA1971" s="2" t="s">
        <v>1043</v>
      </c>
      <c r="AB1971" s="2" t="s">
        <v>1320</v>
      </c>
      <c r="AC1971" s="2" t="s">
        <v>1040</v>
      </c>
      <c r="AF1971" s="2">
        <f t="shared" si="231"/>
        <v>0</v>
      </c>
      <c r="AJ1971" s="2">
        <f t="shared" si="232"/>
        <v>0</v>
      </c>
      <c r="AK1971" s="2">
        <f t="shared" si="233"/>
        <v>83.739599999999996</v>
      </c>
      <c r="AL1971" s="5">
        <f t="shared" ref="AL1971:AL2034" si="238">(T1971-W1971)/T1971</f>
        <v>0.16134797687861271</v>
      </c>
    </row>
    <row r="1972" spans="1:38" hidden="1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1040</v>
      </c>
      <c r="Q1972" s="2" t="s">
        <v>1932</v>
      </c>
      <c r="R1972" s="2" t="s">
        <v>1933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7"/>
        <v>0.10782273603082848</v>
      </c>
      <c r="Z1972" s="2" t="s">
        <v>3231</v>
      </c>
      <c r="AA1972" s="2" t="s">
        <v>1043</v>
      </c>
      <c r="AB1972" s="2" t="s">
        <v>1320</v>
      </c>
      <c r="AC1972" s="2" t="s">
        <v>1040</v>
      </c>
      <c r="AF1972" s="2">
        <f t="shared" si="231"/>
        <v>0</v>
      </c>
      <c r="AJ1972" s="2">
        <f t="shared" si="232"/>
        <v>0</v>
      </c>
      <c r="AK1972" s="2">
        <f t="shared" si="233"/>
        <v>55.95999999999998</v>
      </c>
      <c r="AL1972" s="5">
        <f t="shared" si="238"/>
        <v>0.10782273603082848</v>
      </c>
    </row>
    <row r="1973" spans="1:38" hidden="1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1040</v>
      </c>
      <c r="Q1973" s="2" t="s">
        <v>1934</v>
      </c>
      <c r="R1973" s="2" t="s">
        <v>1935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7"/>
        <v>0.10782273603082848</v>
      </c>
      <c r="Z1973" s="2" t="s">
        <v>3231</v>
      </c>
      <c r="AA1973" s="2" t="s">
        <v>1043</v>
      </c>
      <c r="AB1973" s="2" t="s">
        <v>1320</v>
      </c>
      <c r="AC1973" s="2" t="s">
        <v>1040</v>
      </c>
      <c r="AF1973" s="2">
        <f t="shared" si="231"/>
        <v>0</v>
      </c>
      <c r="AJ1973" s="2">
        <f t="shared" si="232"/>
        <v>0</v>
      </c>
      <c r="AK1973" s="2">
        <f t="shared" si="233"/>
        <v>55.95999999999998</v>
      </c>
      <c r="AL1973" s="5">
        <f t="shared" si="238"/>
        <v>0.10782273603082848</v>
      </c>
    </row>
    <row r="1974" spans="1:38" hidden="1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1040</v>
      </c>
      <c r="Q1974" s="2" t="s">
        <v>1936</v>
      </c>
      <c r="R1974" s="2" t="s">
        <v>1937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7"/>
        <v>0.10782273603082848</v>
      </c>
      <c r="Z1974" s="2" t="s">
        <v>3231</v>
      </c>
      <c r="AA1974" s="2" t="s">
        <v>1043</v>
      </c>
      <c r="AB1974" s="2" t="s">
        <v>1320</v>
      </c>
      <c r="AC1974" s="2" t="s">
        <v>1040</v>
      </c>
      <c r="AF1974" s="2">
        <f t="shared" si="231"/>
        <v>0</v>
      </c>
      <c r="AJ1974" s="2">
        <f t="shared" si="232"/>
        <v>0</v>
      </c>
      <c r="AK1974" s="2">
        <f t="shared" si="233"/>
        <v>55.95999999999998</v>
      </c>
      <c r="AL1974" s="5">
        <f t="shared" si="238"/>
        <v>0.10782273603082848</v>
      </c>
    </row>
    <row r="1975" spans="1:38" hidden="1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7"/>
        <v>1</v>
      </c>
      <c r="Z1975" s="2" t="s">
        <v>170</v>
      </c>
      <c r="AA1975" s="2" t="s">
        <v>170</v>
      </c>
      <c r="AF1975" s="2">
        <f t="shared" si="231"/>
        <v>0</v>
      </c>
      <c r="AJ1975" s="2">
        <f t="shared" si="232"/>
        <v>0</v>
      </c>
      <c r="AK1975" s="2">
        <f t="shared" si="233"/>
        <v>115</v>
      </c>
      <c r="AL1975" s="5">
        <f t="shared" si="238"/>
        <v>1</v>
      </c>
    </row>
    <row r="1976" spans="1:38" hidden="1" x14ac:dyDescent="0.2">
      <c r="A1976" s="2">
        <v>2025</v>
      </c>
      <c r="B1976" s="2">
        <v>10</v>
      </c>
      <c r="D1976" s="2" t="s">
        <v>1090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1091</v>
      </c>
      <c r="J1976" s="2" t="s">
        <v>1092</v>
      </c>
      <c r="K1976" s="2">
        <v>917523997</v>
      </c>
      <c r="L1976" s="2" t="s">
        <v>113</v>
      </c>
      <c r="M1976" s="2" t="s">
        <v>40</v>
      </c>
      <c r="O1976" s="2" t="s">
        <v>1938</v>
      </c>
      <c r="P1976" s="2" t="s">
        <v>115</v>
      </c>
      <c r="Q1976" s="2" t="s">
        <v>1385</v>
      </c>
      <c r="R1976" s="2" t="s">
        <v>1386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7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31"/>
        <v>0</v>
      </c>
      <c r="AJ1976" s="2">
        <f t="shared" si="232"/>
        <v>0</v>
      </c>
      <c r="AK1976" s="2">
        <f t="shared" si="233"/>
        <v>152.41</v>
      </c>
      <c r="AL1976" s="5">
        <f t="shared" si="238"/>
        <v>1</v>
      </c>
    </row>
    <row r="1977" spans="1:38" hidden="1" x14ac:dyDescent="0.2">
      <c r="A1977" s="2">
        <v>2025</v>
      </c>
      <c r="B1977" s="2">
        <v>10</v>
      </c>
      <c r="D1977" s="2" t="s">
        <v>1939</v>
      </c>
      <c r="E1977" s="2" t="s">
        <v>109</v>
      </c>
      <c r="F1977" s="2" t="s">
        <v>718</v>
      </c>
      <c r="G1977" s="2">
        <v>500219877</v>
      </c>
      <c r="H1977" s="2" t="s">
        <v>291</v>
      </c>
      <c r="I1977" s="2" t="s">
        <v>481</v>
      </c>
      <c r="J1977" s="2" t="s">
        <v>3171</v>
      </c>
      <c r="L1977" s="2" t="s">
        <v>481</v>
      </c>
      <c r="O1977" s="2" t="s">
        <v>3172</v>
      </c>
      <c r="P1977" s="2" t="s">
        <v>1040</v>
      </c>
      <c r="Q1977" s="2" t="s">
        <v>1940</v>
      </c>
      <c r="R1977" s="2" t="s">
        <v>1941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7"/>
        <v>0.41819482959119775</v>
      </c>
      <c r="Z1977" s="2" t="s">
        <v>3231</v>
      </c>
      <c r="AA1977" s="2" t="s">
        <v>1043</v>
      </c>
      <c r="AB1977" s="2" t="s">
        <v>1044</v>
      </c>
      <c r="AC1977" s="2" t="s">
        <v>1040</v>
      </c>
      <c r="AF1977" s="2">
        <f t="shared" si="231"/>
        <v>0</v>
      </c>
      <c r="AG1977" s="2">
        <v>130.08000000000001</v>
      </c>
      <c r="AJ1977" s="2">
        <f t="shared" si="232"/>
        <v>0</v>
      </c>
      <c r="AK1977" s="2">
        <f t="shared" si="233"/>
        <v>187</v>
      </c>
      <c r="AL1977" s="5">
        <f t="shared" si="238"/>
        <v>0.41819482959119775</v>
      </c>
    </row>
    <row r="1978" spans="1:38" hidden="1" x14ac:dyDescent="0.2">
      <c r="A1978" s="2">
        <v>2025</v>
      </c>
      <c r="B1978" s="2">
        <v>10</v>
      </c>
      <c r="D1978" s="2" t="s">
        <v>1939</v>
      </c>
      <c r="E1978" s="2" t="s">
        <v>109</v>
      </c>
      <c r="F1978" s="2" t="s">
        <v>718</v>
      </c>
      <c r="G1978" s="2">
        <v>500219877</v>
      </c>
      <c r="H1978" s="2" t="s">
        <v>291</v>
      </c>
      <c r="I1978" s="2" t="s">
        <v>481</v>
      </c>
      <c r="J1978" s="2" t="s">
        <v>3171</v>
      </c>
      <c r="L1978" s="2" t="s">
        <v>481</v>
      </c>
      <c r="O1978" s="2" t="s">
        <v>3172</v>
      </c>
      <c r="P1978" s="2" t="s">
        <v>1040</v>
      </c>
      <c r="Q1978" s="2" t="s">
        <v>1942</v>
      </c>
      <c r="R1978" s="2" t="s">
        <v>1943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7"/>
        <v>0.39684669573968467</v>
      </c>
      <c r="Z1978" s="2" t="s">
        <v>3231</v>
      </c>
      <c r="AA1978" s="2" t="s">
        <v>1043</v>
      </c>
      <c r="AB1978" s="2" t="s">
        <v>1044</v>
      </c>
      <c r="AC1978" s="2" t="s">
        <v>1040</v>
      </c>
      <c r="AF1978" s="2">
        <f t="shared" si="231"/>
        <v>0</v>
      </c>
      <c r="AG1978" s="2">
        <v>134.85</v>
      </c>
      <c r="AJ1978" s="2">
        <f t="shared" si="232"/>
        <v>0</v>
      </c>
      <c r="AK1978" s="2">
        <f t="shared" si="233"/>
        <v>177.45</v>
      </c>
      <c r="AL1978" s="5">
        <f t="shared" si="238"/>
        <v>0.39684669573968467</v>
      </c>
    </row>
    <row r="1979" spans="1:38" hidden="1" x14ac:dyDescent="0.2">
      <c r="A1979" s="2">
        <v>2025</v>
      </c>
      <c r="B1979" s="2">
        <v>10</v>
      </c>
      <c r="D1979" s="2" t="s">
        <v>1277</v>
      </c>
      <c r="P1979" s="2" t="s">
        <v>115</v>
      </c>
      <c r="Q1979" s="2" t="s">
        <v>642</v>
      </c>
      <c r="R1979" s="2" t="s">
        <v>643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7"/>
        <v>1</v>
      </c>
      <c r="Z1979" s="2" t="s">
        <v>118</v>
      </c>
      <c r="AF1979" s="2">
        <f t="shared" si="231"/>
        <v>0</v>
      </c>
      <c r="AJ1979" s="2">
        <f t="shared" si="232"/>
        <v>0</v>
      </c>
      <c r="AK1979" s="2">
        <f t="shared" si="233"/>
        <v>91.11</v>
      </c>
      <c r="AL1979" s="5">
        <f t="shared" si="238"/>
        <v>1</v>
      </c>
    </row>
    <row r="1980" spans="1:38" hidden="1" x14ac:dyDescent="0.2">
      <c r="A1980" s="2">
        <v>2025</v>
      </c>
      <c r="B1980" s="2">
        <v>10</v>
      </c>
      <c r="C1980" s="2" t="s">
        <v>3418</v>
      </c>
      <c r="D1980" s="2" t="s">
        <v>1741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1944</v>
      </c>
      <c r="R1980" s="2" t="s">
        <v>1945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7"/>
        <v>-0.15999999999999998</v>
      </c>
      <c r="Z1980" s="2" t="s">
        <v>3231</v>
      </c>
      <c r="AA1980" s="2" t="s">
        <v>156</v>
      </c>
      <c r="AB1980" s="2" t="s">
        <v>1945</v>
      </c>
      <c r="AC1980" s="2" t="s">
        <v>153</v>
      </c>
      <c r="AF1980" s="2">
        <f t="shared" si="231"/>
        <v>0</v>
      </c>
      <c r="AJ1980" s="2">
        <f t="shared" si="232"/>
        <v>0</v>
      </c>
      <c r="AK1980" s="2">
        <f t="shared" si="233"/>
        <v>-3.1999999999999993</v>
      </c>
      <c r="AL1980" s="5">
        <f t="shared" si="238"/>
        <v>-0.15999999999999998</v>
      </c>
    </row>
    <row r="1981" spans="1:38" hidden="1" x14ac:dyDescent="0.2">
      <c r="A1981" s="2">
        <v>2025</v>
      </c>
      <c r="B1981" s="2">
        <v>10</v>
      </c>
      <c r="D1981" s="2" t="s">
        <v>1741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7"/>
        <v>1</v>
      </c>
      <c r="Z1981" s="2" t="s">
        <v>170</v>
      </c>
      <c r="AA1981" s="2" t="s">
        <v>170</v>
      </c>
      <c r="AF1981" s="2">
        <f t="shared" si="231"/>
        <v>0</v>
      </c>
      <c r="AJ1981" s="2">
        <f t="shared" si="232"/>
        <v>0</v>
      </c>
      <c r="AK1981" s="2">
        <f t="shared" si="233"/>
        <v>8.5</v>
      </c>
      <c r="AL1981" s="5">
        <f t="shared" si="238"/>
        <v>1</v>
      </c>
    </row>
    <row r="1982" spans="1:38" hidden="1" x14ac:dyDescent="0.2">
      <c r="A1982" s="2">
        <v>2025</v>
      </c>
      <c r="B1982" s="2">
        <v>10</v>
      </c>
      <c r="D1982" s="2" t="s">
        <v>1946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7"/>
        <v>0.46612272727272724</v>
      </c>
      <c r="Z1982" s="2" t="s">
        <v>3231</v>
      </c>
      <c r="AA1982" s="2" t="s">
        <v>76</v>
      </c>
      <c r="AB1982" s="2" t="s">
        <v>77</v>
      </c>
      <c r="AC1982" s="2" t="s">
        <v>78</v>
      </c>
      <c r="AF1982" s="2">
        <f t="shared" si="231"/>
        <v>0</v>
      </c>
      <c r="AG1982" s="2">
        <v>117.453</v>
      </c>
      <c r="AH1982" s="2">
        <v>220</v>
      </c>
      <c r="AJ1982" s="2">
        <f t="shared" si="232"/>
        <v>0</v>
      </c>
      <c r="AK1982" s="2">
        <f t="shared" si="233"/>
        <v>102.547</v>
      </c>
      <c r="AL1982" s="5">
        <f t="shared" si="238"/>
        <v>0.46612272727272724</v>
      </c>
    </row>
    <row r="1983" spans="1:38" hidden="1" x14ac:dyDescent="0.2">
      <c r="A1983" s="2">
        <v>2025</v>
      </c>
      <c r="B1983" s="2">
        <v>10</v>
      </c>
      <c r="D1983" s="2" t="s">
        <v>1946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7"/>
        <v>0</v>
      </c>
      <c r="Z1983" s="2" t="s">
        <v>3231</v>
      </c>
      <c r="AA1983" s="2" t="s">
        <v>97</v>
      </c>
      <c r="AB1983" s="2" t="s">
        <v>77</v>
      </c>
      <c r="AC1983" s="2" t="s">
        <v>94</v>
      </c>
      <c r="AF1983" s="2">
        <f t="shared" si="231"/>
        <v>0</v>
      </c>
      <c r="AJ1983" s="2">
        <f t="shared" si="232"/>
        <v>0</v>
      </c>
      <c r="AK1983" s="2">
        <f t="shared" si="233"/>
        <v>0</v>
      </c>
      <c r="AL1983" s="5">
        <f t="shared" si="238"/>
        <v>0</v>
      </c>
    </row>
    <row r="1984" spans="1:38" hidden="1" x14ac:dyDescent="0.2">
      <c r="A1984" s="2">
        <v>2025</v>
      </c>
      <c r="B1984" s="2">
        <v>10</v>
      </c>
      <c r="D1984" s="2" t="s">
        <v>1947</v>
      </c>
      <c r="P1984" s="2" t="s">
        <v>69</v>
      </c>
      <c r="Q1984" s="2" t="s">
        <v>1162</v>
      </c>
      <c r="R1984" s="2" t="s">
        <v>1163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7"/>
        <v>0.36799999999999999</v>
      </c>
      <c r="Z1984" s="2" t="s">
        <v>3231</v>
      </c>
      <c r="AA1984" s="2" t="s">
        <v>72</v>
      </c>
      <c r="AB1984" s="2" t="s">
        <v>69</v>
      </c>
      <c r="AC1984" s="2" t="s">
        <v>3235</v>
      </c>
      <c r="AF1984" s="2">
        <f t="shared" si="231"/>
        <v>0</v>
      </c>
      <c r="AJ1984" s="2">
        <f t="shared" si="232"/>
        <v>0</v>
      </c>
      <c r="AK1984" s="2">
        <f t="shared" si="233"/>
        <v>27.6</v>
      </c>
      <c r="AL1984" s="5">
        <f t="shared" si="238"/>
        <v>0.36799999999999999</v>
      </c>
    </row>
    <row r="1985" spans="1:38" hidden="1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7"/>
        <v>0.430969696969697</v>
      </c>
      <c r="Z1985" s="2" t="s">
        <v>3231</v>
      </c>
      <c r="AA1985" s="2" t="s">
        <v>46</v>
      </c>
      <c r="AB1985" s="2" t="s">
        <v>61</v>
      </c>
      <c r="AC1985" s="2" t="s">
        <v>58</v>
      </c>
      <c r="AF1985" s="2">
        <f t="shared" si="231"/>
        <v>0</v>
      </c>
      <c r="AG1985" s="2">
        <v>3.7555999999999998</v>
      </c>
      <c r="AH1985" s="2">
        <v>7.2</v>
      </c>
      <c r="AJ1985" s="2">
        <f t="shared" si="232"/>
        <v>0</v>
      </c>
      <c r="AK1985" s="2">
        <f t="shared" si="233"/>
        <v>56.888000000000005</v>
      </c>
      <c r="AL1985" s="5">
        <f t="shared" si="238"/>
        <v>0.430969696969697</v>
      </c>
    </row>
    <row r="1986" spans="1:38" hidden="1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7"/>
        <v>0.5243888888888889</v>
      </c>
      <c r="Z1986" s="2" t="s">
        <v>3231</v>
      </c>
      <c r="AA1986" s="2" t="s">
        <v>46</v>
      </c>
      <c r="AB1986" s="2" t="s">
        <v>61</v>
      </c>
      <c r="AC1986" s="2" t="s">
        <v>58</v>
      </c>
      <c r="AF1986" s="2">
        <f t="shared" si="231"/>
        <v>0</v>
      </c>
      <c r="AG1986" s="2">
        <v>0.85609999999999997</v>
      </c>
      <c r="AH1986" s="2">
        <v>1.8</v>
      </c>
      <c r="AJ1986" s="2">
        <f t="shared" si="232"/>
        <v>0</v>
      </c>
      <c r="AK1986" s="2">
        <f t="shared" si="233"/>
        <v>37.756</v>
      </c>
      <c r="AL1986" s="5">
        <f t="shared" si="238"/>
        <v>0.5243888888888889</v>
      </c>
    </row>
    <row r="1987" spans="1:38" hidden="1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7"/>
        <v>0.62926666666666664</v>
      </c>
      <c r="Z1987" s="2" t="s">
        <v>3231</v>
      </c>
      <c r="AA1987" s="2" t="s">
        <v>46</v>
      </c>
      <c r="AB1987" s="2" t="s">
        <v>61</v>
      </c>
      <c r="AC1987" s="2" t="s">
        <v>58</v>
      </c>
      <c r="AF1987" s="2">
        <f t="shared" ref="AF1987:AF2050" si="239">AJ1987</f>
        <v>0</v>
      </c>
      <c r="AG1987" s="2">
        <v>1.1122000000000001</v>
      </c>
      <c r="AH1987" s="2">
        <v>3</v>
      </c>
      <c r="AJ1987" s="2">
        <f t="shared" ref="AJ1987:AJ2050" si="240">AI1987*T1987</f>
        <v>0</v>
      </c>
      <c r="AK1987" s="2">
        <f t="shared" ref="AK1987:AK2050" si="241">T1987-W1987</f>
        <v>37.756</v>
      </c>
      <c r="AL1987" s="5">
        <f t="shared" si="238"/>
        <v>0.62926666666666664</v>
      </c>
    </row>
    <row r="1988" spans="1:38" hidden="1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7"/>
        <v>0.41191666666666665</v>
      </c>
      <c r="Z1988" s="2" t="s">
        <v>3231</v>
      </c>
      <c r="AA1988" s="2" t="s">
        <v>46</v>
      </c>
      <c r="AB1988" s="2" t="s">
        <v>61</v>
      </c>
      <c r="AC1988" s="2" t="s">
        <v>58</v>
      </c>
      <c r="AF1988" s="2">
        <f t="shared" si="239"/>
        <v>0</v>
      </c>
      <c r="AG1988" s="2">
        <v>1.4114</v>
      </c>
      <c r="AH1988" s="2">
        <v>3</v>
      </c>
      <c r="AJ1988" s="2">
        <f t="shared" si="240"/>
        <v>0</v>
      </c>
      <c r="AK1988" s="2">
        <f t="shared" si="241"/>
        <v>39.543999999999997</v>
      </c>
      <c r="AL1988" s="5">
        <f t="shared" si="238"/>
        <v>0.41191666666666665</v>
      </c>
    </row>
    <row r="1989" spans="1:38" hidden="1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7"/>
        <v>0.31725909090909088</v>
      </c>
      <c r="Z1989" s="2" t="s">
        <v>3231</v>
      </c>
      <c r="AA1989" s="2" t="s">
        <v>46</v>
      </c>
      <c r="AB1989" s="2" t="s">
        <v>68</v>
      </c>
      <c r="AC1989" s="2" t="s">
        <v>58</v>
      </c>
      <c r="AF1989" s="2">
        <f t="shared" si="239"/>
        <v>0</v>
      </c>
      <c r="AG1989" s="2">
        <v>15.020300000000001</v>
      </c>
      <c r="AH1989" s="2">
        <v>27.6</v>
      </c>
      <c r="AJ1989" s="2">
        <f t="shared" si="240"/>
        <v>0</v>
      </c>
      <c r="AK1989" s="2">
        <f t="shared" si="241"/>
        <v>13.959399999999999</v>
      </c>
      <c r="AL1989" s="5">
        <f t="shared" si="238"/>
        <v>0.31725909090909088</v>
      </c>
    </row>
    <row r="1990" spans="1:38" hidden="1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37"/>
        <v>0.62349999999999994</v>
      </c>
      <c r="Z1990" s="2" t="s">
        <v>3231</v>
      </c>
      <c r="AA1990" s="2" t="s">
        <v>46</v>
      </c>
      <c r="AB1990" s="2" t="s">
        <v>47</v>
      </c>
      <c r="AC1990" s="2" t="s">
        <v>48</v>
      </c>
      <c r="AF1990" s="2">
        <f t="shared" si="239"/>
        <v>0</v>
      </c>
      <c r="AJ1990" s="2">
        <f t="shared" si="240"/>
        <v>0</v>
      </c>
      <c r="AK1990" s="2">
        <f t="shared" si="241"/>
        <v>18.704999999999998</v>
      </c>
      <c r="AL1990" s="5">
        <f t="shared" si="238"/>
        <v>0.62349999999999994</v>
      </c>
    </row>
    <row r="1991" spans="1:38" hidden="1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37"/>
        <v>0.24999999999999994</v>
      </c>
      <c r="Z1991" s="2" t="s">
        <v>3231</v>
      </c>
      <c r="AA1991" s="2" t="s">
        <v>46</v>
      </c>
      <c r="AB1991" s="2" t="s">
        <v>47</v>
      </c>
      <c r="AC1991" s="2" t="s">
        <v>48</v>
      </c>
      <c r="AF1991" s="2">
        <f t="shared" si="239"/>
        <v>0</v>
      </c>
      <c r="AG1991" s="2">
        <v>10.2346</v>
      </c>
      <c r="AH1991" s="2">
        <v>18</v>
      </c>
      <c r="AJ1991" s="2">
        <f t="shared" si="240"/>
        <v>0</v>
      </c>
      <c r="AK1991" s="2">
        <f t="shared" si="241"/>
        <v>4.7999999999999989</v>
      </c>
      <c r="AL1991" s="5">
        <f t="shared" si="238"/>
        <v>0.24999999999999994</v>
      </c>
    </row>
    <row r="1992" spans="1:38" hidden="1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42">(T1992-W1992)/T1992</f>
        <v>0.34714285714285725</v>
      </c>
      <c r="Z1992" s="2" t="s">
        <v>3231</v>
      </c>
      <c r="AA1992" s="2" t="s">
        <v>46</v>
      </c>
      <c r="AB1992" s="2" t="s">
        <v>61</v>
      </c>
      <c r="AC1992" s="2" t="s">
        <v>58</v>
      </c>
      <c r="AF1992" s="2">
        <f t="shared" si="239"/>
        <v>0</v>
      </c>
      <c r="AG1992" s="2">
        <v>9.14</v>
      </c>
      <c r="AH1992" s="2">
        <v>16</v>
      </c>
      <c r="AJ1992" s="2">
        <f t="shared" si="240"/>
        <v>0</v>
      </c>
      <c r="AK1992" s="2">
        <f t="shared" si="241"/>
        <v>4.8600000000000012</v>
      </c>
      <c r="AL1992" s="5">
        <f t="shared" si="238"/>
        <v>0.34714285714285725</v>
      </c>
    </row>
    <row r="1993" spans="1:38" hidden="1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42"/>
        <v>0.21904761904761899</v>
      </c>
      <c r="Z1993" s="2" t="s">
        <v>3231</v>
      </c>
      <c r="AA1993" s="2" t="s">
        <v>46</v>
      </c>
      <c r="AB1993" s="2" t="s">
        <v>61</v>
      </c>
      <c r="AC1993" s="2" t="s">
        <v>58</v>
      </c>
      <c r="AF1993" s="2">
        <f t="shared" si="239"/>
        <v>0</v>
      </c>
      <c r="AG1993" s="2">
        <v>8.1999999999999993</v>
      </c>
      <c r="AH1993" s="2">
        <v>13</v>
      </c>
      <c r="AJ1993" s="2">
        <f t="shared" si="240"/>
        <v>0</v>
      </c>
      <c r="AK1993" s="2">
        <f t="shared" si="241"/>
        <v>27.599999999999994</v>
      </c>
      <c r="AL1993" s="5">
        <f t="shared" si="238"/>
        <v>0.21904761904761899</v>
      </c>
    </row>
    <row r="1994" spans="1:38" hidden="1" x14ac:dyDescent="0.2">
      <c r="A1994" s="2">
        <v>2025</v>
      </c>
      <c r="B1994" s="2">
        <v>10</v>
      </c>
      <c r="D1994" s="2" t="s">
        <v>1948</v>
      </c>
      <c r="P1994" s="2" t="s">
        <v>3234</v>
      </c>
      <c r="Q1994" s="2" t="s">
        <v>1949</v>
      </c>
      <c r="R1994" s="2" t="s">
        <v>1950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42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3234</v>
      </c>
      <c r="AF1994" s="2">
        <f t="shared" si="239"/>
        <v>0</v>
      </c>
      <c r="AJ1994" s="2">
        <f t="shared" si="240"/>
        <v>0</v>
      </c>
      <c r="AK1994" s="2">
        <f t="shared" si="241"/>
        <v>3847.6899999999996</v>
      </c>
      <c r="AL1994" s="5">
        <f t="shared" si="238"/>
        <v>0.48096124999999995</v>
      </c>
    </row>
    <row r="1995" spans="1:38" hidden="1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42"/>
        <v>0.31725909090909088</v>
      </c>
      <c r="Z1995" s="2" t="s">
        <v>3231</v>
      </c>
      <c r="AA1995" s="2" t="s">
        <v>46</v>
      </c>
      <c r="AB1995" s="2" t="s">
        <v>68</v>
      </c>
      <c r="AC1995" s="2" t="s">
        <v>58</v>
      </c>
      <c r="AF1995" s="2">
        <f t="shared" si="239"/>
        <v>0</v>
      </c>
      <c r="AG1995" s="2">
        <v>15.020300000000001</v>
      </c>
      <c r="AH1995" s="2">
        <v>27.6</v>
      </c>
      <c r="AJ1995" s="2">
        <f t="shared" si="240"/>
        <v>0</v>
      </c>
      <c r="AK1995" s="2">
        <f t="shared" si="241"/>
        <v>55.837599999999995</v>
      </c>
      <c r="AL1995" s="5">
        <f t="shared" si="238"/>
        <v>0.31725909090909088</v>
      </c>
    </row>
    <row r="1996" spans="1:38" hidden="1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1951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42"/>
        <v>0.45290151515151511</v>
      </c>
      <c r="Z1996" s="2" t="s">
        <v>3231</v>
      </c>
      <c r="AA1996" s="2" t="s">
        <v>46</v>
      </c>
      <c r="AB1996" s="2" t="s">
        <v>57</v>
      </c>
      <c r="AC1996" s="2" t="s">
        <v>58</v>
      </c>
      <c r="AF1996" s="2">
        <f t="shared" si="239"/>
        <v>0</v>
      </c>
      <c r="AG1996" s="2">
        <v>7.2217000000000002</v>
      </c>
      <c r="AH1996" s="2">
        <v>14.4</v>
      </c>
      <c r="AJ1996" s="2">
        <f t="shared" si="240"/>
        <v>0</v>
      </c>
      <c r="AK1996" s="2">
        <f t="shared" si="241"/>
        <v>5.9782999999999991</v>
      </c>
      <c r="AL1996" s="5">
        <f t="shared" si="238"/>
        <v>0.45290151515151511</v>
      </c>
    </row>
    <row r="1997" spans="1:38" hidden="1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1951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42"/>
        <v>1</v>
      </c>
      <c r="Z1997" s="2" t="s">
        <v>3231</v>
      </c>
      <c r="AA1997" s="2" t="s">
        <v>46</v>
      </c>
      <c r="AB1997" s="2" t="s">
        <v>57</v>
      </c>
      <c r="AC1997" s="2" t="s">
        <v>58</v>
      </c>
      <c r="AF1997" s="2">
        <f t="shared" si="239"/>
        <v>0</v>
      </c>
      <c r="AJ1997" s="2">
        <f t="shared" si="240"/>
        <v>0</v>
      </c>
      <c r="AK1997" s="2">
        <f t="shared" si="241"/>
        <v>28.8</v>
      </c>
      <c r="AL1997" s="5">
        <f t="shared" si="238"/>
        <v>1</v>
      </c>
    </row>
    <row r="1998" spans="1:38" hidden="1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1951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42"/>
        <v>0.41111111111111115</v>
      </c>
      <c r="Z1998" s="2" t="s">
        <v>3231</v>
      </c>
      <c r="AA1998" s="2" t="s">
        <v>46</v>
      </c>
      <c r="AB1998" s="2" t="s">
        <v>57</v>
      </c>
      <c r="AC1998" s="2" t="s">
        <v>58</v>
      </c>
      <c r="AF1998" s="2">
        <f t="shared" si="239"/>
        <v>0</v>
      </c>
      <c r="AG1998" s="2">
        <v>10.6</v>
      </c>
      <c r="AH1998" s="2">
        <v>18</v>
      </c>
      <c r="AJ1998" s="2">
        <f t="shared" si="240"/>
        <v>0</v>
      </c>
      <c r="AK1998" s="2">
        <f t="shared" si="241"/>
        <v>7.4</v>
      </c>
      <c r="AL1998" s="5">
        <f t="shared" si="238"/>
        <v>0.41111111111111115</v>
      </c>
    </row>
    <row r="1999" spans="1:38" hidden="1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1951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42"/>
        <v>0.36923076923076914</v>
      </c>
      <c r="Z1999" s="2" t="s">
        <v>3231</v>
      </c>
      <c r="AA1999" s="2" t="s">
        <v>46</v>
      </c>
      <c r="AB1999" s="2" t="s">
        <v>61</v>
      </c>
      <c r="AC1999" s="2" t="s">
        <v>58</v>
      </c>
      <c r="AF1999" s="2">
        <f t="shared" si="239"/>
        <v>0</v>
      </c>
      <c r="AG1999" s="2">
        <v>8.1999999999999993</v>
      </c>
      <c r="AH1999" s="2">
        <v>13</v>
      </c>
      <c r="AJ1999" s="2">
        <f t="shared" si="240"/>
        <v>0</v>
      </c>
      <c r="AK1999" s="2">
        <f t="shared" si="241"/>
        <v>4.7999999999999989</v>
      </c>
      <c r="AL1999" s="5">
        <f t="shared" si="238"/>
        <v>0.36923076923076914</v>
      </c>
    </row>
    <row r="2000" spans="1:38" hidden="1" x14ac:dyDescent="0.2">
      <c r="A2000" s="2">
        <v>2025</v>
      </c>
      <c r="B2000" s="2">
        <v>10</v>
      </c>
      <c r="D2000" s="2" t="s">
        <v>900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901</v>
      </c>
      <c r="K2000" s="2">
        <v>912047019</v>
      </c>
      <c r="L2000" s="2" t="s">
        <v>100</v>
      </c>
      <c r="M2000" s="2" t="s">
        <v>40</v>
      </c>
      <c r="O2000" s="2" t="s">
        <v>1952</v>
      </c>
      <c r="P2000" s="2" t="s">
        <v>115</v>
      </c>
      <c r="Q2000" s="2" t="s">
        <v>824</v>
      </c>
      <c r="R2000" s="2" t="s">
        <v>825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42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9"/>
        <v>0</v>
      </c>
      <c r="AJ2000" s="2">
        <f t="shared" si="240"/>
        <v>0</v>
      </c>
      <c r="AK2000" s="2">
        <f t="shared" si="241"/>
        <v>273.13</v>
      </c>
      <c r="AL2000" s="5">
        <f t="shared" si="238"/>
        <v>1</v>
      </c>
    </row>
    <row r="2001" spans="1:38" hidden="1" x14ac:dyDescent="0.2">
      <c r="A2001" s="2">
        <v>2025</v>
      </c>
      <c r="B2001" s="2">
        <v>10</v>
      </c>
      <c r="D2001" s="2" t="s">
        <v>900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901</v>
      </c>
      <c r="K2001" s="2">
        <v>912047019</v>
      </c>
      <c r="L2001" s="2" t="s">
        <v>100</v>
      </c>
      <c r="M2001" s="2" t="s">
        <v>3305</v>
      </c>
      <c r="O2001" s="2" t="s">
        <v>1953</v>
      </c>
      <c r="P2001" s="2" t="s">
        <v>283</v>
      </c>
      <c r="Q2001" s="2" t="s">
        <v>1954</v>
      </c>
      <c r="R2001" s="2" t="s">
        <v>1955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42"/>
        <v>0.46562962962962962</v>
      </c>
      <c r="Z2001" s="2" t="s">
        <v>3231</v>
      </c>
      <c r="AA2001" s="2" t="s">
        <v>72</v>
      </c>
      <c r="AB2001" s="2" t="s">
        <v>120</v>
      </c>
      <c r="AC2001" s="2" t="s">
        <v>120</v>
      </c>
      <c r="AF2001" s="2">
        <f t="shared" si="239"/>
        <v>0</v>
      </c>
      <c r="AJ2001" s="2">
        <f t="shared" si="240"/>
        <v>0</v>
      </c>
      <c r="AK2001" s="2">
        <f t="shared" si="241"/>
        <v>125.72</v>
      </c>
      <c r="AL2001" s="5">
        <f t="shared" si="238"/>
        <v>0.46562962962962962</v>
      </c>
    </row>
    <row r="2002" spans="1:38" hidden="1" x14ac:dyDescent="0.2">
      <c r="A2002" s="2">
        <v>2025</v>
      </c>
      <c r="B2002" s="2">
        <v>10</v>
      </c>
      <c r="D2002" s="2" t="s">
        <v>900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901</v>
      </c>
      <c r="K2002" s="2">
        <v>912047019</v>
      </c>
      <c r="L2002" s="2" t="s">
        <v>100</v>
      </c>
      <c r="M2002" s="2" t="s">
        <v>3305</v>
      </c>
      <c r="O2002" s="2" t="s">
        <v>1956</v>
      </c>
      <c r="P2002" s="2" t="s">
        <v>283</v>
      </c>
      <c r="Q2002" s="2" t="s">
        <v>1644</v>
      </c>
      <c r="R2002" s="2" t="s">
        <v>1645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3231</v>
      </c>
      <c r="AA2002" s="2" t="s">
        <v>72</v>
      </c>
      <c r="AB2002" s="2" t="s">
        <v>120</v>
      </c>
      <c r="AC2002" s="2" t="s">
        <v>120</v>
      </c>
      <c r="AF2002" s="2">
        <f t="shared" si="239"/>
        <v>0</v>
      </c>
      <c r="AJ2002" s="2">
        <f t="shared" si="240"/>
        <v>0</v>
      </c>
      <c r="AK2002" s="2">
        <f>T2002+(W2002)</f>
        <v>-335</v>
      </c>
      <c r="AL2002" s="18">
        <f>SIGN(T2002)*((ABS(T2002)-W2002)/ABS(T2002))</f>
        <v>-1</v>
      </c>
    </row>
    <row r="2003" spans="1:38" hidden="1" x14ac:dyDescent="0.2">
      <c r="A2003" s="2">
        <v>2025</v>
      </c>
      <c r="B2003" s="2">
        <v>10</v>
      </c>
      <c r="D2003" s="2" t="s">
        <v>1297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1298</v>
      </c>
      <c r="L2003" s="2" t="s">
        <v>340</v>
      </c>
      <c r="M2003" s="2" t="s">
        <v>81</v>
      </c>
      <c r="O2003" s="2" t="s">
        <v>3206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3">(T2003-W2003)/T2003</f>
        <v>0.45027000490918012</v>
      </c>
      <c r="Z2003" s="2" t="s">
        <v>3231</v>
      </c>
      <c r="AA2003" s="2" t="s">
        <v>76</v>
      </c>
      <c r="AB2003" s="2" t="s">
        <v>77</v>
      </c>
      <c r="AC2003" s="2" t="s">
        <v>78</v>
      </c>
      <c r="AF2003" s="2">
        <f t="shared" si="239"/>
        <v>0</v>
      </c>
      <c r="AG2003" s="2">
        <v>111.98</v>
      </c>
      <c r="AH2003" s="2">
        <v>210</v>
      </c>
      <c r="AJ2003" s="2">
        <f t="shared" si="240"/>
        <v>0</v>
      </c>
      <c r="AK2003" s="2">
        <f t="shared" si="241"/>
        <v>91.719999999999985</v>
      </c>
      <c r="AL2003" s="5">
        <f t="shared" si="238"/>
        <v>0.45027000490918012</v>
      </c>
    </row>
    <row r="2004" spans="1:38" hidden="1" x14ac:dyDescent="0.2">
      <c r="A2004" s="2">
        <v>2025</v>
      </c>
      <c r="B2004" s="2">
        <v>10</v>
      </c>
      <c r="D2004" s="2" t="s">
        <v>1297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1298</v>
      </c>
      <c r="L2004" s="2" t="s">
        <v>340</v>
      </c>
      <c r="M2004" s="2" t="s">
        <v>81</v>
      </c>
      <c r="P2004" s="2" t="s">
        <v>1040</v>
      </c>
      <c r="Q2004" s="2" t="s">
        <v>1957</v>
      </c>
      <c r="R2004" s="2" t="s">
        <v>1958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3"/>
        <v>0.43582474226804124</v>
      </c>
      <c r="Z2004" s="2" t="s">
        <v>3231</v>
      </c>
      <c r="AA2004" s="2" t="s">
        <v>76</v>
      </c>
      <c r="AB2004" s="2" t="s">
        <v>77</v>
      </c>
      <c r="AC2004" s="2" t="s">
        <v>1040</v>
      </c>
      <c r="AF2004" s="2">
        <f t="shared" si="239"/>
        <v>0</v>
      </c>
      <c r="AJ2004" s="2">
        <f t="shared" si="240"/>
        <v>0</v>
      </c>
      <c r="AK2004" s="2">
        <f t="shared" si="241"/>
        <v>93.00500000000001</v>
      </c>
      <c r="AL2004" s="5">
        <f t="shared" si="238"/>
        <v>0.43582474226804124</v>
      </c>
    </row>
    <row r="2005" spans="1:38" hidden="1" x14ac:dyDescent="0.2">
      <c r="A2005" s="2">
        <v>2025</v>
      </c>
      <c r="B2005" s="2">
        <v>10</v>
      </c>
      <c r="D2005" s="2" t="s">
        <v>1297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1298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3"/>
        <v>0.23333333333333334</v>
      </c>
      <c r="Z2005" s="2" t="s">
        <v>170</v>
      </c>
      <c r="AA2005" s="2" t="s">
        <v>170</v>
      </c>
      <c r="AF2005" s="2">
        <f t="shared" si="239"/>
        <v>0</v>
      </c>
      <c r="AJ2005" s="2">
        <f t="shared" si="240"/>
        <v>0</v>
      </c>
      <c r="AK2005" s="2">
        <f t="shared" si="241"/>
        <v>7</v>
      </c>
      <c r="AL2005" s="5">
        <f t="shared" si="238"/>
        <v>0.23333333333333334</v>
      </c>
    </row>
    <row r="2006" spans="1:38" hidden="1" x14ac:dyDescent="0.2">
      <c r="A2006" s="2">
        <v>2025</v>
      </c>
      <c r="B2006" s="2">
        <v>10</v>
      </c>
      <c r="D2006" s="2" t="s">
        <v>1297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1298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3"/>
        <v>0</v>
      </c>
      <c r="Z2006" s="2" t="s">
        <v>3231</v>
      </c>
      <c r="AA2006" s="2" t="s">
        <v>97</v>
      </c>
      <c r="AB2006" s="2" t="s">
        <v>77</v>
      </c>
      <c r="AC2006" s="2" t="s">
        <v>94</v>
      </c>
      <c r="AF2006" s="2">
        <f t="shared" si="239"/>
        <v>0</v>
      </c>
      <c r="AJ2006" s="2">
        <f t="shared" si="240"/>
        <v>0</v>
      </c>
      <c r="AK2006" s="2">
        <f t="shared" si="241"/>
        <v>0</v>
      </c>
      <c r="AL2006" s="5">
        <f t="shared" si="238"/>
        <v>0</v>
      </c>
    </row>
    <row r="2007" spans="1:38" hidden="1" x14ac:dyDescent="0.2">
      <c r="A2007" s="2">
        <v>2025</v>
      </c>
      <c r="B2007" s="2">
        <v>10</v>
      </c>
      <c r="D2007" s="2" t="s">
        <v>618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619</v>
      </c>
      <c r="J2007" s="2" t="s">
        <v>620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3"/>
        <v>0.13</v>
      </c>
      <c r="Z2007" s="2" t="s">
        <v>3231</v>
      </c>
      <c r="AA2007" s="2" t="s">
        <v>46</v>
      </c>
      <c r="AB2007" s="2" t="s">
        <v>61</v>
      </c>
      <c r="AC2007" s="2" t="s">
        <v>3336</v>
      </c>
      <c r="AF2007" s="2">
        <f t="shared" si="239"/>
        <v>0</v>
      </c>
      <c r="AJ2007" s="2">
        <f t="shared" si="240"/>
        <v>0</v>
      </c>
      <c r="AK2007" s="2">
        <f t="shared" si="241"/>
        <v>26</v>
      </c>
      <c r="AL2007" s="5">
        <f t="shared" si="238"/>
        <v>0.13</v>
      </c>
    </row>
    <row r="2008" spans="1:38" hidden="1" x14ac:dyDescent="0.2">
      <c r="A2008" s="2">
        <v>2025</v>
      </c>
      <c r="B2008" s="2">
        <v>10</v>
      </c>
      <c r="D2008" s="2" t="s">
        <v>618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619</v>
      </c>
      <c r="J2008" s="2" t="s">
        <v>620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3"/>
        <v>0.13</v>
      </c>
      <c r="Z2008" s="2" t="s">
        <v>3231</v>
      </c>
      <c r="AA2008" s="2" t="s">
        <v>46</v>
      </c>
      <c r="AB2008" s="2" t="s">
        <v>61</v>
      </c>
      <c r="AC2008" s="2" t="s">
        <v>3336</v>
      </c>
      <c r="AF2008" s="2">
        <f t="shared" si="239"/>
        <v>0</v>
      </c>
      <c r="AJ2008" s="2">
        <f t="shared" si="240"/>
        <v>0</v>
      </c>
      <c r="AK2008" s="2">
        <f t="shared" si="241"/>
        <v>26</v>
      </c>
      <c r="AL2008" s="5">
        <f t="shared" si="238"/>
        <v>0.13</v>
      </c>
    </row>
    <row r="2009" spans="1:38" hidden="1" x14ac:dyDescent="0.2">
      <c r="A2009" s="2">
        <v>2025</v>
      </c>
      <c r="B2009" s="2">
        <v>10</v>
      </c>
      <c r="D2009" s="2" t="s">
        <v>625</v>
      </c>
      <c r="E2009" s="2" t="s">
        <v>38</v>
      </c>
      <c r="F2009" s="2" t="s">
        <v>39</v>
      </c>
      <c r="G2009" s="2" t="s">
        <v>626</v>
      </c>
      <c r="H2009" s="2" t="s">
        <v>40</v>
      </c>
      <c r="I2009" s="2" t="s">
        <v>627</v>
      </c>
      <c r="J2009" s="2" t="s">
        <v>628</v>
      </c>
      <c r="L2009" s="2" t="s">
        <v>627</v>
      </c>
      <c r="M2009" s="2" t="s">
        <v>40</v>
      </c>
      <c r="P2009" s="2" t="s">
        <v>115</v>
      </c>
      <c r="Q2009" s="2" t="s">
        <v>1302</v>
      </c>
      <c r="R2009" s="2" t="s">
        <v>1303</v>
      </c>
      <c r="S2009" s="2">
        <v>1</v>
      </c>
      <c r="T2009" s="2">
        <v>13.28</v>
      </c>
      <c r="V2009" s="2">
        <f t="shared" ref="V2009:V2010" si="244">T2009</f>
        <v>13.28</v>
      </c>
      <c r="W2009" s="2">
        <v>5.2</v>
      </c>
      <c r="X2009" s="5">
        <f t="shared" si="243"/>
        <v>0.60843373493975894</v>
      </c>
      <c r="Z2009" s="2" t="s">
        <v>118</v>
      </c>
      <c r="AA2009" s="2" t="s">
        <v>182</v>
      </c>
      <c r="AB2009" s="2" t="s">
        <v>120</v>
      </c>
      <c r="AC2009" s="2" t="s">
        <v>115</v>
      </c>
      <c r="AF2009" s="2">
        <f t="shared" si="239"/>
        <v>0</v>
      </c>
      <c r="AJ2009" s="2">
        <f t="shared" si="240"/>
        <v>0</v>
      </c>
      <c r="AK2009" s="2">
        <f t="shared" si="241"/>
        <v>8.0799999999999983</v>
      </c>
      <c r="AL2009" s="5">
        <f t="shared" si="238"/>
        <v>0.60843373493975894</v>
      </c>
    </row>
    <row r="2010" spans="1:38" hidden="1" x14ac:dyDescent="0.2">
      <c r="A2010" s="2">
        <v>2025</v>
      </c>
      <c r="B2010" s="2">
        <v>10</v>
      </c>
      <c r="D2010" s="2" t="s">
        <v>625</v>
      </c>
      <c r="E2010" s="2" t="s">
        <v>38</v>
      </c>
      <c r="F2010" s="2" t="s">
        <v>39</v>
      </c>
      <c r="G2010" s="2" t="s">
        <v>626</v>
      </c>
      <c r="H2010" s="2" t="s">
        <v>40</v>
      </c>
      <c r="I2010" s="2" t="s">
        <v>627</v>
      </c>
      <c r="J2010" s="2" t="s">
        <v>628</v>
      </c>
      <c r="L2010" s="2" t="s">
        <v>627</v>
      </c>
      <c r="M2010" s="2" t="s">
        <v>40</v>
      </c>
      <c r="P2010" s="2" t="s">
        <v>115</v>
      </c>
      <c r="Q2010" s="2" t="s">
        <v>906</v>
      </c>
      <c r="R2010" s="2" t="s">
        <v>907</v>
      </c>
      <c r="S2010" s="2">
        <v>1</v>
      </c>
      <c r="T2010" s="2">
        <v>465.7</v>
      </c>
      <c r="V2010" s="2">
        <f t="shared" si="244"/>
        <v>465.7</v>
      </c>
      <c r="W2010" s="2">
        <v>345.20339999999999</v>
      </c>
      <c r="X2010" s="5">
        <f t="shared" si="243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9"/>
        <v>0</v>
      </c>
      <c r="AJ2010" s="2">
        <f t="shared" si="240"/>
        <v>0</v>
      </c>
      <c r="AK2010" s="2">
        <f t="shared" si="241"/>
        <v>120.4966</v>
      </c>
      <c r="AL2010" s="5">
        <f t="shared" si="238"/>
        <v>0.25874296757569254</v>
      </c>
    </row>
    <row r="2011" spans="1:38" hidden="1" x14ac:dyDescent="0.2">
      <c r="A2011" s="2">
        <v>2025</v>
      </c>
      <c r="B2011" s="2">
        <v>10</v>
      </c>
      <c r="D2011" s="2" t="s">
        <v>1959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3"/>
        <v>0.46612272727272724</v>
      </c>
      <c r="Z2011" s="2" t="s">
        <v>3231</v>
      </c>
      <c r="AA2011" s="2" t="s">
        <v>76</v>
      </c>
      <c r="AB2011" s="2" t="s">
        <v>77</v>
      </c>
      <c r="AC2011" s="2" t="s">
        <v>78</v>
      </c>
      <c r="AF2011" s="2">
        <f t="shared" si="239"/>
        <v>0</v>
      </c>
      <c r="AG2011" s="2">
        <v>117.453</v>
      </c>
      <c r="AH2011" s="2">
        <v>220</v>
      </c>
      <c r="AJ2011" s="2">
        <f t="shared" si="240"/>
        <v>0</v>
      </c>
      <c r="AK2011" s="2">
        <f t="shared" si="241"/>
        <v>102.547</v>
      </c>
      <c r="AL2011" s="5">
        <f t="shared" si="238"/>
        <v>0.46612272727272724</v>
      </c>
    </row>
    <row r="2012" spans="1:38" hidden="1" x14ac:dyDescent="0.2">
      <c r="A2012" s="2">
        <v>2025</v>
      </c>
      <c r="B2012" s="2">
        <v>10</v>
      </c>
      <c r="D2012" s="2" t="s">
        <v>1959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3"/>
        <v>0</v>
      </c>
      <c r="Z2012" s="2" t="s">
        <v>3231</v>
      </c>
      <c r="AA2012" s="2" t="s">
        <v>97</v>
      </c>
      <c r="AB2012" s="2" t="s">
        <v>77</v>
      </c>
      <c r="AC2012" s="2" t="s">
        <v>94</v>
      </c>
      <c r="AF2012" s="2">
        <f t="shared" si="239"/>
        <v>0</v>
      </c>
      <c r="AJ2012" s="2">
        <f t="shared" si="240"/>
        <v>0</v>
      </c>
      <c r="AK2012" s="2">
        <f t="shared" si="241"/>
        <v>0</v>
      </c>
      <c r="AL2012" s="5">
        <f t="shared" si="238"/>
        <v>0</v>
      </c>
    </row>
    <row r="2013" spans="1:38" hidden="1" x14ac:dyDescent="0.2">
      <c r="A2013" s="2">
        <v>2025</v>
      </c>
      <c r="B2013" s="2">
        <v>10</v>
      </c>
      <c r="D2013" s="2" t="s">
        <v>1301</v>
      </c>
      <c r="P2013" s="2" t="s">
        <v>115</v>
      </c>
      <c r="Q2013" s="2" t="s">
        <v>780</v>
      </c>
      <c r="R2013" s="2" t="s">
        <v>781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3"/>
        <v>1</v>
      </c>
      <c r="Z2013" s="2" t="s">
        <v>118</v>
      </c>
      <c r="AF2013" s="2">
        <f t="shared" si="239"/>
        <v>0</v>
      </c>
      <c r="AJ2013" s="2">
        <f t="shared" si="240"/>
        <v>0</v>
      </c>
      <c r="AK2013" s="2">
        <f t="shared" si="241"/>
        <v>76.67</v>
      </c>
      <c r="AL2013" s="5">
        <f t="shared" si="238"/>
        <v>1</v>
      </c>
    </row>
    <row r="2014" spans="1:38" hidden="1" x14ac:dyDescent="0.2">
      <c r="A2014" s="2">
        <v>2025</v>
      </c>
      <c r="B2014" s="2">
        <v>10</v>
      </c>
      <c r="D2014" s="2" t="s">
        <v>1121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3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9"/>
        <v>0</v>
      </c>
      <c r="AJ2014" s="2">
        <f t="shared" si="240"/>
        <v>0</v>
      </c>
      <c r="AK2014" s="2">
        <f t="shared" si="241"/>
        <v>505.65999999999997</v>
      </c>
      <c r="AL2014" s="5">
        <f t="shared" si="238"/>
        <v>0.42180513847180512</v>
      </c>
    </row>
    <row r="2015" spans="1:38" hidden="1" x14ac:dyDescent="0.2">
      <c r="A2015" s="2">
        <v>2025</v>
      </c>
      <c r="B2015" s="2">
        <v>10</v>
      </c>
      <c r="D2015" s="2" t="s">
        <v>1121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B2015" s="2" t="s">
        <v>190</v>
      </c>
      <c r="AC2015" s="2" t="s">
        <v>40</v>
      </c>
      <c r="AF2015" s="2">
        <f t="shared" si="239"/>
        <v>0</v>
      </c>
      <c r="AJ2015" s="2">
        <f t="shared" si="240"/>
        <v>0</v>
      </c>
      <c r="AK2015" s="2">
        <f t="shared" si="241"/>
        <v>0</v>
      </c>
      <c r="AL2015" s="5">
        <v>0</v>
      </c>
    </row>
    <row r="2016" spans="1:38" hidden="1" x14ac:dyDescent="0.2">
      <c r="A2016" s="2">
        <v>2025</v>
      </c>
      <c r="B2016" s="2">
        <v>10</v>
      </c>
      <c r="D2016" s="2" t="s">
        <v>1121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3"/>
        <v>0.5</v>
      </c>
      <c r="Z2016" s="2" t="s">
        <v>118</v>
      </c>
      <c r="AA2016" s="2" t="s">
        <v>191</v>
      </c>
      <c r="AB2016" s="2" t="s">
        <v>191</v>
      </c>
      <c r="AC2016" s="2" t="s">
        <v>40</v>
      </c>
      <c r="AF2016" s="2">
        <f t="shared" si="239"/>
        <v>0</v>
      </c>
      <c r="AJ2016" s="2">
        <f t="shared" si="240"/>
        <v>0</v>
      </c>
      <c r="AK2016" s="2">
        <f t="shared" si="241"/>
        <v>25</v>
      </c>
      <c r="AL2016" s="5">
        <f t="shared" si="238"/>
        <v>0.5</v>
      </c>
    </row>
    <row r="2017" spans="1:38" hidden="1" x14ac:dyDescent="0.2">
      <c r="A2017" s="2">
        <v>2025</v>
      </c>
      <c r="B2017" s="2">
        <v>10</v>
      </c>
      <c r="D2017" s="2" t="s">
        <v>1960</v>
      </c>
      <c r="M2017" s="2" t="s">
        <v>40</v>
      </c>
      <c r="P2017" s="2" t="s">
        <v>115</v>
      </c>
      <c r="Q2017" s="2" t="s">
        <v>906</v>
      </c>
      <c r="R2017" s="2" t="s">
        <v>907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3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9"/>
        <v>0</v>
      </c>
      <c r="AJ2017" s="2">
        <f t="shared" si="240"/>
        <v>0</v>
      </c>
      <c r="AK2017" s="2">
        <f t="shared" si="241"/>
        <v>354.09659999999997</v>
      </c>
      <c r="AL2017" s="5">
        <f t="shared" si="238"/>
        <v>0.50635864435864431</v>
      </c>
    </row>
    <row r="2018" spans="1:38" hidden="1" x14ac:dyDescent="0.2">
      <c r="A2018" s="2">
        <v>2025</v>
      </c>
      <c r="B2018" s="2">
        <v>10</v>
      </c>
      <c r="D2018" s="2" t="s">
        <v>1960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3"/>
        <v>0.6</v>
      </c>
      <c r="Z2018" s="2" t="s">
        <v>118</v>
      </c>
      <c r="AA2018" s="2" t="s">
        <v>191</v>
      </c>
      <c r="AB2018" s="2" t="s">
        <v>190</v>
      </c>
      <c r="AC2018" s="2" t="s">
        <v>40</v>
      </c>
      <c r="AF2018" s="2">
        <f t="shared" si="239"/>
        <v>0</v>
      </c>
      <c r="AJ2018" s="2">
        <f t="shared" si="240"/>
        <v>0</v>
      </c>
      <c r="AK2018" s="2">
        <f t="shared" si="241"/>
        <v>96.6</v>
      </c>
      <c r="AL2018" s="5">
        <f t="shared" si="238"/>
        <v>0.6</v>
      </c>
    </row>
    <row r="2019" spans="1:38" hidden="1" x14ac:dyDescent="0.2">
      <c r="A2019" s="2">
        <v>2025</v>
      </c>
      <c r="B2019" s="2">
        <v>10</v>
      </c>
      <c r="D2019" s="2" t="s">
        <v>1960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3"/>
        <v>0.5</v>
      </c>
      <c r="Z2019" s="2" t="s">
        <v>118</v>
      </c>
      <c r="AA2019" s="2" t="s">
        <v>191</v>
      </c>
      <c r="AB2019" s="2" t="s">
        <v>191</v>
      </c>
      <c r="AC2019" s="2" t="s">
        <v>40</v>
      </c>
      <c r="AF2019" s="2">
        <f t="shared" si="239"/>
        <v>0</v>
      </c>
      <c r="AJ2019" s="2">
        <f t="shared" si="240"/>
        <v>0</v>
      </c>
      <c r="AK2019" s="2">
        <f t="shared" si="241"/>
        <v>18.75</v>
      </c>
      <c r="AL2019" s="5">
        <f t="shared" si="238"/>
        <v>0.5</v>
      </c>
    </row>
    <row r="2020" spans="1:38" hidden="1" x14ac:dyDescent="0.2">
      <c r="A2020" s="2">
        <v>2025</v>
      </c>
      <c r="B2020" s="2">
        <v>10</v>
      </c>
      <c r="C2020" s="2" t="s">
        <v>3416</v>
      </c>
      <c r="D2020" s="2" t="s">
        <v>911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912</v>
      </c>
      <c r="K2020" s="2">
        <v>914878988</v>
      </c>
      <c r="L2020" s="2" t="s">
        <v>134</v>
      </c>
      <c r="M2020" s="2" t="s">
        <v>40</v>
      </c>
      <c r="O2020" s="2" t="s">
        <v>1961</v>
      </c>
      <c r="P2020" s="2" t="s">
        <v>115</v>
      </c>
      <c r="Q2020" s="2" t="s">
        <v>1385</v>
      </c>
      <c r="R2020" s="2" t="s">
        <v>1386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243"/>
        <v>0.45360532761788114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9"/>
        <v>0</v>
      </c>
      <c r="AJ2020" s="2">
        <f t="shared" si="240"/>
        <v>0</v>
      </c>
      <c r="AK2020" s="2">
        <f t="shared" si="241"/>
        <v>59.258999999999986</v>
      </c>
      <c r="AL2020" s="5">
        <f t="shared" si="238"/>
        <v>0.45360532761788114</v>
      </c>
    </row>
    <row r="2021" spans="1:38" hidden="1" x14ac:dyDescent="0.2">
      <c r="A2021" s="2">
        <v>2025</v>
      </c>
      <c r="B2021" s="2">
        <v>10</v>
      </c>
      <c r="D2021" s="2" t="s">
        <v>644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645</v>
      </c>
      <c r="J2021" s="2" t="s">
        <v>646</v>
      </c>
      <c r="K2021" s="2">
        <v>964495536</v>
      </c>
      <c r="L2021" s="2" t="s">
        <v>113</v>
      </c>
      <c r="P2021" s="2" t="s">
        <v>115</v>
      </c>
      <c r="Q2021" s="2" t="s">
        <v>647</v>
      </c>
      <c r="R2021" s="2" t="s">
        <v>648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3"/>
        <v>1</v>
      </c>
      <c r="Z2021" s="2" t="s">
        <v>118</v>
      </c>
      <c r="AF2021" s="2">
        <f t="shared" si="239"/>
        <v>0</v>
      </c>
      <c r="AJ2021" s="2">
        <f t="shared" si="240"/>
        <v>0</v>
      </c>
      <c r="AK2021" s="2">
        <f t="shared" si="241"/>
        <v>62.6</v>
      </c>
      <c r="AL2021" s="5">
        <f t="shared" si="238"/>
        <v>1</v>
      </c>
    </row>
    <row r="2022" spans="1:38" hidden="1" x14ac:dyDescent="0.2">
      <c r="A2022" s="2">
        <v>2025</v>
      </c>
      <c r="B2022" s="2">
        <v>10</v>
      </c>
      <c r="D2022" s="2" t="s">
        <v>644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645</v>
      </c>
      <c r="J2022" s="2" t="s">
        <v>646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3"/>
        <v>0.24285714285714294</v>
      </c>
      <c r="Z2022" s="2" t="s">
        <v>3231</v>
      </c>
      <c r="AA2022" s="2" t="s">
        <v>46</v>
      </c>
      <c r="AB2022" s="2" t="s">
        <v>57</v>
      </c>
      <c r="AC2022" s="2" t="s">
        <v>58</v>
      </c>
      <c r="AF2022" s="2">
        <f t="shared" si="239"/>
        <v>0</v>
      </c>
      <c r="AG2022" s="2">
        <v>10.6</v>
      </c>
      <c r="AH2022" s="2">
        <v>18</v>
      </c>
      <c r="AJ2022" s="2">
        <f t="shared" si="240"/>
        <v>0</v>
      </c>
      <c r="AK2022" s="2">
        <f t="shared" si="241"/>
        <v>40.800000000000011</v>
      </c>
      <c r="AL2022" s="5">
        <f t="shared" si="238"/>
        <v>0.24285714285714294</v>
      </c>
    </row>
    <row r="2023" spans="1:38" hidden="1" x14ac:dyDescent="0.2">
      <c r="A2023" s="2">
        <v>2025</v>
      </c>
      <c r="B2023" s="2">
        <v>10</v>
      </c>
      <c r="D2023" s="2" t="s">
        <v>644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645</v>
      </c>
      <c r="J2023" s="2" t="s">
        <v>646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3"/>
        <v>0.36923076923076914</v>
      </c>
      <c r="Z2023" s="2" t="s">
        <v>3231</v>
      </c>
      <c r="AA2023" s="2" t="s">
        <v>46</v>
      </c>
      <c r="AB2023" s="2" t="s">
        <v>61</v>
      </c>
      <c r="AC2023" s="2" t="s">
        <v>58</v>
      </c>
      <c r="AF2023" s="2">
        <f t="shared" si="239"/>
        <v>0</v>
      </c>
      <c r="AG2023" s="2">
        <v>8.1999999999999993</v>
      </c>
      <c r="AH2023" s="2">
        <v>13</v>
      </c>
      <c r="AJ2023" s="2">
        <f t="shared" si="240"/>
        <v>0</v>
      </c>
      <c r="AK2023" s="2">
        <f t="shared" si="241"/>
        <v>4.7999999999999989</v>
      </c>
      <c r="AL2023" s="5">
        <f t="shared" si="238"/>
        <v>0.36923076923076914</v>
      </c>
    </row>
    <row r="2024" spans="1:38" hidden="1" x14ac:dyDescent="0.2">
      <c r="A2024" s="2">
        <v>2025</v>
      </c>
      <c r="B2024" s="2">
        <v>10</v>
      </c>
      <c r="D2024" s="2" t="s">
        <v>1962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1963</v>
      </c>
      <c r="J2024" s="2" t="s">
        <v>1964</v>
      </c>
      <c r="L2024" s="2" t="s">
        <v>294</v>
      </c>
      <c r="M2024" s="2" t="s">
        <v>40</v>
      </c>
      <c r="O2024" s="2" t="s">
        <v>1965</v>
      </c>
      <c r="P2024" s="2" t="s">
        <v>115</v>
      </c>
      <c r="Q2024" s="2" t="s">
        <v>1966</v>
      </c>
      <c r="R2024" s="2" t="s">
        <v>1967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3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9"/>
        <v>0</v>
      </c>
      <c r="AG2024" s="2">
        <f>318.86+13.52</f>
        <v>332.38</v>
      </c>
      <c r="AJ2024" s="2">
        <f t="shared" si="240"/>
        <v>0</v>
      </c>
      <c r="AK2024" s="2">
        <f t="shared" si="241"/>
        <v>335.13</v>
      </c>
      <c r="AL2024" s="5">
        <f t="shared" si="238"/>
        <v>0.50205989423379427</v>
      </c>
    </row>
    <row r="2025" spans="1:38" hidden="1" x14ac:dyDescent="0.2">
      <c r="A2025" s="2">
        <v>2025</v>
      </c>
      <c r="B2025" s="2">
        <v>10</v>
      </c>
      <c r="D2025" s="2" t="s">
        <v>1962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1963</v>
      </c>
      <c r="J2025" s="2" t="s">
        <v>1964</v>
      </c>
      <c r="L2025" s="2" t="s">
        <v>294</v>
      </c>
      <c r="M2025" s="2" t="s">
        <v>40</v>
      </c>
      <c r="P2025" s="2" t="s">
        <v>115</v>
      </c>
      <c r="Q2025" s="2" t="s">
        <v>1968</v>
      </c>
      <c r="R2025" s="2" t="s">
        <v>1969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3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9"/>
        <v>0</v>
      </c>
      <c r="AG2025" s="2">
        <f>182.2+7.72</f>
        <v>189.92</v>
      </c>
      <c r="AJ2025" s="2">
        <f t="shared" si="240"/>
        <v>0</v>
      </c>
      <c r="AK2025" s="2">
        <f t="shared" si="241"/>
        <v>192.70000000000002</v>
      </c>
      <c r="AL2025" s="5">
        <f t="shared" si="238"/>
        <v>0.50363284721133239</v>
      </c>
    </row>
    <row r="2026" spans="1:38" hidden="1" x14ac:dyDescent="0.2">
      <c r="A2026" s="2">
        <v>2025</v>
      </c>
      <c r="B2026" s="2">
        <v>10</v>
      </c>
      <c r="D2026" s="2" t="s">
        <v>1962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1963</v>
      </c>
      <c r="J2026" s="2" t="s">
        <v>1964</v>
      </c>
      <c r="L2026" s="2" t="s">
        <v>294</v>
      </c>
      <c r="M2026" s="2" t="s">
        <v>40</v>
      </c>
      <c r="P2026" s="2" t="s">
        <v>115</v>
      </c>
      <c r="Q2026" s="2" t="s">
        <v>1970</v>
      </c>
      <c r="R2026" s="2" t="s">
        <v>1971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3"/>
        <v>1</v>
      </c>
      <c r="Z2026" s="2" t="s">
        <v>118</v>
      </c>
      <c r="AF2026" s="2">
        <f t="shared" si="239"/>
        <v>0</v>
      </c>
      <c r="AJ2026" s="2">
        <f t="shared" si="240"/>
        <v>0</v>
      </c>
      <c r="AK2026" s="2">
        <f t="shared" si="241"/>
        <v>190</v>
      </c>
      <c r="AL2026" s="5">
        <f t="shared" si="238"/>
        <v>1</v>
      </c>
    </row>
    <row r="2027" spans="1:38" hidden="1" x14ac:dyDescent="0.2">
      <c r="A2027" s="2">
        <v>2025</v>
      </c>
      <c r="B2027" s="2">
        <v>10</v>
      </c>
      <c r="D2027" s="2" t="s">
        <v>1972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3"/>
        <v>0.46612272727272724</v>
      </c>
      <c r="Z2027" s="2" t="s">
        <v>3231</v>
      </c>
      <c r="AA2027" s="2" t="s">
        <v>76</v>
      </c>
      <c r="AB2027" s="2" t="s">
        <v>77</v>
      </c>
      <c r="AC2027" s="2" t="s">
        <v>78</v>
      </c>
      <c r="AF2027" s="2">
        <f t="shared" si="239"/>
        <v>0</v>
      </c>
      <c r="AG2027" s="2">
        <v>117.453</v>
      </c>
      <c r="AH2027" s="2">
        <v>220</v>
      </c>
      <c r="AJ2027" s="2">
        <f t="shared" si="240"/>
        <v>0</v>
      </c>
      <c r="AK2027" s="2">
        <f t="shared" si="241"/>
        <v>102.547</v>
      </c>
      <c r="AL2027" s="5">
        <f t="shared" si="238"/>
        <v>0.46612272727272724</v>
      </c>
    </row>
    <row r="2028" spans="1:38" hidden="1" x14ac:dyDescent="0.2">
      <c r="A2028" s="2">
        <v>2025</v>
      </c>
      <c r="B2028" s="2">
        <v>10</v>
      </c>
      <c r="D2028" s="2" t="s">
        <v>1972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3"/>
        <v>0</v>
      </c>
      <c r="Z2028" s="2" t="s">
        <v>3231</v>
      </c>
      <c r="AA2028" s="2" t="s">
        <v>97</v>
      </c>
      <c r="AB2028" s="2" t="s">
        <v>77</v>
      </c>
      <c r="AC2028" s="2" t="s">
        <v>94</v>
      </c>
      <c r="AF2028" s="2">
        <f t="shared" si="239"/>
        <v>0</v>
      </c>
      <c r="AJ2028" s="2">
        <f t="shared" si="240"/>
        <v>0</v>
      </c>
      <c r="AK2028" s="2">
        <f t="shared" si="241"/>
        <v>0</v>
      </c>
      <c r="AL2028" s="5">
        <f t="shared" si="238"/>
        <v>0</v>
      </c>
    </row>
    <row r="2029" spans="1:38" hidden="1" x14ac:dyDescent="0.2">
      <c r="A2029" s="2">
        <v>2025</v>
      </c>
      <c r="B2029" s="2">
        <v>10</v>
      </c>
      <c r="D2029" s="2" t="s">
        <v>923</v>
      </c>
      <c r="P2029" s="2" t="s">
        <v>3234</v>
      </c>
      <c r="Q2029" s="2" t="s">
        <v>1790</v>
      </c>
      <c r="R2029" s="2" t="s">
        <v>1791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3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3234</v>
      </c>
      <c r="AF2029" s="2">
        <f t="shared" si="239"/>
        <v>0</v>
      </c>
      <c r="AJ2029" s="2">
        <f t="shared" si="240"/>
        <v>0</v>
      </c>
      <c r="AK2029" s="2">
        <f t="shared" si="241"/>
        <v>748.04</v>
      </c>
      <c r="AL2029" s="5">
        <f t="shared" si="238"/>
        <v>0.41907002801120447</v>
      </c>
    </row>
    <row r="2030" spans="1:38" hidden="1" x14ac:dyDescent="0.2">
      <c r="A2030" s="2">
        <v>2025</v>
      </c>
      <c r="B2030" s="2">
        <v>10</v>
      </c>
      <c r="D2030" s="2" t="s">
        <v>923</v>
      </c>
      <c r="M2030" s="2" t="s">
        <v>40</v>
      </c>
      <c r="P2030" s="2" t="s">
        <v>188</v>
      </c>
      <c r="Q2030" s="2" t="s">
        <v>1310</v>
      </c>
      <c r="R2030" s="2" t="s">
        <v>1311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3"/>
        <v>#DIV/0!</v>
      </c>
      <c r="Z2030" s="2" t="s">
        <v>118</v>
      </c>
      <c r="AA2030" s="2" t="s">
        <v>1312</v>
      </c>
      <c r="AF2030" s="2">
        <f t="shared" si="239"/>
        <v>0</v>
      </c>
      <c r="AJ2030" s="2">
        <f t="shared" si="240"/>
        <v>0</v>
      </c>
      <c r="AK2030" s="2">
        <f t="shared" si="241"/>
        <v>0</v>
      </c>
      <c r="AL2030" s="5" t="e">
        <f t="shared" si="238"/>
        <v>#DIV/0!</v>
      </c>
    </row>
    <row r="2031" spans="1:38" hidden="1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1438</v>
      </c>
      <c r="R2031" s="2" t="s">
        <v>1439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3"/>
        <v>0.20015576323987541</v>
      </c>
      <c r="Z2031" s="2" t="s">
        <v>3231</v>
      </c>
      <c r="AA2031" s="2" t="s">
        <v>72</v>
      </c>
      <c r="AB2031" s="2" t="s">
        <v>120</v>
      </c>
      <c r="AC2031" s="2" t="s">
        <v>120</v>
      </c>
      <c r="AF2031" s="2">
        <f t="shared" si="239"/>
        <v>0</v>
      </c>
      <c r="AJ2031" s="2">
        <f t="shared" si="240"/>
        <v>0</v>
      </c>
      <c r="AK2031" s="2">
        <f t="shared" si="241"/>
        <v>1.2850000000000001</v>
      </c>
      <c r="AL2031" s="5">
        <f t="shared" si="238"/>
        <v>0.20015576323987541</v>
      </c>
    </row>
    <row r="2032" spans="1:38" hidden="1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3"/>
        <v>0.13000000000000006</v>
      </c>
      <c r="Z2032" s="2" t="s">
        <v>3231</v>
      </c>
      <c r="AA2032" s="2" t="s">
        <v>46</v>
      </c>
      <c r="AB2032" s="2" t="s">
        <v>61</v>
      </c>
      <c r="AC2032" s="2" t="s">
        <v>3336</v>
      </c>
      <c r="AF2032" s="2">
        <f t="shared" si="239"/>
        <v>0</v>
      </c>
      <c r="AJ2032" s="2">
        <f t="shared" si="240"/>
        <v>0</v>
      </c>
      <c r="AK2032" s="2">
        <f t="shared" si="241"/>
        <v>5.2000000000000028</v>
      </c>
      <c r="AL2032" s="5">
        <f t="shared" si="238"/>
        <v>0.13000000000000006</v>
      </c>
    </row>
    <row r="2033" spans="1:38" hidden="1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3"/>
        <v>0.29333333333333333</v>
      </c>
      <c r="Z2033" s="2" t="s">
        <v>3231</v>
      </c>
      <c r="AA2033" s="2" t="s">
        <v>46</v>
      </c>
      <c r="AB2033" s="2" t="s">
        <v>57</v>
      </c>
      <c r="AC2033" s="2" t="s">
        <v>58</v>
      </c>
      <c r="AF2033" s="2">
        <f t="shared" si="239"/>
        <v>0</v>
      </c>
      <c r="AG2033" s="2">
        <v>10.6</v>
      </c>
      <c r="AH2033" s="2">
        <v>18</v>
      </c>
      <c r="AJ2033" s="2">
        <f t="shared" si="240"/>
        <v>0</v>
      </c>
      <c r="AK2033" s="2">
        <f t="shared" si="241"/>
        <v>8.8000000000000007</v>
      </c>
      <c r="AL2033" s="5">
        <f t="shared" si="238"/>
        <v>0.29333333333333333</v>
      </c>
    </row>
    <row r="2034" spans="1:38" hidden="1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3"/>
        <v>0.21904761904761902</v>
      </c>
      <c r="Z2034" s="2" t="s">
        <v>3231</v>
      </c>
      <c r="AA2034" s="2" t="s">
        <v>46</v>
      </c>
      <c r="AB2034" s="2" t="s">
        <v>61</v>
      </c>
      <c r="AC2034" s="2" t="s">
        <v>58</v>
      </c>
      <c r="AF2034" s="2">
        <f t="shared" si="239"/>
        <v>0</v>
      </c>
      <c r="AG2034" s="2">
        <v>8.1999999999999993</v>
      </c>
      <c r="AH2034" s="2">
        <v>13</v>
      </c>
      <c r="AJ2034" s="2">
        <f t="shared" si="240"/>
        <v>0</v>
      </c>
      <c r="AK2034" s="2">
        <f t="shared" si="241"/>
        <v>25.299999999999997</v>
      </c>
      <c r="AL2034" s="5">
        <f t="shared" si="238"/>
        <v>0.21904761904761902</v>
      </c>
    </row>
    <row r="2035" spans="1:38" hidden="1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3"/>
        <v>0.63360000000000005</v>
      </c>
      <c r="Z2035" s="2" t="s">
        <v>3231</v>
      </c>
      <c r="AA2035" s="2" t="s">
        <v>46</v>
      </c>
      <c r="AB2035" s="2" t="s">
        <v>61</v>
      </c>
      <c r="AC2035" s="2" t="s">
        <v>58</v>
      </c>
      <c r="AF2035" s="2">
        <f t="shared" si="239"/>
        <v>0</v>
      </c>
      <c r="AG2035" s="2">
        <v>1.8320000000000001</v>
      </c>
      <c r="AH2035" s="2">
        <v>2.4</v>
      </c>
      <c r="AJ2035" s="2">
        <f t="shared" si="240"/>
        <v>0</v>
      </c>
      <c r="AK2035" s="2">
        <f t="shared" si="241"/>
        <v>3.1680000000000001</v>
      </c>
      <c r="AL2035" s="5">
        <f t="shared" ref="AL2035:AL2098" si="245">(T2035-W2035)/T2035</f>
        <v>0.63360000000000005</v>
      </c>
    </row>
    <row r="2036" spans="1:38" hidden="1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973</v>
      </c>
      <c r="R2036" s="2" t="s">
        <v>974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3"/>
        <v>1</v>
      </c>
      <c r="Z2036" s="2" t="s">
        <v>3231</v>
      </c>
      <c r="AA2036" s="2" t="s">
        <v>46</v>
      </c>
      <c r="AB2036" s="2" t="s">
        <v>61</v>
      </c>
      <c r="AC2036" s="2" t="s">
        <v>58</v>
      </c>
      <c r="AF2036" s="2">
        <f t="shared" si="239"/>
        <v>0</v>
      </c>
      <c r="AJ2036" s="2">
        <f t="shared" si="240"/>
        <v>0</v>
      </c>
      <c r="AK2036" s="2">
        <f t="shared" si="241"/>
        <v>29</v>
      </c>
      <c r="AL2036" s="5">
        <f t="shared" si="245"/>
        <v>1</v>
      </c>
    </row>
    <row r="2037" spans="1:38" hidden="1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3"/>
        <v>0.43771043771043766</v>
      </c>
      <c r="Z2037" s="2" t="s">
        <v>3231</v>
      </c>
      <c r="AA2037" s="2" t="s">
        <v>76</v>
      </c>
      <c r="AB2037" s="2" t="s">
        <v>77</v>
      </c>
      <c r="AC2037" s="2" t="s">
        <v>78</v>
      </c>
      <c r="AF2037" s="2">
        <f t="shared" si="239"/>
        <v>0</v>
      </c>
      <c r="AG2037" s="2">
        <v>131.93</v>
      </c>
      <c r="AH2037" s="2">
        <v>220</v>
      </c>
      <c r="AJ2037" s="2">
        <f t="shared" si="240"/>
        <v>0</v>
      </c>
      <c r="AK2037" s="2">
        <f t="shared" si="241"/>
        <v>102.69999999999999</v>
      </c>
      <c r="AL2037" s="5">
        <f t="shared" si="245"/>
        <v>0.43771043771043766</v>
      </c>
    </row>
    <row r="2038" spans="1:38" hidden="1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3208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3"/>
        <v>0.32775026264445439</v>
      </c>
      <c r="Z2038" s="2" t="s">
        <v>3231</v>
      </c>
      <c r="AA2038" s="2" t="s">
        <v>76</v>
      </c>
      <c r="AB2038" s="2" t="s">
        <v>77</v>
      </c>
      <c r="AC2038" s="2" t="s">
        <v>78</v>
      </c>
      <c r="AF2038" s="2">
        <f t="shared" si="239"/>
        <v>0</v>
      </c>
      <c r="AG2038" s="2">
        <v>111.98</v>
      </c>
      <c r="AH2038" s="2">
        <v>210</v>
      </c>
      <c r="AJ2038" s="2">
        <f t="shared" si="240"/>
        <v>0</v>
      </c>
      <c r="AK2038" s="2">
        <f t="shared" si="241"/>
        <v>109.18999999999997</v>
      </c>
      <c r="AL2038" s="5">
        <f t="shared" si="245"/>
        <v>0.32775026264445439</v>
      </c>
    </row>
    <row r="2039" spans="1:38" hidden="1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1040</v>
      </c>
      <c r="Q2039" s="2" t="s">
        <v>1973</v>
      </c>
      <c r="R2039" s="2" t="s">
        <v>1974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3"/>
        <v>0.45881818181818179</v>
      </c>
      <c r="Z2039" s="2" t="s">
        <v>3231</v>
      </c>
      <c r="AA2039" s="2" t="s">
        <v>76</v>
      </c>
      <c r="AB2039" s="2" t="s">
        <v>77</v>
      </c>
      <c r="AC2039" s="2" t="s">
        <v>1040</v>
      </c>
      <c r="AF2039" s="2">
        <f t="shared" si="239"/>
        <v>0</v>
      </c>
      <c r="AJ2039" s="2">
        <f t="shared" si="240"/>
        <v>0</v>
      </c>
      <c r="AK2039" s="2">
        <f t="shared" si="241"/>
        <v>100.94</v>
      </c>
      <c r="AL2039" s="5">
        <f t="shared" si="245"/>
        <v>0.45881818181818179</v>
      </c>
    </row>
    <row r="2040" spans="1:38" hidden="1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1975</v>
      </c>
      <c r="R2040" s="2" t="s">
        <v>1976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3"/>
        <v>1</v>
      </c>
      <c r="Z2040" s="2" t="s">
        <v>3231</v>
      </c>
      <c r="AA2040" s="2" t="s">
        <v>88</v>
      </c>
      <c r="AB2040" s="2" t="s">
        <v>91</v>
      </c>
      <c r="AC2040" s="2" t="s">
        <v>85</v>
      </c>
      <c r="AF2040" s="2">
        <f t="shared" si="239"/>
        <v>0</v>
      </c>
      <c r="AJ2040" s="2">
        <f t="shared" si="240"/>
        <v>0</v>
      </c>
      <c r="AK2040" s="2">
        <f t="shared" si="241"/>
        <v>15</v>
      </c>
      <c r="AL2040" s="5">
        <f t="shared" si="245"/>
        <v>1</v>
      </c>
    </row>
    <row r="2041" spans="1:38" hidden="1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1310</v>
      </c>
      <c r="R2041" s="2" t="s">
        <v>1311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3"/>
        <v>1</v>
      </c>
      <c r="Z2041" s="2" t="s">
        <v>118</v>
      </c>
      <c r="AA2041" s="2" t="s">
        <v>1312</v>
      </c>
      <c r="AF2041" s="2">
        <f t="shared" si="239"/>
        <v>0</v>
      </c>
      <c r="AJ2041" s="2">
        <f t="shared" si="240"/>
        <v>0</v>
      </c>
      <c r="AK2041" s="2">
        <f t="shared" si="241"/>
        <v>10.5</v>
      </c>
      <c r="AL2041" s="5">
        <f t="shared" si="245"/>
        <v>1</v>
      </c>
    </row>
    <row r="2042" spans="1:38" hidden="1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3"/>
        <v>0</v>
      </c>
      <c r="Z2042" s="2" t="s">
        <v>3231</v>
      </c>
      <c r="AA2042" s="2" t="s">
        <v>97</v>
      </c>
      <c r="AB2042" s="2" t="s">
        <v>77</v>
      </c>
      <c r="AC2042" s="2" t="s">
        <v>94</v>
      </c>
      <c r="AF2042" s="2">
        <f t="shared" si="239"/>
        <v>0</v>
      </c>
      <c r="AJ2042" s="2">
        <f t="shared" si="240"/>
        <v>0</v>
      </c>
      <c r="AK2042" s="2">
        <f t="shared" si="241"/>
        <v>0</v>
      </c>
      <c r="AL2042" s="5">
        <f t="shared" si="245"/>
        <v>0</v>
      </c>
    </row>
    <row r="2043" spans="1:38" hidden="1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3"/>
        <v>1</v>
      </c>
      <c r="Z2043" s="2" t="s">
        <v>120</v>
      </c>
      <c r="AA2043" s="2" t="s">
        <v>3385</v>
      </c>
      <c r="AF2043" s="2">
        <f t="shared" si="239"/>
        <v>0</v>
      </c>
      <c r="AJ2043" s="2">
        <f t="shared" si="240"/>
        <v>0</v>
      </c>
      <c r="AK2043" s="2">
        <f t="shared" si="241"/>
        <v>939.5</v>
      </c>
      <c r="AL2043" s="5">
        <f t="shared" si="245"/>
        <v>1</v>
      </c>
    </row>
    <row r="2044" spans="1:38" hidden="1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906</v>
      </c>
      <c r="R2044" s="2" t="s">
        <v>907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3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9"/>
        <v>0</v>
      </c>
      <c r="AJ2044" s="2">
        <f t="shared" si="240"/>
        <v>0</v>
      </c>
      <c r="AK2044" s="2">
        <f t="shared" si="241"/>
        <v>254.19659999999999</v>
      </c>
      <c r="AL2044" s="5">
        <f t="shared" si="245"/>
        <v>0.42408508508508508</v>
      </c>
    </row>
    <row r="2045" spans="1:38" hidden="1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3"/>
        <v>0.59999999999999987</v>
      </c>
      <c r="Z2045" s="2" t="s">
        <v>118</v>
      </c>
      <c r="AA2045" s="2" t="s">
        <v>191</v>
      </c>
      <c r="AB2045" s="2" t="s">
        <v>190</v>
      </c>
      <c r="AC2045" s="2" t="s">
        <v>40</v>
      </c>
      <c r="AF2045" s="2">
        <f t="shared" si="239"/>
        <v>0</v>
      </c>
      <c r="AJ2045" s="2">
        <f t="shared" si="240"/>
        <v>0</v>
      </c>
      <c r="AK2045" s="2">
        <f t="shared" si="241"/>
        <v>36.599999999999994</v>
      </c>
      <c r="AL2045" s="5">
        <f t="shared" si="245"/>
        <v>0.59999999999999987</v>
      </c>
    </row>
    <row r="2046" spans="1:38" hidden="1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3"/>
        <v>0.5</v>
      </c>
      <c r="Z2046" s="2" t="s">
        <v>118</v>
      </c>
      <c r="AA2046" s="2" t="s">
        <v>191</v>
      </c>
      <c r="AB2046" s="2" t="s">
        <v>191</v>
      </c>
      <c r="AC2046" s="2" t="s">
        <v>40</v>
      </c>
      <c r="AF2046" s="2">
        <f t="shared" si="239"/>
        <v>0</v>
      </c>
      <c r="AJ2046" s="2">
        <f t="shared" si="240"/>
        <v>0</v>
      </c>
      <c r="AK2046" s="2">
        <f t="shared" si="241"/>
        <v>25</v>
      </c>
      <c r="AL2046" s="5">
        <f t="shared" si="245"/>
        <v>0.5</v>
      </c>
    </row>
    <row r="2047" spans="1:38" hidden="1" x14ac:dyDescent="0.2">
      <c r="A2047" s="2">
        <v>2025</v>
      </c>
      <c r="B2047" s="2">
        <v>11</v>
      </c>
      <c r="C2047" s="2" t="s">
        <v>3458</v>
      </c>
      <c r="D2047" s="2" t="s">
        <v>1676</v>
      </c>
      <c r="E2047" s="2" t="s">
        <v>38</v>
      </c>
      <c r="F2047" s="2" t="s">
        <v>39</v>
      </c>
      <c r="L2047" s="2" t="s">
        <v>100</v>
      </c>
      <c r="M2047" s="2" t="s">
        <v>81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3"/>
        <v>0.44777500000000003</v>
      </c>
      <c r="Z2047" s="2" t="s">
        <v>3231</v>
      </c>
      <c r="AA2047" s="2" t="s">
        <v>46</v>
      </c>
      <c r="AB2047" s="2" t="s">
        <v>47</v>
      </c>
      <c r="AC2047" s="2" t="s">
        <v>48</v>
      </c>
      <c r="AF2047" s="2">
        <f t="shared" si="239"/>
        <v>0</v>
      </c>
      <c r="AG2047" s="2">
        <v>6.6266999999999996</v>
      </c>
      <c r="AH2047" s="2">
        <v>12</v>
      </c>
      <c r="AJ2047" s="2">
        <f t="shared" si="240"/>
        <v>0</v>
      </c>
      <c r="AK2047" s="2">
        <f t="shared" si="241"/>
        <v>10.746600000000001</v>
      </c>
      <c r="AL2047" s="5">
        <f t="shared" si="245"/>
        <v>0.44777500000000003</v>
      </c>
    </row>
    <row r="2048" spans="1:38" hidden="1" x14ac:dyDescent="0.2">
      <c r="A2048" s="2">
        <v>2025</v>
      </c>
      <c r="B2048" s="2">
        <v>11</v>
      </c>
      <c r="C2048" s="2" t="s">
        <v>3458</v>
      </c>
      <c r="D2048" s="2" t="s">
        <v>1676</v>
      </c>
      <c r="E2048" s="2" t="s">
        <v>38</v>
      </c>
      <c r="F2048" s="2" t="s">
        <v>39</v>
      </c>
      <c r="L2048" s="2" t="s">
        <v>100</v>
      </c>
      <c r="M2048" s="2" t="s">
        <v>81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3"/>
        <v>0.34399999999999997</v>
      </c>
      <c r="Z2048" s="2" t="s">
        <v>3231</v>
      </c>
      <c r="AA2048" s="2" t="s">
        <v>46</v>
      </c>
      <c r="AB2048" s="2" t="s">
        <v>61</v>
      </c>
      <c r="AC2048" s="2" t="s">
        <v>58</v>
      </c>
      <c r="AF2048" s="2">
        <f t="shared" si="239"/>
        <v>0</v>
      </c>
      <c r="AG2048" s="2">
        <v>8.1999999999999993</v>
      </c>
      <c r="AH2048" s="2">
        <v>13</v>
      </c>
      <c r="AJ2048" s="2">
        <f t="shared" si="240"/>
        <v>0</v>
      </c>
      <c r="AK2048" s="2">
        <f t="shared" si="241"/>
        <v>12.899999999999999</v>
      </c>
      <c r="AL2048" s="5">
        <f t="shared" si="245"/>
        <v>0.34399999999999997</v>
      </c>
    </row>
    <row r="2049" spans="1:38" hidden="1" x14ac:dyDescent="0.2">
      <c r="A2049" s="2">
        <v>2025</v>
      </c>
      <c r="B2049" s="2">
        <v>11</v>
      </c>
      <c r="C2049" s="2" t="s">
        <v>3458</v>
      </c>
      <c r="D2049" s="2" t="s">
        <v>1676</v>
      </c>
      <c r="E2049" s="2" t="s">
        <v>38</v>
      </c>
      <c r="F2049" s="2" t="s">
        <v>39</v>
      </c>
      <c r="L2049" s="2" t="s">
        <v>100</v>
      </c>
      <c r="M2049" s="2" t="s">
        <v>81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3"/>
        <v>0.39066666666666677</v>
      </c>
      <c r="Z2049" s="2" t="s">
        <v>3231</v>
      </c>
      <c r="AA2049" s="2" t="s">
        <v>46</v>
      </c>
      <c r="AB2049" s="2" t="s">
        <v>61</v>
      </c>
      <c r="AC2049" s="2" t="s">
        <v>58</v>
      </c>
      <c r="AF2049" s="2">
        <f t="shared" si="239"/>
        <v>0</v>
      </c>
      <c r="AJ2049" s="2">
        <f t="shared" si="240"/>
        <v>0</v>
      </c>
      <c r="AK2049" s="2">
        <f t="shared" si="241"/>
        <v>5.8600000000000012</v>
      </c>
      <c r="AL2049" s="5">
        <f t="shared" si="245"/>
        <v>0.39066666666666677</v>
      </c>
    </row>
    <row r="2050" spans="1:38" hidden="1" x14ac:dyDescent="0.2">
      <c r="A2050" s="2">
        <v>2025</v>
      </c>
      <c r="B2050" s="2">
        <v>11</v>
      </c>
      <c r="D2050" s="2" t="s">
        <v>935</v>
      </c>
      <c r="P2050" s="2" t="s">
        <v>115</v>
      </c>
      <c r="Q2050" s="2" t="s">
        <v>780</v>
      </c>
      <c r="R2050" s="2" t="s">
        <v>781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3"/>
        <v>1</v>
      </c>
      <c r="Z2050" s="2" t="s">
        <v>118</v>
      </c>
      <c r="AF2050" s="2">
        <f t="shared" si="239"/>
        <v>0</v>
      </c>
      <c r="AJ2050" s="2">
        <f t="shared" si="240"/>
        <v>0</v>
      </c>
      <c r="AK2050" s="2">
        <f t="shared" si="241"/>
        <v>153.34</v>
      </c>
      <c r="AL2050" s="5">
        <f t="shared" si="245"/>
        <v>1</v>
      </c>
    </row>
    <row r="2051" spans="1:38" hidden="1" x14ac:dyDescent="0.2">
      <c r="A2051" s="2">
        <v>2025</v>
      </c>
      <c r="B2051" s="2">
        <v>11</v>
      </c>
      <c r="D2051" s="2" t="s">
        <v>935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3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6">AJ2051</f>
        <v>0</v>
      </c>
      <c r="AJ2051" s="2">
        <f t="shared" ref="AJ2051:AJ2114" si="247">AI2051*T2051</f>
        <v>0</v>
      </c>
      <c r="AK2051" s="2">
        <f t="shared" ref="AK2051:AK2114" si="248">T2051-W2051</f>
        <v>352.72999999999996</v>
      </c>
      <c r="AL2051" s="5">
        <f t="shared" si="245"/>
        <v>0.50440440440440437</v>
      </c>
    </row>
    <row r="2052" spans="1:38" hidden="1" x14ac:dyDescent="0.2">
      <c r="A2052" s="2">
        <v>2025</v>
      </c>
      <c r="B2052" s="2">
        <v>11</v>
      </c>
      <c r="D2052" s="2" t="s">
        <v>935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3"/>
        <v>0.60000000000000009</v>
      </c>
      <c r="Z2052" s="2" t="s">
        <v>118</v>
      </c>
      <c r="AA2052" s="2" t="s">
        <v>191</v>
      </c>
      <c r="AB2052" s="2" t="s">
        <v>190</v>
      </c>
      <c r="AC2052" s="2" t="s">
        <v>40</v>
      </c>
      <c r="AF2052" s="2">
        <f t="shared" si="246"/>
        <v>0</v>
      </c>
      <c r="AJ2052" s="2">
        <f t="shared" si="247"/>
        <v>0</v>
      </c>
      <c r="AK2052" s="2">
        <f t="shared" si="248"/>
        <v>86.4</v>
      </c>
      <c r="AL2052" s="5">
        <f t="shared" si="245"/>
        <v>0.60000000000000009</v>
      </c>
    </row>
    <row r="2053" spans="1:38" hidden="1" x14ac:dyDescent="0.2">
      <c r="A2053" s="2">
        <v>2025</v>
      </c>
      <c r="B2053" s="2">
        <v>11</v>
      </c>
      <c r="D2053" s="2" t="s">
        <v>935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B2053" s="2" t="s">
        <v>191</v>
      </c>
      <c r="AC2053" s="2" t="s">
        <v>40</v>
      </c>
      <c r="AF2053" s="2">
        <f t="shared" si="246"/>
        <v>0</v>
      </c>
      <c r="AJ2053" s="2">
        <f t="shared" si="247"/>
        <v>0</v>
      </c>
      <c r="AK2053" s="2">
        <f t="shared" si="248"/>
        <v>0</v>
      </c>
      <c r="AL2053" s="5">
        <v>0</v>
      </c>
    </row>
    <row r="2054" spans="1:38" hidden="1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780</v>
      </c>
      <c r="R2054" s="2" t="s">
        <v>781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3"/>
        <v>1</v>
      </c>
      <c r="Z2054" s="2" t="s">
        <v>118</v>
      </c>
      <c r="AF2054" s="2">
        <f t="shared" si="246"/>
        <v>0</v>
      </c>
      <c r="AJ2054" s="2">
        <f t="shared" si="247"/>
        <v>0</v>
      </c>
      <c r="AK2054" s="2">
        <f t="shared" si="248"/>
        <v>153.34</v>
      </c>
      <c r="AL2054" s="5">
        <f t="shared" si="245"/>
        <v>1</v>
      </c>
    </row>
    <row r="2055" spans="1:38" hidden="1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1977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3"/>
        <v>0.44852380952380949</v>
      </c>
      <c r="Z2055" s="2" t="s">
        <v>3231</v>
      </c>
      <c r="AA2055" s="2" t="s">
        <v>76</v>
      </c>
      <c r="AB2055" s="2" t="s">
        <v>77</v>
      </c>
      <c r="AC2055" s="2" t="s">
        <v>78</v>
      </c>
      <c r="AF2055" s="2">
        <f t="shared" si="246"/>
        <v>0</v>
      </c>
      <c r="AJ2055" s="2">
        <f t="shared" si="247"/>
        <v>0</v>
      </c>
      <c r="AK2055" s="2">
        <f t="shared" si="248"/>
        <v>94.19</v>
      </c>
      <c r="AL2055" s="5">
        <f t="shared" si="245"/>
        <v>0.44852380952380949</v>
      </c>
    </row>
    <row r="2056" spans="1:38" hidden="1" x14ac:dyDescent="0.2">
      <c r="A2056" s="2">
        <v>2025</v>
      </c>
      <c r="B2056" s="2">
        <v>11</v>
      </c>
      <c r="D2056" s="2" t="s">
        <v>144</v>
      </c>
      <c r="P2056" s="2" t="s">
        <v>1040</v>
      </c>
      <c r="Q2056" s="2" t="s">
        <v>1978</v>
      </c>
      <c r="R2056" s="2" t="s">
        <v>1979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3"/>
        <v>0.26666666666666666</v>
      </c>
      <c r="Z2056" s="2" t="s">
        <v>3231</v>
      </c>
      <c r="AA2056" s="2" t="s">
        <v>76</v>
      </c>
      <c r="AB2056" s="2" t="s">
        <v>77</v>
      </c>
      <c r="AC2056" s="2" t="s">
        <v>1040</v>
      </c>
      <c r="AF2056" s="2">
        <f t="shared" si="246"/>
        <v>0</v>
      </c>
      <c r="AJ2056" s="2">
        <f t="shared" si="247"/>
        <v>0</v>
      </c>
      <c r="AK2056" s="2">
        <f t="shared" si="248"/>
        <v>120</v>
      </c>
      <c r="AL2056" s="5">
        <f t="shared" si="245"/>
        <v>0.26666666666666666</v>
      </c>
    </row>
    <row r="2057" spans="1:38" hidden="1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3"/>
        <v>0.60000000000000009</v>
      </c>
      <c r="Z2057" s="2" t="s">
        <v>118</v>
      </c>
      <c r="AA2057" s="2" t="s">
        <v>191</v>
      </c>
      <c r="AB2057" s="2" t="s">
        <v>190</v>
      </c>
      <c r="AC2057" s="2" t="s">
        <v>40</v>
      </c>
      <c r="AF2057" s="2">
        <f t="shared" si="246"/>
        <v>0</v>
      </c>
      <c r="AJ2057" s="2">
        <f t="shared" si="247"/>
        <v>0</v>
      </c>
      <c r="AK2057" s="2">
        <f t="shared" si="248"/>
        <v>136.80000000000001</v>
      </c>
      <c r="AL2057" s="5">
        <f t="shared" si="245"/>
        <v>0.60000000000000009</v>
      </c>
    </row>
    <row r="2058" spans="1:38" hidden="1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3"/>
        <v>0.5</v>
      </c>
      <c r="Z2058" s="2" t="s">
        <v>118</v>
      </c>
      <c r="AA2058" s="2" t="s">
        <v>191</v>
      </c>
      <c r="AB2058" s="2" t="s">
        <v>191</v>
      </c>
      <c r="AC2058" s="2" t="s">
        <v>40</v>
      </c>
      <c r="AF2058" s="2">
        <f t="shared" si="246"/>
        <v>0</v>
      </c>
      <c r="AJ2058" s="2">
        <f t="shared" si="247"/>
        <v>0</v>
      </c>
      <c r="AK2058" s="2">
        <f t="shared" si="248"/>
        <v>125</v>
      </c>
      <c r="AL2058" s="5">
        <f t="shared" si="245"/>
        <v>0.5</v>
      </c>
    </row>
    <row r="2059" spans="1:38" hidden="1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3"/>
        <v>-0.53333333333333333</v>
      </c>
      <c r="Z2059" s="2" t="s">
        <v>170</v>
      </c>
      <c r="AA2059" s="2" t="s">
        <v>170</v>
      </c>
      <c r="AF2059" s="2">
        <f t="shared" si="246"/>
        <v>0</v>
      </c>
      <c r="AJ2059" s="2">
        <f t="shared" si="247"/>
        <v>0</v>
      </c>
      <c r="AK2059" s="2">
        <f t="shared" si="248"/>
        <v>-8</v>
      </c>
      <c r="AL2059" s="5">
        <f t="shared" si="245"/>
        <v>-0.53333333333333333</v>
      </c>
    </row>
    <row r="2060" spans="1:38" hidden="1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3"/>
        <v>0</v>
      </c>
      <c r="Z2060" s="2" t="s">
        <v>3231</v>
      </c>
      <c r="AA2060" s="2" t="s">
        <v>97</v>
      </c>
      <c r="AB2060" s="2" t="s">
        <v>77</v>
      </c>
      <c r="AC2060" s="2" t="s">
        <v>94</v>
      </c>
      <c r="AF2060" s="2">
        <f t="shared" si="246"/>
        <v>0</v>
      </c>
      <c r="AJ2060" s="2">
        <f t="shared" si="247"/>
        <v>0</v>
      </c>
      <c r="AK2060" s="2">
        <f t="shared" si="248"/>
        <v>0</v>
      </c>
      <c r="AL2060" s="5">
        <f t="shared" si="245"/>
        <v>0</v>
      </c>
    </row>
    <row r="2061" spans="1:38" hidden="1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3"/>
        <v>1</v>
      </c>
      <c r="Z2061" s="2" t="s">
        <v>120</v>
      </c>
      <c r="AA2061" s="2" t="s">
        <v>3385</v>
      </c>
      <c r="AF2061" s="2">
        <f t="shared" si="246"/>
        <v>0</v>
      </c>
      <c r="AJ2061" s="2">
        <f t="shared" si="247"/>
        <v>0</v>
      </c>
      <c r="AK2061" s="2">
        <f t="shared" si="248"/>
        <v>67.2</v>
      </c>
      <c r="AL2061" s="5">
        <f t="shared" si="245"/>
        <v>1</v>
      </c>
    </row>
    <row r="2062" spans="1:38" hidden="1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43"/>
        <v>0.43981481481481483</v>
      </c>
      <c r="Z2062" s="2" t="s">
        <v>3231</v>
      </c>
      <c r="AA2062" s="2" t="s">
        <v>46</v>
      </c>
      <c r="AB2062" s="2" t="s">
        <v>57</v>
      </c>
      <c r="AC2062" s="2" t="s">
        <v>58</v>
      </c>
      <c r="AF2062" s="2">
        <f t="shared" si="246"/>
        <v>0</v>
      </c>
      <c r="AJ2062" s="2">
        <f t="shared" si="247"/>
        <v>0</v>
      </c>
      <c r="AK2062" s="2">
        <f t="shared" si="248"/>
        <v>7.125</v>
      </c>
      <c r="AL2062" s="5">
        <f t="shared" si="245"/>
        <v>0.43981481481481483</v>
      </c>
    </row>
    <row r="2063" spans="1:38" hidden="1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3"/>
        <v>1</v>
      </c>
      <c r="Z2063" s="2" t="s">
        <v>3231</v>
      </c>
      <c r="AA2063" s="2" t="s">
        <v>46</v>
      </c>
      <c r="AB2063" s="2" t="s">
        <v>57</v>
      </c>
      <c r="AC2063" s="2" t="s">
        <v>58</v>
      </c>
      <c r="AF2063" s="2">
        <f t="shared" si="246"/>
        <v>0</v>
      </c>
      <c r="AJ2063" s="2">
        <f t="shared" si="247"/>
        <v>0</v>
      </c>
      <c r="AK2063" s="2">
        <f t="shared" si="248"/>
        <v>19.2</v>
      </c>
      <c r="AL2063" s="5">
        <f t="shared" si="245"/>
        <v>1</v>
      </c>
    </row>
    <row r="2064" spans="1:38" hidden="1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3"/>
        <v>0.41111111111111115</v>
      </c>
      <c r="Z2064" s="2" t="s">
        <v>3231</v>
      </c>
      <c r="AA2064" s="2" t="s">
        <v>46</v>
      </c>
      <c r="AB2064" s="2" t="s">
        <v>57</v>
      </c>
      <c r="AC2064" s="2" t="s">
        <v>58</v>
      </c>
      <c r="AF2064" s="2">
        <f t="shared" si="246"/>
        <v>0</v>
      </c>
      <c r="AG2064" s="2">
        <v>10.6</v>
      </c>
      <c r="AH2064" s="2">
        <v>18</v>
      </c>
      <c r="AJ2064" s="2">
        <f t="shared" si="247"/>
        <v>0</v>
      </c>
      <c r="AK2064" s="2">
        <f t="shared" si="248"/>
        <v>14.8</v>
      </c>
      <c r="AL2064" s="5">
        <f t="shared" si="245"/>
        <v>0.41111111111111115</v>
      </c>
    </row>
    <row r="2065" spans="1:38" hidden="1" x14ac:dyDescent="0.2">
      <c r="A2065" s="2">
        <v>2025</v>
      </c>
      <c r="B2065" s="2">
        <v>11</v>
      </c>
      <c r="D2065" s="2" t="s">
        <v>1155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3"/>
        <v>0.6</v>
      </c>
      <c r="Z2065" s="2" t="s">
        <v>118</v>
      </c>
      <c r="AA2065" s="2" t="s">
        <v>191</v>
      </c>
      <c r="AB2065" s="2" t="s">
        <v>190</v>
      </c>
      <c r="AC2065" s="2" t="s">
        <v>40</v>
      </c>
      <c r="AF2065" s="2">
        <f t="shared" si="246"/>
        <v>0</v>
      </c>
      <c r="AJ2065" s="2">
        <f t="shared" si="247"/>
        <v>0</v>
      </c>
      <c r="AK2065" s="2">
        <f t="shared" si="248"/>
        <v>30</v>
      </c>
      <c r="AL2065" s="5">
        <f t="shared" si="245"/>
        <v>0.6</v>
      </c>
    </row>
    <row r="2066" spans="1:38" hidden="1" x14ac:dyDescent="0.2">
      <c r="A2066" s="2">
        <v>2025</v>
      </c>
      <c r="B2066" s="2">
        <v>11</v>
      </c>
      <c r="D2066" s="2" t="s">
        <v>1155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3"/>
        <v>0.5</v>
      </c>
      <c r="Z2066" s="2" t="s">
        <v>118</v>
      </c>
      <c r="AA2066" s="2" t="s">
        <v>191</v>
      </c>
      <c r="AB2066" s="2" t="s">
        <v>191</v>
      </c>
      <c r="AC2066" s="2" t="s">
        <v>40</v>
      </c>
      <c r="AF2066" s="2">
        <f t="shared" si="246"/>
        <v>0</v>
      </c>
      <c r="AJ2066" s="2">
        <f t="shared" si="247"/>
        <v>0</v>
      </c>
      <c r="AK2066" s="2">
        <f t="shared" si="248"/>
        <v>25</v>
      </c>
      <c r="AL2066" s="5">
        <f t="shared" si="245"/>
        <v>0.5</v>
      </c>
    </row>
    <row r="2067" spans="1:38" hidden="1" x14ac:dyDescent="0.2">
      <c r="A2067" s="2">
        <v>2025</v>
      </c>
      <c r="B2067" s="2">
        <v>11</v>
      </c>
      <c r="D2067" s="2" t="s">
        <v>1155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9">(T2067-W2067)/T2067</f>
        <v>1</v>
      </c>
      <c r="Z2067" s="2" t="s">
        <v>120</v>
      </c>
      <c r="AA2067" s="2" t="s">
        <v>3385</v>
      </c>
      <c r="AF2067" s="2">
        <f t="shared" si="246"/>
        <v>0</v>
      </c>
      <c r="AJ2067" s="2">
        <f t="shared" si="247"/>
        <v>0</v>
      </c>
      <c r="AK2067" s="2">
        <f t="shared" si="248"/>
        <v>85.5</v>
      </c>
      <c r="AL2067" s="5">
        <f t="shared" si="245"/>
        <v>1</v>
      </c>
    </row>
    <row r="2068" spans="1:38" hidden="1" x14ac:dyDescent="0.2">
      <c r="A2068" s="2">
        <v>2025</v>
      </c>
      <c r="B2068" s="2">
        <v>11</v>
      </c>
      <c r="D2068" s="2" t="s">
        <v>1478</v>
      </c>
      <c r="E2068" s="2" t="s">
        <v>753</v>
      </c>
      <c r="F2068" s="2" t="s">
        <v>1479</v>
      </c>
      <c r="G2068" s="2">
        <v>506123758</v>
      </c>
      <c r="H2068" s="2" t="s">
        <v>110</v>
      </c>
      <c r="I2068" s="2" t="s">
        <v>1480</v>
      </c>
      <c r="J2068" s="2" t="s">
        <v>1481</v>
      </c>
      <c r="K2068" s="2">
        <v>936406952</v>
      </c>
      <c r="L2068" s="2" t="s">
        <v>462</v>
      </c>
      <c r="M2068" s="2" t="s">
        <v>40</v>
      </c>
      <c r="O2068" s="2" t="s">
        <v>1980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9"/>
        <v>0.6</v>
      </c>
      <c r="Z2068" s="2" t="s">
        <v>118</v>
      </c>
      <c r="AA2068" s="2" t="s">
        <v>191</v>
      </c>
      <c r="AB2068" s="2" t="s">
        <v>190</v>
      </c>
      <c r="AC2068" s="2" t="s">
        <v>40</v>
      </c>
      <c r="AF2068" s="2">
        <f t="shared" si="246"/>
        <v>0</v>
      </c>
      <c r="AJ2068" s="2">
        <f t="shared" si="247"/>
        <v>0</v>
      </c>
      <c r="AK2068" s="2">
        <f t="shared" si="248"/>
        <v>111.6</v>
      </c>
      <c r="AL2068" s="5">
        <f t="shared" si="245"/>
        <v>0.6</v>
      </c>
    </row>
    <row r="2069" spans="1:38" hidden="1" x14ac:dyDescent="0.2">
      <c r="A2069" s="2">
        <v>2025</v>
      </c>
      <c r="B2069" s="2">
        <v>11</v>
      </c>
      <c r="D2069" s="2" t="s">
        <v>1478</v>
      </c>
      <c r="E2069" s="2" t="s">
        <v>753</v>
      </c>
      <c r="F2069" s="2" t="s">
        <v>1479</v>
      </c>
      <c r="G2069" s="2">
        <v>506123758</v>
      </c>
      <c r="H2069" s="2" t="s">
        <v>110</v>
      </c>
      <c r="I2069" s="2" t="s">
        <v>1480</v>
      </c>
      <c r="J2069" s="2" t="s">
        <v>1481</v>
      </c>
      <c r="K2069" s="2">
        <v>936406952</v>
      </c>
      <c r="L2069" s="2" t="s">
        <v>462</v>
      </c>
      <c r="M2069" s="2" t="s">
        <v>40</v>
      </c>
      <c r="O2069" s="2" t="s">
        <v>1980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9"/>
        <v>0.5</v>
      </c>
      <c r="Z2069" s="2" t="s">
        <v>118</v>
      </c>
      <c r="AA2069" s="2" t="s">
        <v>191</v>
      </c>
      <c r="AB2069" s="2" t="s">
        <v>191</v>
      </c>
      <c r="AC2069" s="2" t="s">
        <v>40</v>
      </c>
      <c r="AF2069" s="2">
        <f t="shared" si="246"/>
        <v>0</v>
      </c>
      <c r="AJ2069" s="2">
        <f t="shared" si="247"/>
        <v>0</v>
      </c>
      <c r="AK2069" s="2">
        <f t="shared" si="248"/>
        <v>25</v>
      </c>
      <c r="AL2069" s="5">
        <f t="shared" si="245"/>
        <v>0.5</v>
      </c>
    </row>
    <row r="2070" spans="1:38" hidden="1" x14ac:dyDescent="0.2">
      <c r="A2070" s="2">
        <v>2025</v>
      </c>
      <c r="B2070" s="2">
        <v>11</v>
      </c>
      <c r="D2070" s="2" t="s">
        <v>1981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9"/>
        <v>0.25</v>
      </c>
      <c r="Z2070" s="2" t="s">
        <v>3231</v>
      </c>
      <c r="AA2070" s="2" t="s">
        <v>72</v>
      </c>
      <c r="AB2070" s="2" t="s">
        <v>120</v>
      </c>
      <c r="AC2070" s="2" t="s">
        <v>120</v>
      </c>
      <c r="AF2070" s="2">
        <f t="shared" si="246"/>
        <v>0</v>
      </c>
      <c r="AJ2070" s="2">
        <f t="shared" si="247"/>
        <v>0</v>
      </c>
      <c r="AK2070" s="2">
        <f t="shared" si="248"/>
        <v>99.75</v>
      </c>
      <c r="AL2070" s="5">
        <f t="shared" si="245"/>
        <v>0.25</v>
      </c>
    </row>
    <row r="2071" spans="1:38" hidden="1" x14ac:dyDescent="0.2">
      <c r="A2071" s="2">
        <v>2025</v>
      </c>
      <c r="B2071" s="2">
        <v>11</v>
      </c>
      <c r="D2071" s="2" t="s">
        <v>1981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9"/>
        <v>0.3975727272727273</v>
      </c>
      <c r="Z2071" s="2" t="s">
        <v>3231</v>
      </c>
      <c r="AA2071" s="2" t="s">
        <v>46</v>
      </c>
      <c r="AB2071" s="2" t="s">
        <v>47</v>
      </c>
      <c r="AC2071" s="2" t="s">
        <v>48</v>
      </c>
      <c r="AF2071" s="2">
        <f t="shared" si="246"/>
        <v>0</v>
      </c>
      <c r="AG2071" s="2">
        <v>6.6266999999999996</v>
      </c>
      <c r="AH2071" s="2">
        <v>12</v>
      </c>
      <c r="AJ2071" s="2">
        <f t="shared" si="247"/>
        <v>0</v>
      </c>
      <c r="AK2071" s="2">
        <f t="shared" si="248"/>
        <v>43.733000000000004</v>
      </c>
      <c r="AL2071" s="5">
        <f t="shared" si="245"/>
        <v>0.3975727272727273</v>
      </c>
    </row>
    <row r="2072" spans="1:38" hidden="1" x14ac:dyDescent="0.2">
      <c r="A2072" s="2">
        <v>2025</v>
      </c>
      <c r="B2072" s="2">
        <v>11</v>
      </c>
      <c r="D2072" s="2" t="s">
        <v>694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695</v>
      </c>
      <c r="J2072" s="2" t="s">
        <v>696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9"/>
        <v>0.41111111111111115</v>
      </c>
      <c r="Z2072" s="2" t="s">
        <v>3231</v>
      </c>
      <c r="AA2072" s="2" t="s">
        <v>46</v>
      </c>
      <c r="AB2072" s="2" t="s">
        <v>57</v>
      </c>
      <c r="AC2072" s="2" t="s">
        <v>58</v>
      </c>
      <c r="AF2072" s="2">
        <f t="shared" si="246"/>
        <v>0</v>
      </c>
      <c r="AG2072" s="2">
        <v>10.6</v>
      </c>
      <c r="AH2072" s="2">
        <v>18</v>
      </c>
      <c r="AJ2072" s="2">
        <f t="shared" si="247"/>
        <v>0</v>
      </c>
      <c r="AK2072" s="2">
        <f t="shared" si="248"/>
        <v>22.200000000000003</v>
      </c>
      <c r="AL2072" s="5">
        <f t="shared" si="245"/>
        <v>0.41111111111111115</v>
      </c>
    </row>
    <row r="2073" spans="1:38" hidden="1" x14ac:dyDescent="0.2">
      <c r="A2073" s="2">
        <v>2025</v>
      </c>
      <c r="B2073" s="2">
        <v>11</v>
      </c>
      <c r="D2073" s="2" t="s">
        <v>694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695</v>
      </c>
      <c r="J2073" s="2" t="s">
        <v>696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9"/>
        <v>0.36923076923076914</v>
      </c>
      <c r="Z2073" s="2" t="s">
        <v>3231</v>
      </c>
      <c r="AA2073" s="2" t="s">
        <v>46</v>
      </c>
      <c r="AB2073" s="2" t="s">
        <v>61</v>
      </c>
      <c r="AC2073" s="2" t="s">
        <v>58</v>
      </c>
      <c r="AF2073" s="2">
        <f t="shared" si="246"/>
        <v>0</v>
      </c>
      <c r="AG2073" s="2">
        <v>8.1999999999999993</v>
      </c>
      <c r="AH2073" s="2">
        <v>13</v>
      </c>
      <c r="AJ2073" s="2">
        <f t="shared" si="247"/>
        <v>0</v>
      </c>
      <c r="AK2073" s="2">
        <f t="shared" si="248"/>
        <v>9.5999999999999979</v>
      </c>
      <c r="AL2073" s="5">
        <f t="shared" si="245"/>
        <v>0.36923076923076914</v>
      </c>
    </row>
    <row r="2074" spans="1:38" hidden="1" x14ac:dyDescent="0.2">
      <c r="A2074" s="2">
        <v>2025</v>
      </c>
      <c r="B2074" s="2">
        <v>11</v>
      </c>
      <c r="D2074" s="2" t="s">
        <v>694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695</v>
      </c>
      <c r="J2074" s="2" t="s">
        <v>696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9"/>
        <v>0.45095172413793105</v>
      </c>
      <c r="Z2074" s="2" t="s">
        <v>3231</v>
      </c>
      <c r="AA2074" s="2" t="s">
        <v>46</v>
      </c>
      <c r="AB2074" s="2" t="s">
        <v>68</v>
      </c>
      <c r="AC2074" s="2" t="s">
        <v>58</v>
      </c>
      <c r="AF2074" s="2">
        <f t="shared" si="246"/>
        <v>0</v>
      </c>
      <c r="AG2074" s="2">
        <v>7.9611999999999998</v>
      </c>
      <c r="AH2074" s="2">
        <v>14.4</v>
      </c>
      <c r="AJ2074" s="2">
        <f t="shared" si="247"/>
        <v>0</v>
      </c>
      <c r="AK2074" s="2">
        <f t="shared" si="248"/>
        <v>6.5388000000000002</v>
      </c>
      <c r="AL2074" s="5">
        <f t="shared" si="245"/>
        <v>0.45095172413793105</v>
      </c>
    </row>
    <row r="2075" spans="1:38" hidden="1" x14ac:dyDescent="0.2">
      <c r="A2075" s="2">
        <v>2025</v>
      </c>
      <c r="B2075" s="2">
        <v>11</v>
      </c>
      <c r="D2075" s="2" t="s">
        <v>1180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1181</v>
      </c>
      <c r="J2075" s="2" t="s">
        <v>1182</v>
      </c>
      <c r="L2075" s="2" t="s">
        <v>462</v>
      </c>
      <c r="M2075" s="2" t="s">
        <v>41</v>
      </c>
      <c r="O2075" s="2" t="s">
        <v>1982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9"/>
        <v>0.45290151515151511</v>
      </c>
      <c r="Z2075" s="2" t="s">
        <v>3231</v>
      </c>
      <c r="AA2075" s="2" t="s">
        <v>46</v>
      </c>
      <c r="AB2075" s="2" t="s">
        <v>57</v>
      </c>
      <c r="AC2075" s="2" t="s">
        <v>58</v>
      </c>
      <c r="AF2075" s="2">
        <f t="shared" si="246"/>
        <v>0</v>
      </c>
      <c r="AG2075" s="2">
        <v>7.2217000000000002</v>
      </c>
      <c r="AH2075" s="2">
        <v>14.4</v>
      </c>
      <c r="AJ2075" s="2">
        <f t="shared" si="247"/>
        <v>0</v>
      </c>
      <c r="AK2075" s="2">
        <f t="shared" si="248"/>
        <v>11.956599999999998</v>
      </c>
      <c r="AL2075" s="5">
        <f t="shared" si="245"/>
        <v>0.45290151515151511</v>
      </c>
    </row>
    <row r="2076" spans="1:38" hidden="1" x14ac:dyDescent="0.2">
      <c r="A2076" s="2">
        <v>2025</v>
      </c>
      <c r="B2076" s="2">
        <v>11</v>
      </c>
      <c r="D2076" s="2" t="s">
        <v>1180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1181</v>
      </c>
      <c r="J2076" s="2" t="s">
        <v>1182</v>
      </c>
      <c r="L2076" s="2" t="s">
        <v>462</v>
      </c>
      <c r="M2076" s="2" t="s">
        <v>41</v>
      </c>
      <c r="O2076" s="2" t="s">
        <v>1982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49"/>
        <v>0.43981481481481483</v>
      </c>
      <c r="Z2076" s="2" t="s">
        <v>3231</v>
      </c>
      <c r="AA2076" s="2" t="s">
        <v>46</v>
      </c>
      <c r="AB2076" s="2" t="s">
        <v>57</v>
      </c>
      <c r="AC2076" s="2" t="s">
        <v>58</v>
      </c>
      <c r="AF2076" s="2">
        <f t="shared" si="246"/>
        <v>0</v>
      </c>
      <c r="AJ2076" s="2">
        <f t="shared" si="247"/>
        <v>0</v>
      </c>
      <c r="AK2076" s="2">
        <f t="shared" si="248"/>
        <v>14.25</v>
      </c>
      <c r="AL2076" s="5">
        <f t="shared" si="245"/>
        <v>0.43981481481481483</v>
      </c>
    </row>
    <row r="2077" spans="1:38" hidden="1" x14ac:dyDescent="0.2">
      <c r="A2077" s="2">
        <v>2025</v>
      </c>
      <c r="B2077" s="2">
        <v>11</v>
      </c>
      <c r="D2077" s="2" t="s">
        <v>1180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1181</v>
      </c>
      <c r="J2077" s="2" t="s">
        <v>1182</v>
      </c>
      <c r="L2077" s="2" t="s">
        <v>462</v>
      </c>
      <c r="M2077" s="2" t="s">
        <v>41</v>
      </c>
      <c r="O2077" s="2" t="s">
        <v>1982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9"/>
        <v>1</v>
      </c>
      <c r="Z2077" s="2" t="s">
        <v>3231</v>
      </c>
      <c r="AA2077" s="2" t="s">
        <v>46</v>
      </c>
      <c r="AB2077" s="2" t="s">
        <v>57</v>
      </c>
      <c r="AC2077" s="2" t="s">
        <v>58</v>
      </c>
      <c r="AF2077" s="2">
        <f t="shared" si="246"/>
        <v>0</v>
      </c>
      <c r="AJ2077" s="2">
        <f t="shared" si="247"/>
        <v>0</v>
      </c>
      <c r="AK2077" s="2">
        <f t="shared" si="248"/>
        <v>39.6</v>
      </c>
      <c r="AL2077" s="5">
        <f t="shared" si="245"/>
        <v>1</v>
      </c>
    </row>
    <row r="2078" spans="1:38" hidden="1" x14ac:dyDescent="0.2">
      <c r="A2078" s="2">
        <v>2025</v>
      </c>
      <c r="B2078" s="2">
        <v>11</v>
      </c>
      <c r="D2078" s="2" t="s">
        <v>1491</v>
      </c>
      <c r="P2078" s="2" t="s">
        <v>115</v>
      </c>
      <c r="Q2078" s="2" t="s">
        <v>1983</v>
      </c>
      <c r="R2078" s="2" t="s">
        <v>1984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9"/>
        <v>1</v>
      </c>
      <c r="Z2078" s="2" t="s">
        <v>118</v>
      </c>
      <c r="AF2078" s="2">
        <f t="shared" si="246"/>
        <v>0</v>
      </c>
      <c r="AJ2078" s="2">
        <f t="shared" si="247"/>
        <v>0</v>
      </c>
      <c r="AK2078" s="2">
        <f t="shared" si="248"/>
        <v>110.63</v>
      </c>
      <c r="AL2078" s="5">
        <f t="shared" si="245"/>
        <v>1</v>
      </c>
    </row>
    <row r="2079" spans="1:38" hidden="1" x14ac:dyDescent="0.2">
      <c r="A2079" s="2">
        <v>2025</v>
      </c>
      <c r="B2079" s="2">
        <v>11</v>
      </c>
      <c r="D2079" s="2" t="s">
        <v>1492</v>
      </c>
      <c r="P2079" s="2" t="s">
        <v>115</v>
      </c>
      <c r="Q2079" s="2" t="s">
        <v>1889</v>
      </c>
      <c r="R2079" s="2" t="s">
        <v>1890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9"/>
        <v>1</v>
      </c>
      <c r="Z2079" s="2" t="s">
        <v>105</v>
      </c>
      <c r="AF2079" s="2">
        <f t="shared" si="246"/>
        <v>0</v>
      </c>
      <c r="AJ2079" s="2">
        <f t="shared" si="247"/>
        <v>0</v>
      </c>
      <c r="AK2079" s="2">
        <f t="shared" si="248"/>
        <v>6680</v>
      </c>
      <c r="AL2079" s="5">
        <f t="shared" si="245"/>
        <v>1</v>
      </c>
    </row>
    <row r="2080" spans="1:38" hidden="1" x14ac:dyDescent="0.2">
      <c r="A2080" s="2">
        <v>2025</v>
      </c>
      <c r="B2080" s="2">
        <v>11</v>
      </c>
      <c r="D2080" s="2" t="s">
        <v>1492</v>
      </c>
      <c r="P2080" s="2" t="s">
        <v>115</v>
      </c>
      <c r="Q2080" s="2" t="s">
        <v>1582</v>
      </c>
      <c r="R2080" s="2" t="s">
        <v>1583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9"/>
        <v>1</v>
      </c>
      <c r="Z2080" s="2" t="s">
        <v>105</v>
      </c>
      <c r="AF2080" s="2">
        <f t="shared" si="246"/>
        <v>0</v>
      </c>
      <c r="AJ2080" s="2">
        <f t="shared" si="247"/>
        <v>0</v>
      </c>
      <c r="AK2080" s="2">
        <f t="shared" si="248"/>
        <v>8200</v>
      </c>
      <c r="AL2080" s="5">
        <f t="shared" si="245"/>
        <v>1</v>
      </c>
    </row>
    <row r="2081" spans="1:38" hidden="1" x14ac:dyDescent="0.2">
      <c r="A2081" s="2">
        <v>2025</v>
      </c>
      <c r="B2081" s="2">
        <v>11</v>
      </c>
      <c r="D2081" s="2" t="s">
        <v>1985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1986</v>
      </c>
      <c r="K2081" s="2">
        <v>924064533</v>
      </c>
      <c r="L2081" s="2" t="s">
        <v>113</v>
      </c>
      <c r="M2081" s="2" t="s">
        <v>81</v>
      </c>
      <c r="O2081" s="2" t="s">
        <v>1987</v>
      </c>
      <c r="P2081" s="2" t="s">
        <v>43</v>
      </c>
      <c r="Q2081" s="2" t="s">
        <v>670</v>
      </c>
      <c r="R2081" s="2" t="s">
        <v>671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9"/>
        <v>0.51216666666666666</v>
      </c>
      <c r="Z2081" s="2" t="s">
        <v>3231</v>
      </c>
      <c r="AA2081" s="2" t="s">
        <v>46</v>
      </c>
      <c r="AB2081" s="2" t="s">
        <v>57</v>
      </c>
      <c r="AC2081" s="2" t="s">
        <v>58</v>
      </c>
      <c r="AF2081" s="2">
        <f t="shared" si="246"/>
        <v>0</v>
      </c>
      <c r="AG2081" s="2">
        <v>29.27</v>
      </c>
      <c r="AH2081" s="2">
        <v>60</v>
      </c>
      <c r="AJ2081" s="2">
        <f t="shared" si="247"/>
        <v>0</v>
      </c>
      <c r="AK2081" s="2">
        <f t="shared" si="248"/>
        <v>30.73</v>
      </c>
      <c r="AL2081" s="5">
        <f t="shared" si="245"/>
        <v>0.51216666666666666</v>
      </c>
    </row>
    <row r="2082" spans="1:38" hidden="1" x14ac:dyDescent="0.2">
      <c r="A2082" s="2">
        <v>2025</v>
      </c>
      <c r="B2082" s="2">
        <v>11</v>
      </c>
      <c r="D2082" s="2" t="s">
        <v>1985</v>
      </c>
      <c r="M2082" s="2" t="s">
        <v>81</v>
      </c>
      <c r="P2082" s="2" t="s">
        <v>1040</v>
      </c>
      <c r="Q2082" s="2" t="s">
        <v>1988</v>
      </c>
      <c r="R2082" s="2" t="s">
        <v>1989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9"/>
        <v>0.42243589743589743</v>
      </c>
      <c r="Z2082" s="2" t="s">
        <v>3231</v>
      </c>
      <c r="AA2082" s="2" t="s">
        <v>3388</v>
      </c>
      <c r="AB2082" s="2" t="s">
        <v>1990</v>
      </c>
      <c r="AC2082" s="2" t="s">
        <v>1040</v>
      </c>
      <c r="AF2082" s="2">
        <f t="shared" si="246"/>
        <v>0</v>
      </c>
      <c r="AJ2082" s="2">
        <f t="shared" si="247"/>
        <v>0</v>
      </c>
      <c r="AK2082" s="2">
        <f t="shared" si="248"/>
        <v>659</v>
      </c>
      <c r="AL2082" s="5">
        <f t="shared" si="245"/>
        <v>0.42243589743589743</v>
      </c>
    </row>
    <row r="2083" spans="1:38" hidden="1" x14ac:dyDescent="0.2">
      <c r="A2083" s="2">
        <v>2025</v>
      </c>
      <c r="B2083" s="2">
        <v>11</v>
      </c>
      <c r="D2083" s="2" t="s">
        <v>962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1991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9"/>
        <v>0.47798666666666667</v>
      </c>
      <c r="Z2083" s="2" t="s">
        <v>3231</v>
      </c>
      <c r="AA2083" s="2" t="s">
        <v>76</v>
      </c>
      <c r="AB2083" s="2" t="s">
        <v>77</v>
      </c>
      <c r="AC2083" s="2" t="s">
        <v>78</v>
      </c>
      <c r="AF2083" s="2">
        <f t="shared" si="246"/>
        <v>0</v>
      </c>
      <c r="AG2083" s="2">
        <v>117.453</v>
      </c>
      <c r="AH2083" s="2">
        <v>220</v>
      </c>
      <c r="AJ2083" s="2">
        <f t="shared" si="247"/>
        <v>0</v>
      </c>
      <c r="AK2083" s="2">
        <f t="shared" si="248"/>
        <v>215.09399999999999</v>
      </c>
      <c r="AL2083" s="5">
        <f t="shared" si="245"/>
        <v>0.47798666666666667</v>
      </c>
    </row>
    <row r="2084" spans="1:38" hidden="1" x14ac:dyDescent="0.2">
      <c r="A2084" s="2">
        <v>2025</v>
      </c>
      <c r="B2084" s="2">
        <v>11</v>
      </c>
      <c r="D2084" s="2" t="s">
        <v>962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9"/>
        <v>0</v>
      </c>
      <c r="Z2084" s="2" t="s">
        <v>3231</v>
      </c>
      <c r="AA2084" s="2" t="s">
        <v>97</v>
      </c>
      <c r="AB2084" s="2" t="s">
        <v>77</v>
      </c>
      <c r="AC2084" s="2" t="s">
        <v>94</v>
      </c>
      <c r="AF2084" s="2">
        <f t="shared" si="246"/>
        <v>0</v>
      </c>
      <c r="AJ2084" s="2">
        <f t="shared" si="247"/>
        <v>0</v>
      </c>
      <c r="AK2084" s="2">
        <f t="shared" si="248"/>
        <v>0</v>
      </c>
      <c r="AL2084" s="5">
        <f t="shared" si="245"/>
        <v>0</v>
      </c>
    </row>
    <row r="2085" spans="1:38" hidden="1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1992</v>
      </c>
      <c r="P2085" s="2" t="s">
        <v>43</v>
      </c>
      <c r="Q2085" s="2" t="s">
        <v>971</v>
      </c>
      <c r="R2085" s="2" t="s">
        <v>972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249"/>
        <v>0.31955925925925921</v>
      </c>
      <c r="Z2085" s="2" t="s">
        <v>3231</v>
      </c>
      <c r="AA2085" s="2" t="s">
        <v>46</v>
      </c>
      <c r="AB2085" s="2" t="s">
        <v>61</v>
      </c>
      <c r="AC2085" s="2" t="s">
        <v>58</v>
      </c>
      <c r="AF2085" s="2">
        <f t="shared" si="246"/>
        <v>0</v>
      </c>
      <c r="AJ2085" s="2">
        <f t="shared" si="247"/>
        <v>0</v>
      </c>
      <c r="AK2085" s="2">
        <f t="shared" si="248"/>
        <v>103.53719999999998</v>
      </c>
      <c r="AL2085" s="5">
        <f t="shared" si="245"/>
        <v>0.31955925925925921</v>
      </c>
    </row>
    <row r="2086" spans="1:38" hidden="1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1992</v>
      </c>
      <c r="P2086" s="2" t="s">
        <v>43</v>
      </c>
      <c r="Q2086" s="2" t="s">
        <v>973</v>
      </c>
      <c r="R2086" s="2" t="s">
        <v>974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9"/>
        <v>1</v>
      </c>
      <c r="Z2086" s="2" t="s">
        <v>3231</v>
      </c>
      <c r="AA2086" s="2" t="s">
        <v>46</v>
      </c>
      <c r="AB2086" s="2" t="s">
        <v>61</v>
      </c>
      <c r="AC2086" s="2" t="s">
        <v>58</v>
      </c>
      <c r="AF2086" s="2">
        <f t="shared" si="246"/>
        <v>0</v>
      </c>
      <c r="AJ2086" s="2">
        <f t="shared" si="247"/>
        <v>0</v>
      </c>
      <c r="AK2086" s="2">
        <f t="shared" si="248"/>
        <v>270</v>
      </c>
      <c r="AL2086" s="5">
        <f t="shared" si="245"/>
        <v>1</v>
      </c>
    </row>
    <row r="2087" spans="1:38" hidden="1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1993</v>
      </c>
      <c r="P2087" s="2" t="s">
        <v>73</v>
      </c>
      <c r="Q2087" s="2" t="s">
        <v>1994</v>
      </c>
      <c r="R2087" s="2" t="s">
        <v>1418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9"/>
        <v>0.13493617021276599</v>
      </c>
      <c r="Z2087" s="2" t="s">
        <v>3231</v>
      </c>
      <c r="AA2087" s="2" t="s">
        <v>76</v>
      </c>
      <c r="AB2087" s="2" t="s">
        <v>77</v>
      </c>
      <c r="AC2087" s="2" t="s">
        <v>78</v>
      </c>
      <c r="AF2087" s="2">
        <f t="shared" si="246"/>
        <v>0</v>
      </c>
      <c r="AJ2087" s="2">
        <f t="shared" si="247"/>
        <v>0</v>
      </c>
      <c r="AK2087" s="2">
        <f t="shared" si="248"/>
        <v>31.710000000000008</v>
      </c>
      <c r="AL2087" s="5">
        <f t="shared" si="245"/>
        <v>0.13493617021276599</v>
      </c>
    </row>
    <row r="2088" spans="1:38" hidden="1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1993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9"/>
        <v>0</v>
      </c>
      <c r="Z2088" s="2" t="s">
        <v>3231</v>
      </c>
      <c r="AA2088" s="2" t="s">
        <v>97</v>
      </c>
      <c r="AB2088" s="2" t="s">
        <v>77</v>
      </c>
      <c r="AC2088" s="2" t="s">
        <v>94</v>
      </c>
      <c r="AF2088" s="2">
        <f t="shared" si="246"/>
        <v>0</v>
      </c>
      <c r="AJ2088" s="2">
        <f t="shared" si="247"/>
        <v>0</v>
      </c>
      <c r="AK2088" s="2">
        <f t="shared" si="248"/>
        <v>0</v>
      </c>
      <c r="AL2088" s="5">
        <f t="shared" si="245"/>
        <v>0</v>
      </c>
    </row>
    <row r="2089" spans="1:38" hidden="1" x14ac:dyDescent="0.2">
      <c r="A2089" s="2">
        <v>2025</v>
      </c>
      <c r="B2089" s="2">
        <v>11</v>
      </c>
      <c r="D2089" s="2" t="s">
        <v>1191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1192</v>
      </c>
      <c r="K2089" s="2">
        <v>965705708</v>
      </c>
      <c r="L2089" s="2" t="s">
        <v>419</v>
      </c>
      <c r="M2089" s="2" t="s">
        <v>40</v>
      </c>
      <c r="O2089" s="2" t="s">
        <v>1995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9"/>
        <v>1</v>
      </c>
      <c r="Z2089" s="2" t="s">
        <v>120</v>
      </c>
      <c r="AA2089" s="2" t="s">
        <v>3385</v>
      </c>
      <c r="AF2089" s="2">
        <f t="shared" si="246"/>
        <v>0</v>
      </c>
      <c r="AJ2089" s="2">
        <f t="shared" si="247"/>
        <v>0</v>
      </c>
      <c r="AK2089" s="2">
        <f t="shared" si="248"/>
        <v>29.79</v>
      </c>
      <c r="AL2089" s="5">
        <f t="shared" si="245"/>
        <v>1</v>
      </c>
    </row>
    <row r="2090" spans="1:38" hidden="1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49"/>
        <v>0.62349999999999994</v>
      </c>
      <c r="Z2090" s="2" t="s">
        <v>3231</v>
      </c>
      <c r="AA2090" s="2" t="s">
        <v>46</v>
      </c>
      <c r="AB2090" s="2" t="s">
        <v>47</v>
      </c>
      <c r="AC2090" s="2" t="s">
        <v>48</v>
      </c>
      <c r="AF2090" s="2">
        <f t="shared" si="246"/>
        <v>0</v>
      </c>
      <c r="AJ2090" s="2">
        <f t="shared" si="247"/>
        <v>0</v>
      </c>
      <c r="AK2090" s="2">
        <f t="shared" si="248"/>
        <v>18.704999999999998</v>
      </c>
      <c r="AL2090" s="5">
        <f t="shared" si="245"/>
        <v>0.62349999999999994</v>
      </c>
    </row>
    <row r="2091" spans="1:38" hidden="1" x14ac:dyDescent="0.2">
      <c r="A2091" s="2">
        <v>2025</v>
      </c>
      <c r="B2091" s="2">
        <v>11</v>
      </c>
      <c r="D2091" s="2" t="s">
        <v>1996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9"/>
        <v>0.59999999999999987</v>
      </c>
      <c r="Z2091" s="2" t="s">
        <v>118</v>
      </c>
      <c r="AA2091" s="2" t="s">
        <v>191</v>
      </c>
      <c r="AB2091" s="2" t="s">
        <v>190</v>
      </c>
      <c r="AC2091" s="2" t="s">
        <v>40</v>
      </c>
      <c r="AF2091" s="2">
        <f t="shared" si="246"/>
        <v>0</v>
      </c>
      <c r="AJ2091" s="2">
        <f t="shared" si="247"/>
        <v>0</v>
      </c>
      <c r="AK2091" s="2">
        <f t="shared" si="248"/>
        <v>528.59999999999991</v>
      </c>
      <c r="AL2091" s="5">
        <f t="shared" si="245"/>
        <v>0.59999999999999987</v>
      </c>
    </row>
    <row r="2092" spans="1:38" hidden="1" x14ac:dyDescent="0.2">
      <c r="A2092" s="2">
        <v>2025</v>
      </c>
      <c r="B2092" s="2">
        <v>11</v>
      </c>
      <c r="D2092" s="2" t="s">
        <v>1996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9"/>
        <v>0.5</v>
      </c>
      <c r="Z2092" s="2" t="s">
        <v>118</v>
      </c>
      <c r="AA2092" s="2" t="s">
        <v>191</v>
      </c>
      <c r="AB2092" s="2" t="s">
        <v>191</v>
      </c>
      <c r="AC2092" s="2" t="s">
        <v>40</v>
      </c>
      <c r="AF2092" s="2">
        <f t="shared" si="246"/>
        <v>0</v>
      </c>
      <c r="AJ2092" s="2">
        <f t="shared" si="247"/>
        <v>0</v>
      </c>
      <c r="AK2092" s="2">
        <f t="shared" si="248"/>
        <v>649</v>
      </c>
      <c r="AL2092" s="5">
        <f t="shared" si="245"/>
        <v>0.5</v>
      </c>
    </row>
    <row r="2093" spans="1:38" hidden="1" x14ac:dyDescent="0.2">
      <c r="A2093" s="2">
        <v>2025</v>
      </c>
      <c r="B2093" s="2">
        <v>11</v>
      </c>
      <c r="D2093" s="2" t="s">
        <v>745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746</v>
      </c>
      <c r="J2093" s="2" t="s">
        <v>747</v>
      </c>
      <c r="K2093" s="2">
        <v>962372760</v>
      </c>
      <c r="L2093" s="2" t="s">
        <v>202</v>
      </c>
      <c r="P2093" s="2" t="s">
        <v>115</v>
      </c>
      <c r="Q2093" s="2" t="s">
        <v>809</v>
      </c>
      <c r="R2093" s="2" t="s">
        <v>810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9"/>
        <v>1</v>
      </c>
      <c r="Z2093" s="2" t="s">
        <v>118</v>
      </c>
      <c r="AF2093" s="2">
        <f t="shared" si="246"/>
        <v>0</v>
      </c>
      <c r="AJ2093" s="2">
        <f t="shared" si="247"/>
        <v>0</v>
      </c>
      <c r="AK2093" s="2">
        <f t="shared" si="248"/>
        <v>83.79</v>
      </c>
      <c r="AL2093" s="5">
        <f t="shared" si="245"/>
        <v>1</v>
      </c>
    </row>
    <row r="2094" spans="1:38" hidden="1" x14ac:dyDescent="0.2">
      <c r="A2094" s="2">
        <v>2025</v>
      </c>
      <c r="B2094" s="2">
        <v>11</v>
      </c>
      <c r="D2094" s="2" t="s">
        <v>745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746</v>
      </c>
      <c r="J2094" s="2" t="s">
        <v>747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9"/>
        <v>0.4729523809523809</v>
      </c>
      <c r="Z2094" s="2" t="s">
        <v>3231</v>
      </c>
      <c r="AA2094" s="2" t="s">
        <v>76</v>
      </c>
      <c r="AB2094" s="2" t="s">
        <v>77</v>
      </c>
      <c r="AC2094" s="2" t="s">
        <v>78</v>
      </c>
      <c r="AF2094" s="2">
        <f t="shared" si="246"/>
        <v>0</v>
      </c>
      <c r="AG2094" s="2">
        <v>110.68</v>
      </c>
      <c r="AH2094" s="2">
        <v>210</v>
      </c>
      <c r="AJ2094" s="2">
        <f t="shared" si="247"/>
        <v>0</v>
      </c>
      <c r="AK2094" s="2">
        <f t="shared" si="248"/>
        <v>99.32</v>
      </c>
      <c r="AL2094" s="5">
        <f t="shared" si="245"/>
        <v>0.4729523809523809</v>
      </c>
    </row>
    <row r="2095" spans="1:38" hidden="1" x14ac:dyDescent="0.2">
      <c r="A2095" s="2">
        <v>2025</v>
      </c>
      <c r="B2095" s="2">
        <v>11</v>
      </c>
      <c r="D2095" s="2" t="s">
        <v>745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746</v>
      </c>
      <c r="J2095" s="2" t="s">
        <v>747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9"/>
        <v>0.6</v>
      </c>
      <c r="Z2095" s="2" t="s">
        <v>118</v>
      </c>
      <c r="AA2095" s="2" t="s">
        <v>191</v>
      </c>
      <c r="AB2095" s="2" t="s">
        <v>190</v>
      </c>
      <c r="AC2095" s="2" t="s">
        <v>40</v>
      </c>
      <c r="AF2095" s="2">
        <f t="shared" si="246"/>
        <v>0</v>
      </c>
      <c r="AJ2095" s="2">
        <f t="shared" si="247"/>
        <v>0</v>
      </c>
      <c r="AK2095" s="2">
        <f t="shared" si="248"/>
        <v>48.6</v>
      </c>
      <c r="AL2095" s="5">
        <f t="shared" si="245"/>
        <v>0.6</v>
      </c>
    </row>
    <row r="2096" spans="1:38" hidden="1" x14ac:dyDescent="0.2">
      <c r="A2096" s="2">
        <v>2025</v>
      </c>
      <c r="B2096" s="2">
        <v>11</v>
      </c>
      <c r="D2096" s="2" t="s">
        <v>745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746</v>
      </c>
      <c r="J2096" s="2" t="s">
        <v>747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9"/>
        <v>0.5</v>
      </c>
      <c r="Z2096" s="2" t="s">
        <v>118</v>
      </c>
      <c r="AA2096" s="2" t="s">
        <v>191</v>
      </c>
      <c r="AB2096" s="2" t="s">
        <v>191</v>
      </c>
      <c r="AC2096" s="2" t="s">
        <v>40</v>
      </c>
      <c r="AF2096" s="2">
        <f t="shared" si="246"/>
        <v>0</v>
      </c>
      <c r="AJ2096" s="2">
        <f t="shared" si="247"/>
        <v>0</v>
      </c>
      <c r="AK2096" s="2">
        <f t="shared" si="248"/>
        <v>25</v>
      </c>
      <c r="AL2096" s="5">
        <f t="shared" si="245"/>
        <v>0.5</v>
      </c>
    </row>
    <row r="2097" spans="1:38" hidden="1" x14ac:dyDescent="0.2">
      <c r="A2097" s="2">
        <v>2025</v>
      </c>
      <c r="B2097" s="2">
        <v>11</v>
      </c>
      <c r="D2097" s="2" t="s">
        <v>745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746</v>
      </c>
      <c r="J2097" s="2" t="s">
        <v>747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9"/>
        <v>0</v>
      </c>
      <c r="Z2097" s="2" t="s">
        <v>3231</v>
      </c>
      <c r="AA2097" s="2" t="s">
        <v>97</v>
      </c>
      <c r="AB2097" s="2" t="s">
        <v>77</v>
      </c>
      <c r="AC2097" s="2" t="s">
        <v>94</v>
      </c>
      <c r="AF2097" s="2">
        <f t="shared" si="246"/>
        <v>0</v>
      </c>
      <c r="AJ2097" s="2">
        <f t="shared" si="247"/>
        <v>0</v>
      </c>
      <c r="AK2097" s="2">
        <f t="shared" si="248"/>
        <v>0</v>
      </c>
      <c r="AL2097" s="5">
        <f t="shared" si="245"/>
        <v>0</v>
      </c>
    </row>
    <row r="2098" spans="1:38" hidden="1" x14ac:dyDescent="0.2">
      <c r="A2098" s="2">
        <v>2025</v>
      </c>
      <c r="B2098" s="2">
        <v>11</v>
      </c>
      <c r="C2098" s="2" t="s">
        <v>3445</v>
      </c>
      <c r="D2098" s="2" t="s">
        <v>1997</v>
      </c>
      <c r="E2098" s="2" t="s">
        <v>109</v>
      </c>
      <c r="F2098" s="2" t="s">
        <v>39</v>
      </c>
      <c r="H2098" s="2" t="s">
        <v>291</v>
      </c>
      <c r="I2098" s="2" t="s">
        <v>3285</v>
      </c>
      <c r="L2098" s="2" t="s">
        <v>340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9"/>
        <v>0.6</v>
      </c>
      <c r="Z2098" s="2" t="s">
        <v>118</v>
      </c>
      <c r="AA2098" s="2" t="s">
        <v>191</v>
      </c>
      <c r="AB2098" s="2" t="s">
        <v>190</v>
      </c>
      <c r="AC2098" s="2" t="s">
        <v>40</v>
      </c>
      <c r="AF2098" s="2">
        <f t="shared" si="246"/>
        <v>0</v>
      </c>
      <c r="AJ2098" s="2">
        <f t="shared" si="247"/>
        <v>0</v>
      </c>
      <c r="AK2098" s="2">
        <f t="shared" si="248"/>
        <v>30</v>
      </c>
      <c r="AL2098" s="5">
        <f t="shared" si="245"/>
        <v>0.6</v>
      </c>
    </row>
    <row r="2099" spans="1:38" hidden="1" x14ac:dyDescent="0.2">
      <c r="A2099" s="2">
        <v>2025</v>
      </c>
      <c r="B2099" s="2">
        <v>11</v>
      </c>
      <c r="C2099" s="2" t="s">
        <v>3445</v>
      </c>
      <c r="D2099" s="2" t="s">
        <v>1997</v>
      </c>
      <c r="E2099" s="2" t="s">
        <v>109</v>
      </c>
      <c r="F2099" s="2" t="s">
        <v>39</v>
      </c>
      <c r="H2099" s="2" t="s">
        <v>291</v>
      </c>
      <c r="I2099" s="2" t="s">
        <v>3285</v>
      </c>
      <c r="L2099" s="2" t="s">
        <v>340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9"/>
        <v>0.5</v>
      </c>
      <c r="Z2099" s="2" t="s">
        <v>118</v>
      </c>
      <c r="AA2099" s="2" t="s">
        <v>191</v>
      </c>
      <c r="AB2099" s="2" t="s">
        <v>191</v>
      </c>
      <c r="AC2099" s="2" t="s">
        <v>40</v>
      </c>
      <c r="AF2099" s="2">
        <f t="shared" si="246"/>
        <v>0</v>
      </c>
      <c r="AJ2099" s="2">
        <f t="shared" si="247"/>
        <v>0</v>
      </c>
      <c r="AK2099" s="2">
        <f t="shared" si="248"/>
        <v>25</v>
      </c>
      <c r="AL2099" s="5">
        <f t="shared" ref="AL2099:AL2162" si="250">(T2099-W2099)/T2099</f>
        <v>0.5</v>
      </c>
    </row>
    <row r="2100" spans="1:38" hidden="1" x14ac:dyDescent="0.2">
      <c r="A2100" s="2">
        <v>2025</v>
      </c>
      <c r="B2100" s="2">
        <v>11</v>
      </c>
      <c r="D2100" s="2" t="s">
        <v>1697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9"/>
        <v>0.52105128205128204</v>
      </c>
      <c r="Z2100" s="2" t="s">
        <v>3231</v>
      </c>
      <c r="AA2100" s="2" t="s">
        <v>46</v>
      </c>
      <c r="AB2100" s="2" t="s">
        <v>47</v>
      </c>
      <c r="AC2100" s="2" t="s">
        <v>48</v>
      </c>
      <c r="AF2100" s="2">
        <f t="shared" si="246"/>
        <v>0</v>
      </c>
      <c r="AG2100" s="2">
        <v>3.7357999999999998</v>
      </c>
      <c r="AH2100" s="2">
        <v>9</v>
      </c>
      <c r="AJ2100" s="2">
        <f t="shared" si="247"/>
        <v>0</v>
      </c>
      <c r="AK2100" s="2">
        <f t="shared" si="248"/>
        <v>4.0641999999999996</v>
      </c>
      <c r="AL2100" s="5">
        <f t="shared" si="250"/>
        <v>0.52105128205128204</v>
      </c>
    </row>
    <row r="2101" spans="1:38" hidden="1" x14ac:dyDescent="0.2">
      <c r="A2101" s="2">
        <v>2025</v>
      </c>
      <c r="B2101" s="2">
        <v>11</v>
      </c>
      <c r="D2101" s="2" t="s">
        <v>1697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9"/>
        <v>0.21904761904761905</v>
      </c>
      <c r="Z2101" s="2" t="s">
        <v>3231</v>
      </c>
      <c r="AA2101" s="2" t="s">
        <v>46</v>
      </c>
      <c r="AB2101" s="2" t="s">
        <v>61</v>
      </c>
      <c r="AC2101" s="2" t="s">
        <v>58</v>
      </c>
      <c r="AF2101" s="2">
        <f t="shared" si="246"/>
        <v>0</v>
      </c>
      <c r="AG2101" s="2">
        <v>8.1999999999999993</v>
      </c>
      <c r="AH2101" s="2">
        <v>13</v>
      </c>
      <c r="AJ2101" s="2">
        <f t="shared" si="247"/>
        <v>0</v>
      </c>
      <c r="AK2101" s="2">
        <f t="shared" si="248"/>
        <v>23</v>
      </c>
      <c r="AL2101" s="5">
        <f t="shared" si="250"/>
        <v>0.21904761904761905</v>
      </c>
    </row>
    <row r="2102" spans="1:38" hidden="1" x14ac:dyDescent="0.2">
      <c r="A2102" s="2">
        <v>2025</v>
      </c>
      <c r="B2102" s="2">
        <v>11</v>
      </c>
      <c r="D2102" s="2" t="s">
        <v>1697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9"/>
        <v>0.33243111111111107</v>
      </c>
      <c r="Z2102" s="2" t="s">
        <v>3231</v>
      </c>
      <c r="AA2102" s="2" t="s">
        <v>46</v>
      </c>
      <c r="AB2102" s="2" t="s">
        <v>68</v>
      </c>
      <c r="AC2102" s="2" t="s">
        <v>58</v>
      </c>
      <c r="AF2102" s="2">
        <f t="shared" si="246"/>
        <v>0</v>
      </c>
      <c r="AG2102" s="2">
        <v>15.020300000000001</v>
      </c>
      <c r="AH2102" s="2">
        <v>27.6</v>
      </c>
      <c r="AJ2102" s="2">
        <f t="shared" si="247"/>
        <v>0</v>
      </c>
      <c r="AK2102" s="2">
        <f t="shared" si="248"/>
        <v>14.959399999999999</v>
      </c>
      <c r="AL2102" s="5">
        <f t="shared" si="250"/>
        <v>0.33243111111111107</v>
      </c>
    </row>
    <row r="2103" spans="1:38" hidden="1" x14ac:dyDescent="0.2">
      <c r="A2103" s="2">
        <v>2025</v>
      </c>
      <c r="B2103" s="2">
        <v>11</v>
      </c>
      <c r="D2103" s="2" t="s">
        <v>1998</v>
      </c>
      <c r="M2103" s="2" t="s">
        <v>81</v>
      </c>
      <c r="O2103" s="2" t="s">
        <v>1999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9"/>
        <v>0.46762608695652175</v>
      </c>
      <c r="Z2103" s="2" t="s">
        <v>3231</v>
      </c>
      <c r="AA2103" s="2" t="s">
        <v>76</v>
      </c>
      <c r="AB2103" s="2" t="s">
        <v>77</v>
      </c>
      <c r="AC2103" s="2" t="s">
        <v>78</v>
      </c>
      <c r="AF2103" s="2">
        <f t="shared" si="246"/>
        <v>0</v>
      </c>
      <c r="AG2103" s="2">
        <v>122.446</v>
      </c>
      <c r="AH2103" s="2">
        <v>230</v>
      </c>
      <c r="AJ2103" s="2">
        <f t="shared" si="247"/>
        <v>0</v>
      </c>
      <c r="AK2103" s="2">
        <f t="shared" si="248"/>
        <v>107.554</v>
      </c>
      <c r="AL2103" s="5">
        <f t="shared" si="250"/>
        <v>0.46762608695652175</v>
      </c>
    </row>
    <row r="2104" spans="1:38" hidden="1" x14ac:dyDescent="0.2">
      <c r="A2104" s="2">
        <v>2025</v>
      </c>
      <c r="B2104" s="2">
        <v>11</v>
      </c>
      <c r="D2104" s="2" t="s">
        <v>1998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9"/>
        <v>0</v>
      </c>
      <c r="Z2104" s="2" t="s">
        <v>3231</v>
      </c>
      <c r="AA2104" s="2" t="s">
        <v>97</v>
      </c>
      <c r="AB2104" s="2" t="s">
        <v>77</v>
      </c>
      <c r="AC2104" s="2" t="s">
        <v>94</v>
      </c>
      <c r="AF2104" s="2">
        <f t="shared" si="246"/>
        <v>0</v>
      </c>
      <c r="AJ2104" s="2">
        <f t="shared" si="247"/>
        <v>0</v>
      </c>
      <c r="AK2104" s="2">
        <f t="shared" si="248"/>
        <v>0</v>
      </c>
      <c r="AL2104" s="5">
        <f t="shared" si="250"/>
        <v>0</v>
      </c>
    </row>
    <row r="2105" spans="1:38" hidden="1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2000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9"/>
        <v>0.6</v>
      </c>
      <c r="Z2105" s="2" t="s">
        <v>118</v>
      </c>
      <c r="AA2105" s="2" t="s">
        <v>191</v>
      </c>
      <c r="AB2105" s="2" t="s">
        <v>190</v>
      </c>
      <c r="AC2105" s="2" t="s">
        <v>40</v>
      </c>
      <c r="AF2105" s="2">
        <f t="shared" si="246"/>
        <v>0</v>
      </c>
      <c r="AJ2105" s="2">
        <f t="shared" si="247"/>
        <v>0</v>
      </c>
      <c r="AK2105" s="2">
        <f t="shared" si="248"/>
        <v>30</v>
      </c>
      <c r="AL2105" s="5">
        <f t="shared" si="250"/>
        <v>0.6</v>
      </c>
    </row>
    <row r="2106" spans="1:38" hidden="1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2000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9"/>
        <v>0.5</v>
      </c>
      <c r="Z2106" s="2" t="s">
        <v>118</v>
      </c>
      <c r="AA2106" s="2" t="s">
        <v>191</v>
      </c>
      <c r="AB2106" s="2" t="s">
        <v>191</v>
      </c>
      <c r="AC2106" s="2" t="s">
        <v>40</v>
      </c>
      <c r="AF2106" s="2">
        <f t="shared" si="246"/>
        <v>0</v>
      </c>
      <c r="AJ2106" s="2">
        <f t="shared" si="247"/>
        <v>0</v>
      </c>
      <c r="AK2106" s="2">
        <f t="shared" si="248"/>
        <v>25</v>
      </c>
      <c r="AL2106" s="5">
        <f t="shared" si="250"/>
        <v>0.5</v>
      </c>
    </row>
    <row r="2107" spans="1:38" hidden="1" x14ac:dyDescent="0.2">
      <c r="A2107" s="2">
        <v>2025</v>
      </c>
      <c r="B2107" s="2">
        <v>11</v>
      </c>
      <c r="D2107" s="2" t="s">
        <v>1008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9"/>
        <v>0.13</v>
      </c>
      <c r="Z2107" s="2" t="s">
        <v>3231</v>
      </c>
      <c r="AA2107" s="2" t="s">
        <v>46</v>
      </c>
      <c r="AB2107" s="2" t="s">
        <v>61</v>
      </c>
      <c r="AC2107" s="2" t="s">
        <v>3336</v>
      </c>
      <c r="AF2107" s="2">
        <f t="shared" si="246"/>
        <v>0</v>
      </c>
      <c r="AJ2107" s="2">
        <f t="shared" si="247"/>
        <v>0</v>
      </c>
      <c r="AK2107" s="2">
        <f t="shared" si="248"/>
        <v>26</v>
      </c>
      <c r="AL2107" s="5">
        <f t="shared" si="250"/>
        <v>0.13</v>
      </c>
    </row>
    <row r="2108" spans="1:38" hidden="1" x14ac:dyDescent="0.2">
      <c r="A2108" s="2">
        <v>2025</v>
      </c>
      <c r="B2108" s="2">
        <v>11</v>
      </c>
      <c r="D2108" s="2" t="s">
        <v>1008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9"/>
        <v>0.13</v>
      </c>
      <c r="Z2108" s="2" t="s">
        <v>3231</v>
      </c>
      <c r="AA2108" s="2" t="s">
        <v>46</v>
      </c>
      <c r="AB2108" s="2" t="s">
        <v>61</v>
      </c>
      <c r="AC2108" s="2" t="s">
        <v>3336</v>
      </c>
      <c r="AF2108" s="2">
        <f t="shared" si="246"/>
        <v>0</v>
      </c>
      <c r="AJ2108" s="2">
        <f t="shared" si="247"/>
        <v>0</v>
      </c>
      <c r="AK2108" s="2">
        <f t="shared" si="248"/>
        <v>26</v>
      </c>
      <c r="AL2108" s="5">
        <f t="shared" si="250"/>
        <v>0.13</v>
      </c>
    </row>
    <row r="2109" spans="1:38" hidden="1" x14ac:dyDescent="0.2">
      <c r="A2109" s="2">
        <v>2025</v>
      </c>
      <c r="B2109" s="2">
        <v>11</v>
      </c>
      <c r="D2109" s="2" t="s">
        <v>1793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9"/>
        <v>0.6</v>
      </c>
      <c r="Z2109" s="2" t="s">
        <v>118</v>
      </c>
      <c r="AA2109" s="2" t="s">
        <v>191</v>
      </c>
      <c r="AB2109" s="2" t="s">
        <v>190</v>
      </c>
      <c r="AC2109" s="2" t="s">
        <v>40</v>
      </c>
      <c r="AF2109" s="2">
        <f t="shared" si="246"/>
        <v>0</v>
      </c>
      <c r="AJ2109" s="2">
        <f t="shared" si="247"/>
        <v>0</v>
      </c>
      <c r="AK2109" s="2">
        <f t="shared" si="248"/>
        <v>33</v>
      </c>
      <c r="AL2109" s="5">
        <f t="shared" si="250"/>
        <v>0.6</v>
      </c>
    </row>
    <row r="2110" spans="1:38" hidden="1" x14ac:dyDescent="0.2">
      <c r="A2110" s="2">
        <v>2025</v>
      </c>
      <c r="B2110" s="2">
        <v>11</v>
      </c>
      <c r="D2110" s="2" t="s">
        <v>1793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9"/>
        <v>0.5</v>
      </c>
      <c r="Z2110" s="2" t="s">
        <v>118</v>
      </c>
      <c r="AA2110" s="2" t="s">
        <v>191</v>
      </c>
      <c r="AB2110" s="2" t="s">
        <v>191</v>
      </c>
      <c r="AC2110" s="2" t="s">
        <v>40</v>
      </c>
      <c r="AF2110" s="2">
        <f t="shared" si="246"/>
        <v>0</v>
      </c>
      <c r="AJ2110" s="2">
        <f t="shared" si="247"/>
        <v>0</v>
      </c>
      <c r="AK2110" s="2">
        <f t="shared" si="248"/>
        <v>75</v>
      </c>
      <c r="AL2110" s="5">
        <f t="shared" si="250"/>
        <v>0.5</v>
      </c>
    </row>
    <row r="2111" spans="1:38" hidden="1" x14ac:dyDescent="0.2">
      <c r="A2111" s="2">
        <v>2025</v>
      </c>
      <c r="B2111" s="2">
        <v>11</v>
      </c>
      <c r="C2111" s="2" t="s">
        <v>3447</v>
      </c>
      <c r="D2111" s="2" t="s">
        <v>1891</v>
      </c>
      <c r="E2111" s="2" t="s">
        <v>38</v>
      </c>
      <c r="F2111" s="2" t="s">
        <v>39</v>
      </c>
      <c r="L2111" s="2" t="s">
        <v>462</v>
      </c>
      <c r="M2111" s="2" t="s">
        <v>81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49"/>
        <v>0.24999999999999994</v>
      </c>
      <c r="Z2111" s="2" t="s">
        <v>3231</v>
      </c>
      <c r="AA2111" s="2" t="s">
        <v>46</v>
      </c>
      <c r="AB2111" s="2" t="s">
        <v>47</v>
      </c>
      <c r="AC2111" s="2" t="s">
        <v>48</v>
      </c>
      <c r="AF2111" s="2">
        <f t="shared" si="246"/>
        <v>0</v>
      </c>
      <c r="AG2111" s="2">
        <v>10.2346</v>
      </c>
      <c r="AH2111" s="2">
        <v>18</v>
      </c>
      <c r="AJ2111" s="2">
        <f t="shared" si="247"/>
        <v>0</v>
      </c>
      <c r="AK2111" s="2">
        <f t="shared" si="248"/>
        <v>4.7999999999999989</v>
      </c>
      <c r="AL2111" s="5">
        <f t="shared" si="250"/>
        <v>0.24999999999999994</v>
      </c>
    </row>
    <row r="2112" spans="1:38" hidden="1" x14ac:dyDescent="0.2">
      <c r="A2112" s="2">
        <v>2025</v>
      </c>
      <c r="B2112" s="2">
        <v>11</v>
      </c>
      <c r="C2112" s="2" t="s">
        <v>3447</v>
      </c>
      <c r="D2112" s="2" t="s">
        <v>1891</v>
      </c>
      <c r="E2112" s="2" t="s">
        <v>38</v>
      </c>
      <c r="F2112" s="2" t="s">
        <v>39</v>
      </c>
      <c r="L2112" s="2" t="s">
        <v>462</v>
      </c>
      <c r="M2112" s="2" t="s">
        <v>81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9"/>
        <v>0.41111111111111115</v>
      </c>
      <c r="Z2112" s="2" t="s">
        <v>3231</v>
      </c>
      <c r="AA2112" s="2" t="s">
        <v>46</v>
      </c>
      <c r="AB2112" s="2" t="s">
        <v>57</v>
      </c>
      <c r="AC2112" s="2" t="s">
        <v>58</v>
      </c>
      <c r="AF2112" s="2">
        <f t="shared" si="246"/>
        <v>0</v>
      </c>
      <c r="AG2112" s="2">
        <v>10.6</v>
      </c>
      <c r="AH2112" s="2">
        <v>18</v>
      </c>
      <c r="AJ2112" s="2">
        <f t="shared" si="247"/>
        <v>0</v>
      </c>
      <c r="AK2112" s="2">
        <f t="shared" si="248"/>
        <v>7.4</v>
      </c>
      <c r="AL2112" s="5">
        <f t="shared" si="250"/>
        <v>0.41111111111111115</v>
      </c>
    </row>
    <row r="2113" spans="1:38" hidden="1" x14ac:dyDescent="0.2">
      <c r="A2113" s="2">
        <v>2025</v>
      </c>
      <c r="B2113" s="2">
        <v>11</v>
      </c>
      <c r="C2113" s="2" t="s">
        <v>3447</v>
      </c>
      <c r="D2113" s="2" t="s">
        <v>1891</v>
      </c>
      <c r="E2113" s="2" t="s">
        <v>38</v>
      </c>
      <c r="F2113" s="2" t="s">
        <v>39</v>
      </c>
      <c r="L2113" s="2" t="s">
        <v>462</v>
      </c>
      <c r="M2113" s="2" t="s">
        <v>81</v>
      </c>
      <c r="O2113" s="2" t="s">
        <v>2001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9"/>
        <v>0.53045454545454551</v>
      </c>
      <c r="Z2113" s="2" t="s">
        <v>3231</v>
      </c>
      <c r="AA2113" s="2" t="s">
        <v>46</v>
      </c>
      <c r="AB2113" s="2" t="s">
        <v>47</v>
      </c>
      <c r="AC2113" s="2" t="s">
        <v>48</v>
      </c>
      <c r="AF2113" s="2">
        <f t="shared" si="246"/>
        <v>0</v>
      </c>
      <c r="AG2113" s="2">
        <v>15.494999999999999</v>
      </c>
      <c r="AH2113" s="2">
        <v>36</v>
      </c>
      <c r="AJ2113" s="2">
        <f t="shared" si="247"/>
        <v>0</v>
      </c>
      <c r="AK2113" s="2">
        <f t="shared" si="248"/>
        <v>17.505000000000003</v>
      </c>
      <c r="AL2113" s="5">
        <f t="shared" si="250"/>
        <v>0.53045454545454551</v>
      </c>
    </row>
    <row r="2114" spans="1:38" hidden="1" x14ac:dyDescent="0.2">
      <c r="A2114" s="2">
        <v>2025</v>
      </c>
      <c r="B2114" s="2">
        <v>11</v>
      </c>
      <c r="D2114" s="2" t="s">
        <v>776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777</v>
      </c>
      <c r="J2114" s="2" t="s">
        <v>778</v>
      </c>
      <c r="L2114" s="2" t="s">
        <v>340</v>
      </c>
      <c r="M2114" s="2" t="s">
        <v>40</v>
      </c>
      <c r="O2114" s="2" t="s">
        <v>2002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9"/>
        <v>0.6</v>
      </c>
      <c r="Z2114" s="2" t="s">
        <v>118</v>
      </c>
      <c r="AA2114" s="2" t="s">
        <v>191</v>
      </c>
      <c r="AB2114" s="2" t="s">
        <v>190</v>
      </c>
      <c r="AC2114" s="2" t="s">
        <v>40</v>
      </c>
      <c r="AF2114" s="2">
        <f t="shared" si="246"/>
        <v>0</v>
      </c>
      <c r="AJ2114" s="2">
        <f t="shared" si="247"/>
        <v>0</v>
      </c>
      <c r="AK2114" s="2">
        <f t="shared" si="248"/>
        <v>79.8</v>
      </c>
      <c r="AL2114" s="5">
        <f t="shared" si="250"/>
        <v>0.6</v>
      </c>
    </row>
    <row r="2115" spans="1:38" hidden="1" x14ac:dyDescent="0.2">
      <c r="A2115" s="2">
        <v>2025</v>
      </c>
      <c r="B2115" s="2">
        <v>11</v>
      </c>
      <c r="D2115" s="2" t="s">
        <v>776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777</v>
      </c>
      <c r="J2115" s="2" t="s">
        <v>778</v>
      </c>
      <c r="L2115" s="2" t="s">
        <v>340</v>
      </c>
      <c r="M2115" s="2" t="s">
        <v>40</v>
      </c>
      <c r="O2115" s="2" t="s">
        <v>2002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9"/>
        <v>0.5</v>
      </c>
      <c r="Z2115" s="2" t="s">
        <v>118</v>
      </c>
      <c r="AA2115" s="2" t="s">
        <v>191</v>
      </c>
      <c r="AB2115" s="2" t="s">
        <v>191</v>
      </c>
      <c r="AC2115" s="2" t="s">
        <v>40</v>
      </c>
      <c r="AF2115" s="2">
        <f t="shared" ref="AF2115:AF2178" si="251">AJ2115</f>
        <v>0</v>
      </c>
      <c r="AJ2115" s="2">
        <f t="shared" ref="AJ2115:AJ2178" si="252">AI2115*T2115</f>
        <v>0</v>
      </c>
      <c r="AK2115" s="2">
        <f t="shared" ref="AK2115:AK2178" si="253">T2115-W2115</f>
        <v>50</v>
      </c>
      <c r="AL2115" s="5">
        <f t="shared" si="250"/>
        <v>0.5</v>
      </c>
    </row>
    <row r="2116" spans="1:38" hidden="1" x14ac:dyDescent="0.2">
      <c r="A2116" s="2">
        <v>2025</v>
      </c>
      <c r="B2116" s="2">
        <v>11</v>
      </c>
      <c r="D2116" s="2" t="s">
        <v>2003</v>
      </c>
      <c r="M2116" s="2" t="s">
        <v>40</v>
      </c>
      <c r="P2116" s="2" t="s">
        <v>115</v>
      </c>
      <c r="Q2116" s="2" t="s">
        <v>906</v>
      </c>
      <c r="R2116" s="2" t="s">
        <v>907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9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51"/>
        <v>0</v>
      </c>
      <c r="AJ2116" s="2">
        <f t="shared" si="252"/>
        <v>0</v>
      </c>
      <c r="AK2116" s="2">
        <f t="shared" si="253"/>
        <v>354.09659999999997</v>
      </c>
      <c r="AL2116" s="5">
        <f t="shared" si="250"/>
        <v>0.50635864435864431</v>
      </c>
    </row>
    <row r="2117" spans="1:38" hidden="1" x14ac:dyDescent="0.2">
      <c r="A2117" s="2">
        <v>2025</v>
      </c>
      <c r="B2117" s="2">
        <v>11</v>
      </c>
      <c r="D2117" s="2" t="s">
        <v>2003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9"/>
        <v>0.6</v>
      </c>
      <c r="Z2117" s="2" t="s">
        <v>118</v>
      </c>
      <c r="AA2117" s="2" t="s">
        <v>191</v>
      </c>
      <c r="AB2117" s="2" t="s">
        <v>190</v>
      </c>
      <c r="AC2117" s="2" t="s">
        <v>40</v>
      </c>
      <c r="AF2117" s="2">
        <f t="shared" si="251"/>
        <v>0</v>
      </c>
      <c r="AJ2117" s="2">
        <f t="shared" si="252"/>
        <v>0</v>
      </c>
      <c r="AK2117" s="2">
        <f t="shared" si="253"/>
        <v>30</v>
      </c>
      <c r="AL2117" s="5">
        <f t="shared" si="250"/>
        <v>0.6</v>
      </c>
    </row>
    <row r="2118" spans="1:38" hidden="1" x14ac:dyDescent="0.2">
      <c r="A2118" s="2">
        <v>2025</v>
      </c>
      <c r="B2118" s="2">
        <v>11</v>
      </c>
      <c r="D2118" s="2" t="s">
        <v>2003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9"/>
        <v>0.5</v>
      </c>
      <c r="Z2118" s="2" t="s">
        <v>118</v>
      </c>
      <c r="AA2118" s="2" t="s">
        <v>191</v>
      </c>
      <c r="AB2118" s="2" t="s">
        <v>191</v>
      </c>
      <c r="AC2118" s="2" t="s">
        <v>40</v>
      </c>
      <c r="AF2118" s="2">
        <f t="shared" si="251"/>
        <v>0</v>
      </c>
      <c r="AJ2118" s="2">
        <f t="shared" si="252"/>
        <v>0</v>
      </c>
      <c r="AK2118" s="2">
        <f t="shared" si="253"/>
        <v>25</v>
      </c>
      <c r="AL2118" s="5">
        <f t="shared" si="250"/>
        <v>0.5</v>
      </c>
    </row>
    <row r="2119" spans="1:38" hidden="1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1136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9"/>
        <v>0.44431818181818183</v>
      </c>
      <c r="Z2119" s="2" t="s">
        <v>3231</v>
      </c>
      <c r="AA2119" s="2" t="s">
        <v>76</v>
      </c>
      <c r="AB2119" s="2" t="s">
        <v>77</v>
      </c>
      <c r="AC2119" s="2" t="s">
        <v>78</v>
      </c>
      <c r="AF2119" s="2">
        <f t="shared" si="251"/>
        <v>0</v>
      </c>
      <c r="AJ2119" s="2">
        <f t="shared" si="252"/>
        <v>0</v>
      </c>
      <c r="AK2119" s="2">
        <f t="shared" si="253"/>
        <v>97.75</v>
      </c>
      <c r="AL2119" s="5">
        <f t="shared" si="250"/>
        <v>0.44431818181818183</v>
      </c>
    </row>
    <row r="2120" spans="1:38" hidden="1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9"/>
        <v>0</v>
      </c>
      <c r="Z2120" s="2" t="s">
        <v>3231</v>
      </c>
      <c r="AA2120" s="2" t="s">
        <v>97</v>
      </c>
      <c r="AB2120" s="2" t="s">
        <v>77</v>
      </c>
      <c r="AC2120" s="2" t="s">
        <v>94</v>
      </c>
      <c r="AF2120" s="2">
        <f t="shared" si="251"/>
        <v>0</v>
      </c>
      <c r="AJ2120" s="2">
        <f t="shared" si="252"/>
        <v>0</v>
      </c>
      <c r="AK2120" s="2">
        <f t="shared" si="253"/>
        <v>0</v>
      </c>
      <c r="AL2120" s="5">
        <f t="shared" si="250"/>
        <v>0</v>
      </c>
    </row>
    <row r="2121" spans="1:38" hidden="1" x14ac:dyDescent="0.2">
      <c r="A2121" s="2">
        <v>2025</v>
      </c>
      <c r="B2121" s="2">
        <v>11</v>
      </c>
      <c r="D2121" s="2" t="s">
        <v>1010</v>
      </c>
      <c r="E2121" s="2" t="s">
        <v>109</v>
      </c>
      <c r="F2121" s="2" t="s">
        <v>39</v>
      </c>
      <c r="L2121" s="2" t="s">
        <v>419</v>
      </c>
      <c r="M2121" s="2" t="s">
        <v>41</v>
      </c>
      <c r="P2121" s="2" t="s">
        <v>283</v>
      </c>
      <c r="Q2121" s="2" t="s">
        <v>2004</v>
      </c>
      <c r="R2121" s="2" t="s">
        <v>2005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9"/>
        <v>1</v>
      </c>
      <c r="Z2121" s="2" t="s">
        <v>3231</v>
      </c>
      <c r="AF2121" s="2">
        <f t="shared" si="251"/>
        <v>0</v>
      </c>
      <c r="AJ2121" s="2">
        <f t="shared" si="252"/>
        <v>0</v>
      </c>
      <c r="AK2121" s="2">
        <f t="shared" si="253"/>
        <v>430</v>
      </c>
      <c r="AL2121" s="5">
        <f t="shared" si="250"/>
        <v>1</v>
      </c>
    </row>
    <row r="2122" spans="1:38" hidden="1" x14ac:dyDescent="0.2">
      <c r="A2122" s="2">
        <v>2025</v>
      </c>
      <c r="B2122" s="2">
        <v>11</v>
      </c>
      <c r="D2122" s="2" t="s">
        <v>782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783</v>
      </c>
      <c r="J2122" s="2" t="s">
        <v>784</v>
      </c>
      <c r="K2122" s="2">
        <v>917341136</v>
      </c>
      <c r="L2122" s="2" t="s">
        <v>100</v>
      </c>
      <c r="P2122" s="2" t="s">
        <v>115</v>
      </c>
      <c r="Q2122" s="2" t="s">
        <v>2006</v>
      </c>
      <c r="R2122" s="2" t="s">
        <v>2007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9"/>
        <v>1</v>
      </c>
      <c r="Z2122" s="2" t="s">
        <v>118</v>
      </c>
      <c r="AF2122" s="2">
        <f t="shared" si="251"/>
        <v>0</v>
      </c>
      <c r="AJ2122" s="2">
        <f t="shared" si="252"/>
        <v>0</v>
      </c>
      <c r="AK2122" s="2">
        <f t="shared" si="253"/>
        <v>7.94</v>
      </c>
      <c r="AL2122" s="5">
        <f t="shared" si="250"/>
        <v>1</v>
      </c>
    </row>
    <row r="2123" spans="1:38" hidden="1" x14ac:dyDescent="0.2">
      <c r="A2123" s="2">
        <v>2025</v>
      </c>
      <c r="B2123" s="2">
        <v>11</v>
      </c>
      <c r="D2123" s="2" t="s">
        <v>782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783</v>
      </c>
      <c r="J2123" s="2" t="s">
        <v>784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9"/>
        <v>0.41111111111111115</v>
      </c>
      <c r="Z2123" s="2" t="s">
        <v>3231</v>
      </c>
      <c r="AA2123" s="2" t="s">
        <v>46</v>
      </c>
      <c r="AB2123" s="2" t="s">
        <v>57</v>
      </c>
      <c r="AC2123" s="2" t="s">
        <v>58</v>
      </c>
      <c r="AF2123" s="2">
        <f t="shared" si="251"/>
        <v>0</v>
      </c>
      <c r="AG2123" s="2">
        <v>10.6</v>
      </c>
      <c r="AH2123" s="2">
        <v>18</v>
      </c>
      <c r="AJ2123" s="2">
        <f t="shared" si="252"/>
        <v>0</v>
      </c>
      <c r="AK2123" s="2">
        <f t="shared" si="253"/>
        <v>7.4</v>
      </c>
      <c r="AL2123" s="5">
        <f t="shared" si="250"/>
        <v>0.41111111111111115</v>
      </c>
    </row>
    <row r="2124" spans="1:38" hidden="1" x14ac:dyDescent="0.2">
      <c r="A2124" s="2">
        <v>2025</v>
      </c>
      <c r="B2124" s="2">
        <v>11</v>
      </c>
      <c r="D2124" s="2" t="s">
        <v>2008</v>
      </c>
      <c r="Q2124" s="2" t="s">
        <v>2009</v>
      </c>
      <c r="R2124" s="2" t="s">
        <v>2010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9"/>
        <v>1</v>
      </c>
      <c r="Z2124" s="2" t="s">
        <v>105</v>
      </c>
      <c r="AF2124" s="2">
        <f t="shared" si="251"/>
        <v>0</v>
      </c>
      <c r="AJ2124" s="2">
        <f t="shared" si="252"/>
        <v>0</v>
      </c>
      <c r="AK2124" s="2">
        <f t="shared" si="253"/>
        <v>1000</v>
      </c>
      <c r="AL2124" s="5">
        <f t="shared" si="250"/>
        <v>1</v>
      </c>
    </row>
    <row r="2125" spans="1:38" hidden="1" x14ac:dyDescent="0.2">
      <c r="A2125" s="2">
        <v>2025</v>
      </c>
      <c r="B2125" s="2">
        <v>11</v>
      </c>
      <c r="D2125" s="2" t="s">
        <v>2011</v>
      </c>
      <c r="P2125" s="2" t="s">
        <v>115</v>
      </c>
      <c r="Q2125" s="2" t="s">
        <v>835</v>
      </c>
      <c r="R2125" s="2" t="s">
        <v>836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118</v>
      </c>
      <c r="AF2125" s="2">
        <f t="shared" si="251"/>
        <v>0</v>
      </c>
      <c r="AJ2125" s="2">
        <f t="shared" si="252"/>
        <v>0</v>
      </c>
      <c r="AK2125" s="2">
        <f t="shared" si="253"/>
        <v>0</v>
      </c>
      <c r="AL2125" s="5" t="e">
        <f t="shared" si="250"/>
        <v>#DIV/0!</v>
      </c>
    </row>
    <row r="2126" spans="1:38" hidden="1" x14ac:dyDescent="0.2">
      <c r="A2126" s="2">
        <v>2025</v>
      </c>
      <c r="B2126" s="2">
        <v>11</v>
      </c>
      <c r="D2126" s="2" t="s">
        <v>2011</v>
      </c>
      <c r="P2126" s="2" t="s">
        <v>115</v>
      </c>
      <c r="Q2126" s="2" t="s">
        <v>837</v>
      </c>
      <c r="R2126" s="2" t="s">
        <v>838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9"/>
        <v>1</v>
      </c>
      <c r="Z2126" s="2" t="s">
        <v>105</v>
      </c>
      <c r="AF2126" s="2">
        <f t="shared" si="251"/>
        <v>0</v>
      </c>
      <c r="AJ2126" s="2">
        <f t="shared" si="252"/>
        <v>0</v>
      </c>
      <c r="AK2126" s="2">
        <f t="shared" si="253"/>
        <v>13990</v>
      </c>
      <c r="AL2126" s="5">
        <f t="shared" si="250"/>
        <v>1</v>
      </c>
    </row>
    <row r="2127" spans="1:38" hidden="1" x14ac:dyDescent="0.2">
      <c r="A2127" s="2">
        <v>2025</v>
      </c>
      <c r="B2127" s="2">
        <v>11</v>
      </c>
      <c r="D2127" s="2" t="s">
        <v>2012</v>
      </c>
      <c r="E2127" s="2" t="s">
        <v>38</v>
      </c>
      <c r="F2127" s="2" t="s">
        <v>39</v>
      </c>
      <c r="L2127" s="2" t="s">
        <v>572</v>
      </c>
      <c r="M2127" s="2" t="s">
        <v>40</v>
      </c>
      <c r="P2127" s="2" t="s">
        <v>115</v>
      </c>
      <c r="Q2127" s="2" t="s">
        <v>980</v>
      </c>
      <c r="R2127" s="2" t="s">
        <v>981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9"/>
        <v>1</v>
      </c>
      <c r="Z2127" s="2" t="s">
        <v>118</v>
      </c>
      <c r="AF2127" s="2">
        <f t="shared" si="251"/>
        <v>0</v>
      </c>
      <c r="AJ2127" s="2">
        <f t="shared" si="252"/>
        <v>0</v>
      </c>
      <c r="AK2127" s="2">
        <f t="shared" si="253"/>
        <v>79.819999999999993</v>
      </c>
      <c r="AL2127" s="5">
        <f t="shared" si="250"/>
        <v>1</v>
      </c>
    </row>
    <row r="2128" spans="1:38" hidden="1" x14ac:dyDescent="0.2">
      <c r="A2128" s="2">
        <v>2025</v>
      </c>
      <c r="B2128" s="2">
        <v>11</v>
      </c>
      <c r="D2128" s="2" t="s">
        <v>2012</v>
      </c>
      <c r="E2128" s="2" t="s">
        <v>38</v>
      </c>
      <c r="F2128" s="2" t="s">
        <v>39</v>
      </c>
      <c r="L2128" s="2" t="s">
        <v>572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9"/>
        <v>0.6</v>
      </c>
      <c r="Z2128" s="2" t="s">
        <v>118</v>
      </c>
      <c r="AA2128" s="2" t="s">
        <v>191</v>
      </c>
      <c r="AB2128" s="2" t="s">
        <v>190</v>
      </c>
      <c r="AC2128" s="2" t="s">
        <v>40</v>
      </c>
      <c r="AF2128" s="2">
        <f t="shared" si="251"/>
        <v>0</v>
      </c>
      <c r="AJ2128" s="2">
        <f t="shared" si="252"/>
        <v>0</v>
      </c>
      <c r="AK2128" s="2">
        <f t="shared" si="253"/>
        <v>91.8</v>
      </c>
      <c r="AL2128" s="5">
        <f t="shared" si="250"/>
        <v>0.6</v>
      </c>
    </row>
    <row r="2129" spans="1:38" hidden="1" x14ac:dyDescent="0.2">
      <c r="A2129" s="2">
        <v>2025</v>
      </c>
      <c r="B2129" s="2">
        <v>11</v>
      </c>
      <c r="D2129" s="2" t="s">
        <v>2012</v>
      </c>
      <c r="E2129" s="2" t="s">
        <v>38</v>
      </c>
      <c r="F2129" s="2" t="s">
        <v>39</v>
      </c>
      <c r="L2129" s="2" t="s">
        <v>572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9"/>
        <v>0.5</v>
      </c>
      <c r="Z2129" s="2" t="s">
        <v>118</v>
      </c>
      <c r="AA2129" s="2" t="s">
        <v>191</v>
      </c>
      <c r="AB2129" s="2" t="s">
        <v>191</v>
      </c>
      <c r="AC2129" s="2" t="s">
        <v>40</v>
      </c>
      <c r="AF2129" s="2">
        <f t="shared" si="251"/>
        <v>0</v>
      </c>
      <c r="AJ2129" s="2">
        <f t="shared" si="252"/>
        <v>0</v>
      </c>
      <c r="AK2129" s="2">
        <f t="shared" si="253"/>
        <v>25</v>
      </c>
      <c r="AL2129" s="5">
        <f t="shared" si="250"/>
        <v>0.5</v>
      </c>
    </row>
    <row r="2130" spans="1:38" hidden="1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2480</v>
      </c>
      <c r="J2130" s="2" t="s">
        <v>3127</v>
      </c>
      <c r="K2130" s="2">
        <v>965864665</v>
      </c>
      <c r="L2130" s="2" t="s">
        <v>345</v>
      </c>
      <c r="M2130" s="2" t="s">
        <v>81</v>
      </c>
      <c r="O2130" s="2" t="s">
        <v>3131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9"/>
        <v>0.46612272727272724</v>
      </c>
      <c r="Z2130" s="2" t="s">
        <v>3231</v>
      </c>
      <c r="AA2130" s="2" t="s">
        <v>76</v>
      </c>
      <c r="AB2130" s="2" t="s">
        <v>77</v>
      </c>
      <c r="AC2130" s="2" t="s">
        <v>78</v>
      </c>
      <c r="AF2130" s="2">
        <f t="shared" si="251"/>
        <v>0</v>
      </c>
      <c r="AG2130" s="2">
        <v>117.453</v>
      </c>
      <c r="AH2130" s="2">
        <v>220</v>
      </c>
      <c r="AJ2130" s="2">
        <f t="shared" si="252"/>
        <v>0</v>
      </c>
      <c r="AK2130" s="2">
        <f t="shared" si="253"/>
        <v>102.547</v>
      </c>
      <c r="AL2130" s="5">
        <f t="shared" si="250"/>
        <v>0.46612272727272724</v>
      </c>
    </row>
    <row r="2131" spans="1:38" hidden="1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2480</v>
      </c>
      <c r="J2131" s="2" t="s">
        <v>3127</v>
      </c>
      <c r="K2131" s="2">
        <v>965864665</v>
      </c>
      <c r="L2131" s="2" t="s">
        <v>345</v>
      </c>
      <c r="M2131" s="2" t="s">
        <v>81</v>
      </c>
      <c r="O2131" s="2" t="s">
        <v>3131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4">(T2131-W2131)/T2131</f>
        <v>0</v>
      </c>
      <c r="Z2131" s="2" t="s">
        <v>3231</v>
      </c>
      <c r="AA2131" s="2" t="s">
        <v>97</v>
      </c>
      <c r="AB2131" s="2" t="s">
        <v>77</v>
      </c>
      <c r="AC2131" s="2" t="s">
        <v>94</v>
      </c>
      <c r="AF2131" s="2">
        <f t="shared" si="251"/>
        <v>0</v>
      </c>
      <c r="AJ2131" s="2">
        <f t="shared" si="252"/>
        <v>0</v>
      </c>
      <c r="AK2131" s="2">
        <f t="shared" si="253"/>
        <v>0</v>
      </c>
      <c r="AL2131" s="5">
        <f t="shared" si="250"/>
        <v>0</v>
      </c>
    </row>
    <row r="2132" spans="1:38" hidden="1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4"/>
        <v>0.29692307692307701</v>
      </c>
      <c r="Z2132" s="2" t="s">
        <v>3231</v>
      </c>
      <c r="AA2132" s="2" t="s">
        <v>46</v>
      </c>
      <c r="AB2132" s="2" t="s">
        <v>61</v>
      </c>
      <c r="AC2132" s="2" t="s">
        <v>58</v>
      </c>
      <c r="AF2132" s="2">
        <f t="shared" si="251"/>
        <v>0</v>
      </c>
      <c r="AG2132" s="2">
        <v>9.14</v>
      </c>
      <c r="AH2132" s="2">
        <v>16</v>
      </c>
      <c r="AJ2132" s="2">
        <f t="shared" si="252"/>
        <v>0</v>
      </c>
      <c r="AK2132" s="2">
        <f t="shared" si="253"/>
        <v>3.8600000000000012</v>
      </c>
      <c r="AL2132" s="5">
        <f t="shared" si="250"/>
        <v>0.29692307692307701</v>
      </c>
    </row>
    <row r="2133" spans="1:38" hidden="1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4"/>
        <v>0.43096969696969695</v>
      </c>
      <c r="Z2133" s="2" t="s">
        <v>3231</v>
      </c>
      <c r="AA2133" s="2" t="s">
        <v>46</v>
      </c>
      <c r="AB2133" s="2" t="s">
        <v>61</v>
      </c>
      <c r="AC2133" s="2" t="s">
        <v>58</v>
      </c>
      <c r="AF2133" s="2">
        <f t="shared" si="251"/>
        <v>0</v>
      </c>
      <c r="AG2133" s="2">
        <v>3.7555999999999998</v>
      </c>
      <c r="AH2133" s="2">
        <v>7.2</v>
      </c>
      <c r="AJ2133" s="2">
        <f t="shared" si="252"/>
        <v>0</v>
      </c>
      <c r="AK2133" s="2">
        <f t="shared" si="253"/>
        <v>11.377599999999999</v>
      </c>
      <c r="AL2133" s="5">
        <f t="shared" si="250"/>
        <v>0.43096969696969695</v>
      </c>
    </row>
    <row r="2134" spans="1:38" hidden="1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4"/>
        <v>1</v>
      </c>
      <c r="Z2134" s="2" t="s">
        <v>170</v>
      </c>
      <c r="AA2134" s="2" t="s">
        <v>170</v>
      </c>
      <c r="AF2134" s="2">
        <f t="shared" si="251"/>
        <v>0</v>
      </c>
      <c r="AJ2134" s="2">
        <f t="shared" si="252"/>
        <v>0</v>
      </c>
      <c r="AK2134" s="2">
        <f t="shared" si="253"/>
        <v>5</v>
      </c>
      <c r="AL2134" s="5">
        <f t="shared" si="250"/>
        <v>1</v>
      </c>
    </row>
    <row r="2135" spans="1:38" hidden="1" x14ac:dyDescent="0.2">
      <c r="A2135" s="2">
        <v>2025</v>
      </c>
      <c r="B2135" s="2">
        <v>11</v>
      </c>
      <c r="D2135" s="2" t="s">
        <v>2013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4"/>
        <v>0.6</v>
      </c>
      <c r="Z2135" s="2" t="s">
        <v>118</v>
      </c>
      <c r="AA2135" s="2" t="s">
        <v>191</v>
      </c>
      <c r="AB2135" s="2" t="s">
        <v>190</v>
      </c>
      <c r="AC2135" s="2" t="s">
        <v>40</v>
      </c>
      <c r="AF2135" s="2">
        <f t="shared" si="251"/>
        <v>0</v>
      </c>
      <c r="AJ2135" s="2">
        <f t="shared" si="252"/>
        <v>0</v>
      </c>
      <c r="AK2135" s="2">
        <f t="shared" si="253"/>
        <v>63.599999999999994</v>
      </c>
      <c r="AL2135" s="5">
        <f t="shared" si="250"/>
        <v>0.6</v>
      </c>
    </row>
    <row r="2136" spans="1:38" hidden="1" x14ac:dyDescent="0.2">
      <c r="A2136" s="2">
        <v>2025</v>
      </c>
      <c r="B2136" s="2">
        <v>11</v>
      </c>
      <c r="D2136" s="2" t="s">
        <v>2013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4"/>
        <v>0.5</v>
      </c>
      <c r="Z2136" s="2" t="s">
        <v>118</v>
      </c>
      <c r="AA2136" s="2" t="s">
        <v>191</v>
      </c>
      <c r="AB2136" s="2" t="s">
        <v>191</v>
      </c>
      <c r="AC2136" s="2" t="s">
        <v>40</v>
      </c>
      <c r="AF2136" s="2">
        <f t="shared" si="251"/>
        <v>0</v>
      </c>
      <c r="AJ2136" s="2">
        <f t="shared" si="252"/>
        <v>0</v>
      </c>
      <c r="AK2136" s="2">
        <f t="shared" si="253"/>
        <v>50</v>
      </c>
      <c r="AL2136" s="5">
        <f t="shared" si="250"/>
        <v>0.5</v>
      </c>
    </row>
    <row r="2137" spans="1:38" hidden="1" x14ac:dyDescent="0.2">
      <c r="A2137" s="2">
        <v>2025</v>
      </c>
      <c r="B2137" s="2">
        <v>11</v>
      </c>
      <c r="D2137" s="2" t="s">
        <v>1017</v>
      </c>
      <c r="E2137" s="2" t="s">
        <v>109</v>
      </c>
      <c r="F2137" s="2" t="s">
        <v>478</v>
      </c>
      <c r="G2137" s="2">
        <v>503815284</v>
      </c>
      <c r="H2137" s="2" t="s">
        <v>40</v>
      </c>
      <c r="I2137" s="2" t="s">
        <v>157</v>
      </c>
      <c r="J2137" s="2" t="s">
        <v>2542</v>
      </c>
      <c r="L2137" s="2" t="s">
        <v>100</v>
      </c>
      <c r="M2137" s="2" t="s">
        <v>81</v>
      </c>
      <c r="O2137" s="2" t="s">
        <v>2014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4"/>
        <v>0.42634408602150536</v>
      </c>
      <c r="Z2137" s="2" t="s">
        <v>3231</v>
      </c>
      <c r="AA2137" s="2" t="s">
        <v>46</v>
      </c>
      <c r="AB2137" s="2" t="s">
        <v>47</v>
      </c>
      <c r="AC2137" s="2" t="s">
        <v>48</v>
      </c>
      <c r="AF2137" s="2">
        <f t="shared" si="251"/>
        <v>0</v>
      </c>
      <c r="AG2137" s="2">
        <v>10.67</v>
      </c>
      <c r="AH2137" s="2">
        <v>21</v>
      </c>
      <c r="AJ2137" s="2">
        <f t="shared" si="252"/>
        <v>0</v>
      </c>
      <c r="AK2137" s="2">
        <f t="shared" si="253"/>
        <v>47.58</v>
      </c>
      <c r="AL2137" s="5">
        <f t="shared" si="250"/>
        <v>0.42634408602150536</v>
      </c>
    </row>
    <row r="2138" spans="1:38" hidden="1" x14ac:dyDescent="0.2">
      <c r="A2138" s="2">
        <v>2025</v>
      </c>
      <c r="B2138" s="2">
        <v>11</v>
      </c>
      <c r="D2138" s="2" t="s">
        <v>1017</v>
      </c>
      <c r="E2138" s="2" t="s">
        <v>109</v>
      </c>
      <c r="F2138" s="2" t="s">
        <v>478</v>
      </c>
      <c r="G2138" s="2">
        <v>503815284</v>
      </c>
      <c r="H2138" s="2" t="s">
        <v>40</v>
      </c>
      <c r="I2138" s="2" t="s">
        <v>157</v>
      </c>
      <c r="J2138" s="2" t="s">
        <v>2542</v>
      </c>
      <c r="L2138" s="2" t="s">
        <v>100</v>
      </c>
      <c r="M2138" s="2" t="s">
        <v>81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4"/>
        <v>0.52105128205128204</v>
      </c>
      <c r="Z2138" s="2" t="s">
        <v>3231</v>
      </c>
      <c r="AA2138" s="2" t="s">
        <v>46</v>
      </c>
      <c r="AB2138" s="2" t="s">
        <v>47</v>
      </c>
      <c r="AC2138" s="2" t="s">
        <v>48</v>
      </c>
      <c r="AF2138" s="2">
        <f t="shared" si="251"/>
        <v>0</v>
      </c>
      <c r="AG2138" s="2">
        <v>3.7357999999999998</v>
      </c>
      <c r="AH2138" s="2">
        <v>9</v>
      </c>
      <c r="AJ2138" s="2">
        <f t="shared" si="252"/>
        <v>0</v>
      </c>
      <c r="AK2138" s="2">
        <f t="shared" si="253"/>
        <v>24.385199999999998</v>
      </c>
      <c r="AL2138" s="5">
        <f t="shared" si="250"/>
        <v>0.52105128205128204</v>
      </c>
    </row>
    <row r="2139" spans="1:38" hidden="1" x14ac:dyDescent="0.2">
      <c r="A2139" s="2">
        <v>2025</v>
      </c>
      <c r="B2139" s="2">
        <v>11</v>
      </c>
      <c r="D2139" s="2" t="s">
        <v>1017</v>
      </c>
      <c r="E2139" s="2" t="s">
        <v>109</v>
      </c>
      <c r="F2139" s="2" t="s">
        <v>478</v>
      </c>
      <c r="G2139" s="2">
        <v>503815284</v>
      </c>
      <c r="H2139" s="2" t="s">
        <v>40</v>
      </c>
      <c r="I2139" s="2" t="s">
        <v>157</v>
      </c>
      <c r="J2139" s="2" t="s">
        <v>2542</v>
      </c>
      <c r="L2139" s="2" t="s">
        <v>100</v>
      </c>
      <c r="M2139" s="2" t="s">
        <v>81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4"/>
        <v>0.43104924242424236</v>
      </c>
      <c r="Z2139" s="2" t="s">
        <v>3231</v>
      </c>
      <c r="AA2139" s="2" t="s">
        <v>46</v>
      </c>
      <c r="AB2139" s="2" t="s">
        <v>68</v>
      </c>
      <c r="AC2139" s="2" t="s">
        <v>58</v>
      </c>
      <c r="AF2139" s="2">
        <f t="shared" si="251"/>
        <v>0</v>
      </c>
      <c r="AG2139" s="2">
        <v>15.020300000000001</v>
      </c>
      <c r="AH2139" s="2">
        <v>27.6</v>
      </c>
      <c r="AJ2139" s="2">
        <f t="shared" si="252"/>
        <v>0</v>
      </c>
      <c r="AK2139" s="2">
        <f t="shared" si="253"/>
        <v>11.379699999999998</v>
      </c>
      <c r="AL2139" s="5">
        <f t="shared" si="250"/>
        <v>0.43104924242424236</v>
      </c>
    </row>
    <row r="2140" spans="1:38" hidden="1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4"/>
        <v>0.52105128205128204</v>
      </c>
      <c r="Z2140" s="2" t="s">
        <v>3231</v>
      </c>
      <c r="AA2140" s="2" t="s">
        <v>46</v>
      </c>
      <c r="AB2140" s="2" t="s">
        <v>47</v>
      </c>
      <c r="AC2140" s="2" t="s">
        <v>48</v>
      </c>
      <c r="AF2140" s="2">
        <f t="shared" si="251"/>
        <v>0</v>
      </c>
      <c r="AG2140" s="2">
        <v>3.7357999999999998</v>
      </c>
      <c r="AH2140" s="2">
        <v>9</v>
      </c>
      <c r="AJ2140" s="2">
        <f t="shared" si="252"/>
        <v>0</v>
      </c>
      <c r="AK2140" s="2">
        <f t="shared" si="253"/>
        <v>4.0641999999999996</v>
      </c>
      <c r="AL2140" s="5">
        <f t="shared" si="250"/>
        <v>0.52105128205128204</v>
      </c>
    </row>
    <row r="2141" spans="1:38" hidden="1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4"/>
        <v>0.41111111111111115</v>
      </c>
      <c r="Z2141" s="2" t="s">
        <v>3231</v>
      </c>
      <c r="AA2141" s="2" t="s">
        <v>46</v>
      </c>
      <c r="AB2141" s="2" t="s">
        <v>57</v>
      </c>
      <c r="AC2141" s="2" t="s">
        <v>58</v>
      </c>
      <c r="AF2141" s="2">
        <f t="shared" si="251"/>
        <v>0</v>
      </c>
      <c r="AG2141" s="2">
        <v>10.6</v>
      </c>
      <c r="AH2141" s="2">
        <v>18</v>
      </c>
      <c r="AJ2141" s="2">
        <f t="shared" si="252"/>
        <v>0</v>
      </c>
      <c r="AK2141" s="2">
        <f t="shared" si="253"/>
        <v>7.4</v>
      </c>
      <c r="AL2141" s="5">
        <f t="shared" si="250"/>
        <v>0.41111111111111115</v>
      </c>
    </row>
    <row r="2142" spans="1:38" hidden="1" x14ac:dyDescent="0.2">
      <c r="A2142" s="2">
        <v>2025</v>
      </c>
      <c r="B2142" s="2">
        <v>11</v>
      </c>
      <c r="D2142" s="2" t="s">
        <v>1375</v>
      </c>
      <c r="P2142" s="2" t="s">
        <v>115</v>
      </c>
      <c r="Q2142" s="2" t="s">
        <v>2015</v>
      </c>
      <c r="R2142" s="2" t="s">
        <v>2016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4"/>
        <v>1</v>
      </c>
      <c r="Z2142" s="2" t="s">
        <v>118</v>
      </c>
      <c r="AF2142" s="2">
        <f t="shared" si="251"/>
        <v>0</v>
      </c>
      <c r="AJ2142" s="2">
        <f t="shared" si="252"/>
        <v>0</v>
      </c>
      <c r="AK2142" s="2">
        <f t="shared" si="253"/>
        <v>24.68</v>
      </c>
      <c r="AL2142" s="5">
        <f t="shared" si="250"/>
        <v>1</v>
      </c>
    </row>
    <row r="2143" spans="1:38" hidden="1" x14ac:dyDescent="0.2">
      <c r="A2143" s="2">
        <v>2025</v>
      </c>
      <c r="B2143" s="2">
        <v>11</v>
      </c>
      <c r="D2143" s="2" t="s">
        <v>1375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4"/>
        <v>1</v>
      </c>
      <c r="Z2143" s="2" t="s">
        <v>118</v>
      </c>
      <c r="AA2143" s="2" t="s">
        <v>318</v>
      </c>
      <c r="AF2143" s="2">
        <f t="shared" si="251"/>
        <v>0</v>
      </c>
      <c r="AJ2143" s="2">
        <f t="shared" si="252"/>
        <v>0</v>
      </c>
      <c r="AK2143" s="2">
        <f t="shared" si="253"/>
        <v>929</v>
      </c>
      <c r="AL2143" s="5">
        <f t="shared" si="250"/>
        <v>1</v>
      </c>
    </row>
    <row r="2144" spans="1:38" hidden="1" x14ac:dyDescent="0.2">
      <c r="A2144" s="2">
        <v>2025</v>
      </c>
      <c r="B2144" s="2">
        <v>11</v>
      </c>
      <c r="D2144" s="2" t="s">
        <v>1375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4"/>
        <v>0.6</v>
      </c>
      <c r="Z2144" s="2" t="s">
        <v>118</v>
      </c>
      <c r="AA2144" s="2" t="s">
        <v>191</v>
      </c>
      <c r="AB2144" s="2" t="s">
        <v>190</v>
      </c>
      <c r="AC2144" s="2" t="s">
        <v>40</v>
      </c>
      <c r="AF2144" s="2">
        <f t="shared" si="251"/>
        <v>0</v>
      </c>
      <c r="AJ2144" s="2">
        <f t="shared" si="252"/>
        <v>0</v>
      </c>
      <c r="AK2144" s="2">
        <f t="shared" si="253"/>
        <v>32.4</v>
      </c>
      <c r="AL2144" s="5">
        <f t="shared" si="250"/>
        <v>0.6</v>
      </c>
    </row>
    <row r="2145" spans="1:38" hidden="1" x14ac:dyDescent="0.2">
      <c r="A2145" s="2">
        <v>2025</v>
      </c>
      <c r="B2145" s="2">
        <v>11</v>
      </c>
      <c r="D2145" s="2" t="s">
        <v>1375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B2145" s="2" t="s">
        <v>191</v>
      </c>
      <c r="AC2145" s="2" t="s">
        <v>40</v>
      </c>
      <c r="AF2145" s="2">
        <f t="shared" si="251"/>
        <v>0</v>
      </c>
      <c r="AJ2145" s="2">
        <f t="shared" si="252"/>
        <v>0</v>
      </c>
      <c r="AK2145" s="2">
        <f t="shared" si="253"/>
        <v>0</v>
      </c>
      <c r="AL2145" s="5">
        <v>0</v>
      </c>
    </row>
    <row r="2146" spans="1:38" hidden="1" x14ac:dyDescent="0.2">
      <c r="A2146" s="2">
        <v>2025</v>
      </c>
      <c r="B2146" s="2">
        <v>11</v>
      </c>
      <c r="D2146" s="2" t="s">
        <v>1375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4"/>
        <v>#DIV/0!</v>
      </c>
      <c r="Z2146" s="2" t="s">
        <v>118</v>
      </c>
      <c r="AA2146" s="2" t="s">
        <v>318</v>
      </c>
      <c r="AF2146" s="2">
        <f t="shared" si="251"/>
        <v>0</v>
      </c>
      <c r="AJ2146" s="2">
        <f t="shared" si="252"/>
        <v>0</v>
      </c>
      <c r="AK2146" s="2">
        <f t="shared" si="253"/>
        <v>0</v>
      </c>
      <c r="AL2146" s="5" t="e">
        <f t="shared" si="250"/>
        <v>#DIV/0!</v>
      </c>
    </row>
    <row r="2147" spans="1:38" hidden="1" x14ac:dyDescent="0.2">
      <c r="A2147" s="2">
        <v>2025</v>
      </c>
      <c r="B2147" s="2">
        <v>11</v>
      </c>
      <c r="D2147" s="2" t="s">
        <v>1557</v>
      </c>
      <c r="E2147" s="2" t="s">
        <v>109</v>
      </c>
      <c r="F2147" s="2" t="s">
        <v>718</v>
      </c>
      <c r="G2147" s="2">
        <v>500975914</v>
      </c>
      <c r="H2147" s="2" t="s">
        <v>41</v>
      </c>
      <c r="I2147" s="2" t="s">
        <v>1558</v>
      </c>
      <c r="J2147" s="2" t="s">
        <v>1559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4"/>
        <v>0.13</v>
      </c>
      <c r="Z2147" s="2" t="s">
        <v>3231</v>
      </c>
      <c r="AA2147" s="2" t="s">
        <v>46</v>
      </c>
      <c r="AB2147" s="2" t="s">
        <v>61</v>
      </c>
      <c r="AC2147" s="2" t="s">
        <v>3336</v>
      </c>
      <c r="AF2147" s="2">
        <f t="shared" si="251"/>
        <v>0</v>
      </c>
      <c r="AJ2147" s="2">
        <f t="shared" si="252"/>
        <v>0</v>
      </c>
      <c r="AK2147" s="2">
        <f t="shared" si="253"/>
        <v>52</v>
      </c>
      <c r="AL2147" s="5">
        <f t="shared" si="250"/>
        <v>0.13</v>
      </c>
    </row>
    <row r="2148" spans="1:38" hidden="1" x14ac:dyDescent="0.2">
      <c r="A2148" s="2">
        <v>2025</v>
      </c>
      <c r="B2148" s="2">
        <v>11</v>
      </c>
      <c r="D2148" s="2" t="s">
        <v>1557</v>
      </c>
      <c r="E2148" s="2" t="s">
        <v>109</v>
      </c>
      <c r="F2148" s="2" t="s">
        <v>718</v>
      </c>
      <c r="G2148" s="2">
        <v>500975914</v>
      </c>
      <c r="H2148" s="2" t="s">
        <v>41</v>
      </c>
      <c r="I2148" s="2" t="s">
        <v>1558</v>
      </c>
      <c r="J2148" s="2" t="s">
        <v>1559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4"/>
        <v>0.13</v>
      </c>
      <c r="Z2148" s="2" t="s">
        <v>3231</v>
      </c>
      <c r="AA2148" s="2" t="s">
        <v>46</v>
      </c>
      <c r="AB2148" s="2" t="s">
        <v>61</v>
      </c>
      <c r="AC2148" s="2" t="s">
        <v>3336</v>
      </c>
      <c r="AF2148" s="2">
        <f t="shared" si="251"/>
        <v>0</v>
      </c>
      <c r="AJ2148" s="2">
        <f t="shared" si="252"/>
        <v>0</v>
      </c>
      <c r="AK2148" s="2">
        <f t="shared" si="253"/>
        <v>52</v>
      </c>
      <c r="AL2148" s="5">
        <f t="shared" si="250"/>
        <v>0.13</v>
      </c>
    </row>
    <row r="2149" spans="1:38" hidden="1" x14ac:dyDescent="0.2">
      <c r="A2149" s="2">
        <v>2025</v>
      </c>
      <c r="B2149" s="2">
        <v>11</v>
      </c>
      <c r="D2149" s="2" t="s">
        <v>434</v>
      </c>
      <c r="E2149" s="2" t="s">
        <v>38</v>
      </c>
      <c r="F2149" s="2" t="s">
        <v>39</v>
      </c>
      <c r="L2149" s="2" t="s">
        <v>100</v>
      </c>
      <c r="M2149" s="2" t="s">
        <v>41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4"/>
        <v>0.13</v>
      </c>
      <c r="Z2149" s="2" t="s">
        <v>3231</v>
      </c>
      <c r="AA2149" s="2" t="s">
        <v>46</v>
      </c>
      <c r="AB2149" s="2" t="s">
        <v>61</v>
      </c>
      <c r="AC2149" s="2" t="s">
        <v>3336</v>
      </c>
      <c r="AF2149" s="2">
        <f t="shared" si="251"/>
        <v>0</v>
      </c>
      <c r="AJ2149" s="2">
        <f t="shared" si="252"/>
        <v>0</v>
      </c>
      <c r="AK2149" s="2">
        <f t="shared" si="253"/>
        <v>26</v>
      </c>
      <c r="AL2149" s="5">
        <f t="shared" si="250"/>
        <v>0.13</v>
      </c>
    </row>
    <row r="2150" spans="1:38" hidden="1" x14ac:dyDescent="0.2">
      <c r="A2150" s="2">
        <v>2025</v>
      </c>
      <c r="B2150" s="2">
        <v>11</v>
      </c>
      <c r="D2150" s="2" t="s">
        <v>434</v>
      </c>
      <c r="E2150" s="2" t="s">
        <v>38</v>
      </c>
      <c r="F2150" s="2" t="s">
        <v>39</v>
      </c>
      <c r="L2150" s="2" t="s">
        <v>100</v>
      </c>
      <c r="M2150" s="2" t="s">
        <v>41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4"/>
        <v>0.13</v>
      </c>
      <c r="Z2150" s="2" t="s">
        <v>3231</v>
      </c>
      <c r="AA2150" s="2" t="s">
        <v>46</v>
      </c>
      <c r="AB2150" s="2" t="s">
        <v>61</v>
      </c>
      <c r="AC2150" s="2" t="s">
        <v>3336</v>
      </c>
      <c r="AF2150" s="2">
        <f t="shared" si="251"/>
        <v>0</v>
      </c>
      <c r="AJ2150" s="2">
        <f t="shared" si="252"/>
        <v>0</v>
      </c>
      <c r="AK2150" s="2">
        <f t="shared" si="253"/>
        <v>26</v>
      </c>
      <c r="AL2150" s="5">
        <f t="shared" si="250"/>
        <v>0.13</v>
      </c>
    </row>
    <row r="2151" spans="1:38" hidden="1" x14ac:dyDescent="0.2">
      <c r="A2151" s="2">
        <v>2025</v>
      </c>
      <c r="B2151" s="2">
        <v>11</v>
      </c>
      <c r="D2151" s="2" t="s">
        <v>1243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4"/>
        <v>0.6</v>
      </c>
      <c r="Z2151" s="2" t="s">
        <v>118</v>
      </c>
      <c r="AA2151" s="2" t="s">
        <v>191</v>
      </c>
      <c r="AB2151" s="2" t="s">
        <v>190</v>
      </c>
      <c r="AC2151" s="2" t="s">
        <v>40</v>
      </c>
      <c r="AF2151" s="2">
        <f t="shared" si="251"/>
        <v>0</v>
      </c>
      <c r="AJ2151" s="2">
        <f t="shared" si="252"/>
        <v>0</v>
      </c>
      <c r="AK2151" s="2">
        <f t="shared" si="253"/>
        <v>30</v>
      </c>
      <c r="AL2151" s="5">
        <f t="shared" si="250"/>
        <v>0.6</v>
      </c>
    </row>
    <row r="2152" spans="1:38" hidden="1" x14ac:dyDescent="0.2">
      <c r="A2152" s="2">
        <v>2025</v>
      </c>
      <c r="B2152" s="2">
        <v>11</v>
      </c>
      <c r="D2152" s="2" t="s">
        <v>1243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4"/>
        <v>0.5</v>
      </c>
      <c r="Z2152" s="2" t="s">
        <v>118</v>
      </c>
      <c r="AA2152" s="2" t="s">
        <v>191</v>
      </c>
      <c r="AB2152" s="2" t="s">
        <v>191</v>
      </c>
      <c r="AC2152" s="2" t="s">
        <v>40</v>
      </c>
      <c r="AF2152" s="2">
        <f t="shared" si="251"/>
        <v>0</v>
      </c>
      <c r="AJ2152" s="2">
        <f t="shared" si="252"/>
        <v>0</v>
      </c>
      <c r="AK2152" s="2">
        <f t="shared" si="253"/>
        <v>37.5</v>
      </c>
      <c r="AL2152" s="5">
        <f t="shared" si="250"/>
        <v>0.5</v>
      </c>
    </row>
    <row r="2153" spans="1:38" hidden="1" x14ac:dyDescent="0.2">
      <c r="A2153" s="2">
        <v>2025</v>
      </c>
      <c r="B2153" s="2">
        <v>11</v>
      </c>
      <c r="D2153" s="2" t="s">
        <v>814</v>
      </c>
      <c r="E2153" s="2" t="s">
        <v>38</v>
      </c>
      <c r="F2153" s="2" t="s">
        <v>39</v>
      </c>
      <c r="G2153" s="2" t="s">
        <v>815</v>
      </c>
      <c r="H2153" s="2" t="s">
        <v>41</v>
      </c>
      <c r="I2153" s="2" t="s">
        <v>627</v>
      </c>
      <c r="L2153" s="2" t="s">
        <v>627</v>
      </c>
      <c r="M2153" s="2" t="s">
        <v>41</v>
      </c>
      <c r="O2153" s="2" t="s">
        <v>2017</v>
      </c>
      <c r="P2153" s="2" t="s">
        <v>43</v>
      </c>
      <c r="Q2153" s="2" t="s">
        <v>2018</v>
      </c>
      <c r="R2153" s="2" t="s">
        <v>2019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254"/>
        <v>0.46969696969696967</v>
      </c>
      <c r="Z2153" s="2" t="s">
        <v>3231</v>
      </c>
      <c r="AA2153" s="2" t="s">
        <v>46</v>
      </c>
      <c r="AB2153" s="2" t="s">
        <v>47</v>
      </c>
      <c r="AC2153" s="2" t="s">
        <v>48</v>
      </c>
      <c r="AF2153" s="2">
        <f t="shared" si="251"/>
        <v>0</v>
      </c>
      <c r="AJ2153" s="2">
        <f t="shared" si="252"/>
        <v>0</v>
      </c>
      <c r="AK2153" s="2">
        <f t="shared" si="253"/>
        <v>6.1999999999999993</v>
      </c>
      <c r="AL2153" s="5">
        <f t="shared" si="250"/>
        <v>0.46969696969696967</v>
      </c>
    </row>
    <row r="2154" spans="1:38" hidden="1" x14ac:dyDescent="0.2">
      <c r="A2154" s="2">
        <v>2025</v>
      </c>
      <c r="B2154" s="2">
        <v>11</v>
      </c>
      <c r="D2154" s="2" t="s">
        <v>814</v>
      </c>
      <c r="E2154" s="2" t="s">
        <v>38</v>
      </c>
      <c r="F2154" s="2" t="s">
        <v>39</v>
      </c>
      <c r="G2154" s="2" t="s">
        <v>815</v>
      </c>
      <c r="H2154" s="2" t="s">
        <v>41</v>
      </c>
      <c r="I2154" s="2" t="s">
        <v>627</v>
      </c>
      <c r="L2154" s="2" t="s">
        <v>627</v>
      </c>
      <c r="M2154" s="2" t="s">
        <v>41</v>
      </c>
      <c r="O2154" s="2" t="s">
        <v>2017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254"/>
        <v>0.45495495495495497</v>
      </c>
      <c r="Z2154" s="2" t="s">
        <v>3231</v>
      </c>
      <c r="AA2154" s="2" t="s">
        <v>46</v>
      </c>
      <c r="AB2154" s="2" t="s">
        <v>47</v>
      </c>
      <c r="AC2154" s="2" t="s">
        <v>48</v>
      </c>
      <c r="AF2154" s="2">
        <f t="shared" si="251"/>
        <v>0</v>
      </c>
      <c r="AJ2154" s="2">
        <f t="shared" si="252"/>
        <v>0</v>
      </c>
      <c r="AK2154" s="2">
        <f t="shared" si="253"/>
        <v>10.1</v>
      </c>
      <c r="AL2154" s="5">
        <f t="shared" si="250"/>
        <v>0.45495495495495497</v>
      </c>
    </row>
    <row r="2155" spans="1:38" hidden="1" x14ac:dyDescent="0.2">
      <c r="A2155" s="2">
        <v>2025</v>
      </c>
      <c r="B2155" s="2">
        <v>11</v>
      </c>
      <c r="D2155" s="2" t="s">
        <v>814</v>
      </c>
      <c r="E2155" s="2" t="s">
        <v>38</v>
      </c>
      <c r="F2155" s="2" t="s">
        <v>39</v>
      </c>
      <c r="G2155" s="2" t="s">
        <v>815</v>
      </c>
      <c r="H2155" s="2" t="s">
        <v>41</v>
      </c>
      <c r="I2155" s="2" t="s">
        <v>627</v>
      </c>
      <c r="L2155" s="2" t="s">
        <v>627</v>
      </c>
      <c r="M2155" s="2" t="s">
        <v>41</v>
      </c>
      <c r="O2155" s="2" t="s">
        <v>2017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4"/>
        <v>0.33243111111111107</v>
      </c>
      <c r="Z2155" s="2" t="s">
        <v>3231</v>
      </c>
      <c r="AA2155" s="2" t="s">
        <v>46</v>
      </c>
      <c r="AB2155" s="2" t="s">
        <v>68</v>
      </c>
      <c r="AC2155" s="2" t="s">
        <v>58</v>
      </c>
      <c r="AF2155" s="2">
        <f t="shared" si="251"/>
        <v>0</v>
      </c>
      <c r="AG2155" s="2">
        <v>15.020300000000001</v>
      </c>
      <c r="AH2155" s="2">
        <v>27.6</v>
      </c>
      <c r="AJ2155" s="2">
        <f t="shared" si="252"/>
        <v>0</v>
      </c>
      <c r="AK2155" s="2">
        <f t="shared" si="253"/>
        <v>14.959399999999999</v>
      </c>
      <c r="AL2155" s="5">
        <f t="shared" si="250"/>
        <v>0.33243111111111107</v>
      </c>
    </row>
    <row r="2156" spans="1:38" hidden="1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3180</v>
      </c>
      <c r="K2156" s="2">
        <v>911577458</v>
      </c>
      <c r="L2156" s="2" t="s">
        <v>178</v>
      </c>
      <c r="M2156" s="2" t="s">
        <v>41</v>
      </c>
      <c r="O2156" s="2" t="s">
        <v>3183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4"/>
        <v>0.44777500000000003</v>
      </c>
      <c r="Z2156" s="2" t="s">
        <v>3231</v>
      </c>
      <c r="AA2156" s="2" t="s">
        <v>46</v>
      </c>
      <c r="AB2156" s="2" t="s">
        <v>47</v>
      </c>
      <c r="AC2156" s="2" t="s">
        <v>48</v>
      </c>
      <c r="AF2156" s="2">
        <f t="shared" si="251"/>
        <v>0</v>
      </c>
      <c r="AG2156" s="2">
        <v>6.6266999999999996</v>
      </c>
      <c r="AH2156" s="2">
        <v>12</v>
      </c>
      <c r="AJ2156" s="2">
        <f t="shared" si="252"/>
        <v>0</v>
      </c>
      <c r="AK2156" s="2">
        <f t="shared" si="253"/>
        <v>53.733000000000004</v>
      </c>
      <c r="AL2156" s="5">
        <f t="shared" si="250"/>
        <v>0.44777500000000003</v>
      </c>
    </row>
    <row r="2157" spans="1:38" hidden="1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3180</v>
      </c>
      <c r="K2157" s="2">
        <v>911577458</v>
      </c>
      <c r="L2157" s="2" t="s">
        <v>178</v>
      </c>
      <c r="M2157" s="2" t="s">
        <v>41</v>
      </c>
      <c r="O2157" s="2" t="s">
        <v>3183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4"/>
        <v>0.52105128205128204</v>
      </c>
      <c r="Z2157" s="2" t="s">
        <v>3231</v>
      </c>
      <c r="AA2157" s="2" t="s">
        <v>46</v>
      </c>
      <c r="AB2157" s="2" t="s">
        <v>47</v>
      </c>
      <c r="AC2157" s="2" t="s">
        <v>48</v>
      </c>
      <c r="AF2157" s="2">
        <f t="shared" si="251"/>
        <v>0</v>
      </c>
      <c r="AG2157" s="2">
        <v>3.7357999999999998</v>
      </c>
      <c r="AH2157" s="2">
        <v>9</v>
      </c>
      <c r="AJ2157" s="2">
        <f t="shared" si="252"/>
        <v>0</v>
      </c>
      <c r="AK2157" s="2">
        <f t="shared" si="253"/>
        <v>4.0641999999999996</v>
      </c>
      <c r="AL2157" s="5">
        <f t="shared" si="250"/>
        <v>0.52105128205128204</v>
      </c>
    </row>
    <row r="2158" spans="1:38" hidden="1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3180</v>
      </c>
      <c r="K2158" s="2">
        <v>911577458</v>
      </c>
      <c r="L2158" s="2" t="s">
        <v>178</v>
      </c>
      <c r="M2158" s="2" t="s">
        <v>41</v>
      </c>
      <c r="O2158" s="2" t="s">
        <v>3183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4"/>
        <v>0.46925333333333336</v>
      </c>
      <c r="Z2158" s="2" t="s">
        <v>3231</v>
      </c>
      <c r="AA2158" s="2" t="s">
        <v>46</v>
      </c>
      <c r="AB2158" s="2" t="s">
        <v>68</v>
      </c>
      <c r="AC2158" s="2" t="s">
        <v>58</v>
      </c>
      <c r="AF2158" s="2">
        <f t="shared" si="251"/>
        <v>0</v>
      </c>
      <c r="AG2158" s="2">
        <v>7.9611999999999998</v>
      </c>
      <c r="AH2158" s="2">
        <v>14.4</v>
      </c>
      <c r="AJ2158" s="2">
        <f t="shared" si="252"/>
        <v>0</v>
      </c>
      <c r="AK2158" s="2">
        <f t="shared" si="253"/>
        <v>7.0388000000000002</v>
      </c>
      <c r="AL2158" s="5">
        <f t="shared" si="250"/>
        <v>0.46925333333333336</v>
      </c>
    </row>
    <row r="2159" spans="1:38" hidden="1" x14ac:dyDescent="0.2">
      <c r="A2159" s="2">
        <v>2025</v>
      </c>
      <c r="B2159" s="2">
        <v>11</v>
      </c>
      <c r="D2159" s="2" t="s">
        <v>2020</v>
      </c>
      <c r="P2159" s="2" t="s">
        <v>283</v>
      </c>
      <c r="Q2159" s="2" t="s">
        <v>1156</v>
      </c>
      <c r="R2159" s="2" t="s">
        <v>1157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4"/>
        <v>0.30476190476190479</v>
      </c>
      <c r="Z2159" s="2" t="s">
        <v>105</v>
      </c>
      <c r="AA2159" s="2" t="s">
        <v>1578</v>
      </c>
      <c r="AB2159" s="2" t="s">
        <v>389</v>
      </c>
      <c r="AC2159" s="2" t="s">
        <v>1329</v>
      </c>
      <c r="AF2159" s="2">
        <f t="shared" si="251"/>
        <v>0</v>
      </c>
      <c r="AJ2159" s="2">
        <f t="shared" si="252"/>
        <v>0</v>
      </c>
      <c r="AK2159" s="2">
        <f t="shared" si="253"/>
        <v>960</v>
      </c>
      <c r="AL2159" s="5">
        <f t="shared" si="250"/>
        <v>0.30476190476190479</v>
      </c>
    </row>
    <row r="2160" spans="1:38" hidden="1" x14ac:dyDescent="0.2">
      <c r="A2160" s="2">
        <v>2025</v>
      </c>
      <c r="B2160" s="2">
        <v>11</v>
      </c>
      <c r="D2160" s="2" t="s">
        <v>2020</v>
      </c>
      <c r="P2160" s="2" t="s">
        <v>283</v>
      </c>
      <c r="Q2160" s="2" t="s">
        <v>1160</v>
      </c>
      <c r="R2160" s="2" t="s">
        <v>1161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51"/>
        <v>0</v>
      </c>
      <c r="AJ2160" s="2">
        <f t="shared" si="252"/>
        <v>0</v>
      </c>
      <c r="AK2160" s="2">
        <f t="shared" si="253"/>
        <v>0</v>
      </c>
      <c r="AL2160" s="5" t="e">
        <f t="shared" si="250"/>
        <v>#DIV/0!</v>
      </c>
    </row>
    <row r="2161" spans="1:38" hidden="1" x14ac:dyDescent="0.2">
      <c r="A2161" s="2">
        <v>2025</v>
      </c>
      <c r="B2161" s="2">
        <v>11</v>
      </c>
      <c r="D2161" s="2" t="s">
        <v>2021</v>
      </c>
      <c r="M2161" s="2" t="s">
        <v>40</v>
      </c>
      <c r="P2161" s="2" t="s">
        <v>188</v>
      </c>
      <c r="Q2161" s="2" t="s">
        <v>1310</v>
      </c>
      <c r="R2161" s="2" t="s">
        <v>1311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4"/>
        <v>1</v>
      </c>
      <c r="Z2161" s="2" t="s">
        <v>118</v>
      </c>
      <c r="AA2161" s="2" t="s">
        <v>1312</v>
      </c>
      <c r="AF2161" s="2">
        <f t="shared" si="251"/>
        <v>0</v>
      </c>
      <c r="AJ2161" s="2">
        <f t="shared" si="252"/>
        <v>0</v>
      </c>
      <c r="AK2161" s="2">
        <f t="shared" si="253"/>
        <v>402.77</v>
      </c>
      <c r="AL2161" s="5">
        <f t="shared" si="250"/>
        <v>1</v>
      </c>
    </row>
    <row r="2162" spans="1:38" hidden="1" x14ac:dyDescent="0.2">
      <c r="A2162" s="2">
        <v>2025</v>
      </c>
      <c r="B2162" s="2">
        <v>11</v>
      </c>
      <c r="D2162" s="2" t="s">
        <v>2022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2023</v>
      </c>
      <c r="J2162" s="2" t="s">
        <v>2024</v>
      </c>
      <c r="K2162" s="2">
        <v>966004647</v>
      </c>
      <c r="L2162" s="2" t="s">
        <v>462</v>
      </c>
      <c r="M2162" s="2" t="s">
        <v>81</v>
      </c>
      <c r="O2162" s="2" t="s">
        <v>2025</v>
      </c>
      <c r="P2162" s="2" t="s">
        <v>73</v>
      </c>
      <c r="Q2162" s="2" t="s">
        <v>682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4"/>
        <v>0.50004784688995219</v>
      </c>
      <c r="Z2162" s="2" t="s">
        <v>3231</v>
      </c>
      <c r="AA2162" s="2" t="s">
        <v>76</v>
      </c>
      <c r="AB2162" s="2" t="s">
        <v>77</v>
      </c>
      <c r="AC2162" s="2" t="s">
        <v>78</v>
      </c>
      <c r="AF2162" s="2">
        <f t="shared" si="251"/>
        <v>0</v>
      </c>
      <c r="AG2162" s="2">
        <v>104.49</v>
      </c>
      <c r="AH2162" s="2">
        <v>220</v>
      </c>
      <c r="AJ2162" s="2">
        <f t="shared" si="252"/>
        <v>0</v>
      </c>
      <c r="AK2162" s="2">
        <f t="shared" si="253"/>
        <v>104.51</v>
      </c>
      <c r="AL2162" s="5">
        <f t="shared" si="250"/>
        <v>0.50004784688995219</v>
      </c>
    </row>
    <row r="2163" spans="1:38" hidden="1" x14ac:dyDescent="0.2">
      <c r="A2163" s="2">
        <v>2025</v>
      </c>
      <c r="B2163" s="2">
        <v>11</v>
      </c>
      <c r="D2163" s="2" t="s">
        <v>2022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4"/>
        <v>0</v>
      </c>
      <c r="Z2163" s="2" t="s">
        <v>3231</v>
      </c>
      <c r="AA2163" s="2" t="s">
        <v>97</v>
      </c>
      <c r="AB2163" s="2" t="s">
        <v>77</v>
      </c>
      <c r="AC2163" s="2" t="s">
        <v>94</v>
      </c>
      <c r="AF2163" s="2">
        <f t="shared" si="251"/>
        <v>0</v>
      </c>
      <c r="AJ2163" s="2">
        <f t="shared" si="252"/>
        <v>0</v>
      </c>
      <c r="AK2163" s="2">
        <f t="shared" si="253"/>
        <v>0</v>
      </c>
      <c r="AL2163" s="5">
        <f t="shared" ref="AL2163:AL2226" si="255">(T2163-W2163)/T2163</f>
        <v>0</v>
      </c>
    </row>
    <row r="2164" spans="1:38" hidden="1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4"/>
        <v>0.59999999999999987</v>
      </c>
      <c r="Z2164" s="2" t="s">
        <v>118</v>
      </c>
      <c r="AA2164" s="2" t="s">
        <v>191</v>
      </c>
      <c r="AB2164" s="2" t="s">
        <v>190</v>
      </c>
      <c r="AC2164" s="2" t="s">
        <v>40</v>
      </c>
      <c r="AF2164" s="2">
        <f t="shared" si="251"/>
        <v>0</v>
      </c>
      <c r="AJ2164" s="2">
        <f t="shared" si="252"/>
        <v>0</v>
      </c>
      <c r="AK2164" s="2">
        <f t="shared" si="253"/>
        <v>129.14999999999998</v>
      </c>
      <c r="AL2164" s="5">
        <f t="shared" si="255"/>
        <v>0.59999999999999987</v>
      </c>
    </row>
    <row r="2165" spans="1:38" hidden="1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4"/>
        <v>0.5</v>
      </c>
      <c r="Z2165" s="2" t="s">
        <v>118</v>
      </c>
      <c r="AA2165" s="2" t="s">
        <v>191</v>
      </c>
      <c r="AB2165" s="2" t="s">
        <v>191</v>
      </c>
      <c r="AC2165" s="2" t="s">
        <v>40</v>
      </c>
      <c r="AF2165" s="2">
        <f t="shared" si="251"/>
        <v>0</v>
      </c>
      <c r="AJ2165" s="2">
        <f t="shared" si="252"/>
        <v>0</v>
      </c>
      <c r="AK2165" s="2">
        <f t="shared" si="253"/>
        <v>61.875</v>
      </c>
      <c r="AL2165" s="5">
        <f t="shared" si="255"/>
        <v>0.5</v>
      </c>
    </row>
    <row r="2166" spans="1:38" hidden="1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4"/>
        <v>1</v>
      </c>
      <c r="Z2166" s="2" t="s">
        <v>120</v>
      </c>
      <c r="AA2166" s="2" t="s">
        <v>3385</v>
      </c>
      <c r="AF2166" s="2">
        <f t="shared" si="251"/>
        <v>0</v>
      </c>
      <c r="AJ2166" s="2">
        <f t="shared" si="252"/>
        <v>0</v>
      </c>
      <c r="AK2166" s="2">
        <f t="shared" si="253"/>
        <v>268.12</v>
      </c>
      <c r="AL2166" s="5">
        <f t="shared" si="255"/>
        <v>1</v>
      </c>
    </row>
    <row r="2167" spans="1:38" hidden="1" x14ac:dyDescent="0.2">
      <c r="A2167" s="2">
        <v>2025</v>
      </c>
      <c r="B2167" s="2">
        <v>11</v>
      </c>
      <c r="D2167" s="2" t="s">
        <v>823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826</v>
      </c>
      <c r="J2167" s="2" t="s">
        <v>827</v>
      </c>
      <c r="L2167" s="2" t="s">
        <v>419</v>
      </c>
      <c r="P2167" s="2" t="s">
        <v>115</v>
      </c>
      <c r="Q2167" s="2" t="s">
        <v>629</v>
      </c>
      <c r="R2167" s="2" t="s">
        <v>630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4"/>
        <v>1</v>
      </c>
      <c r="Z2167" s="2" t="s">
        <v>118</v>
      </c>
      <c r="AF2167" s="2">
        <f t="shared" si="251"/>
        <v>0</v>
      </c>
      <c r="AJ2167" s="2">
        <f t="shared" si="252"/>
        <v>0</v>
      </c>
      <c r="AK2167" s="2">
        <f t="shared" si="253"/>
        <v>26.79</v>
      </c>
      <c r="AL2167" s="5">
        <f t="shared" si="255"/>
        <v>1</v>
      </c>
    </row>
    <row r="2168" spans="1:38" hidden="1" x14ac:dyDescent="0.2">
      <c r="A2168" s="2">
        <v>2025</v>
      </c>
      <c r="B2168" s="2">
        <v>11</v>
      </c>
      <c r="D2168" s="2" t="s">
        <v>823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826</v>
      </c>
      <c r="J2168" s="2" t="s">
        <v>827</v>
      </c>
      <c r="L2168" s="2" t="s">
        <v>419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4"/>
        <v>0.6</v>
      </c>
      <c r="Z2168" s="2" t="s">
        <v>118</v>
      </c>
      <c r="AA2168" s="2" t="s">
        <v>191</v>
      </c>
      <c r="AB2168" s="2" t="s">
        <v>190</v>
      </c>
      <c r="AC2168" s="2" t="s">
        <v>40</v>
      </c>
      <c r="AF2168" s="2">
        <f t="shared" si="251"/>
        <v>0</v>
      </c>
      <c r="AJ2168" s="2">
        <f t="shared" si="252"/>
        <v>0</v>
      </c>
      <c r="AK2168" s="2">
        <f t="shared" si="253"/>
        <v>59.4</v>
      </c>
      <c r="AL2168" s="5">
        <f t="shared" si="255"/>
        <v>0.6</v>
      </c>
    </row>
    <row r="2169" spans="1:38" hidden="1" x14ac:dyDescent="0.2">
      <c r="A2169" s="2">
        <v>2025</v>
      </c>
      <c r="B2169" s="2">
        <v>11</v>
      </c>
      <c r="D2169" s="2" t="s">
        <v>823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826</v>
      </c>
      <c r="J2169" s="2" t="s">
        <v>827</v>
      </c>
      <c r="L2169" s="2" t="s">
        <v>419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4"/>
        <v>0.5</v>
      </c>
      <c r="Z2169" s="2" t="s">
        <v>118</v>
      </c>
      <c r="AA2169" s="2" t="s">
        <v>191</v>
      </c>
      <c r="AB2169" s="2" t="s">
        <v>191</v>
      </c>
      <c r="AC2169" s="2" t="s">
        <v>40</v>
      </c>
      <c r="AF2169" s="2">
        <f t="shared" si="251"/>
        <v>0</v>
      </c>
      <c r="AJ2169" s="2">
        <f t="shared" si="252"/>
        <v>0</v>
      </c>
      <c r="AK2169" s="2">
        <f t="shared" si="253"/>
        <v>25</v>
      </c>
      <c r="AL2169" s="5">
        <f t="shared" si="255"/>
        <v>0.5</v>
      </c>
    </row>
    <row r="2170" spans="1:38" hidden="1" x14ac:dyDescent="0.2">
      <c r="A2170" s="2">
        <v>2025</v>
      </c>
      <c r="B2170" s="2">
        <v>11</v>
      </c>
      <c r="D2170" s="2" t="s">
        <v>1390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4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51"/>
        <v>0</v>
      </c>
      <c r="AJ2170" s="2">
        <f t="shared" si="252"/>
        <v>0</v>
      </c>
      <c r="AK2170" s="2">
        <f t="shared" si="253"/>
        <v>352.72999999999996</v>
      </c>
      <c r="AL2170" s="5">
        <f t="shared" si="255"/>
        <v>0.50440440440440437</v>
      </c>
    </row>
    <row r="2171" spans="1:38" hidden="1" x14ac:dyDescent="0.2">
      <c r="A2171" s="2">
        <v>2025</v>
      </c>
      <c r="B2171" s="2">
        <v>11</v>
      </c>
      <c r="D2171" s="2" t="s">
        <v>1390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4"/>
        <v>0.6</v>
      </c>
      <c r="Z2171" s="2" t="s">
        <v>118</v>
      </c>
      <c r="AA2171" s="2" t="s">
        <v>191</v>
      </c>
      <c r="AB2171" s="2" t="s">
        <v>190</v>
      </c>
      <c r="AC2171" s="2" t="s">
        <v>40</v>
      </c>
      <c r="AF2171" s="2">
        <f t="shared" si="251"/>
        <v>0</v>
      </c>
      <c r="AJ2171" s="2">
        <f t="shared" si="252"/>
        <v>0</v>
      </c>
      <c r="AK2171" s="2">
        <f t="shared" si="253"/>
        <v>69</v>
      </c>
      <c r="AL2171" s="5">
        <f t="shared" si="255"/>
        <v>0.6</v>
      </c>
    </row>
    <row r="2172" spans="1:38" hidden="1" x14ac:dyDescent="0.2">
      <c r="A2172" s="2">
        <v>2025</v>
      </c>
      <c r="B2172" s="2">
        <v>11</v>
      </c>
      <c r="D2172" s="2" t="s">
        <v>1390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B2172" s="2" t="s">
        <v>191</v>
      </c>
      <c r="AC2172" s="2" t="s">
        <v>40</v>
      </c>
      <c r="AF2172" s="2">
        <f t="shared" si="251"/>
        <v>0</v>
      </c>
      <c r="AJ2172" s="2">
        <f t="shared" si="252"/>
        <v>0</v>
      </c>
      <c r="AK2172" s="2">
        <f t="shared" si="253"/>
        <v>0</v>
      </c>
      <c r="AL2172" s="5">
        <v>0</v>
      </c>
    </row>
    <row r="2173" spans="1:38" hidden="1" x14ac:dyDescent="0.2">
      <c r="A2173" s="2">
        <v>2025</v>
      </c>
      <c r="B2173" s="2">
        <v>11</v>
      </c>
      <c r="D2173" s="2" t="s">
        <v>2026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4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51"/>
        <v>0</v>
      </c>
      <c r="AJ2173" s="2">
        <f t="shared" si="252"/>
        <v>0</v>
      </c>
      <c r="AK2173" s="2">
        <f t="shared" si="253"/>
        <v>25.908000000000001</v>
      </c>
      <c r="AL2173" s="5">
        <f t="shared" si="255"/>
        <v>0.52927477017364655</v>
      </c>
    </row>
    <row r="2174" spans="1:38" hidden="1" x14ac:dyDescent="0.2">
      <c r="A2174" s="2">
        <v>2025</v>
      </c>
      <c r="B2174" s="2">
        <v>11</v>
      </c>
      <c r="D2174" s="2" t="s">
        <v>2026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4"/>
        <v>0.41111111111111115</v>
      </c>
      <c r="Z2174" s="2" t="s">
        <v>3231</v>
      </c>
      <c r="AA2174" s="2" t="s">
        <v>46</v>
      </c>
      <c r="AB2174" s="2" t="s">
        <v>57</v>
      </c>
      <c r="AC2174" s="2" t="s">
        <v>58</v>
      </c>
      <c r="AF2174" s="2">
        <f t="shared" si="251"/>
        <v>0</v>
      </c>
      <c r="AG2174" s="2">
        <v>10.6</v>
      </c>
      <c r="AH2174" s="2">
        <v>18</v>
      </c>
      <c r="AJ2174" s="2">
        <f t="shared" si="252"/>
        <v>0</v>
      </c>
      <c r="AK2174" s="2">
        <f t="shared" si="253"/>
        <v>14.8</v>
      </c>
      <c r="AL2174" s="5">
        <f t="shared" si="255"/>
        <v>0.41111111111111115</v>
      </c>
    </row>
    <row r="2175" spans="1:38" hidden="1" x14ac:dyDescent="0.2">
      <c r="A2175" s="2">
        <v>2025</v>
      </c>
      <c r="B2175" s="2">
        <v>11</v>
      </c>
      <c r="D2175" s="2" t="s">
        <v>2026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4"/>
        <v>0.36923076923076914</v>
      </c>
      <c r="Z2175" s="2" t="s">
        <v>3231</v>
      </c>
      <c r="AA2175" s="2" t="s">
        <v>46</v>
      </c>
      <c r="AB2175" s="2" t="s">
        <v>61</v>
      </c>
      <c r="AC2175" s="2" t="s">
        <v>58</v>
      </c>
      <c r="AF2175" s="2">
        <f t="shared" si="251"/>
        <v>0</v>
      </c>
      <c r="AG2175" s="2">
        <v>8.1999999999999993</v>
      </c>
      <c r="AH2175" s="2">
        <v>13</v>
      </c>
      <c r="AJ2175" s="2">
        <f t="shared" si="252"/>
        <v>0</v>
      </c>
      <c r="AK2175" s="2">
        <f t="shared" si="253"/>
        <v>4.7999999999999989</v>
      </c>
      <c r="AL2175" s="5">
        <f t="shared" si="255"/>
        <v>0.36923076923076914</v>
      </c>
    </row>
    <row r="2176" spans="1:38" hidden="1" x14ac:dyDescent="0.2">
      <c r="A2176" s="2">
        <v>2025</v>
      </c>
      <c r="B2176" s="2">
        <v>11</v>
      </c>
      <c r="C2176" s="2" t="s">
        <v>3399</v>
      </c>
      <c r="D2176" s="15" t="s">
        <v>3420</v>
      </c>
      <c r="E2176" s="2" t="s">
        <v>109</v>
      </c>
      <c r="F2176" s="2" t="s">
        <v>39</v>
      </c>
      <c r="L2176" s="2" t="s">
        <v>134</v>
      </c>
      <c r="M2176" s="2" t="s">
        <v>110</v>
      </c>
      <c r="P2176" s="2" t="s">
        <v>3234</v>
      </c>
      <c r="Q2176" s="2" t="s">
        <v>2027</v>
      </c>
      <c r="R2176" s="2" t="s">
        <v>2028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4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3234</v>
      </c>
      <c r="AF2176" s="2">
        <f t="shared" si="251"/>
        <v>0</v>
      </c>
      <c r="AJ2176" s="2">
        <f t="shared" si="252"/>
        <v>0</v>
      </c>
      <c r="AK2176" s="2">
        <f t="shared" si="253"/>
        <v>5656.84</v>
      </c>
      <c r="AL2176" s="5">
        <f t="shared" si="255"/>
        <v>0.70798998748435549</v>
      </c>
    </row>
    <row r="2177" spans="1:38" hidden="1" x14ac:dyDescent="0.2">
      <c r="A2177" s="2">
        <v>2025</v>
      </c>
      <c r="B2177" s="2">
        <v>11</v>
      </c>
      <c r="C2177" s="2" t="s">
        <v>3399</v>
      </c>
      <c r="D2177" s="15" t="s">
        <v>3420</v>
      </c>
      <c r="E2177" s="2" t="s">
        <v>109</v>
      </c>
      <c r="F2177" s="2" t="s">
        <v>39</v>
      </c>
      <c r="L2177" s="2" t="s">
        <v>134</v>
      </c>
      <c r="M2177" s="2" t="s">
        <v>110</v>
      </c>
      <c r="P2177" s="2" t="s">
        <v>3234</v>
      </c>
      <c r="Q2177" s="2" t="s">
        <v>2029</v>
      </c>
      <c r="R2177" s="2" t="s">
        <v>2030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4"/>
        <v>0.64204232464929856</v>
      </c>
      <c r="Z2177" s="2" t="s">
        <v>105</v>
      </c>
      <c r="AA2177" s="2" t="s">
        <v>106</v>
      </c>
      <c r="AB2177" s="2" t="s">
        <v>2031</v>
      </c>
      <c r="AC2177" s="2" t="s">
        <v>3234</v>
      </c>
      <c r="AF2177" s="2">
        <f t="shared" si="251"/>
        <v>0</v>
      </c>
      <c r="AJ2177" s="2">
        <f t="shared" si="252"/>
        <v>0</v>
      </c>
      <c r="AK2177" s="2">
        <f t="shared" si="253"/>
        <v>3203.7911999999997</v>
      </c>
      <c r="AL2177" s="5">
        <f t="shared" si="255"/>
        <v>0.64204232464929856</v>
      </c>
    </row>
    <row r="2178" spans="1:38" hidden="1" x14ac:dyDescent="0.2">
      <c r="A2178" s="2">
        <v>2025</v>
      </c>
      <c r="B2178" s="2">
        <v>11</v>
      </c>
      <c r="D2178" s="2" t="s">
        <v>841</v>
      </c>
      <c r="E2178" s="2" t="s">
        <v>109</v>
      </c>
      <c r="F2178" s="2" t="s">
        <v>842</v>
      </c>
      <c r="G2178" s="2">
        <v>504981285</v>
      </c>
      <c r="H2178" s="2" t="s">
        <v>291</v>
      </c>
      <c r="I2178" s="2" t="s">
        <v>843</v>
      </c>
      <c r="J2178" s="2" t="s">
        <v>844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4"/>
        <v>0.6</v>
      </c>
      <c r="Z2178" s="2" t="s">
        <v>118</v>
      </c>
      <c r="AA2178" s="2" t="s">
        <v>191</v>
      </c>
      <c r="AB2178" s="2" t="s">
        <v>190</v>
      </c>
      <c r="AC2178" s="2" t="s">
        <v>40</v>
      </c>
      <c r="AF2178" s="2">
        <f t="shared" si="251"/>
        <v>0</v>
      </c>
      <c r="AJ2178" s="2">
        <f t="shared" si="252"/>
        <v>0</v>
      </c>
      <c r="AK2178" s="2">
        <f t="shared" si="253"/>
        <v>30</v>
      </c>
      <c r="AL2178" s="5">
        <f t="shared" si="255"/>
        <v>0.6</v>
      </c>
    </row>
    <row r="2179" spans="1:38" hidden="1" x14ac:dyDescent="0.2">
      <c r="A2179" s="2">
        <v>2025</v>
      </c>
      <c r="B2179" s="2">
        <v>11</v>
      </c>
      <c r="D2179" s="2" t="s">
        <v>841</v>
      </c>
      <c r="E2179" s="2" t="s">
        <v>109</v>
      </c>
      <c r="F2179" s="2" t="s">
        <v>842</v>
      </c>
      <c r="G2179" s="2">
        <v>504981285</v>
      </c>
      <c r="H2179" s="2" t="s">
        <v>291</v>
      </c>
      <c r="I2179" s="2" t="s">
        <v>843</v>
      </c>
      <c r="J2179" s="2" t="s">
        <v>844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4"/>
        <v>0.5</v>
      </c>
      <c r="Z2179" s="2" t="s">
        <v>118</v>
      </c>
      <c r="AA2179" s="2" t="s">
        <v>191</v>
      </c>
      <c r="AB2179" s="2" t="s">
        <v>191</v>
      </c>
      <c r="AC2179" s="2" t="s">
        <v>40</v>
      </c>
      <c r="AF2179" s="2">
        <f t="shared" ref="AF2179:AF2242" si="256">AJ2179</f>
        <v>0</v>
      </c>
      <c r="AJ2179" s="2">
        <f t="shared" ref="AJ2179:AJ2242" si="257">AI2179*T2179</f>
        <v>0</v>
      </c>
      <c r="AK2179" s="2">
        <f t="shared" ref="AK2179:AK2242" si="258">T2179-W2179</f>
        <v>12.5</v>
      </c>
      <c r="AL2179" s="5">
        <f t="shared" si="255"/>
        <v>0.5</v>
      </c>
    </row>
    <row r="2180" spans="1:38" hidden="1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4"/>
        <v>0.4003181818181818</v>
      </c>
      <c r="Z2180" s="2" t="s">
        <v>3231</v>
      </c>
      <c r="AA2180" s="2" t="s">
        <v>76</v>
      </c>
      <c r="AB2180" s="2" t="s">
        <v>77</v>
      </c>
      <c r="AC2180" s="2" t="s">
        <v>78</v>
      </c>
      <c r="AF2180" s="2">
        <f t="shared" si="256"/>
        <v>0</v>
      </c>
      <c r="AG2180" s="2">
        <v>131.93</v>
      </c>
      <c r="AH2180" s="2">
        <v>220</v>
      </c>
      <c r="AJ2180" s="2">
        <f t="shared" si="257"/>
        <v>0</v>
      </c>
      <c r="AK2180" s="2">
        <f t="shared" si="258"/>
        <v>88.07</v>
      </c>
      <c r="AL2180" s="5">
        <f t="shared" si="255"/>
        <v>0.4003181818181818</v>
      </c>
    </row>
    <row r="2181" spans="1:38" hidden="1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4"/>
        <v>0</v>
      </c>
      <c r="Z2181" s="2" t="s">
        <v>3231</v>
      </c>
      <c r="AA2181" s="2" t="s">
        <v>97</v>
      </c>
      <c r="AB2181" s="2" t="s">
        <v>77</v>
      </c>
      <c r="AC2181" s="2" t="s">
        <v>94</v>
      </c>
      <c r="AF2181" s="2">
        <f t="shared" si="256"/>
        <v>0</v>
      </c>
      <c r="AJ2181" s="2">
        <f t="shared" si="257"/>
        <v>0</v>
      </c>
      <c r="AK2181" s="2">
        <f t="shared" si="258"/>
        <v>0</v>
      </c>
      <c r="AL2181" s="5">
        <f t="shared" si="255"/>
        <v>0</v>
      </c>
    </row>
    <row r="2182" spans="1:38" hidden="1" x14ac:dyDescent="0.2">
      <c r="A2182" s="2">
        <v>2025</v>
      </c>
      <c r="B2182" s="2">
        <v>11</v>
      </c>
      <c r="D2182" s="2" t="s">
        <v>845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846</v>
      </c>
      <c r="L2182" s="2" t="s">
        <v>419</v>
      </c>
      <c r="M2182" s="2" t="s">
        <v>41</v>
      </c>
      <c r="O2182" s="2" t="s">
        <v>2032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4"/>
        <v>0.49025384615384621</v>
      </c>
      <c r="Z2182" s="2" t="s">
        <v>3231</v>
      </c>
      <c r="AA2182" s="2" t="s">
        <v>46</v>
      </c>
      <c r="AB2182" s="2" t="s">
        <v>47</v>
      </c>
      <c r="AC2182" s="2" t="s">
        <v>48</v>
      </c>
      <c r="AF2182" s="2">
        <f t="shared" si="256"/>
        <v>0</v>
      </c>
      <c r="AG2182" s="2">
        <v>6.6266999999999996</v>
      </c>
      <c r="AH2182" s="2">
        <v>12</v>
      </c>
      <c r="AJ2182" s="2">
        <f t="shared" si="257"/>
        <v>0</v>
      </c>
      <c r="AK2182" s="2">
        <f t="shared" si="258"/>
        <v>6.3733000000000004</v>
      </c>
      <c r="AL2182" s="5">
        <f t="shared" si="255"/>
        <v>0.49025384615384621</v>
      </c>
    </row>
    <row r="2183" spans="1:38" hidden="1" x14ac:dyDescent="0.2">
      <c r="A2183" s="2">
        <v>2025</v>
      </c>
      <c r="B2183" s="2">
        <v>11</v>
      </c>
      <c r="D2183" s="2" t="s">
        <v>845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846</v>
      </c>
      <c r="L2183" s="2" t="s">
        <v>419</v>
      </c>
      <c r="M2183" s="2" t="s">
        <v>41</v>
      </c>
      <c r="O2183" s="2" t="s">
        <v>2032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4"/>
        <v>0.41111111111111115</v>
      </c>
      <c r="Z2183" s="2" t="s">
        <v>3231</v>
      </c>
      <c r="AA2183" s="2" t="s">
        <v>46</v>
      </c>
      <c r="AB2183" s="2" t="s">
        <v>57</v>
      </c>
      <c r="AC2183" s="2" t="s">
        <v>58</v>
      </c>
      <c r="AF2183" s="2">
        <f t="shared" si="256"/>
        <v>0</v>
      </c>
      <c r="AG2183" s="2">
        <v>10.6</v>
      </c>
      <c r="AH2183" s="2">
        <v>18</v>
      </c>
      <c r="AJ2183" s="2">
        <f t="shared" si="257"/>
        <v>0</v>
      </c>
      <c r="AK2183" s="2">
        <f t="shared" si="258"/>
        <v>14.8</v>
      </c>
      <c r="AL2183" s="5">
        <f t="shared" si="255"/>
        <v>0.41111111111111115</v>
      </c>
    </row>
    <row r="2184" spans="1:38" hidden="1" x14ac:dyDescent="0.2">
      <c r="A2184" s="2">
        <v>2025</v>
      </c>
      <c r="B2184" s="2">
        <v>11</v>
      </c>
      <c r="D2184" s="2" t="s">
        <v>845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846</v>
      </c>
      <c r="L2184" s="2" t="s">
        <v>419</v>
      </c>
      <c r="M2184" s="2" t="s">
        <v>41</v>
      </c>
      <c r="O2184" s="2" t="s">
        <v>2032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4"/>
        <v>0.36923076923076914</v>
      </c>
      <c r="Z2184" s="2" t="s">
        <v>3231</v>
      </c>
      <c r="AA2184" s="2" t="s">
        <v>46</v>
      </c>
      <c r="AB2184" s="2" t="s">
        <v>61</v>
      </c>
      <c r="AC2184" s="2" t="s">
        <v>58</v>
      </c>
      <c r="AF2184" s="2">
        <f t="shared" si="256"/>
        <v>0</v>
      </c>
      <c r="AG2184" s="2">
        <v>8.1999999999999993</v>
      </c>
      <c r="AH2184" s="2">
        <v>13</v>
      </c>
      <c r="AJ2184" s="2">
        <f t="shared" si="257"/>
        <v>0</v>
      </c>
      <c r="AK2184" s="2">
        <f t="shared" si="258"/>
        <v>4.7999999999999989</v>
      </c>
      <c r="AL2184" s="5">
        <f t="shared" si="255"/>
        <v>0.36923076923076914</v>
      </c>
    </row>
    <row r="2185" spans="1:38" hidden="1" x14ac:dyDescent="0.2">
      <c r="A2185" s="2">
        <v>2025</v>
      </c>
      <c r="B2185" s="2">
        <v>11</v>
      </c>
      <c r="D2185" s="2" t="s">
        <v>845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846</v>
      </c>
      <c r="L2185" s="2" t="s">
        <v>419</v>
      </c>
      <c r="M2185" s="2" t="s">
        <v>41</v>
      </c>
      <c r="O2185" s="2" t="s">
        <v>2032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4"/>
        <v>0.45095172413793105</v>
      </c>
      <c r="Z2185" s="2" t="s">
        <v>3231</v>
      </c>
      <c r="AA2185" s="2" t="s">
        <v>46</v>
      </c>
      <c r="AB2185" s="2" t="s">
        <v>68</v>
      </c>
      <c r="AC2185" s="2" t="s">
        <v>58</v>
      </c>
      <c r="AF2185" s="2">
        <f t="shared" si="256"/>
        <v>0</v>
      </c>
      <c r="AG2185" s="2">
        <v>7.9611999999999998</v>
      </c>
      <c r="AH2185" s="2">
        <v>14.4</v>
      </c>
      <c r="AJ2185" s="2">
        <f t="shared" si="257"/>
        <v>0</v>
      </c>
      <c r="AK2185" s="2">
        <f t="shared" si="258"/>
        <v>6.5388000000000002</v>
      </c>
      <c r="AL2185" s="5">
        <f t="shared" si="255"/>
        <v>0.45095172413793105</v>
      </c>
    </row>
    <row r="2186" spans="1:38" hidden="1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4"/>
        <v>0.46612272727272724</v>
      </c>
      <c r="Z2186" s="2" t="s">
        <v>3231</v>
      </c>
      <c r="AA2186" s="2" t="s">
        <v>76</v>
      </c>
      <c r="AB2186" s="2" t="s">
        <v>77</v>
      </c>
      <c r="AC2186" s="2" t="s">
        <v>78</v>
      </c>
      <c r="AF2186" s="2">
        <f t="shared" si="256"/>
        <v>0</v>
      </c>
      <c r="AG2186" s="2">
        <v>117.453</v>
      </c>
      <c r="AH2186" s="2">
        <v>220</v>
      </c>
      <c r="AJ2186" s="2">
        <f t="shared" si="257"/>
        <v>0</v>
      </c>
      <c r="AK2186" s="2">
        <f t="shared" si="258"/>
        <v>102.547</v>
      </c>
      <c r="AL2186" s="5">
        <f t="shared" si="255"/>
        <v>0.46612272727272724</v>
      </c>
    </row>
    <row r="2187" spans="1:38" hidden="1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1040</v>
      </c>
      <c r="Q2187" s="2" t="s">
        <v>2033</v>
      </c>
      <c r="R2187" s="2" t="s">
        <v>2034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4"/>
        <v>0.32147285143565629</v>
      </c>
      <c r="Z2187" s="2" t="s">
        <v>3231</v>
      </c>
      <c r="AA2187" s="2" t="s">
        <v>1043</v>
      </c>
      <c r="AB2187" s="2" t="s">
        <v>2035</v>
      </c>
      <c r="AC2187" s="2" t="s">
        <v>1040</v>
      </c>
      <c r="AF2187" s="2">
        <f t="shared" si="256"/>
        <v>0</v>
      </c>
      <c r="AJ2187" s="2">
        <f t="shared" si="257"/>
        <v>0</v>
      </c>
      <c r="AK2187" s="2">
        <f t="shared" si="258"/>
        <v>163.35000000000002</v>
      </c>
      <c r="AL2187" s="5">
        <f t="shared" si="255"/>
        <v>0.32147285143565629</v>
      </c>
    </row>
    <row r="2188" spans="1:38" hidden="1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1040</v>
      </c>
      <c r="Q2188" s="2" t="s">
        <v>2036</v>
      </c>
      <c r="R2188" s="2" t="s">
        <v>2037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4"/>
        <v>0.30084820813571334</v>
      </c>
      <c r="Z2188" s="2" t="s">
        <v>3231</v>
      </c>
      <c r="AA2188" s="2" t="s">
        <v>1043</v>
      </c>
      <c r="AB2188" s="2" t="s">
        <v>2035</v>
      </c>
      <c r="AC2188" s="2" t="s">
        <v>1040</v>
      </c>
      <c r="AF2188" s="2">
        <f t="shared" si="256"/>
        <v>0</v>
      </c>
      <c r="AJ2188" s="2">
        <f t="shared" si="257"/>
        <v>0</v>
      </c>
      <c r="AK2188" s="2">
        <f t="shared" si="258"/>
        <v>152.87</v>
      </c>
      <c r="AL2188" s="5">
        <f t="shared" si="255"/>
        <v>0.30084820813571334</v>
      </c>
    </row>
    <row r="2189" spans="1:38" hidden="1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4"/>
        <v>0.59999999999999987</v>
      </c>
      <c r="Z2189" s="2" t="s">
        <v>118</v>
      </c>
      <c r="AA2189" s="2" t="s">
        <v>191</v>
      </c>
      <c r="AB2189" s="2" t="s">
        <v>190</v>
      </c>
      <c r="AC2189" s="2" t="s">
        <v>40</v>
      </c>
      <c r="AF2189" s="2">
        <f t="shared" si="256"/>
        <v>0</v>
      </c>
      <c r="AJ2189" s="2">
        <f t="shared" si="257"/>
        <v>0</v>
      </c>
      <c r="AK2189" s="2">
        <f t="shared" si="258"/>
        <v>76.199999999999989</v>
      </c>
      <c r="AL2189" s="5">
        <f t="shared" si="255"/>
        <v>0.59999999999999987</v>
      </c>
    </row>
    <row r="2190" spans="1:38" hidden="1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4"/>
        <v>0.5</v>
      </c>
      <c r="Z2190" s="2" t="s">
        <v>118</v>
      </c>
      <c r="AA2190" s="2" t="s">
        <v>191</v>
      </c>
      <c r="AB2190" s="2" t="s">
        <v>191</v>
      </c>
      <c r="AC2190" s="2" t="s">
        <v>40</v>
      </c>
      <c r="AF2190" s="2">
        <f t="shared" si="256"/>
        <v>0</v>
      </c>
      <c r="AJ2190" s="2">
        <f t="shared" si="257"/>
        <v>0</v>
      </c>
      <c r="AK2190" s="2">
        <f t="shared" si="258"/>
        <v>25</v>
      </c>
      <c r="AL2190" s="5">
        <f t="shared" si="255"/>
        <v>0.5</v>
      </c>
    </row>
    <row r="2191" spans="1:38" hidden="1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M2191" s="2" t="s">
        <v>41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4"/>
        <v>0</v>
      </c>
      <c r="Z2191" s="2" t="s">
        <v>3231</v>
      </c>
      <c r="AA2191" s="2" t="s">
        <v>97</v>
      </c>
      <c r="AB2191" s="2" t="s">
        <v>77</v>
      </c>
      <c r="AC2191" s="2" t="s">
        <v>94</v>
      </c>
      <c r="AF2191" s="2">
        <f t="shared" si="256"/>
        <v>0</v>
      </c>
      <c r="AJ2191" s="2">
        <f t="shared" si="257"/>
        <v>0</v>
      </c>
      <c r="AK2191" s="2">
        <f t="shared" si="258"/>
        <v>0</v>
      </c>
      <c r="AL2191" s="5">
        <f t="shared" si="255"/>
        <v>0</v>
      </c>
    </row>
    <row r="2192" spans="1:38" hidden="1" x14ac:dyDescent="0.2">
      <c r="A2192" s="2">
        <v>2025</v>
      </c>
      <c r="B2192" s="2">
        <v>11</v>
      </c>
      <c r="D2192" s="2" t="s">
        <v>2038</v>
      </c>
      <c r="M2192" s="2" t="s">
        <v>40</v>
      </c>
      <c r="P2192" s="2" t="s">
        <v>115</v>
      </c>
      <c r="Q2192" s="2" t="s">
        <v>906</v>
      </c>
      <c r="R2192" s="2" t="s">
        <v>907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4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6"/>
        <v>0</v>
      </c>
      <c r="AJ2192" s="2">
        <f t="shared" si="257"/>
        <v>0</v>
      </c>
      <c r="AK2192" s="2">
        <f t="shared" si="258"/>
        <v>354.09659999999997</v>
      </c>
      <c r="AL2192" s="5">
        <f t="shared" si="255"/>
        <v>0.50635864435864431</v>
      </c>
    </row>
    <row r="2193" spans="1:38" hidden="1" x14ac:dyDescent="0.2">
      <c r="A2193" s="2">
        <v>2025</v>
      </c>
      <c r="B2193" s="2">
        <v>11</v>
      </c>
      <c r="D2193" s="2" t="s">
        <v>2038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4"/>
        <v>0.6</v>
      </c>
      <c r="Z2193" s="2" t="s">
        <v>118</v>
      </c>
      <c r="AA2193" s="2" t="s">
        <v>191</v>
      </c>
      <c r="AB2193" s="2" t="s">
        <v>190</v>
      </c>
      <c r="AC2193" s="2" t="s">
        <v>40</v>
      </c>
      <c r="AF2193" s="2">
        <f t="shared" si="256"/>
        <v>0</v>
      </c>
      <c r="AJ2193" s="2">
        <f t="shared" si="257"/>
        <v>0</v>
      </c>
      <c r="AK2193" s="2">
        <f t="shared" si="258"/>
        <v>30</v>
      </c>
      <c r="AL2193" s="5">
        <f t="shared" si="255"/>
        <v>0.6</v>
      </c>
    </row>
    <row r="2194" spans="1:38" hidden="1" x14ac:dyDescent="0.2">
      <c r="A2194" s="2">
        <v>2025</v>
      </c>
      <c r="B2194" s="2">
        <v>11</v>
      </c>
      <c r="D2194" s="2" t="s">
        <v>2038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4"/>
        <v>0.5</v>
      </c>
      <c r="Z2194" s="2" t="s">
        <v>118</v>
      </c>
      <c r="AA2194" s="2" t="s">
        <v>191</v>
      </c>
      <c r="AB2194" s="2" t="s">
        <v>191</v>
      </c>
      <c r="AC2194" s="2" t="s">
        <v>40</v>
      </c>
      <c r="AF2194" s="2">
        <f t="shared" si="256"/>
        <v>0</v>
      </c>
      <c r="AJ2194" s="2">
        <f t="shared" si="257"/>
        <v>0</v>
      </c>
      <c r="AK2194" s="2">
        <f t="shared" si="258"/>
        <v>25</v>
      </c>
      <c r="AL2194" s="5">
        <f t="shared" si="255"/>
        <v>0.5</v>
      </c>
    </row>
    <row r="2195" spans="1:38" hidden="1" x14ac:dyDescent="0.2">
      <c r="A2195" s="2">
        <v>2025</v>
      </c>
      <c r="B2195" s="2">
        <v>11</v>
      </c>
      <c r="D2195" s="2" t="s">
        <v>1911</v>
      </c>
      <c r="P2195" s="2" t="s">
        <v>283</v>
      </c>
      <c r="Q2195" s="2" t="s">
        <v>1551</v>
      </c>
      <c r="R2195" s="2" t="s">
        <v>1552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9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6"/>
        <v>0</v>
      </c>
      <c r="AJ2195" s="2">
        <f t="shared" si="257"/>
        <v>0</v>
      </c>
      <c r="AK2195" s="2">
        <f t="shared" si="258"/>
        <v>298</v>
      </c>
      <c r="AL2195" s="5">
        <f t="shared" si="255"/>
        <v>0.50084033613445378</v>
      </c>
    </row>
    <row r="2196" spans="1:38" hidden="1" x14ac:dyDescent="0.2">
      <c r="A2196" s="2">
        <v>2025</v>
      </c>
      <c r="B2196" s="2">
        <v>11</v>
      </c>
      <c r="D2196" s="2" t="s">
        <v>1911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3231</v>
      </c>
      <c r="AA2196" s="2" t="s">
        <v>46</v>
      </c>
      <c r="AB2196" s="2" t="s">
        <v>61</v>
      </c>
      <c r="AC2196" s="2" t="s">
        <v>3336</v>
      </c>
      <c r="AF2196" s="2">
        <f t="shared" si="256"/>
        <v>0</v>
      </c>
      <c r="AJ2196" s="2">
        <f t="shared" si="257"/>
        <v>0</v>
      </c>
      <c r="AK2196" s="2">
        <f t="shared" si="258"/>
        <v>-69.599999999999994</v>
      </c>
      <c r="AL2196" s="19">
        <v>-1</v>
      </c>
    </row>
    <row r="2197" spans="1:38" hidden="1" x14ac:dyDescent="0.2">
      <c r="A2197" s="2">
        <v>2025</v>
      </c>
      <c r="B2197" s="2">
        <v>11</v>
      </c>
      <c r="D2197" s="2" t="s">
        <v>1718</v>
      </c>
      <c r="M2197" s="2" t="s">
        <v>40</v>
      </c>
      <c r="P2197" s="2" t="s">
        <v>115</v>
      </c>
      <c r="Q2197" s="2" t="s">
        <v>906</v>
      </c>
      <c r="R2197" s="2" t="s">
        <v>907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9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6"/>
        <v>0</v>
      </c>
      <c r="AJ2197" s="2">
        <f t="shared" si="257"/>
        <v>0</v>
      </c>
      <c r="AK2197" s="2">
        <f t="shared" si="258"/>
        <v>354.09659999999997</v>
      </c>
      <c r="AL2197" s="5">
        <f t="shared" si="255"/>
        <v>0.50635864435864431</v>
      </c>
    </row>
    <row r="2198" spans="1:38" hidden="1" x14ac:dyDescent="0.2">
      <c r="A2198" s="2">
        <v>2025</v>
      </c>
      <c r="B2198" s="2">
        <v>11</v>
      </c>
      <c r="D2198" s="2" t="s">
        <v>1718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9"/>
        <v>0.6</v>
      </c>
      <c r="Z2198" s="2" t="s">
        <v>118</v>
      </c>
      <c r="AA2198" s="2" t="s">
        <v>191</v>
      </c>
      <c r="AB2198" s="2" t="s">
        <v>190</v>
      </c>
      <c r="AC2198" s="2" t="s">
        <v>40</v>
      </c>
      <c r="AF2198" s="2">
        <f t="shared" si="256"/>
        <v>0</v>
      </c>
      <c r="AJ2198" s="2">
        <f t="shared" si="257"/>
        <v>0</v>
      </c>
      <c r="AK2198" s="2">
        <f t="shared" si="258"/>
        <v>59.4</v>
      </c>
      <c r="AL2198" s="5">
        <f t="shared" si="255"/>
        <v>0.6</v>
      </c>
    </row>
    <row r="2199" spans="1:38" hidden="1" x14ac:dyDescent="0.2">
      <c r="A2199" s="2">
        <v>2025</v>
      </c>
      <c r="B2199" s="2">
        <v>11</v>
      </c>
      <c r="D2199" s="2" t="s">
        <v>1718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9"/>
        <v>0.5</v>
      </c>
      <c r="Z2199" s="2" t="s">
        <v>118</v>
      </c>
      <c r="AA2199" s="2" t="s">
        <v>191</v>
      </c>
      <c r="AB2199" s="2" t="s">
        <v>191</v>
      </c>
      <c r="AC2199" s="2" t="s">
        <v>40</v>
      </c>
      <c r="AF2199" s="2">
        <f t="shared" si="256"/>
        <v>0</v>
      </c>
      <c r="AJ2199" s="2">
        <f t="shared" si="257"/>
        <v>0</v>
      </c>
      <c r="AK2199" s="2">
        <f t="shared" si="258"/>
        <v>25</v>
      </c>
      <c r="AL2199" s="5">
        <f t="shared" si="255"/>
        <v>0.5</v>
      </c>
    </row>
    <row r="2200" spans="1:38" hidden="1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1438</v>
      </c>
      <c r="R2200" s="2" t="s">
        <v>1439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9"/>
        <v>0.35000000000000003</v>
      </c>
      <c r="Z2200" s="2" t="s">
        <v>3231</v>
      </c>
      <c r="AA2200" s="2" t="s">
        <v>72</v>
      </c>
      <c r="AB2200" s="2" t="s">
        <v>120</v>
      </c>
      <c r="AC2200" s="2" t="s">
        <v>120</v>
      </c>
      <c r="AF2200" s="2">
        <f t="shared" si="256"/>
        <v>0</v>
      </c>
      <c r="AJ2200" s="2">
        <f t="shared" si="257"/>
        <v>0</v>
      </c>
      <c r="AK2200" s="2">
        <f t="shared" si="258"/>
        <v>5.5300000000000011</v>
      </c>
      <c r="AL2200" s="5">
        <f t="shared" si="255"/>
        <v>0.35000000000000003</v>
      </c>
    </row>
    <row r="2201" spans="1:38" hidden="1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9"/>
        <v>1</v>
      </c>
      <c r="Z2201" s="2" t="s">
        <v>120</v>
      </c>
      <c r="AA2201" s="2" t="s">
        <v>493</v>
      </c>
      <c r="AF2201" s="2">
        <f t="shared" si="256"/>
        <v>0</v>
      </c>
      <c r="AJ2201" s="2">
        <f t="shared" si="257"/>
        <v>0</v>
      </c>
      <c r="AK2201" s="2">
        <f t="shared" si="258"/>
        <v>664.04</v>
      </c>
      <c r="AL2201" s="5">
        <f t="shared" si="255"/>
        <v>1</v>
      </c>
    </row>
    <row r="2202" spans="1:38" hidden="1" x14ac:dyDescent="0.2">
      <c r="A2202" s="2">
        <v>2025</v>
      </c>
      <c r="B2202" s="2">
        <v>11</v>
      </c>
      <c r="D2202" s="2" t="s">
        <v>1401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9"/>
        <v>1</v>
      </c>
      <c r="AF2202" s="2">
        <f t="shared" si="256"/>
        <v>0</v>
      </c>
      <c r="AJ2202" s="2">
        <f t="shared" si="257"/>
        <v>0</v>
      </c>
      <c r="AK2202" s="2">
        <f t="shared" si="258"/>
        <v>725.58</v>
      </c>
      <c r="AL2202" s="5">
        <f t="shared" si="255"/>
        <v>1</v>
      </c>
    </row>
    <row r="2203" spans="1:38" hidden="1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2039</v>
      </c>
      <c r="R2203" s="2" t="s">
        <v>2040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9"/>
        <v>1</v>
      </c>
      <c r="Z2203" s="2" t="s">
        <v>3231</v>
      </c>
      <c r="AF2203" s="2">
        <f t="shared" si="256"/>
        <v>0</v>
      </c>
      <c r="AJ2203" s="2">
        <f t="shared" si="257"/>
        <v>0</v>
      </c>
      <c r="AK2203" s="2">
        <f t="shared" si="258"/>
        <v>18.5</v>
      </c>
      <c r="AL2203" s="5">
        <f t="shared" si="255"/>
        <v>1</v>
      </c>
    </row>
    <row r="2204" spans="1:38" hidden="1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9"/>
        <v>0.30400000000000005</v>
      </c>
      <c r="Z2204" s="2" t="s">
        <v>3231</v>
      </c>
      <c r="AA2204" s="2" t="s">
        <v>46</v>
      </c>
      <c r="AB2204" s="2" t="s">
        <v>61</v>
      </c>
      <c r="AC2204" s="2" t="s">
        <v>3336</v>
      </c>
      <c r="AF2204" s="2">
        <f t="shared" si="256"/>
        <v>0</v>
      </c>
      <c r="AJ2204" s="2">
        <f t="shared" si="257"/>
        <v>0</v>
      </c>
      <c r="AK2204" s="2">
        <f t="shared" si="258"/>
        <v>60.800000000000011</v>
      </c>
      <c r="AL2204" s="5">
        <f t="shared" si="255"/>
        <v>0.30400000000000005</v>
      </c>
    </row>
    <row r="2205" spans="1:38" hidden="1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1360</v>
      </c>
      <c r="Q2205" s="2" t="s">
        <v>1361</v>
      </c>
      <c r="R2205" s="2" t="s">
        <v>1362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9"/>
        <v>1</v>
      </c>
      <c r="Z2205" s="2" t="s">
        <v>3231</v>
      </c>
      <c r="AF2205" s="2">
        <f t="shared" si="256"/>
        <v>0</v>
      </c>
      <c r="AJ2205" s="2">
        <f t="shared" si="257"/>
        <v>0</v>
      </c>
      <c r="AK2205" s="2">
        <f t="shared" si="258"/>
        <v>80</v>
      </c>
      <c r="AL2205" s="5">
        <f t="shared" si="255"/>
        <v>1</v>
      </c>
    </row>
    <row r="2206" spans="1:38" hidden="1" x14ac:dyDescent="0.2">
      <c r="A2206" s="2">
        <v>2025</v>
      </c>
      <c r="B2206" s="2">
        <v>11</v>
      </c>
      <c r="C2206" s="2" t="s">
        <v>3399</v>
      </c>
      <c r="D2206" s="2" t="s">
        <v>1722</v>
      </c>
      <c r="E2206" s="2" t="s">
        <v>753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1438</v>
      </c>
      <c r="R2206" s="2" t="s">
        <v>1439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9"/>
        <v>0.35000000000000003</v>
      </c>
      <c r="Z2206" s="2" t="s">
        <v>3231</v>
      </c>
      <c r="AA2206" s="2" t="s">
        <v>72</v>
      </c>
      <c r="AB2206" s="2" t="s">
        <v>120</v>
      </c>
      <c r="AC2206" s="2" t="s">
        <v>120</v>
      </c>
      <c r="AF2206" s="2">
        <f t="shared" si="256"/>
        <v>0</v>
      </c>
      <c r="AJ2206" s="2">
        <f t="shared" si="257"/>
        <v>0</v>
      </c>
      <c r="AK2206" s="2">
        <f t="shared" si="258"/>
        <v>8.2949999999999999</v>
      </c>
      <c r="AL2206" s="5">
        <f t="shared" si="255"/>
        <v>0.35000000000000003</v>
      </c>
    </row>
    <row r="2207" spans="1:38" hidden="1" x14ac:dyDescent="0.2">
      <c r="A2207" s="2">
        <v>2025</v>
      </c>
      <c r="B2207" s="2">
        <v>11</v>
      </c>
      <c r="C2207" s="2" t="s">
        <v>3399</v>
      </c>
      <c r="D2207" s="2" t="s">
        <v>1722</v>
      </c>
      <c r="E2207" s="2" t="s">
        <v>753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2041</v>
      </c>
      <c r="R2207" s="2" t="s">
        <v>2042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9"/>
        <v>0.29908814589665655</v>
      </c>
      <c r="Z2207" s="2" t="s">
        <v>3231</v>
      </c>
      <c r="AA2207" s="2" t="s">
        <v>72</v>
      </c>
      <c r="AB2207" s="2" t="s">
        <v>120</v>
      </c>
      <c r="AC2207" s="2" t="s">
        <v>120</v>
      </c>
      <c r="AF2207" s="2">
        <f t="shared" si="256"/>
        <v>0</v>
      </c>
      <c r="AJ2207" s="2">
        <f t="shared" si="257"/>
        <v>0</v>
      </c>
      <c r="AK2207" s="2">
        <f t="shared" si="258"/>
        <v>9.84</v>
      </c>
      <c r="AL2207" s="5">
        <f t="shared" si="255"/>
        <v>0.29908814589665655</v>
      </c>
    </row>
    <row r="2208" spans="1:38" hidden="1" x14ac:dyDescent="0.2">
      <c r="A2208" s="2">
        <v>2025</v>
      </c>
      <c r="B2208" s="2">
        <v>11</v>
      </c>
      <c r="D2208" s="2" t="s">
        <v>1073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1558</v>
      </c>
      <c r="J2208" s="2" t="s">
        <v>1828</v>
      </c>
      <c r="L2208" s="2" t="s">
        <v>178</v>
      </c>
      <c r="M2208" s="2" t="s">
        <v>41</v>
      </c>
      <c r="P2208" s="2" t="s">
        <v>283</v>
      </c>
      <c r="Q2208" s="2" t="s">
        <v>2043</v>
      </c>
      <c r="R2208" s="2" t="s">
        <v>2044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9"/>
        <v>0.27522935779816515</v>
      </c>
      <c r="Z2208" s="2" t="s">
        <v>3231</v>
      </c>
      <c r="AA2208" s="2" t="s">
        <v>72</v>
      </c>
      <c r="AB2208" s="2" t="s">
        <v>120</v>
      </c>
      <c r="AC2208" s="2" t="s">
        <v>120</v>
      </c>
      <c r="AF2208" s="2">
        <f t="shared" si="256"/>
        <v>0</v>
      </c>
      <c r="AJ2208" s="2">
        <f t="shared" si="257"/>
        <v>0</v>
      </c>
      <c r="AK2208" s="2">
        <f t="shared" si="258"/>
        <v>3</v>
      </c>
      <c r="AL2208" s="5">
        <f t="shared" si="255"/>
        <v>0.27522935779816515</v>
      </c>
    </row>
    <row r="2209" spans="1:38" hidden="1" x14ac:dyDescent="0.2">
      <c r="A2209" s="2">
        <v>2025</v>
      </c>
      <c r="B2209" s="2">
        <v>11</v>
      </c>
      <c r="D2209" s="2" t="s">
        <v>1073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1558</v>
      </c>
      <c r="J2209" s="2" t="s">
        <v>1828</v>
      </c>
      <c r="L2209" s="2" t="s">
        <v>178</v>
      </c>
      <c r="M2209" s="2" t="s">
        <v>41</v>
      </c>
      <c r="P2209" s="2" t="s">
        <v>283</v>
      </c>
      <c r="Q2209" s="2" t="s">
        <v>2045</v>
      </c>
      <c r="R2209" s="2" t="s">
        <v>2046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9"/>
        <v>1</v>
      </c>
      <c r="Z2209" s="2" t="s">
        <v>3231</v>
      </c>
      <c r="AA2209" s="2" t="s">
        <v>72</v>
      </c>
      <c r="AB2209" s="2" t="s">
        <v>120</v>
      </c>
      <c r="AC2209" s="2" t="s">
        <v>120</v>
      </c>
      <c r="AF2209" s="2">
        <f t="shared" si="256"/>
        <v>0</v>
      </c>
      <c r="AJ2209" s="2">
        <f t="shared" si="257"/>
        <v>0</v>
      </c>
      <c r="AK2209" s="2">
        <f t="shared" si="258"/>
        <v>11.5</v>
      </c>
      <c r="AL2209" s="5">
        <f t="shared" si="255"/>
        <v>1</v>
      </c>
    </row>
    <row r="2210" spans="1:38" hidden="1" x14ac:dyDescent="0.2">
      <c r="A2210" s="2">
        <v>2025</v>
      </c>
      <c r="B2210" s="2">
        <v>11</v>
      </c>
      <c r="D2210" s="2" t="s">
        <v>1073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1558</v>
      </c>
      <c r="J2210" s="2" t="s">
        <v>1828</v>
      </c>
      <c r="L2210" s="2" t="s">
        <v>178</v>
      </c>
      <c r="M2210" s="2" t="s">
        <v>41</v>
      </c>
      <c r="P2210" s="2" t="s">
        <v>283</v>
      </c>
      <c r="Q2210" s="2" t="s">
        <v>2047</v>
      </c>
      <c r="R2210" s="2" t="s">
        <v>2048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9"/>
        <v>1</v>
      </c>
      <c r="Z2210" s="2" t="s">
        <v>3231</v>
      </c>
      <c r="AA2210" s="2" t="s">
        <v>72</v>
      </c>
      <c r="AB2210" s="2" t="s">
        <v>120</v>
      </c>
      <c r="AC2210" s="2" t="s">
        <v>120</v>
      </c>
      <c r="AF2210" s="2">
        <f t="shared" si="256"/>
        <v>0</v>
      </c>
      <c r="AJ2210" s="2">
        <f t="shared" si="257"/>
        <v>0</v>
      </c>
      <c r="AK2210" s="2">
        <f t="shared" si="258"/>
        <v>9.9</v>
      </c>
      <c r="AL2210" s="5">
        <f t="shared" si="255"/>
        <v>1</v>
      </c>
    </row>
    <row r="2211" spans="1:38" hidden="1" x14ac:dyDescent="0.2">
      <c r="A2211" s="2">
        <v>2025</v>
      </c>
      <c r="B2211" s="2">
        <v>11</v>
      </c>
      <c r="D2211" s="2" t="s">
        <v>1073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1558</v>
      </c>
      <c r="J2211" s="2" t="s">
        <v>1828</v>
      </c>
      <c r="L2211" s="2" t="s">
        <v>178</v>
      </c>
      <c r="M2211" s="2" t="s">
        <v>41</v>
      </c>
      <c r="P2211" s="2" t="s">
        <v>283</v>
      </c>
      <c r="Q2211" s="2" t="s">
        <v>2049</v>
      </c>
      <c r="R2211" s="2" t="s">
        <v>2050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9"/>
        <v>1</v>
      </c>
      <c r="Z2211" s="2" t="s">
        <v>3231</v>
      </c>
      <c r="AA2211" s="2" t="s">
        <v>72</v>
      </c>
      <c r="AB2211" s="2" t="s">
        <v>120</v>
      </c>
      <c r="AC2211" s="2" t="s">
        <v>120</v>
      </c>
      <c r="AF2211" s="2">
        <f t="shared" si="256"/>
        <v>0</v>
      </c>
      <c r="AJ2211" s="2">
        <f t="shared" si="257"/>
        <v>0</v>
      </c>
      <c r="AK2211" s="2">
        <f t="shared" si="258"/>
        <v>9.9</v>
      </c>
      <c r="AL2211" s="5">
        <f t="shared" si="255"/>
        <v>1</v>
      </c>
    </row>
    <row r="2212" spans="1:38" hidden="1" x14ac:dyDescent="0.2">
      <c r="A2212" s="2">
        <v>2025</v>
      </c>
      <c r="B2212" s="2">
        <v>11</v>
      </c>
      <c r="D2212" s="2" t="s">
        <v>2051</v>
      </c>
      <c r="M2212" s="2" t="s">
        <v>81</v>
      </c>
      <c r="O2212" s="2" t="s">
        <v>2052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9"/>
        <v>0.46762608695652175</v>
      </c>
      <c r="Z2212" s="2" t="s">
        <v>3231</v>
      </c>
      <c r="AA2212" s="2" t="s">
        <v>76</v>
      </c>
      <c r="AB2212" s="2" t="s">
        <v>77</v>
      </c>
      <c r="AC2212" s="2" t="s">
        <v>78</v>
      </c>
      <c r="AF2212" s="2">
        <f t="shared" si="256"/>
        <v>0</v>
      </c>
      <c r="AG2212" s="2">
        <v>122.446</v>
      </c>
      <c r="AH2212" s="2">
        <v>230</v>
      </c>
      <c r="AJ2212" s="2">
        <f t="shared" si="257"/>
        <v>0</v>
      </c>
      <c r="AK2212" s="2">
        <f t="shared" si="258"/>
        <v>107.554</v>
      </c>
      <c r="AL2212" s="5">
        <f t="shared" si="255"/>
        <v>0.46762608695652175</v>
      </c>
    </row>
    <row r="2213" spans="1:38" hidden="1" x14ac:dyDescent="0.2">
      <c r="A2213" s="2">
        <v>2025</v>
      </c>
      <c r="B2213" s="2">
        <v>11</v>
      </c>
      <c r="D2213" s="2" t="s">
        <v>2051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9"/>
        <v>0</v>
      </c>
      <c r="Z2213" s="2" t="s">
        <v>3231</v>
      </c>
      <c r="AA2213" s="2" t="s">
        <v>97</v>
      </c>
      <c r="AB2213" s="2" t="s">
        <v>77</v>
      </c>
      <c r="AC2213" s="2" t="s">
        <v>94</v>
      </c>
      <c r="AF2213" s="2">
        <f t="shared" si="256"/>
        <v>0</v>
      </c>
      <c r="AJ2213" s="2">
        <f t="shared" si="257"/>
        <v>0</v>
      </c>
      <c r="AK2213" s="2">
        <f t="shared" si="258"/>
        <v>0</v>
      </c>
      <c r="AL2213" s="5">
        <f t="shared" si="255"/>
        <v>0</v>
      </c>
    </row>
    <row r="2214" spans="1:38" hidden="1" x14ac:dyDescent="0.2">
      <c r="A2214" s="2">
        <v>2025</v>
      </c>
      <c r="B2214" s="2">
        <v>11</v>
      </c>
      <c r="D2214" s="2" t="s">
        <v>2053</v>
      </c>
      <c r="P2214" s="2" t="s">
        <v>115</v>
      </c>
      <c r="Q2214" s="2" t="s">
        <v>2054</v>
      </c>
      <c r="R2214" s="2" t="s">
        <v>2055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9"/>
        <v>1</v>
      </c>
      <c r="AF2214" s="2">
        <f t="shared" si="256"/>
        <v>0</v>
      </c>
      <c r="AJ2214" s="2">
        <f t="shared" si="257"/>
        <v>0</v>
      </c>
      <c r="AK2214" s="2">
        <f t="shared" si="258"/>
        <v>1411.39</v>
      </c>
      <c r="AL2214" s="5">
        <f t="shared" si="255"/>
        <v>1</v>
      </c>
    </row>
    <row r="2215" spans="1:38" hidden="1" x14ac:dyDescent="0.2">
      <c r="A2215" s="2">
        <v>2025</v>
      </c>
      <c r="B2215" s="2">
        <v>11</v>
      </c>
      <c r="D2215" s="2" t="s">
        <v>2056</v>
      </c>
      <c r="P2215" s="2" t="s">
        <v>73</v>
      </c>
      <c r="Q2215" s="2" t="s">
        <v>1077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9"/>
        <v>0.38638461538461544</v>
      </c>
      <c r="Z2215" s="2" t="s">
        <v>3231</v>
      </c>
      <c r="AA2215" s="2" t="s">
        <v>76</v>
      </c>
      <c r="AB2215" s="2" t="s">
        <v>77</v>
      </c>
      <c r="AC2215" s="2" t="s">
        <v>78</v>
      </c>
      <c r="AF2215" s="2">
        <f t="shared" si="256"/>
        <v>0</v>
      </c>
      <c r="AG2215" s="2">
        <f>144.14+15.4</f>
        <v>159.54</v>
      </c>
      <c r="AH2215" s="2">
        <v>280</v>
      </c>
      <c r="AJ2215" s="2">
        <f t="shared" si="257"/>
        <v>0</v>
      </c>
      <c r="AK2215" s="2">
        <f t="shared" si="258"/>
        <v>100.46000000000001</v>
      </c>
      <c r="AL2215" s="5">
        <f t="shared" si="255"/>
        <v>0.38638461538461544</v>
      </c>
    </row>
    <row r="2216" spans="1:38" hidden="1" x14ac:dyDescent="0.2">
      <c r="A2216" s="2">
        <v>2025</v>
      </c>
      <c r="B2216" s="2">
        <v>11</v>
      </c>
      <c r="D2216" s="2" t="s">
        <v>2056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9"/>
        <v>0</v>
      </c>
      <c r="Z2216" s="2" t="s">
        <v>3231</v>
      </c>
      <c r="AA2216" s="2" t="s">
        <v>97</v>
      </c>
      <c r="AB2216" s="2" t="s">
        <v>77</v>
      </c>
      <c r="AC2216" s="2" t="s">
        <v>94</v>
      </c>
      <c r="AF2216" s="2">
        <f t="shared" si="256"/>
        <v>0</v>
      </c>
      <c r="AJ2216" s="2">
        <f t="shared" si="257"/>
        <v>0</v>
      </c>
      <c r="AK2216" s="2">
        <f t="shared" si="258"/>
        <v>0</v>
      </c>
      <c r="AL2216" s="5">
        <f t="shared" si="255"/>
        <v>0</v>
      </c>
    </row>
    <row r="2217" spans="1:38" hidden="1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2057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9"/>
        <v>0.43375825176417027</v>
      </c>
      <c r="Z2217" s="2" t="s">
        <v>3231</v>
      </c>
      <c r="AA2217" s="2" t="s">
        <v>76</v>
      </c>
      <c r="AB2217" s="2" t="s">
        <v>77</v>
      </c>
      <c r="AC2217" s="2" t="s">
        <v>78</v>
      </c>
      <c r="AF2217" s="2">
        <f t="shared" si="256"/>
        <v>0</v>
      </c>
      <c r="AJ2217" s="2">
        <f t="shared" si="257"/>
        <v>0</v>
      </c>
      <c r="AK2217" s="2">
        <f t="shared" si="258"/>
        <v>152.44</v>
      </c>
      <c r="AL2217" s="5">
        <f t="shared" si="255"/>
        <v>0.43375825176417027</v>
      </c>
    </row>
    <row r="2218" spans="1:38" hidden="1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6"/>
        <v>0</v>
      </c>
      <c r="AJ2218" s="2">
        <f t="shared" si="257"/>
        <v>0</v>
      </c>
    </row>
    <row r="2219" spans="1:38" hidden="1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9"/>
        <v>0</v>
      </c>
      <c r="Z2219" s="2" t="s">
        <v>3231</v>
      </c>
      <c r="AA2219" s="2" t="s">
        <v>97</v>
      </c>
      <c r="AB2219" s="2" t="s">
        <v>77</v>
      </c>
      <c r="AC2219" s="2" t="s">
        <v>94</v>
      </c>
      <c r="AF2219" s="2">
        <f t="shared" si="256"/>
        <v>0</v>
      </c>
      <c r="AJ2219" s="2">
        <f t="shared" si="257"/>
        <v>0</v>
      </c>
      <c r="AK2219" s="2">
        <f t="shared" si="258"/>
        <v>0</v>
      </c>
      <c r="AL2219" s="5">
        <f t="shared" si="255"/>
        <v>0</v>
      </c>
    </row>
    <row r="2220" spans="1:38" hidden="1" x14ac:dyDescent="0.2">
      <c r="A2220" s="2">
        <v>2025</v>
      </c>
      <c r="B2220" s="2">
        <v>11</v>
      </c>
      <c r="D2220" s="2" t="s">
        <v>1724</v>
      </c>
      <c r="P2220" s="2" t="s">
        <v>115</v>
      </c>
      <c r="Q2220" s="2" t="s">
        <v>1795</v>
      </c>
      <c r="R2220" s="2" t="s">
        <v>1796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9"/>
        <v>1</v>
      </c>
      <c r="Z2220" s="2" t="s">
        <v>105</v>
      </c>
      <c r="AF2220" s="2">
        <f t="shared" si="256"/>
        <v>0</v>
      </c>
      <c r="AJ2220" s="2">
        <f t="shared" si="257"/>
        <v>0</v>
      </c>
      <c r="AK2220" s="2">
        <f t="shared" si="258"/>
        <v>8980</v>
      </c>
      <c r="AL2220" s="5">
        <f t="shared" si="255"/>
        <v>1</v>
      </c>
    </row>
    <row r="2221" spans="1:38" hidden="1" x14ac:dyDescent="0.2">
      <c r="A2221" s="2">
        <v>2025</v>
      </c>
      <c r="B2221" s="2">
        <v>11</v>
      </c>
      <c r="D2221" s="2" t="s">
        <v>1420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2415</v>
      </c>
      <c r="J2221" s="2" t="s">
        <v>2416</v>
      </c>
      <c r="L2221" s="2" t="s">
        <v>202</v>
      </c>
      <c r="M2221" s="2" t="s">
        <v>81</v>
      </c>
      <c r="O2221" s="2" t="s">
        <v>3169</v>
      </c>
      <c r="P2221" s="2" t="s">
        <v>1040</v>
      </c>
      <c r="Q2221" s="2" t="s">
        <v>2058</v>
      </c>
      <c r="R2221" s="2" t="s">
        <v>2059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9"/>
        <v>0.37140045726854398</v>
      </c>
      <c r="Z2221" s="2" t="s">
        <v>3231</v>
      </c>
      <c r="AA2221" s="2" t="s">
        <v>1043</v>
      </c>
      <c r="AB2221" s="2" t="s">
        <v>1320</v>
      </c>
      <c r="AC2221" s="2" t="s">
        <v>1040</v>
      </c>
      <c r="AF2221" s="2">
        <f t="shared" si="256"/>
        <v>0</v>
      </c>
      <c r="AG2221" s="2">
        <v>108.6</v>
      </c>
      <c r="AJ2221" s="2">
        <f t="shared" si="257"/>
        <v>0</v>
      </c>
      <c r="AK2221" s="2">
        <f t="shared" si="258"/>
        <v>256.65999999999997</v>
      </c>
      <c r="AL2221" s="5">
        <f t="shared" si="255"/>
        <v>0.37140045726854398</v>
      </c>
    </row>
    <row r="2222" spans="1:38" hidden="1" x14ac:dyDescent="0.2">
      <c r="A2222" s="2">
        <v>2025</v>
      </c>
      <c r="B2222" s="2">
        <v>11</v>
      </c>
      <c r="D2222" s="2" t="s">
        <v>1420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2415</v>
      </c>
      <c r="J2222" s="2" t="s">
        <v>2416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9"/>
        <v>0.4</v>
      </c>
      <c r="Z2222" s="2" t="s">
        <v>170</v>
      </c>
      <c r="AA2222" s="2" t="s">
        <v>170</v>
      </c>
      <c r="AF2222" s="2">
        <f t="shared" si="256"/>
        <v>0</v>
      </c>
      <c r="AJ2222" s="2">
        <f t="shared" si="257"/>
        <v>0</v>
      </c>
      <c r="AK2222" s="2">
        <f t="shared" si="258"/>
        <v>40</v>
      </c>
      <c r="AL2222" s="5">
        <f t="shared" si="255"/>
        <v>0.4</v>
      </c>
    </row>
    <row r="2223" spans="1:38" hidden="1" x14ac:dyDescent="0.2">
      <c r="A2223" s="2">
        <v>2025</v>
      </c>
      <c r="B2223" s="2">
        <v>11</v>
      </c>
      <c r="D2223" s="2" t="s">
        <v>1421</v>
      </c>
      <c r="P2223" s="2" t="s">
        <v>73</v>
      </c>
      <c r="Q2223" s="2" t="s">
        <v>2060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9"/>
        <v>0.39852631578947367</v>
      </c>
      <c r="Z2223" s="2" t="s">
        <v>3231</v>
      </c>
      <c r="AA2223" s="2" t="s">
        <v>76</v>
      </c>
      <c r="AB2223" s="2" t="s">
        <v>77</v>
      </c>
      <c r="AC2223" s="2" t="s">
        <v>78</v>
      </c>
      <c r="AF2223" s="2">
        <f t="shared" si="256"/>
        <v>0</v>
      </c>
      <c r="AJ2223" s="2">
        <f t="shared" si="257"/>
        <v>0</v>
      </c>
      <c r="AK2223" s="2">
        <f t="shared" si="258"/>
        <v>75.72</v>
      </c>
      <c r="AL2223" s="5">
        <f t="shared" si="255"/>
        <v>0.39852631578947367</v>
      </c>
    </row>
    <row r="2224" spans="1:38" hidden="1" x14ac:dyDescent="0.2">
      <c r="A2224" s="2">
        <v>2025</v>
      </c>
      <c r="B2224" s="2">
        <v>11</v>
      </c>
      <c r="D2224" s="2" t="s">
        <v>1421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9"/>
        <v>0</v>
      </c>
      <c r="Z2224" s="2" t="s">
        <v>3231</v>
      </c>
      <c r="AA2224" s="2" t="s">
        <v>97</v>
      </c>
      <c r="AB2224" s="2" t="s">
        <v>77</v>
      </c>
      <c r="AC2224" s="2" t="s">
        <v>94</v>
      </c>
      <c r="AF2224" s="2">
        <f t="shared" si="256"/>
        <v>0</v>
      </c>
      <c r="AJ2224" s="2">
        <f t="shared" si="257"/>
        <v>0</v>
      </c>
      <c r="AK2224" s="2">
        <f t="shared" si="258"/>
        <v>0</v>
      </c>
      <c r="AL2224" s="5">
        <f t="shared" si="255"/>
        <v>0</v>
      </c>
    </row>
    <row r="2225" spans="1:38" hidden="1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2061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9"/>
        <v>0.41257142857142864</v>
      </c>
      <c r="Z2225" s="2" t="s">
        <v>3231</v>
      </c>
      <c r="AA2225" s="2" t="s">
        <v>76</v>
      </c>
      <c r="AB2225" s="2" t="s">
        <v>77</v>
      </c>
      <c r="AC2225" s="2" t="s">
        <v>78</v>
      </c>
      <c r="AF2225" s="2">
        <f t="shared" si="256"/>
        <v>0</v>
      </c>
      <c r="AG2225" s="2">
        <v>143.91999999999999</v>
      </c>
      <c r="AJ2225" s="2">
        <f t="shared" si="257"/>
        <v>0</v>
      </c>
      <c r="AK2225" s="2">
        <f t="shared" si="258"/>
        <v>101.08000000000001</v>
      </c>
      <c r="AL2225" s="5">
        <f t="shared" si="255"/>
        <v>0.41257142857142864</v>
      </c>
    </row>
    <row r="2226" spans="1:38" hidden="1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2061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9"/>
        <v>0.49690909090909086</v>
      </c>
      <c r="Z2226" s="2" t="s">
        <v>3231</v>
      </c>
      <c r="AA2226" s="2" t="s">
        <v>76</v>
      </c>
      <c r="AB2226" s="2" t="s">
        <v>77</v>
      </c>
      <c r="AC2226" s="2" t="s">
        <v>78</v>
      </c>
      <c r="AF2226" s="2">
        <f t="shared" si="256"/>
        <v>0</v>
      </c>
      <c r="AG2226" s="2">
        <v>110.68</v>
      </c>
      <c r="AH2226" s="2">
        <v>210</v>
      </c>
      <c r="AJ2226" s="2">
        <f t="shared" si="257"/>
        <v>0</v>
      </c>
      <c r="AK2226" s="2">
        <f t="shared" si="258"/>
        <v>109.32</v>
      </c>
      <c r="AL2226" s="5">
        <f t="shared" si="255"/>
        <v>0.49690909090909086</v>
      </c>
    </row>
    <row r="2227" spans="1:38" hidden="1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2062</v>
      </c>
      <c r="P2227" s="2" t="s">
        <v>73</v>
      </c>
      <c r="Q2227" s="2" t="s">
        <v>1136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9"/>
        <v>0.40365853658536588</v>
      </c>
      <c r="Z2227" s="2" t="s">
        <v>3231</v>
      </c>
      <c r="AA2227" s="2" t="s">
        <v>76</v>
      </c>
      <c r="AB2227" s="2" t="s">
        <v>77</v>
      </c>
      <c r="AC2227" s="2" t="s">
        <v>78</v>
      </c>
      <c r="AF2227" s="2">
        <f t="shared" si="256"/>
        <v>0</v>
      </c>
      <c r="AG2227" s="2">
        <v>122.25</v>
      </c>
      <c r="AJ2227" s="2">
        <f t="shared" si="257"/>
        <v>0</v>
      </c>
      <c r="AK2227" s="2">
        <f t="shared" si="258"/>
        <v>82.75</v>
      </c>
      <c r="AL2227" s="5">
        <f t="shared" ref="AL2227:AL2290" si="260">(T2227-W2227)/T2227</f>
        <v>0.40365853658536588</v>
      </c>
    </row>
    <row r="2228" spans="1:38" hidden="1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2062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6"/>
        <v>0</v>
      </c>
      <c r="AJ2228" s="2">
        <f t="shared" si="257"/>
        <v>0</v>
      </c>
      <c r="AK2228" s="2">
        <f t="shared" si="258"/>
        <v>-8</v>
      </c>
      <c r="AL2228" s="19"/>
    </row>
    <row r="2229" spans="1:38" hidden="1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2061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9"/>
        <v>0</v>
      </c>
      <c r="Z2229" s="2" t="s">
        <v>3231</v>
      </c>
      <c r="AA2229" s="2" t="s">
        <v>97</v>
      </c>
      <c r="AB2229" s="2" t="s">
        <v>77</v>
      </c>
      <c r="AC2229" s="2" t="s">
        <v>94</v>
      </c>
      <c r="AF2229" s="2">
        <f t="shared" si="256"/>
        <v>0</v>
      </c>
      <c r="AG2229" s="2">
        <v>1.1399999999999999</v>
      </c>
      <c r="AH2229" s="2">
        <v>1.1399999999999999</v>
      </c>
      <c r="AJ2229" s="2">
        <f t="shared" si="257"/>
        <v>0</v>
      </c>
      <c r="AK2229" s="2">
        <f t="shared" si="258"/>
        <v>0</v>
      </c>
      <c r="AL2229" s="5">
        <f t="shared" si="260"/>
        <v>0</v>
      </c>
    </row>
    <row r="2230" spans="1:38" hidden="1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3230</v>
      </c>
      <c r="P2230" s="2" t="s">
        <v>283</v>
      </c>
      <c r="Q2230" s="2" t="s">
        <v>2063</v>
      </c>
      <c r="R2230" s="2" t="s">
        <v>2064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9"/>
        <v>0.30000375333108131</v>
      </c>
      <c r="Z2230" s="2" t="s">
        <v>3231</v>
      </c>
      <c r="AA2230" s="2" t="s">
        <v>72</v>
      </c>
      <c r="AB2230" s="2" t="s">
        <v>1604</v>
      </c>
      <c r="AC2230" s="2" t="s">
        <v>1604</v>
      </c>
      <c r="AF2230" s="2">
        <f t="shared" si="256"/>
        <v>0</v>
      </c>
      <c r="AG2230" s="2">
        <v>1119</v>
      </c>
      <c r="AJ2230" s="2">
        <f t="shared" si="257"/>
        <v>0</v>
      </c>
      <c r="AK2230" s="2">
        <f t="shared" si="258"/>
        <v>479.57999999999993</v>
      </c>
      <c r="AL2230" s="5">
        <f t="shared" si="260"/>
        <v>0.30000375333108131</v>
      </c>
    </row>
    <row r="2231" spans="1:38" hidden="1" x14ac:dyDescent="0.2">
      <c r="A2231" s="2">
        <v>2025</v>
      </c>
      <c r="B2231" s="2">
        <v>11</v>
      </c>
      <c r="D2231" s="2" t="s">
        <v>2065</v>
      </c>
      <c r="E2231" s="2" t="s">
        <v>109</v>
      </c>
      <c r="G2231" s="2">
        <v>506055884</v>
      </c>
      <c r="H2231" s="2" t="s">
        <v>40</v>
      </c>
      <c r="I2231" s="2" t="s">
        <v>2066</v>
      </c>
      <c r="J2231" s="2" t="s">
        <v>2067</v>
      </c>
      <c r="L2231" s="2" t="s">
        <v>100</v>
      </c>
      <c r="M2231" s="2" t="s">
        <v>40</v>
      </c>
      <c r="O2231" s="2" t="s">
        <v>2068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9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6"/>
        <v>0</v>
      </c>
      <c r="AJ2231" s="2">
        <f t="shared" si="257"/>
        <v>0</v>
      </c>
      <c r="AK2231" s="2">
        <f t="shared" si="258"/>
        <v>3320.6000000000004</v>
      </c>
      <c r="AL2231" s="5">
        <f t="shared" si="260"/>
        <v>0.23735525375268052</v>
      </c>
    </row>
    <row r="2232" spans="1:38" hidden="1" x14ac:dyDescent="0.2">
      <c r="A2232" s="2">
        <v>2025</v>
      </c>
      <c r="B2232" s="2">
        <v>11</v>
      </c>
      <c r="D2232" s="2" t="s">
        <v>1625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9"/>
        <v>1</v>
      </c>
      <c r="Z2232" s="2" t="s">
        <v>3231</v>
      </c>
      <c r="AA2232" s="2" t="s">
        <v>46</v>
      </c>
      <c r="AB2232" s="2" t="s">
        <v>57</v>
      </c>
      <c r="AC2232" s="2" t="s">
        <v>58</v>
      </c>
      <c r="AF2232" s="2">
        <f t="shared" si="256"/>
        <v>0</v>
      </c>
      <c r="AJ2232" s="2">
        <f t="shared" si="257"/>
        <v>0</v>
      </c>
      <c r="AK2232" s="2">
        <f t="shared" si="258"/>
        <v>24</v>
      </c>
      <c r="AL2232" s="5">
        <f t="shared" si="260"/>
        <v>1</v>
      </c>
    </row>
    <row r="2233" spans="1:38" hidden="1" x14ac:dyDescent="0.2">
      <c r="A2233" s="2">
        <v>2025</v>
      </c>
      <c r="B2233" s="2">
        <v>11</v>
      </c>
      <c r="D2233" s="2" t="s">
        <v>1625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9"/>
        <v>1</v>
      </c>
      <c r="Z2233" s="2" t="s">
        <v>3231</v>
      </c>
      <c r="AA2233" s="2" t="s">
        <v>46</v>
      </c>
      <c r="AB2233" s="2" t="s">
        <v>57</v>
      </c>
      <c r="AC2233" s="2" t="s">
        <v>58</v>
      </c>
      <c r="AF2233" s="2">
        <f t="shared" si="256"/>
        <v>0</v>
      </c>
      <c r="AJ2233" s="2">
        <f t="shared" si="257"/>
        <v>0</v>
      </c>
      <c r="AK2233" s="2">
        <f t="shared" si="258"/>
        <v>16.8</v>
      </c>
      <c r="AL2233" s="5">
        <f t="shared" si="260"/>
        <v>1</v>
      </c>
    </row>
    <row r="2234" spans="1:38" hidden="1" x14ac:dyDescent="0.2">
      <c r="A2234" s="2">
        <v>2025</v>
      </c>
      <c r="B2234" s="2">
        <v>11</v>
      </c>
      <c r="D2234" s="2" t="s">
        <v>1625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9"/>
        <v>0.45173437499999997</v>
      </c>
      <c r="Z2234" s="2" t="s">
        <v>3231</v>
      </c>
      <c r="AA2234" s="2" t="s">
        <v>46</v>
      </c>
      <c r="AB2234" s="2" t="s">
        <v>57</v>
      </c>
      <c r="AC2234" s="2" t="s">
        <v>58</v>
      </c>
      <c r="AF2234" s="2">
        <f t="shared" si="256"/>
        <v>0</v>
      </c>
      <c r="AJ2234" s="2">
        <f t="shared" si="257"/>
        <v>0</v>
      </c>
      <c r="AK2234" s="2">
        <f t="shared" si="258"/>
        <v>8.6732999999999993</v>
      </c>
      <c r="AL2234" s="5">
        <f t="shared" si="260"/>
        <v>0.45173437499999997</v>
      </c>
    </row>
    <row r="2235" spans="1:38" hidden="1" x14ac:dyDescent="0.2">
      <c r="A2235" s="2">
        <v>2025</v>
      </c>
      <c r="B2235" s="2">
        <v>11</v>
      </c>
      <c r="D2235" s="2" t="s">
        <v>1625</v>
      </c>
      <c r="P2235" s="2" t="s">
        <v>43</v>
      </c>
      <c r="Q2235" s="2" t="s">
        <v>1734</v>
      </c>
      <c r="R2235" s="2" t="s">
        <v>1735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9"/>
        <v>1</v>
      </c>
      <c r="Z2235" s="2" t="s">
        <v>3231</v>
      </c>
      <c r="AA2235" s="2" t="s">
        <v>46</v>
      </c>
      <c r="AB2235" s="2" t="s">
        <v>57</v>
      </c>
      <c r="AC2235" s="2" t="s">
        <v>58</v>
      </c>
      <c r="AF2235" s="2">
        <f t="shared" si="256"/>
        <v>0</v>
      </c>
      <c r="AJ2235" s="2">
        <f t="shared" si="257"/>
        <v>0</v>
      </c>
      <c r="AK2235" s="2">
        <f t="shared" si="258"/>
        <v>8.4</v>
      </c>
      <c r="AL2235" s="5">
        <f t="shared" si="260"/>
        <v>1</v>
      </c>
    </row>
    <row r="2236" spans="1:38" hidden="1" x14ac:dyDescent="0.2">
      <c r="A2236" s="2">
        <v>2025</v>
      </c>
      <c r="B2236" s="2">
        <v>11</v>
      </c>
      <c r="D2236" s="2" t="s">
        <v>1625</v>
      </c>
      <c r="P2236" s="2" t="s">
        <v>43</v>
      </c>
      <c r="Q2236" s="2" t="s">
        <v>2069</v>
      </c>
      <c r="R2236" s="2" t="s">
        <v>2070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9"/>
        <v>1</v>
      </c>
      <c r="Z2236" s="2" t="s">
        <v>3231</v>
      </c>
      <c r="AA2236" s="2" t="s">
        <v>46</v>
      </c>
      <c r="AB2236" s="2" t="s">
        <v>57</v>
      </c>
      <c r="AC2236" s="2" t="s">
        <v>58</v>
      </c>
      <c r="AF2236" s="2">
        <f t="shared" si="256"/>
        <v>0</v>
      </c>
      <c r="AJ2236" s="2">
        <f t="shared" si="257"/>
        <v>0</v>
      </c>
      <c r="AK2236" s="2">
        <f t="shared" si="258"/>
        <v>12.6</v>
      </c>
      <c r="AL2236" s="5">
        <f t="shared" si="260"/>
        <v>1</v>
      </c>
    </row>
    <row r="2237" spans="1:38" hidden="1" x14ac:dyDescent="0.2">
      <c r="A2237" s="2">
        <v>2025</v>
      </c>
      <c r="B2237" s="2">
        <v>11</v>
      </c>
      <c r="D2237" s="2" t="s">
        <v>891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892</v>
      </c>
      <c r="J2237" s="2" t="s">
        <v>893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9"/>
        <v>0.24285714285714285</v>
      </c>
      <c r="Z2237" s="2" t="s">
        <v>3231</v>
      </c>
      <c r="AA2237" s="2" t="s">
        <v>46</v>
      </c>
      <c r="AB2237" s="2" t="s">
        <v>57</v>
      </c>
      <c r="AC2237" s="2" t="s">
        <v>58</v>
      </c>
      <c r="AF2237" s="2">
        <f t="shared" si="256"/>
        <v>0</v>
      </c>
      <c r="AG2237" s="2">
        <v>10.6</v>
      </c>
      <c r="AH2237" s="2">
        <v>18</v>
      </c>
      <c r="AJ2237" s="2">
        <f t="shared" si="257"/>
        <v>0</v>
      </c>
      <c r="AK2237" s="2">
        <f t="shared" si="258"/>
        <v>34</v>
      </c>
      <c r="AL2237" s="5">
        <f t="shared" si="260"/>
        <v>0.24285714285714285</v>
      </c>
    </row>
    <row r="2238" spans="1:38" hidden="1" x14ac:dyDescent="0.2">
      <c r="A2238" s="2">
        <v>2025</v>
      </c>
      <c r="B2238" s="2">
        <v>11</v>
      </c>
      <c r="D2238" s="2" t="s">
        <v>896</v>
      </c>
      <c r="P2238" s="2" t="s">
        <v>73</v>
      </c>
      <c r="Q2238" s="2" t="s">
        <v>833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9"/>
        <v>0.45165454545454548</v>
      </c>
      <c r="Z2238" s="2" t="s">
        <v>3231</v>
      </c>
      <c r="AA2238" s="2" t="s">
        <v>76</v>
      </c>
      <c r="AB2238" s="2" t="s">
        <v>77</v>
      </c>
      <c r="AC2238" s="2" t="s">
        <v>78</v>
      </c>
      <c r="AF2238" s="2">
        <f t="shared" si="256"/>
        <v>0</v>
      </c>
      <c r="AG2238" s="2">
        <v>120.636</v>
      </c>
      <c r="AH2238" s="2">
        <v>220</v>
      </c>
      <c r="AJ2238" s="2">
        <f t="shared" si="257"/>
        <v>0</v>
      </c>
      <c r="AK2238" s="2">
        <f t="shared" si="258"/>
        <v>99.364000000000004</v>
      </c>
      <c r="AL2238" s="5">
        <f t="shared" si="260"/>
        <v>0.45165454545454548</v>
      </c>
    </row>
    <row r="2239" spans="1:38" hidden="1" x14ac:dyDescent="0.2">
      <c r="A2239" s="2">
        <v>2025</v>
      </c>
      <c r="B2239" s="2">
        <v>11</v>
      </c>
      <c r="D2239" s="2" t="s">
        <v>896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9"/>
        <v>0</v>
      </c>
      <c r="Z2239" s="2" t="s">
        <v>3231</v>
      </c>
      <c r="AA2239" s="2" t="s">
        <v>97</v>
      </c>
      <c r="AB2239" s="2" t="s">
        <v>77</v>
      </c>
      <c r="AC2239" s="2" t="s">
        <v>94</v>
      </c>
      <c r="AF2239" s="2">
        <f t="shared" si="256"/>
        <v>0</v>
      </c>
      <c r="AJ2239" s="2">
        <f t="shared" si="257"/>
        <v>0</v>
      </c>
      <c r="AK2239" s="2">
        <f t="shared" si="258"/>
        <v>0</v>
      </c>
      <c r="AL2239" s="5">
        <f t="shared" si="260"/>
        <v>0</v>
      </c>
    </row>
    <row r="2240" spans="1:38" hidden="1" x14ac:dyDescent="0.2">
      <c r="A2240" s="2">
        <v>2025</v>
      </c>
      <c r="B2240" s="2">
        <v>11</v>
      </c>
      <c r="D2240" s="2" t="s">
        <v>1094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9"/>
        <v>0.23666666666666661</v>
      </c>
      <c r="Z2240" s="2" t="s">
        <v>3231</v>
      </c>
      <c r="AA2240" s="2" t="s">
        <v>46</v>
      </c>
      <c r="AB2240" s="2" t="s">
        <v>61</v>
      </c>
      <c r="AC2240" s="2" t="s">
        <v>58</v>
      </c>
      <c r="AF2240" s="2">
        <f t="shared" si="256"/>
        <v>0</v>
      </c>
      <c r="AG2240" s="2">
        <v>1.8320000000000001</v>
      </c>
      <c r="AH2240" s="2">
        <v>2.4</v>
      </c>
      <c r="AJ2240" s="2">
        <f t="shared" si="257"/>
        <v>0</v>
      </c>
      <c r="AK2240" s="2">
        <f t="shared" si="258"/>
        <v>2.2719999999999994</v>
      </c>
      <c r="AL2240" s="5">
        <f t="shared" si="260"/>
        <v>0.23666666666666661</v>
      </c>
    </row>
    <row r="2241" spans="1:38" hidden="1" x14ac:dyDescent="0.2">
      <c r="A2241" s="2">
        <v>2025</v>
      </c>
      <c r="B2241" s="2">
        <v>11</v>
      </c>
      <c r="D2241" s="2" t="s">
        <v>1094</v>
      </c>
      <c r="P2241" s="2" t="s">
        <v>85</v>
      </c>
      <c r="Q2241" s="2" t="s">
        <v>2071</v>
      </c>
      <c r="R2241" s="2" t="s">
        <v>2072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9"/>
        <v>1</v>
      </c>
      <c r="Z2241" s="2" t="s">
        <v>3231</v>
      </c>
      <c r="AA2241" s="2" t="s">
        <v>88</v>
      </c>
      <c r="AB2241" s="2" t="s">
        <v>91</v>
      </c>
      <c r="AC2241" s="2" t="s">
        <v>85</v>
      </c>
      <c r="AF2241" s="2">
        <f t="shared" si="256"/>
        <v>0</v>
      </c>
      <c r="AJ2241" s="2">
        <f t="shared" si="257"/>
        <v>0</v>
      </c>
      <c r="AK2241" s="2">
        <f t="shared" si="258"/>
        <v>9.8000000000000007</v>
      </c>
      <c r="AL2241" s="5">
        <f t="shared" si="260"/>
        <v>1</v>
      </c>
    </row>
    <row r="2242" spans="1:38" hidden="1" x14ac:dyDescent="0.2">
      <c r="A2242" s="2">
        <v>2025</v>
      </c>
      <c r="B2242" s="2">
        <v>11</v>
      </c>
      <c r="D2242" s="2" t="s">
        <v>1292</v>
      </c>
      <c r="P2242" s="2" t="s">
        <v>115</v>
      </c>
      <c r="Q2242" s="2" t="s">
        <v>1216</v>
      </c>
      <c r="R2242" s="2" t="s">
        <v>1217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9"/>
        <v>1</v>
      </c>
      <c r="AF2242" s="2">
        <f t="shared" si="256"/>
        <v>0</v>
      </c>
      <c r="AJ2242" s="2">
        <f t="shared" si="257"/>
        <v>0</v>
      </c>
      <c r="AK2242" s="2">
        <f t="shared" si="258"/>
        <v>49.71</v>
      </c>
      <c r="AL2242" s="5">
        <f t="shared" si="260"/>
        <v>1</v>
      </c>
    </row>
    <row r="2243" spans="1:38" hidden="1" x14ac:dyDescent="0.2">
      <c r="A2243" s="2">
        <v>2025</v>
      </c>
      <c r="B2243" s="2">
        <v>11</v>
      </c>
      <c r="D2243" s="2" t="s">
        <v>1292</v>
      </c>
      <c r="P2243" s="2" t="s">
        <v>69</v>
      </c>
      <c r="Q2243" s="2" t="s">
        <v>2073</v>
      </c>
      <c r="R2243" s="2" t="s">
        <v>2074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9"/>
        <v>1</v>
      </c>
      <c r="Z2243" s="2" t="s">
        <v>105</v>
      </c>
      <c r="AC2243" s="2" t="s">
        <v>3235</v>
      </c>
      <c r="AF2243" s="2">
        <f t="shared" ref="AF2243:AF2306" si="261">AJ2243</f>
        <v>0</v>
      </c>
      <c r="AJ2243" s="2">
        <f t="shared" ref="AJ2243:AJ2306" si="262">AI2243*T2243</f>
        <v>0</v>
      </c>
      <c r="AK2243" s="2">
        <f t="shared" ref="AK2243:AK2306" si="263">T2243-W2243</f>
        <v>2700</v>
      </c>
      <c r="AL2243" s="5">
        <f t="shared" si="260"/>
        <v>1</v>
      </c>
    </row>
    <row r="2244" spans="1:38" hidden="1" x14ac:dyDescent="0.2">
      <c r="A2244" s="2">
        <v>2025</v>
      </c>
      <c r="B2244" s="2">
        <v>11</v>
      </c>
      <c r="D2244" s="2" t="s">
        <v>1946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9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61"/>
        <v>0</v>
      </c>
      <c r="AJ2244" s="2">
        <f t="shared" si="262"/>
        <v>0</v>
      </c>
      <c r="AK2244" s="2">
        <f t="shared" si="263"/>
        <v>18.917999999999999</v>
      </c>
      <c r="AL2244" s="5">
        <f t="shared" si="260"/>
        <v>0.45085795996186839</v>
      </c>
    </row>
    <row r="2245" spans="1:38" hidden="1" x14ac:dyDescent="0.2">
      <c r="A2245" s="2">
        <v>2025</v>
      </c>
      <c r="B2245" s="2">
        <v>11</v>
      </c>
      <c r="D2245" s="2" t="s">
        <v>1946</v>
      </c>
      <c r="P2245" s="2" t="s">
        <v>115</v>
      </c>
      <c r="Q2245" s="2" t="s">
        <v>1334</v>
      </c>
      <c r="R2245" s="2" t="s">
        <v>1335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9"/>
        <v>1</v>
      </c>
      <c r="Z2245" s="2" t="s">
        <v>118</v>
      </c>
      <c r="AF2245" s="2">
        <f t="shared" si="261"/>
        <v>0</v>
      </c>
      <c r="AJ2245" s="2">
        <f t="shared" si="262"/>
        <v>0</v>
      </c>
      <c r="AK2245" s="2">
        <f t="shared" si="263"/>
        <v>60.1</v>
      </c>
      <c r="AL2245" s="5">
        <f t="shared" si="260"/>
        <v>1</v>
      </c>
    </row>
    <row r="2246" spans="1:38" hidden="1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9"/>
        <v>0.21904761904761905</v>
      </c>
      <c r="Z2246" s="2" t="s">
        <v>3231</v>
      </c>
      <c r="AA2246" s="2" t="s">
        <v>46</v>
      </c>
      <c r="AB2246" s="2" t="s">
        <v>61</v>
      </c>
      <c r="AC2246" s="2" t="s">
        <v>58</v>
      </c>
      <c r="AF2246" s="2">
        <f t="shared" si="261"/>
        <v>0</v>
      </c>
      <c r="AG2246" s="2">
        <v>8.1999999999999993</v>
      </c>
      <c r="AH2246" s="2">
        <v>13</v>
      </c>
      <c r="AJ2246" s="2">
        <f t="shared" si="262"/>
        <v>0</v>
      </c>
      <c r="AK2246" s="2">
        <f t="shared" si="263"/>
        <v>23</v>
      </c>
      <c r="AL2246" s="5">
        <f t="shared" si="260"/>
        <v>0.21904761904761905</v>
      </c>
    </row>
    <row r="2247" spans="1:38" hidden="1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9"/>
        <v>0.5243888888888889</v>
      </c>
      <c r="Z2247" s="2" t="s">
        <v>3231</v>
      </c>
      <c r="AA2247" s="2" t="s">
        <v>46</v>
      </c>
      <c r="AB2247" s="2" t="s">
        <v>61</v>
      </c>
      <c r="AC2247" s="2" t="s">
        <v>58</v>
      </c>
      <c r="AF2247" s="2">
        <f t="shared" si="261"/>
        <v>0</v>
      </c>
      <c r="AG2247" s="2">
        <v>0.85609999999999997</v>
      </c>
      <c r="AH2247" s="2">
        <v>1.8</v>
      </c>
      <c r="AJ2247" s="2">
        <f t="shared" si="262"/>
        <v>0</v>
      </c>
      <c r="AK2247" s="2">
        <f t="shared" si="263"/>
        <v>18.878</v>
      </c>
      <c r="AL2247" s="5">
        <f t="shared" si="260"/>
        <v>0.5243888888888889</v>
      </c>
    </row>
    <row r="2248" spans="1:38" hidden="1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259"/>
        <v>0.46722222222222232</v>
      </c>
      <c r="Z2248" s="2" t="s">
        <v>3231</v>
      </c>
      <c r="AA2248" s="2" t="s">
        <v>46</v>
      </c>
      <c r="AB2248" s="2" t="s">
        <v>61</v>
      </c>
      <c r="AC2248" s="2" t="s">
        <v>58</v>
      </c>
      <c r="AF2248" s="2">
        <f t="shared" si="261"/>
        <v>0</v>
      </c>
      <c r="AJ2248" s="2">
        <f t="shared" si="262"/>
        <v>0</v>
      </c>
      <c r="AK2248" s="2">
        <f t="shared" si="263"/>
        <v>5.0460000000000012</v>
      </c>
      <c r="AL2248" s="5">
        <f t="shared" si="260"/>
        <v>0.46722222222222232</v>
      </c>
    </row>
    <row r="2249" spans="1:38" hidden="1" x14ac:dyDescent="0.2">
      <c r="A2249" s="2">
        <v>2025</v>
      </c>
      <c r="B2249" s="2">
        <v>11</v>
      </c>
      <c r="D2249" s="2" t="s">
        <v>2075</v>
      </c>
      <c r="P2249" s="2" t="s">
        <v>115</v>
      </c>
      <c r="Q2249" s="2" t="s">
        <v>1889</v>
      </c>
      <c r="R2249" s="2" t="s">
        <v>1890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9"/>
        <v>1</v>
      </c>
      <c r="Z2249" s="2" t="s">
        <v>105</v>
      </c>
      <c r="AF2249" s="2">
        <f t="shared" si="261"/>
        <v>0</v>
      </c>
      <c r="AJ2249" s="2">
        <f t="shared" si="262"/>
        <v>0</v>
      </c>
      <c r="AK2249" s="2">
        <f t="shared" si="263"/>
        <v>6670</v>
      </c>
      <c r="AL2249" s="5">
        <f t="shared" si="260"/>
        <v>1</v>
      </c>
    </row>
    <row r="2250" spans="1:38" hidden="1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1077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9"/>
        <v>0.35772946859903387</v>
      </c>
      <c r="Z2250" s="2" t="s">
        <v>3231</v>
      </c>
      <c r="AA2250" s="2" t="s">
        <v>76</v>
      </c>
      <c r="AB2250" s="2" t="s">
        <v>77</v>
      </c>
      <c r="AC2250" s="2" t="s">
        <v>78</v>
      </c>
      <c r="AF2250" s="2">
        <f t="shared" si="261"/>
        <v>0</v>
      </c>
      <c r="AG2250" s="2">
        <f>144.14+15.4</f>
        <v>159.54</v>
      </c>
      <c r="AH2250" s="2">
        <v>280</v>
      </c>
      <c r="AJ2250" s="2">
        <f t="shared" si="262"/>
        <v>0</v>
      </c>
      <c r="AK2250" s="2">
        <f t="shared" si="263"/>
        <v>88.860000000000014</v>
      </c>
      <c r="AL2250" s="5">
        <f t="shared" si="260"/>
        <v>0.35772946859903387</v>
      </c>
    </row>
    <row r="2251" spans="1:38" hidden="1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9"/>
        <v>0</v>
      </c>
      <c r="Z2251" s="2" t="s">
        <v>3231</v>
      </c>
      <c r="AA2251" s="2" t="s">
        <v>97</v>
      </c>
      <c r="AB2251" s="2" t="s">
        <v>77</v>
      </c>
      <c r="AC2251" s="2" t="s">
        <v>94</v>
      </c>
      <c r="AF2251" s="2">
        <f t="shared" si="261"/>
        <v>0</v>
      </c>
      <c r="AJ2251" s="2">
        <f t="shared" si="262"/>
        <v>0</v>
      </c>
      <c r="AK2251" s="2">
        <f t="shared" si="263"/>
        <v>0</v>
      </c>
      <c r="AL2251" s="5">
        <f t="shared" si="260"/>
        <v>0</v>
      </c>
    </row>
    <row r="2252" spans="1:38" hidden="1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9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61"/>
        <v>0</v>
      </c>
      <c r="AJ2252" s="2">
        <f t="shared" si="262"/>
        <v>0</v>
      </c>
      <c r="AK2252" s="2">
        <f t="shared" si="263"/>
        <v>25.908000000000001</v>
      </c>
      <c r="AL2252" s="5">
        <f t="shared" si="260"/>
        <v>0.52927477017364655</v>
      </c>
    </row>
    <row r="2253" spans="1:38" hidden="1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9"/>
        <v>0.44819791666666664</v>
      </c>
      <c r="Z2253" s="2" t="s">
        <v>3231</v>
      </c>
      <c r="AA2253" s="2" t="s">
        <v>46</v>
      </c>
      <c r="AB2253" s="2" t="s">
        <v>47</v>
      </c>
      <c r="AC2253" s="2" t="s">
        <v>48</v>
      </c>
      <c r="AF2253" s="2">
        <f t="shared" si="261"/>
        <v>0</v>
      </c>
      <c r="AG2253" s="2">
        <v>5.2972999999999999</v>
      </c>
      <c r="AH2253" s="2">
        <v>10.8</v>
      </c>
      <c r="AJ2253" s="2">
        <f t="shared" si="262"/>
        <v>0</v>
      </c>
      <c r="AK2253" s="2">
        <f t="shared" si="263"/>
        <v>4.3026999999999997</v>
      </c>
      <c r="AL2253" s="5">
        <f t="shared" si="260"/>
        <v>0.44819791666666664</v>
      </c>
    </row>
    <row r="2254" spans="1:38" hidden="1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9"/>
        <v>0.24285714285714285</v>
      </c>
      <c r="Z2254" s="2" t="s">
        <v>3231</v>
      </c>
      <c r="AA2254" s="2" t="s">
        <v>46</v>
      </c>
      <c r="AB2254" s="2" t="s">
        <v>57</v>
      </c>
      <c r="AC2254" s="2" t="s">
        <v>58</v>
      </c>
      <c r="AF2254" s="2">
        <f t="shared" si="261"/>
        <v>0</v>
      </c>
      <c r="AG2254" s="2">
        <v>10.6</v>
      </c>
      <c r="AH2254" s="2">
        <v>18</v>
      </c>
      <c r="AJ2254" s="2">
        <f t="shared" si="262"/>
        <v>0</v>
      </c>
      <c r="AK2254" s="2">
        <f t="shared" si="263"/>
        <v>34</v>
      </c>
      <c r="AL2254" s="5">
        <f t="shared" si="260"/>
        <v>0.24285714285714285</v>
      </c>
    </row>
    <row r="2255" spans="1:38" hidden="1" x14ac:dyDescent="0.2">
      <c r="A2255" s="2">
        <v>2025</v>
      </c>
      <c r="B2255" s="2">
        <v>11</v>
      </c>
      <c r="D2255" s="2" t="s">
        <v>2076</v>
      </c>
      <c r="P2255" s="2" t="s">
        <v>283</v>
      </c>
      <c r="Q2255" s="2" t="s">
        <v>1783</v>
      </c>
      <c r="R2255" s="2" t="s">
        <v>1784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9"/>
        <v>1</v>
      </c>
      <c r="Z2255" s="2" t="s">
        <v>105</v>
      </c>
      <c r="AF2255" s="2">
        <f t="shared" si="261"/>
        <v>0</v>
      </c>
      <c r="AJ2255" s="2">
        <f t="shared" si="262"/>
        <v>0</v>
      </c>
      <c r="AK2255" s="2">
        <f t="shared" si="263"/>
        <v>2190</v>
      </c>
      <c r="AL2255" s="5">
        <f t="shared" si="260"/>
        <v>1</v>
      </c>
    </row>
    <row r="2256" spans="1:38" hidden="1" x14ac:dyDescent="0.2">
      <c r="A2256" s="2">
        <v>2025</v>
      </c>
      <c r="B2256" s="2">
        <v>11</v>
      </c>
      <c r="D2256" s="2" t="s">
        <v>900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901</v>
      </c>
      <c r="K2256" s="2">
        <v>912047019</v>
      </c>
      <c r="L2256" s="2" t="s">
        <v>100</v>
      </c>
      <c r="M2256" s="2" t="s">
        <v>81</v>
      </c>
      <c r="O2256" s="2" t="s">
        <v>2077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9"/>
        <v>0.24285714285714285</v>
      </c>
      <c r="Z2256" s="2" t="s">
        <v>3231</v>
      </c>
      <c r="AA2256" s="2" t="s">
        <v>46</v>
      </c>
      <c r="AB2256" s="2" t="s">
        <v>57</v>
      </c>
      <c r="AC2256" s="2" t="s">
        <v>58</v>
      </c>
      <c r="AF2256" s="2">
        <f t="shared" si="261"/>
        <v>0</v>
      </c>
      <c r="AG2256" s="2">
        <v>10.6</v>
      </c>
      <c r="AH2256" s="2">
        <v>18</v>
      </c>
      <c r="AJ2256" s="2">
        <f t="shared" si="262"/>
        <v>0</v>
      </c>
      <c r="AK2256" s="2">
        <f t="shared" si="263"/>
        <v>34</v>
      </c>
      <c r="AL2256" s="5">
        <f t="shared" si="260"/>
        <v>0.24285714285714285</v>
      </c>
    </row>
    <row r="2257" spans="1:38" hidden="1" x14ac:dyDescent="0.2">
      <c r="A2257" s="2">
        <v>2025</v>
      </c>
      <c r="B2257" s="2">
        <v>11</v>
      </c>
      <c r="D2257" s="2" t="s">
        <v>900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901</v>
      </c>
      <c r="K2257" s="2">
        <v>912047019</v>
      </c>
      <c r="L2257" s="2" t="s">
        <v>100</v>
      </c>
      <c r="M2257" s="2" t="s">
        <v>81</v>
      </c>
      <c r="O2257" s="2" t="s">
        <v>2077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9"/>
        <v>0.21904761904761905</v>
      </c>
      <c r="Z2257" s="2" t="s">
        <v>3231</v>
      </c>
      <c r="AA2257" s="2" t="s">
        <v>46</v>
      </c>
      <c r="AB2257" s="2" t="s">
        <v>61</v>
      </c>
      <c r="AC2257" s="2" t="s">
        <v>58</v>
      </c>
      <c r="AF2257" s="2">
        <f t="shared" si="261"/>
        <v>0</v>
      </c>
      <c r="AG2257" s="2">
        <v>8.1999999999999993</v>
      </c>
      <c r="AH2257" s="2">
        <v>13</v>
      </c>
      <c r="AJ2257" s="2">
        <f t="shared" si="262"/>
        <v>0</v>
      </c>
      <c r="AK2257" s="2">
        <f t="shared" si="263"/>
        <v>23</v>
      </c>
      <c r="AL2257" s="5">
        <f t="shared" si="260"/>
        <v>0.21904761904761905</v>
      </c>
    </row>
    <row r="2258" spans="1:38" hidden="1" x14ac:dyDescent="0.2">
      <c r="A2258" s="2">
        <v>2025</v>
      </c>
      <c r="B2258" s="2">
        <v>11</v>
      </c>
      <c r="D2258" s="2" t="s">
        <v>900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901</v>
      </c>
      <c r="K2258" s="2">
        <v>912047019</v>
      </c>
      <c r="L2258" s="2" t="s">
        <v>100</v>
      </c>
      <c r="M2258" s="2" t="s">
        <v>81</v>
      </c>
      <c r="O2258" s="2" t="s">
        <v>2077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9"/>
        <v>1</v>
      </c>
      <c r="Z2258" s="2" t="s">
        <v>3231</v>
      </c>
      <c r="AA2258" s="2" t="s">
        <v>46</v>
      </c>
      <c r="AB2258" s="2" t="s">
        <v>47</v>
      </c>
      <c r="AC2258" s="2" t="s">
        <v>48</v>
      </c>
      <c r="AF2258" s="2">
        <f t="shared" si="261"/>
        <v>0</v>
      </c>
      <c r="AJ2258" s="2">
        <f t="shared" si="262"/>
        <v>0</v>
      </c>
      <c r="AK2258" s="2">
        <f t="shared" si="263"/>
        <v>21</v>
      </c>
      <c r="AL2258" s="5">
        <f t="shared" si="260"/>
        <v>1</v>
      </c>
    </row>
    <row r="2259" spans="1:38" hidden="1" x14ac:dyDescent="0.2">
      <c r="A2259" s="2">
        <v>2025</v>
      </c>
      <c r="B2259" s="2">
        <v>11</v>
      </c>
      <c r="D2259" s="2" t="s">
        <v>1297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1298</v>
      </c>
      <c r="L2259" s="2" t="s">
        <v>340</v>
      </c>
      <c r="P2259" s="2" t="s">
        <v>73</v>
      </c>
      <c r="Q2259" s="2" t="s">
        <v>1450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3231</v>
      </c>
      <c r="AA2259" s="2" t="s">
        <v>76</v>
      </c>
      <c r="AB2259" s="2" t="s">
        <v>77</v>
      </c>
      <c r="AC2259" s="2" t="s">
        <v>78</v>
      </c>
      <c r="AF2259" s="2">
        <f t="shared" si="261"/>
        <v>0</v>
      </c>
      <c r="AJ2259" s="2">
        <f t="shared" si="262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hidden="1" x14ac:dyDescent="0.2">
      <c r="A2260" s="2">
        <v>2025</v>
      </c>
      <c r="B2260" s="2">
        <v>11</v>
      </c>
      <c r="D2260" s="2" t="s">
        <v>1297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1298</v>
      </c>
      <c r="L2260" s="2" t="s">
        <v>340</v>
      </c>
      <c r="M2260" s="2" t="s">
        <v>81</v>
      </c>
      <c r="O2260" s="2" t="s">
        <v>3207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4">(T2260-W2260)/T2260</f>
        <v>0.45027000490918012</v>
      </c>
      <c r="Z2260" s="2" t="s">
        <v>3231</v>
      </c>
      <c r="AA2260" s="2" t="s">
        <v>76</v>
      </c>
      <c r="AB2260" s="2" t="s">
        <v>77</v>
      </c>
      <c r="AC2260" s="2" t="s">
        <v>78</v>
      </c>
      <c r="AF2260" s="2">
        <f t="shared" si="261"/>
        <v>0</v>
      </c>
      <c r="AG2260" s="2">
        <v>111.98</v>
      </c>
      <c r="AH2260" s="2">
        <v>210</v>
      </c>
      <c r="AJ2260" s="2">
        <f t="shared" si="262"/>
        <v>0</v>
      </c>
      <c r="AK2260" s="2">
        <f t="shared" si="263"/>
        <v>91.719999999999985</v>
      </c>
      <c r="AL2260" s="5">
        <f t="shared" si="260"/>
        <v>0.45027000490918012</v>
      </c>
    </row>
    <row r="2261" spans="1:38" hidden="1" x14ac:dyDescent="0.2">
      <c r="A2261" s="2">
        <v>2025</v>
      </c>
      <c r="B2261" s="2">
        <v>11</v>
      </c>
      <c r="D2261" s="2" t="s">
        <v>1297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1298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3231</v>
      </c>
      <c r="AA2261" s="2" t="s">
        <v>97</v>
      </c>
      <c r="AB2261" s="2" t="s">
        <v>77</v>
      </c>
      <c r="AC2261" s="2" t="s">
        <v>94</v>
      </c>
      <c r="AF2261" s="2">
        <f t="shared" si="261"/>
        <v>0</v>
      </c>
      <c r="AJ2261" s="2">
        <f t="shared" si="262"/>
        <v>0</v>
      </c>
      <c r="AK2261" s="2">
        <f t="shared" si="263"/>
        <v>0</v>
      </c>
      <c r="AL2261" s="5" t="e">
        <f t="shared" si="260"/>
        <v>#DIV/0!</v>
      </c>
    </row>
    <row r="2262" spans="1:38" hidden="1" x14ac:dyDescent="0.2">
      <c r="A2262" s="2">
        <v>2025</v>
      </c>
      <c r="B2262" s="2">
        <v>11</v>
      </c>
      <c r="D2262" s="2" t="s">
        <v>1115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1116</v>
      </c>
      <c r="J2262" s="2" t="s">
        <v>1117</v>
      </c>
      <c r="K2262" s="2">
        <v>914550474</v>
      </c>
      <c r="L2262" s="2" t="s">
        <v>100</v>
      </c>
      <c r="M2262" s="2" t="s">
        <v>81</v>
      </c>
      <c r="O2262" s="2" t="s">
        <v>2078</v>
      </c>
      <c r="P2262" s="2" t="s">
        <v>85</v>
      </c>
      <c r="Q2262" s="2" t="s">
        <v>1797</v>
      </c>
      <c r="R2262" s="2" t="s">
        <v>1798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4"/>
        <v>0.96419999999999995</v>
      </c>
      <c r="Z2262" s="2" t="s">
        <v>3231</v>
      </c>
      <c r="AA2262" s="2" t="s">
        <v>88</v>
      </c>
      <c r="AB2262" s="2" t="s">
        <v>91</v>
      </c>
      <c r="AC2262" s="2" t="s">
        <v>85</v>
      </c>
      <c r="AF2262" s="2">
        <f t="shared" si="261"/>
        <v>0</v>
      </c>
      <c r="AJ2262" s="2">
        <f t="shared" si="262"/>
        <v>0</v>
      </c>
      <c r="AK2262" s="2">
        <f t="shared" si="263"/>
        <v>9.6419999999999995</v>
      </c>
      <c r="AL2262" s="5">
        <f t="shared" si="260"/>
        <v>0.96419999999999995</v>
      </c>
    </row>
    <row r="2263" spans="1:38" hidden="1" x14ac:dyDescent="0.2">
      <c r="A2263" s="2">
        <v>2025</v>
      </c>
      <c r="B2263" s="2">
        <v>11</v>
      </c>
      <c r="D2263" s="2" t="s">
        <v>1115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1116</v>
      </c>
      <c r="J2263" s="2" t="s">
        <v>1117</v>
      </c>
      <c r="K2263" s="2">
        <v>914550474</v>
      </c>
      <c r="L2263" s="2" t="s">
        <v>100</v>
      </c>
      <c r="M2263" s="2" t="s">
        <v>81</v>
      </c>
      <c r="O2263" s="2" t="s">
        <v>2079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4"/>
        <v>0.31399999999999995</v>
      </c>
      <c r="Z2263" s="2" t="s">
        <v>3231</v>
      </c>
      <c r="AA2263" s="2" t="s">
        <v>88</v>
      </c>
      <c r="AB2263" s="2" t="s">
        <v>91</v>
      </c>
      <c r="AC2263" s="2" t="s">
        <v>85</v>
      </c>
      <c r="AF2263" s="2">
        <f t="shared" si="261"/>
        <v>0</v>
      </c>
      <c r="AJ2263" s="2">
        <f t="shared" si="262"/>
        <v>0</v>
      </c>
      <c r="AK2263" s="2">
        <f t="shared" si="263"/>
        <v>3.1399999999999997</v>
      </c>
      <c r="AL2263" s="5">
        <f t="shared" si="260"/>
        <v>0.31399999999999995</v>
      </c>
    </row>
    <row r="2264" spans="1:38" hidden="1" x14ac:dyDescent="0.2">
      <c r="A2264" s="2">
        <v>2025</v>
      </c>
      <c r="B2264" s="2">
        <v>11</v>
      </c>
      <c r="D2264" s="2" t="s">
        <v>625</v>
      </c>
      <c r="E2264" s="2" t="s">
        <v>38</v>
      </c>
      <c r="F2264" s="2" t="s">
        <v>39</v>
      </c>
      <c r="G2264" s="2" t="s">
        <v>626</v>
      </c>
      <c r="H2264" s="2" t="s">
        <v>40</v>
      </c>
      <c r="I2264" s="2" t="s">
        <v>627</v>
      </c>
      <c r="J2264" s="2" t="s">
        <v>628</v>
      </c>
      <c r="L2264" s="2" t="s">
        <v>627</v>
      </c>
      <c r="M2264" s="2" t="s">
        <v>40</v>
      </c>
      <c r="P2264" s="2" t="s">
        <v>115</v>
      </c>
      <c r="Q2264" s="2" t="s">
        <v>2080</v>
      </c>
      <c r="R2264" s="2" t="s">
        <v>2081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264"/>
        <v>0.38318976768467772</v>
      </c>
      <c r="Z2264" s="2" t="s">
        <v>118</v>
      </c>
      <c r="AA2264" s="2" t="s">
        <v>119</v>
      </c>
      <c r="AB2264" s="2" t="s">
        <v>120</v>
      </c>
      <c r="AC2264" s="2" t="s">
        <v>115</v>
      </c>
      <c r="AF2264" s="2">
        <f t="shared" si="261"/>
        <v>0</v>
      </c>
      <c r="AJ2264" s="2">
        <f t="shared" si="262"/>
        <v>0</v>
      </c>
      <c r="AK2264" s="2">
        <f t="shared" si="263"/>
        <v>29.360000000000007</v>
      </c>
      <c r="AL2264" s="5">
        <f t="shared" si="260"/>
        <v>0.38318976768467772</v>
      </c>
    </row>
    <row r="2265" spans="1:38" hidden="1" x14ac:dyDescent="0.2">
      <c r="A2265" s="2">
        <v>2025</v>
      </c>
      <c r="B2265" s="2">
        <v>11</v>
      </c>
      <c r="D2265" s="2" t="s">
        <v>1663</v>
      </c>
      <c r="P2265" s="2" t="s">
        <v>115</v>
      </c>
      <c r="Q2265" s="2" t="s">
        <v>1883</v>
      </c>
      <c r="R2265" s="2" t="s">
        <v>1884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4"/>
        <v>1</v>
      </c>
      <c r="Z2265" s="2" t="s">
        <v>118</v>
      </c>
      <c r="AF2265" s="2">
        <f t="shared" si="261"/>
        <v>0</v>
      </c>
      <c r="AJ2265" s="2">
        <f t="shared" si="262"/>
        <v>0</v>
      </c>
      <c r="AK2265" s="2">
        <f t="shared" si="263"/>
        <v>1066.25</v>
      </c>
      <c r="AL2265" s="5">
        <f t="shared" si="260"/>
        <v>1</v>
      </c>
    </row>
    <row r="2266" spans="1:38" hidden="1" x14ac:dyDescent="0.2">
      <c r="A2266" s="2">
        <v>2025</v>
      </c>
      <c r="B2266" s="2">
        <v>11</v>
      </c>
      <c r="D2266" s="2" t="s">
        <v>1663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4"/>
        <v>0.6</v>
      </c>
      <c r="Z2266" s="2" t="s">
        <v>118</v>
      </c>
      <c r="AA2266" s="2" t="s">
        <v>191</v>
      </c>
      <c r="AB2266" s="2" t="s">
        <v>190</v>
      </c>
      <c r="AC2266" s="2" t="s">
        <v>40</v>
      </c>
      <c r="AF2266" s="2">
        <f t="shared" si="261"/>
        <v>0</v>
      </c>
      <c r="AJ2266" s="2">
        <f t="shared" si="262"/>
        <v>0</v>
      </c>
      <c r="AK2266" s="2">
        <f t="shared" si="263"/>
        <v>30</v>
      </c>
      <c r="AL2266" s="5">
        <f t="shared" si="260"/>
        <v>0.6</v>
      </c>
    </row>
    <row r="2267" spans="1:38" hidden="1" x14ac:dyDescent="0.2">
      <c r="A2267" s="2">
        <v>2025</v>
      </c>
      <c r="B2267" s="2">
        <v>11</v>
      </c>
      <c r="D2267" s="2" t="s">
        <v>1663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4"/>
        <v>0.5</v>
      </c>
      <c r="Z2267" s="2" t="s">
        <v>118</v>
      </c>
      <c r="AA2267" s="2" t="s">
        <v>191</v>
      </c>
      <c r="AB2267" s="2" t="s">
        <v>191</v>
      </c>
      <c r="AC2267" s="2" t="s">
        <v>40</v>
      </c>
      <c r="AF2267" s="2">
        <f t="shared" si="261"/>
        <v>0</v>
      </c>
      <c r="AJ2267" s="2">
        <f t="shared" si="262"/>
        <v>0</v>
      </c>
      <c r="AK2267" s="2">
        <f t="shared" si="263"/>
        <v>25</v>
      </c>
      <c r="AL2267" s="5">
        <f t="shared" si="260"/>
        <v>0.5</v>
      </c>
    </row>
    <row r="2268" spans="1:38" hidden="1" x14ac:dyDescent="0.2">
      <c r="A2268" s="2">
        <v>2025</v>
      </c>
      <c r="B2268" s="2">
        <v>11</v>
      </c>
      <c r="D2268" s="2" t="s">
        <v>2082</v>
      </c>
      <c r="P2268" s="2" t="s">
        <v>69</v>
      </c>
      <c r="Q2268" s="2" t="s">
        <v>2083</v>
      </c>
      <c r="R2268" s="2" t="s">
        <v>2084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4"/>
        <v>0.5</v>
      </c>
      <c r="Z2268" s="2" t="s">
        <v>105</v>
      </c>
      <c r="AC2268" s="2" t="s">
        <v>3235</v>
      </c>
      <c r="AF2268" s="2">
        <f t="shared" si="261"/>
        <v>0</v>
      </c>
      <c r="AJ2268" s="2">
        <f t="shared" si="262"/>
        <v>0</v>
      </c>
      <c r="AK2268" s="2">
        <f t="shared" si="263"/>
        <v>1174.7950000000001</v>
      </c>
      <c r="AL2268" s="5">
        <f t="shared" si="260"/>
        <v>0.5</v>
      </c>
    </row>
    <row r="2269" spans="1:38" hidden="1" x14ac:dyDescent="0.2">
      <c r="A2269" s="2">
        <v>2025</v>
      </c>
      <c r="B2269" s="2">
        <v>11</v>
      </c>
      <c r="D2269" s="2" t="s">
        <v>644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645</v>
      </c>
      <c r="J2269" s="2" t="s">
        <v>646</v>
      </c>
      <c r="K2269" s="2">
        <v>964495536</v>
      </c>
      <c r="L2269" s="2" t="s">
        <v>113</v>
      </c>
      <c r="P2269" s="2" t="s">
        <v>115</v>
      </c>
      <c r="Q2269" s="2" t="s">
        <v>980</v>
      </c>
      <c r="R2269" s="2" t="s">
        <v>981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4"/>
        <v>1</v>
      </c>
      <c r="AF2269" s="2">
        <f t="shared" si="261"/>
        <v>0</v>
      </c>
      <c r="AJ2269" s="2">
        <f t="shared" si="262"/>
        <v>0</v>
      </c>
      <c r="AK2269" s="2">
        <f t="shared" si="263"/>
        <v>79.819999999999993</v>
      </c>
      <c r="AL2269" s="5">
        <f t="shared" si="260"/>
        <v>1</v>
      </c>
    </row>
    <row r="2270" spans="1:38" hidden="1" x14ac:dyDescent="0.2">
      <c r="A2270" s="2">
        <v>2025</v>
      </c>
      <c r="B2270" s="2">
        <v>11</v>
      </c>
      <c r="D2270" s="2" t="s">
        <v>644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645</v>
      </c>
      <c r="J2270" s="2" t="s">
        <v>646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4"/>
        <v>0.21904761904761905</v>
      </c>
      <c r="Z2270" s="2" t="s">
        <v>3231</v>
      </c>
      <c r="AA2270" s="2" t="s">
        <v>46</v>
      </c>
      <c r="AB2270" s="2" t="s">
        <v>61</v>
      </c>
      <c r="AC2270" s="2" t="s">
        <v>58</v>
      </c>
      <c r="AF2270" s="2">
        <f t="shared" si="261"/>
        <v>0</v>
      </c>
      <c r="AG2270" s="2">
        <v>8.1999999999999993</v>
      </c>
      <c r="AH2270" s="2">
        <v>13</v>
      </c>
      <c r="AJ2270" s="2">
        <f t="shared" si="262"/>
        <v>0</v>
      </c>
      <c r="AK2270" s="2">
        <f t="shared" si="263"/>
        <v>23</v>
      </c>
      <c r="AL2270" s="5">
        <f t="shared" si="260"/>
        <v>0.21904761904761905</v>
      </c>
    </row>
    <row r="2271" spans="1:38" hidden="1" x14ac:dyDescent="0.2">
      <c r="A2271" s="2">
        <v>2025</v>
      </c>
      <c r="B2271" s="2">
        <v>11</v>
      </c>
      <c r="D2271" s="2" t="s">
        <v>1972</v>
      </c>
      <c r="P2271" s="2" t="s">
        <v>73</v>
      </c>
      <c r="Q2271" s="2" t="s">
        <v>1074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4"/>
        <v>0.42987499999999995</v>
      </c>
      <c r="Z2271" s="2" t="s">
        <v>3231</v>
      </c>
      <c r="AA2271" s="2" t="s">
        <v>76</v>
      </c>
      <c r="AB2271" s="2" t="s">
        <v>77</v>
      </c>
      <c r="AC2271" s="2" t="s">
        <v>78</v>
      </c>
      <c r="AF2271" s="2">
        <f t="shared" si="261"/>
        <v>0</v>
      </c>
      <c r="AJ2271" s="2">
        <f t="shared" si="262"/>
        <v>0</v>
      </c>
      <c r="AK2271" s="2">
        <f t="shared" si="263"/>
        <v>103.16999999999999</v>
      </c>
      <c r="AL2271" s="5">
        <f t="shared" si="260"/>
        <v>0.42987499999999995</v>
      </c>
    </row>
    <row r="2272" spans="1:38" hidden="1" x14ac:dyDescent="0.2">
      <c r="A2272" s="2">
        <v>2025</v>
      </c>
      <c r="B2272" s="2">
        <v>11</v>
      </c>
      <c r="D2272" s="2" t="s">
        <v>1972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4"/>
        <v>0</v>
      </c>
      <c r="Z2272" s="2" t="s">
        <v>3231</v>
      </c>
      <c r="AA2272" s="2" t="s">
        <v>97</v>
      </c>
      <c r="AB2272" s="2" t="s">
        <v>77</v>
      </c>
      <c r="AC2272" s="2" t="s">
        <v>94</v>
      </c>
      <c r="AF2272" s="2">
        <f t="shared" si="261"/>
        <v>0</v>
      </c>
      <c r="AJ2272" s="2">
        <f t="shared" si="262"/>
        <v>0</v>
      </c>
      <c r="AK2272" s="2">
        <f t="shared" si="263"/>
        <v>0</v>
      </c>
      <c r="AL2272" s="5">
        <f t="shared" si="260"/>
        <v>0</v>
      </c>
    </row>
    <row r="2273" spans="1:38" hidden="1" x14ac:dyDescent="0.2">
      <c r="A2273" s="2">
        <v>2025</v>
      </c>
      <c r="B2273" s="2">
        <v>11</v>
      </c>
      <c r="D2273" s="2" t="s">
        <v>2085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4"/>
        <v>0.6</v>
      </c>
      <c r="Z2273" s="2" t="s">
        <v>118</v>
      </c>
      <c r="AA2273" s="2" t="s">
        <v>191</v>
      </c>
      <c r="AB2273" s="2" t="s">
        <v>190</v>
      </c>
      <c r="AC2273" s="2" t="s">
        <v>40</v>
      </c>
      <c r="AF2273" s="2">
        <f t="shared" si="261"/>
        <v>0</v>
      </c>
      <c r="AJ2273" s="2">
        <f t="shared" si="262"/>
        <v>0</v>
      </c>
      <c r="AK2273" s="2">
        <f t="shared" si="263"/>
        <v>82.8</v>
      </c>
      <c r="AL2273" s="5">
        <f t="shared" si="260"/>
        <v>0.6</v>
      </c>
    </row>
    <row r="2274" spans="1:38" hidden="1" x14ac:dyDescent="0.2">
      <c r="A2274" s="2">
        <v>2025</v>
      </c>
      <c r="B2274" s="2">
        <v>11</v>
      </c>
      <c r="D2274" s="2" t="s">
        <v>2085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4"/>
        <v>0.5</v>
      </c>
      <c r="Z2274" s="2" t="s">
        <v>118</v>
      </c>
      <c r="AA2274" s="2" t="s">
        <v>191</v>
      </c>
      <c r="AB2274" s="2" t="s">
        <v>191</v>
      </c>
      <c r="AC2274" s="2" t="s">
        <v>40</v>
      </c>
      <c r="AF2274" s="2">
        <f t="shared" si="261"/>
        <v>0</v>
      </c>
      <c r="AJ2274" s="2">
        <f t="shared" si="262"/>
        <v>0</v>
      </c>
      <c r="AK2274" s="2">
        <f t="shared" si="263"/>
        <v>50</v>
      </c>
      <c r="AL2274" s="5">
        <f t="shared" si="260"/>
        <v>0.5</v>
      </c>
    </row>
    <row r="2275" spans="1:38" hidden="1" x14ac:dyDescent="0.2">
      <c r="A2275" s="2">
        <v>2025</v>
      </c>
      <c r="B2275" s="2">
        <v>11</v>
      </c>
      <c r="D2275" s="2" t="s">
        <v>1126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2298</v>
      </c>
      <c r="J2275" s="2" t="s">
        <v>2299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4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61"/>
        <v>0</v>
      </c>
      <c r="AJ2275" s="2">
        <f t="shared" si="262"/>
        <v>0</v>
      </c>
      <c r="AK2275" s="2">
        <f t="shared" si="263"/>
        <v>37.835999999999999</v>
      </c>
      <c r="AL2275" s="5">
        <f t="shared" si="260"/>
        <v>0.45085795996186839</v>
      </c>
    </row>
    <row r="2276" spans="1:38" hidden="1" x14ac:dyDescent="0.2">
      <c r="A2276" s="2">
        <v>2025</v>
      </c>
      <c r="B2276" s="2">
        <v>11</v>
      </c>
      <c r="D2276" s="2" t="s">
        <v>2086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4"/>
        <v>0.6</v>
      </c>
      <c r="Z2276" s="2" t="s">
        <v>118</v>
      </c>
      <c r="AA2276" s="2" t="s">
        <v>191</v>
      </c>
      <c r="AB2276" s="2" t="s">
        <v>190</v>
      </c>
      <c r="AC2276" s="2" t="s">
        <v>40</v>
      </c>
      <c r="AF2276" s="2">
        <f t="shared" si="261"/>
        <v>0</v>
      </c>
      <c r="AJ2276" s="2">
        <f t="shared" si="262"/>
        <v>0</v>
      </c>
      <c r="AK2276" s="2">
        <f t="shared" si="263"/>
        <v>30</v>
      </c>
      <c r="AL2276" s="5">
        <f t="shared" si="260"/>
        <v>0.6</v>
      </c>
    </row>
    <row r="2277" spans="1:38" hidden="1" x14ac:dyDescent="0.2">
      <c r="A2277" s="2">
        <v>2025</v>
      </c>
      <c r="B2277" s="2">
        <v>11</v>
      </c>
      <c r="D2277" s="2" t="s">
        <v>2086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4"/>
        <v>0.5</v>
      </c>
      <c r="Z2277" s="2" t="s">
        <v>118</v>
      </c>
      <c r="AA2277" s="2" t="s">
        <v>191</v>
      </c>
      <c r="AB2277" s="2" t="s">
        <v>191</v>
      </c>
      <c r="AC2277" s="2" t="s">
        <v>40</v>
      </c>
      <c r="AF2277" s="2">
        <f t="shared" si="261"/>
        <v>0</v>
      </c>
      <c r="AJ2277" s="2">
        <f t="shared" si="262"/>
        <v>0</v>
      </c>
      <c r="AK2277" s="2">
        <f t="shared" si="263"/>
        <v>25</v>
      </c>
      <c r="AL2277" s="5">
        <f t="shared" si="260"/>
        <v>0.5</v>
      </c>
    </row>
    <row r="2278" spans="1:38" hidden="1" x14ac:dyDescent="0.2">
      <c r="A2278" s="2">
        <v>2025</v>
      </c>
      <c r="B2278" s="2">
        <v>11</v>
      </c>
      <c r="D2278" s="2" t="s">
        <v>930</v>
      </c>
      <c r="E2278" s="2" t="s">
        <v>38</v>
      </c>
      <c r="F2278" s="2" t="s">
        <v>39</v>
      </c>
      <c r="G2278" s="2" t="s">
        <v>931</v>
      </c>
      <c r="H2278" s="2" t="s">
        <v>41</v>
      </c>
      <c r="I2278" s="2" t="s">
        <v>627</v>
      </c>
      <c r="J2278" s="2" t="s">
        <v>932</v>
      </c>
      <c r="L2278" s="2" t="s">
        <v>627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V2278" s="2">
        <f t="shared" ref="V2278:V2293" si="265">T2278</f>
        <v>96</v>
      </c>
      <c r="W2278" s="2">
        <f>6.6267*S2278</f>
        <v>53.013599999999997</v>
      </c>
      <c r="X2278" s="5">
        <f t="shared" si="264"/>
        <v>0.44777500000000003</v>
      </c>
      <c r="Z2278" s="2" t="s">
        <v>3231</v>
      </c>
      <c r="AA2278" s="2" t="s">
        <v>46</v>
      </c>
      <c r="AB2278" s="2" t="s">
        <v>47</v>
      </c>
      <c r="AC2278" s="2" t="s">
        <v>48</v>
      </c>
      <c r="AF2278" s="2">
        <f t="shared" si="261"/>
        <v>0</v>
      </c>
      <c r="AG2278" s="2">
        <v>6.6266999999999996</v>
      </c>
      <c r="AH2278" s="2">
        <v>12</v>
      </c>
      <c r="AJ2278" s="2">
        <f t="shared" si="262"/>
        <v>0</v>
      </c>
      <c r="AK2278" s="2">
        <f t="shared" si="263"/>
        <v>42.986400000000003</v>
      </c>
      <c r="AL2278" s="5">
        <f t="shared" si="260"/>
        <v>0.44777500000000003</v>
      </c>
    </row>
    <row r="2279" spans="1:38" hidden="1" x14ac:dyDescent="0.2">
      <c r="A2279" s="2">
        <v>2025</v>
      </c>
      <c r="B2279" s="2">
        <v>11</v>
      </c>
      <c r="D2279" s="2" t="s">
        <v>930</v>
      </c>
      <c r="E2279" s="2" t="s">
        <v>38</v>
      </c>
      <c r="F2279" s="2" t="s">
        <v>39</v>
      </c>
      <c r="G2279" s="2" t="s">
        <v>931</v>
      </c>
      <c r="H2279" s="2" t="s">
        <v>41</v>
      </c>
      <c r="I2279" s="2" t="s">
        <v>627</v>
      </c>
      <c r="J2279" s="2" t="s">
        <v>932</v>
      </c>
      <c r="L2279" s="2" t="s">
        <v>627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V2279" s="2">
        <f t="shared" si="265"/>
        <v>7.8</v>
      </c>
      <c r="W2279" s="2">
        <f>3.7358*S2279</f>
        <v>3.7357999999999998</v>
      </c>
      <c r="X2279" s="5">
        <f t="shared" si="264"/>
        <v>0.52105128205128204</v>
      </c>
      <c r="Z2279" s="2" t="s">
        <v>3231</v>
      </c>
      <c r="AA2279" s="2" t="s">
        <v>46</v>
      </c>
      <c r="AB2279" s="2" t="s">
        <v>47</v>
      </c>
      <c r="AC2279" s="2" t="s">
        <v>48</v>
      </c>
      <c r="AF2279" s="2">
        <f t="shared" si="261"/>
        <v>0</v>
      </c>
      <c r="AG2279" s="2">
        <v>3.7357999999999998</v>
      </c>
      <c r="AH2279" s="2">
        <v>9</v>
      </c>
      <c r="AJ2279" s="2">
        <f t="shared" si="262"/>
        <v>0</v>
      </c>
      <c r="AK2279" s="2">
        <f t="shared" si="263"/>
        <v>4.0641999999999996</v>
      </c>
      <c r="AL2279" s="5">
        <f t="shared" si="260"/>
        <v>0.52105128205128204</v>
      </c>
    </row>
    <row r="2280" spans="1:38" hidden="1" x14ac:dyDescent="0.2">
      <c r="A2280" s="2">
        <v>2025</v>
      </c>
      <c r="B2280" s="2">
        <v>11</v>
      </c>
      <c r="D2280" s="2" t="s">
        <v>930</v>
      </c>
      <c r="E2280" s="2" t="s">
        <v>38</v>
      </c>
      <c r="F2280" s="2" t="s">
        <v>39</v>
      </c>
      <c r="G2280" s="2" t="s">
        <v>931</v>
      </c>
      <c r="H2280" s="2" t="s">
        <v>41</v>
      </c>
      <c r="I2280" s="2" t="s">
        <v>627</v>
      </c>
      <c r="J2280" s="2" t="s">
        <v>932</v>
      </c>
      <c r="L2280" s="2" t="s">
        <v>627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V2280" s="2">
        <f t="shared" si="265"/>
        <v>19.2</v>
      </c>
      <c r="W2280" s="2">
        <f>5.2973*S2280</f>
        <v>10.5946</v>
      </c>
      <c r="X2280" s="5">
        <f t="shared" si="264"/>
        <v>0.44819791666666664</v>
      </c>
      <c r="Z2280" s="2" t="s">
        <v>3231</v>
      </c>
      <c r="AA2280" s="2" t="s">
        <v>46</v>
      </c>
      <c r="AB2280" s="2" t="s">
        <v>47</v>
      </c>
      <c r="AC2280" s="2" t="s">
        <v>48</v>
      </c>
      <c r="AF2280" s="2">
        <f t="shared" si="261"/>
        <v>0</v>
      </c>
      <c r="AG2280" s="2">
        <v>5.2972999999999999</v>
      </c>
      <c r="AH2280" s="2">
        <v>10.8</v>
      </c>
      <c r="AJ2280" s="2">
        <f t="shared" si="262"/>
        <v>0</v>
      </c>
      <c r="AK2280" s="2">
        <f t="shared" si="263"/>
        <v>8.6053999999999995</v>
      </c>
      <c r="AL2280" s="5">
        <f t="shared" si="260"/>
        <v>0.44819791666666664</v>
      </c>
    </row>
    <row r="2281" spans="1:38" hidden="1" x14ac:dyDescent="0.2">
      <c r="A2281" s="2">
        <v>2025</v>
      </c>
      <c r="B2281" s="2">
        <v>11</v>
      </c>
      <c r="D2281" s="2" t="s">
        <v>930</v>
      </c>
      <c r="E2281" s="2" t="s">
        <v>38</v>
      </c>
      <c r="F2281" s="2" t="s">
        <v>39</v>
      </c>
      <c r="G2281" s="2" t="s">
        <v>931</v>
      </c>
      <c r="H2281" s="2" t="s">
        <v>41</v>
      </c>
      <c r="I2281" s="2" t="s">
        <v>627</v>
      </c>
      <c r="J2281" s="2" t="s">
        <v>932</v>
      </c>
      <c r="L2281" s="2" t="s">
        <v>627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V2281" s="2">
        <f t="shared" si="265"/>
        <v>12</v>
      </c>
      <c r="W2281" s="2">
        <v>5.9066999999999998</v>
      </c>
      <c r="X2281" s="5">
        <f t="shared" si="264"/>
        <v>0.50777499999999998</v>
      </c>
      <c r="Z2281" s="2" t="s">
        <v>3231</v>
      </c>
      <c r="AA2281" s="2" t="s">
        <v>46</v>
      </c>
      <c r="AB2281" s="2" t="s">
        <v>57</v>
      </c>
      <c r="AC2281" s="2" t="s">
        <v>58</v>
      </c>
      <c r="AF2281" s="2">
        <f t="shared" si="261"/>
        <v>0</v>
      </c>
      <c r="AG2281" s="2">
        <v>5.9066999999999998</v>
      </c>
      <c r="AH2281" s="2">
        <v>12.6</v>
      </c>
      <c r="AJ2281" s="2">
        <f t="shared" si="262"/>
        <v>0</v>
      </c>
      <c r="AK2281" s="2">
        <f t="shared" si="263"/>
        <v>6.0933000000000002</v>
      </c>
      <c r="AL2281" s="5">
        <f t="shared" si="260"/>
        <v>0.50777499999999998</v>
      </c>
    </row>
    <row r="2282" spans="1:38" hidden="1" x14ac:dyDescent="0.2">
      <c r="A2282" s="2">
        <v>2025</v>
      </c>
      <c r="B2282" s="2">
        <v>11</v>
      </c>
      <c r="D2282" s="2" t="s">
        <v>930</v>
      </c>
      <c r="E2282" s="2" t="s">
        <v>38</v>
      </c>
      <c r="F2282" s="2" t="s">
        <v>39</v>
      </c>
      <c r="G2282" s="2" t="s">
        <v>931</v>
      </c>
      <c r="H2282" s="2" t="s">
        <v>41</v>
      </c>
      <c r="I2282" s="2" t="s">
        <v>627</v>
      </c>
      <c r="J2282" s="2" t="s">
        <v>932</v>
      </c>
      <c r="L2282" s="2" t="s">
        <v>627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V2282" s="2">
        <f t="shared" si="265"/>
        <v>13.2</v>
      </c>
      <c r="W2282" s="2">
        <v>7.2217000000000002</v>
      </c>
      <c r="X2282" s="5">
        <f t="shared" si="264"/>
        <v>0.45290151515151511</v>
      </c>
      <c r="Z2282" s="2" t="s">
        <v>3231</v>
      </c>
      <c r="AA2282" s="2" t="s">
        <v>46</v>
      </c>
      <c r="AB2282" s="2" t="s">
        <v>57</v>
      </c>
      <c r="AC2282" s="2" t="s">
        <v>58</v>
      </c>
      <c r="AF2282" s="2">
        <f t="shared" si="261"/>
        <v>0</v>
      </c>
      <c r="AG2282" s="2">
        <v>7.2217000000000002</v>
      </c>
      <c r="AH2282" s="2">
        <v>14.4</v>
      </c>
      <c r="AJ2282" s="2">
        <f t="shared" si="262"/>
        <v>0</v>
      </c>
      <c r="AK2282" s="2">
        <f t="shared" si="263"/>
        <v>5.9782999999999991</v>
      </c>
      <c r="AL2282" s="5">
        <f t="shared" si="260"/>
        <v>0.45290151515151511</v>
      </c>
    </row>
    <row r="2283" spans="1:38" hidden="1" x14ac:dyDescent="0.2">
      <c r="A2283" s="2">
        <v>2025</v>
      </c>
      <c r="B2283" s="2">
        <v>11</v>
      </c>
      <c r="D2283" s="2" t="s">
        <v>930</v>
      </c>
      <c r="E2283" s="2" t="s">
        <v>38</v>
      </c>
      <c r="F2283" s="2" t="s">
        <v>39</v>
      </c>
      <c r="G2283" s="2" t="s">
        <v>931</v>
      </c>
      <c r="H2283" s="2" t="s">
        <v>41</v>
      </c>
      <c r="I2283" s="2" t="s">
        <v>627</v>
      </c>
      <c r="J2283" s="2" t="s">
        <v>932</v>
      </c>
      <c r="L2283" s="2" t="s">
        <v>627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V2283" s="2">
        <f t="shared" si="265"/>
        <v>19.8</v>
      </c>
      <c r="X2283" s="5">
        <f t="shared" si="264"/>
        <v>1</v>
      </c>
      <c r="Z2283" s="2" t="s">
        <v>3231</v>
      </c>
      <c r="AA2283" s="2" t="s">
        <v>46</v>
      </c>
      <c r="AB2283" s="2" t="s">
        <v>57</v>
      </c>
      <c r="AC2283" s="2" t="s">
        <v>58</v>
      </c>
      <c r="AF2283" s="2">
        <f t="shared" si="261"/>
        <v>0</v>
      </c>
      <c r="AJ2283" s="2">
        <f t="shared" si="262"/>
        <v>0</v>
      </c>
      <c r="AK2283" s="2">
        <f t="shared" si="263"/>
        <v>19.8</v>
      </c>
      <c r="AL2283" s="5">
        <f t="shared" si="260"/>
        <v>1</v>
      </c>
    </row>
    <row r="2284" spans="1:38" hidden="1" x14ac:dyDescent="0.2">
      <c r="A2284" s="2">
        <v>2025</v>
      </c>
      <c r="B2284" s="2">
        <v>11</v>
      </c>
      <c r="D2284" s="2" t="s">
        <v>930</v>
      </c>
      <c r="E2284" s="2" t="s">
        <v>38</v>
      </c>
      <c r="F2284" s="2" t="s">
        <v>39</v>
      </c>
      <c r="G2284" s="2" t="s">
        <v>931</v>
      </c>
      <c r="H2284" s="2" t="s">
        <v>41</v>
      </c>
      <c r="I2284" s="2" t="s">
        <v>627</v>
      </c>
      <c r="J2284" s="2" t="s">
        <v>932</v>
      </c>
      <c r="L2284" s="2" t="s">
        <v>627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V2284" s="2">
        <f t="shared" si="265"/>
        <v>24</v>
      </c>
      <c r="X2284" s="5">
        <f t="shared" si="264"/>
        <v>1</v>
      </c>
      <c r="Z2284" s="2" t="s">
        <v>3231</v>
      </c>
      <c r="AA2284" s="2" t="s">
        <v>46</v>
      </c>
      <c r="AB2284" s="2" t="s">
        <v>57</v>
      </c>
      <c r="AC2284" s="2" t="s">
        <v>58</v>
      </c>
      <c r="AF2284" s="2">
        <f t="shared" si="261"/>
        <v>0</v>
      </c>
      <c r="AJ2284" s="2">
        <f t="shared" si="262"/>
        <v>0</v>
      </c>
      <c r="AK2284" s="2">
        <f t="shared" si="263"/>
        <v>24</v>
      </c>
      <c r="AL2284" s="5">
        <f t="shared" si="260"/>
        <v>1</v>
      </c>
    </row>
    <row r="2285" spans="1:38" hidden="1" x14ac:dyDescent="0.2">
      <c r="A2285" s="2">
        <v>2025</v>
      </c>
      <c r="B2285" s="2">
        <v>11</v>
      </c>
      <c r="D2285" s="2" t="s">
        <v>930</v>
      </c>
      <c r="E2285" s="2" t="s">
        <v>38</v>
      </c>
      <c r="F2285" s="2" t="s">
        <v>39</v>
      </c>
      <c r="G2285" s="2" t="s">
        <v>931</v>
      </c>
      <c r="H2285" s="2" t="s">
        <v>41</v>
      </c>
      <c r="I2285" s="2" t="s">
        <v>627</v>
      </c>
      <c r="J2285" s="2" t="s">
        <v>932</v>
      </c>
      <c r="L2285" s="2" t="s">
        <v>627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V2285" s="2">
        <f t="shared" si="265"/>
        <v>28.8</v>
      </c>
      <c r="X2285" s="5">
        <f t="shared" si="264"/>
        <v>1</v>
      </c>
      <c r="Z2285" s="2" t="s">
        <v>3231</v>
      </c>
      <c r="AA2285" s="2" t="s">
        <v>46</v>
      </c>
      <c r="AB2285" s="2" t="s">
        <v>57</v>
      </c>
      <c r="AC2285" s="2" t="s">
        <v>58</v>
      </c>
      <c r="AF2285" s="2">
        <f t="shared" si="261"/>
        <v>0</v>
      </c>
      <c r="AJ2285" s="2">
        <f t="shared" si="262"/>
        <v>0</v>
      </c>
      <c r="AK2285" s="2">
        <f t="shared" si="263"/>
        <v>28.8</v>
      </c>
      <c r="AL2285" s="5">
        <f t="shared" si="260"/>
        <v>1</v>
      </c>
    </row>
    <row r="2286" spans="1:38" hidden="1" x14ac:dyDescent="0.2">
      <c r="A2286" s="2">
        <v>2025</v>
      </c>
      <c r="B2286" s="2">
        <v>11</v>
      </c>
      <c r="D2286" s="2" t="s">
        <v>930</v>
      </c>
      <c r="E2286" s="2" t="s">
        <v>38</v>
      </c>
      <c r="F2286" s="2" t="s">
        <v>39</v>
      </c>
      <c r="G2286" s="2" t="s">
        <v>931</v>
      </c>
      <c r="H2286" s="2" t="s">
        <v>41</v>
      </c>
      <c r="I2286" s="2" t="s">
        <v>627</v>
      </c>
      <c r="J2286" s="2" t="s">
        <v>932</v>
      </c>
      <c r="L2286" s="2" t="s">
        <v>627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V2286" s="2">
        <f t="shared" si="265"/>
        <v>16.8</v>
      </c>
      <c r="X2286" s="5">
        <f t="shared" si="264"/>
        <v>1</v>
      </c>
      <c r="Z2286" s="2" t="s">
        <v>3231</v>
      </c>
      <c r="AA2286" s="2" t="s">
        <v>46</v>
      </c>
      <c r="AB2286" s="2" t="s">
        <v>57</v>
      </c>
      <c r="AC2286" s="2" t="s">
        <v>58</v>
      </c>
      <c r="AF2286" s="2">
        <f t="shared" si="261"/>
        <v>0</v>
      </c>
      <c r="AJ2286" s="2">
        <f t="shared" si="262"/>
        <v>0</v>
      </c>
      <c r="AK2286" s="2">
        <f t="shared" si="263"/>
        <v>16.8</v>
      </c>
      <c r="AL2286" s="5">
        <f t="shared" si="260"/>
        <v>1</v>
      </c>
    </row>
    <row r="2287" spans="1:38" hidden="1" x14ac:dyDescent="0.2">
      <c r="A2287" s="2">
        <v>2025</v>
      </c>
      <c r="B2287" s="2">
        <v>11</v>
      </c>
      <c r="D2287" s="2" t="s">
        <v>930</v>
      </c>
      <c r="E2287" s="2" t="s">
        <v>38</v>
      </c>
      <c r="F2287" s="2" t="s">
        <v>39</v>
      </c>
      <c r="G2287" s="2" t="s">
        <v>931</v>
      </c>
      <c r="H2287" s="2" t="s">
        <v>41</v>
      </c>
      <c r="I2287" s="2" t="s">
        <v>627</v>
      </c>
      <c r="J2287" s="2" t="s">
        <v>932</v>
      </c>
      <c r="L2287" s="2" t="s">
        <v>627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V2287" s="2">
        <f t="shared" si="265"/>
        <v>19.2</v>
      </c>
      <c r="X2287" s="5">
        <f t="shared" si="264"/>
        <v>1</v>
      </c>
      <c r="Z2287" s="2" t="s">
        <v>3231</v>
      </c>
      <c r="AA2287" s="2" t="s">
        <v>46</v>
      </c>
      <c r="AB2287" s="2" t="s">
        <v>57</v>
      </c>
      <c r="AC2287" s="2" t="s">
        <v>58</v>
      </c>
      <c r="AF2287" s="2">
        <f t="shared" si="261"/>
        <v>0</v>
      </c>
      <c r="AJ2287" s="2">
        <f t="shared" si="262"/>
        <v>0</v>
      </c>
      <c r="AK2287" s="2">
        <f t="shared" si="263"/>
        <v>19.2</v>
      </c>
      <c r="AL2287" s="5">
        <f t="shared" si="260"/>
        <v>1</v>
      </c>
    </row>
    <row r="2288" spans="1:38" hidden="1" x14ac:dyDescent="0.2">
      <c r="A2288" s="2">
        <v>2025</v>
      </c>
      <c r="B2288" s="2">
        <v>11</v>
      </c>
      <c r="D2288" s="2" t="s">
        <v>930</v>
      </c>
      <c r="E2288" s="2" t="s">
        <v>38</v>
      </c>
      <c r="F2288" s="2" t="s">
        <v>39</v>
      </c>
      <c r="G2288" s="2" t="s">
        <v>931</v>
      </c>
      <c r="H2288" s="2" t="s">
        <v>41</v>
      </c>
      <c r="I2288" s="2" t="s">
        <v>627</v>
      </c>
      <c r="J2288" s="2" t="s">
        <v>932</v>
      </c>
      <c r="L2288" s="2" t="s">
        <v>627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V2288" s="2">
        <f t="shared" si="265"/>
        <v>22.2</v>
      </c>
      <c r="X2288" s="5">
        <f t="shared" si="264"/>
        <v>1</v>
      </c>
      <c r="Z2288" s="2" t="s">
        <v>3231</v>
      </c>
      <c r="AA2288" s="2" t="s">
        <v>46</v>
      </c>
      <c r="AB2288" s="2" t="s">
        <v>57</v>
      </c>
      <c r="AC2288" s="2" t="s">
        <v>58</v>
      </c>
      <c r="AF2288" s="2">
        <f t="shared" si="261"/>
        <v>0</v>
      </c>
      <c r="AJ2288" s="2">
        <f t="shared" si="262"/>
        <v>0</v>
      </c>
      <c r="AK2288" s="2">
        <f t="shared" si="263"/>
        <v>22.2</v>
      </c>
      <c r="AL2288" s="5">
        <f t="shared" si="260"/>
        <v>1</v>
      </c>
    </row>
    <row r="2289" spans="1:38" hidden="1" x14ac:dyDescent="0.2">
      <c r="A2289" s="2">
        <v>2025</v>
      </c>
      <c r="B2289" s="2">
        <v>11</v>
      </c>
      <c r="D2289" s="2" t="s">
        <v>930</v>
      </c>
      <c r="E2289" s="2" t="s">
        <v>38</v>
      </c>
      <c r="F2289" s="2" t="s">
        <v>39</v>
      </c>
      <c r="G2289" s="2" t="s">
        <v>931</v>
      </c>
      <c r="H2289" s="2" t="s">
        <v>41</v>
      </c>
      <c r="I2289" s="2" t="s">
        <v>627</v>
      </c>
      <c r="J2289" s="2" t="s">
        <v>932</v>
      </c>
      <c r="L2289" s="2" t="s">
        <v>627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V2289" s="2">
        <f t="shared" si="265"/>
        <v>105</v>
      </c>
      <c r="W2289" s="2">
        <f>0.082*S2289</f>
        <v>82</v>
      </c>
      <c r="X2289" s="5">
        <f t="shared" si="264"/>
        <v>0.21904761904761905</v>
      </c>
      <c r="Z2289" s="2" t="s">
        <v>3231</v>
      </c>
      <c r="AA2289" s="2" t="s">
        <v>46</v>
      </c>
      <c r="AB2289" s="2" t="s">
        <v>61</v>
      </c>
      <c r="AC2289" s="2" t="s">
        <v>58</v>
      </c>
      <c r="AF2289" s="2">
        <f t="shared" si="261"/>
        <v>0</v>
      </c>
      <c r="AG2289" s="2">
        <v>8.1999999999999993</v>
      </c>
      <c r="AH2289" s="2">
        <v>13</v>
      </c>
      <c r="AJ2289" s="2">
        <f t="shared" si="262"/>
        <v>0</v>
      </c>
      <c r="AK2289" s="2">
        <f t="shared" si="263"/>
        <v>23</v>
      </c>
      <c r="AL2289" s="5">
        <f t="shared" si="260"/>
        <v>0.21904761904761905</v>
      </c>
    </row>
    <row r="2290" spans="1:38" hidden="1" x14ac:dyDescent="0.2">
      <c r="A2290" s="2">
        <v>2025</v>
      </c>
      <c r="B2290" s="2">
        <v>11</v>
      </c>
      <c r="D2290" s="2" t="s">
        <v>930</v>
      </c>
      <c r="E2290" s="2" t="s">
        <v>38</v>
      </c>
      <c r="F2290" s="2" t="s">
        <v>39</v>
      </c>
      <c r="G2290" s="2" t="s">
        <v>931</v>
      </c>
      <c r="H2290" s="2" t="s">
        <v>41</v>
      </c>
      <c r="I2290" s="2" t="s">
        <v>627</v>
      </c>
      <c r="J2290" s="2" t="s">
        <v>932</v>
      </c>
      <c r="L2290" s="2" t="s">
        <v>627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V2290" s="2">
        <f t="shared" si="265"/>
        <v>24</v>
      </c>
      <c r="W2290" s="2">
        <f>11*S2290</f>
        <v>11</v>
      </c>
      <c r="X2290" s="5">
        <f t="shared" si="264"/>
        <v>0.54166666666666663</v>
      </c>
      <c r="Z2290" s="2" t="s">
        <v>3231</v>
      </c>
      <c r="AA2290" s="2" t="s">
        <v>46</v>
      </c>
      <c r="AB2290" s="2" t="s">
        <v>47</v>
      </c>
      <c r="AC2290" s="2" t="s">
        <v>48</v>
      </c>
      <c r="AF2290" s="2">
        <f t="shared" si="261"/>
        <v>0</v>
      </c>
      <c r="AJ2290" s="2">
        <f t="shared" si="262"/>
        <v>0</v>
      </c>
      <c r="AK2290" s="2">
        <f t="shared" si="263"/>
        <v>13</v>
      </c>
      <c r="AL2290" s="5">
        <f t="shared" si="260"/>
        <v>0.54166666666666663</v>
      </c>
    </row>
    <row r="2291" spans="1:38" hidden="1" x14ac:dyDescent="0.2">
      <c r="A2291" s="2">
        <v>2025</v>
      </c>
      <c r="B2291" s="2">
        <v>11</v>
      </c>
      <c r="D2291" s="2" t="s">
        <v>930</v>
      </c>
      <c r="E2291" s="2" t="s">
        <v>38</v>
      </c>
      <c r="F2291" s="2" t="s">
        <v>39</v>
      </c>
      <c r="G2291" s="2" t="s">
        <v>931</v>
      </c>
      <c r="H2291" s="2" t="s">
        <v>41</v>
      </c>
      <c r="I2291" s="2" t="s">
        <v>627</v>
      </c>
      <c r="J2291" s="2" t="s">
        <v>932</v>
      </c>
      <c r="L2291" s="2" t="s">
        <v>627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V2291" s="2">
        <f t="shared" si="265"/>
        <v>26.4</v>
      </c>
      <c r="W2291" s="2">
        <f>15.0203*S2291</f>
        <v>15.020300000000001</v>
      </c>
      <c r="X2291" s="5">
        <f t="shared" si="264"/>
        <v>0.43104924242424236</v>
      </c>
      <c r="Z2291" s="2" t="s">
        <v>3231</v>
      </c>
      <c r="AA2291" s="2" t="s">
        <v>46</v>
      </c>
      <c r="AB2291" s="2" t="s">
        <v>68</v>
      </c>
      <c r="AC2291" s="2" t="s">
        <v>58</v>
      </c>
      <c r="AF2291" s="2">
        <f t="shared" si="261"/>
        <v>0</v>
      </c>
      <c r="AG2291" s="2">
        <v>15.020300000000001</v>
      </c>
      <c r="AH2291" s="2">
        <v>27.6</v>
      </c>
      <c r="AJ2291" s="2">
        <f t="shared" si="262"/>
        <v>0</v>
      </c>
      <c r="AK2291" s="2">
        <f t="shared" si="263"/>
        <v>11.379699999999998</v>
      </c>
      <c r="AL2291" s="5">
        <f t="shared" ref="AL2291:AL2354" si="266">(T2291-W2291)/T2291</f>
        <v>0.43104924242424236</v>
      </c>
    </row>
    <row r="2292" spans="1:38" hidden="1" x14ac:dyDescent="0.2">
      <c r="A2292" s="2">
        <v>2025</v>
      </c>
      <c r="B2292" s="2">
        <v>11</v>
      </c>
      <c r="D2292" s="2" t="s">
        <v>930</v>
      </c>
      <c r="E2292" s="2" t="s">
        <v>38</v>
      </c>
      <c r="F2292" s="2" t="s">
        <v>39</v>
      </c>
      <c r="G2292" s="2" t="s">
        <v>931</v>
      </c>
      <c r="H2292" s="2" t="s">
        <v>41</v>
      </c>
      <c r="I2292" s="2" t="s">
        <v>627</v>
      </c>
      <c r="J2292" s="2" t="s">
        <v>932</v>
      </c>
      <c r="L2292" s="2" t="s">
        <v>627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V2292" s="2">
        <f t="shared" si="265"/>
        <v>10.199999999999999</v>
      </c>
      <c r="W2292" s="2">
        <v>6.86</v>
      </c>
      <c r="X2292" s="5">
        <f t="shared" si="264"/>
        <v>0.32745098039215681</v>
      </c>
      <c r="Z2292" s="2" t="s">
        <v>3231</v>
      </c>
      <c r="AA2292" s="2" t="s">
        <v>88</v>
      </c>
      <c r="AB2292" s="2" t="s">
        <v>91</v>
      </c>
      <c r="AC2292" s="2" t="s">
        <v>85</v>
      </c>
      <c r="AF2292" s="2">
        <f t="shared" si="261"/>
        <v>0</v>
      </c>
      <c r="AJ2292" s="2">
        <f t="shared" si="262"/>
        <v>0</v>
      </c>
      <c r="AK2292" s="2">
        <f t="shared" si="263"/>
        <v>3.339999999999999</v>
      </c>
      <c r="AL2292" s="5">
        <f t="shared" si="266"/>
        <v>0.32745098039215681</v>
      </c>
    </row>
    <row r="2293" spans="1:38" hidden="1" x14ac:dyDescent="0.2">
      <c r="A2293" s="2">
        <v>2025</v>
      </c>
      <c r="B2293" s="2">
        <v>11</v>
      </c>
      <c r="D2293" s="2" t="s">
        <v>930</v>
      </c>
      <c r="E2293" s="2" t="s">
        <v>38</v>
      </c>
      <c r="F2293" s="2" t="s">
        <v>39</v>
      </c>
      <c r="G2293" s="2" t="s">
        <v>931</v>
      </c>
      <c r="H2293" s="2" t="s">
        <v>41</v>
      </c>
      <c r="I2293" s="2" t="s">
        <v>627</v>
      </c>
      <c r="J2293" s="2" t="s">
        <v>932</v>
      </c>
      <c r="L2293" s="2" t="s">
        <v>627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V2293" s="2">
        <f t="shared" si="265"/>
        <v>6</v>
      </c>
      <c r="W2293" s="2">
        <v>2.94</v>
      </c>
      <c r="X2293" s="5">
        <f t="shared" si="264"/>
        <v>0.51</v>
      </c>
      <c r="Z2293" s="2" t="s">
        <v>3231</v>
      </c>
      <c r="AA2293" s="2" t="s">
        <v>88</v>
      </c>
      <c r="AB2293" s="2" t="s">
        <v>91</v>
      </c>
      <c r="AC2293" s="2" t="s">
        <v>85</v>
      </c>
      <c r="AF2293" s="2">
        <f t="shared" si="261"/>
        <v>0</v>
      </c>
      <c r="AJ2293" s="2">
        <f t="shared" si="262"/>
        <v>0</v>
      </c>
      <c r="AK2293" s="2">
        <f t="shared" si="263"/>
        <v>3.06</v>
      </c>
      <c r="AL2293" s="5">
        <f t="shared" si="266"/>
        <v>0.51</v>
      </c>
    </row>
    <row r="2294" spans="1:38" hidden="1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2041</v>
      </c>
      <c r="R2294" s="2" t="s">
        <v>2042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4"/>
        <v>1</v>
      </c>
      <c r="Z2294" s="2" t="s">
        <v>3231</v>
      </c>
      <c r="AF2294" s="2">
        <f t="shared" si="261"/>
        <v>0</v>
      </c>
      <c r="AJ2294" s="2">
        <f t="shared" si="262"/>
        <v>0</v>
      </c>
      <c r="AK2294" s="2">
        <f t="shared" si="263"/>
        <v>30</v>
      </c>
      <c r="AL2294" s="5">
        <f t="shared" si="266"/>
        <v>1</v>
      </c>
    </row>
    <row r="2295" spans="1:38" hidden="1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4"/>
        <v>0.13000000000000006</v>
      </c>
      <c r="Z2295" s="2" t="s">
        <v>3231</v>
      </c>
      <c r="AA2295" s="2" t="s">
        <v>46</v>
      </c>
      <c r="AB2295" s="2" t="s">
        <v>61</v>
      </c>
      <c r="AC2295" s="2" t="s">
        <v>3336</v>
      </c>
      <c r="AF2295" s="2">
        <f t="shared" si="261"/>
        <v>0</v>
      </c>
      <c r="AJ2295" s="2">
        <f t="shared" si="262"/>
        <v>0</v>
      </c>
      <c r="AK2295" s="2">
        <f t="shared" si="263"/>
        <v>7.8000000000000043</v>
      </c>
      <c r="AL2295" s="5">
        <f t="shared" si="266"/>
        <v>0.13000000000000006</v>
      </c>
    </row>
    <row r="2296" spans="1:38" hidden="1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4"/>
        <v>0.13000000000000006</v>
      </c>
      <c r="Z2296" s="2" t="s">
        <v>3231</v>
      </c>
      <c r="AA2296" s="2" t="s">
        <v>46</v>
      </c>
      <c r="AB2296" s="2" t="s">
        <v>61</v>
      </c>
      <c r="AC2296" s="2" t="s">
        <v>3336</v>
      </c>
      <c r="AF2296" s="2">
        <f t="shared" si="261"/>
        <v>0</v>
      </c>
      <c r="AJ2296" s="2">
        <f t="shared" si="262"/>
        <v>0</v>
      </c>
      <c r="AK2296" s="2">
        <f t="shared" si="263"/>
        <v>7.8000000000000043</v>
      </c>
      <c r="AL2296" s="5">
        <f t="shared" si="266"/>
        <v>0.13000000000000006</v>
      </c>
    </row>
    <row r="2297" spans="1:38" hidden="1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2087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4"/>
        <v>0.5</v>
      </c>
      <c r="Z2297" s="2" t="s">
        <v>3231</v>
      </c>
      <c r="AA2297" s="2" t="s">
        <v>46</v>
      </c>
      <c r="AB2297" s="2" t="s">
        <v>47</v>
      </c>
      <c r="AC2297" s="2" t="s">
        <v>48</v>
      </c>
      <c r="AF2297" s="2">
        <f t="shared" si="261"/>
        <v>0</v>
      </c>
      <c r="AG2297" s="2">
        <v>9.3000000000000007</v>
      </c>
      <c r="AH2297" s="2">
        <v>21</v>
      </c>
      <c r="AJ2297" s="2">
        <f t="shared" si="262"/>
        <v>0</v>
      </c>
      <c r="AK2297" s="2">
        <f t="shared" si="263"/>
        <v>18.600000000000001</v>
      </c>
      <c r="AL2297" s="5">
        <f t="shared" si="266"/>
        <v>0.5</v>
      </c>
    </row>
    <row r="2298" spans="1:38" hidden="1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861</v>
      </c>
      <c r="R2298" s="2" t="s">
        <v>862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264"/>
        <v>0.58333333333333337</v>
      </c>
      <c r="Z2298" s="2" t="s">
        <v>3231</v>
      </c>
      <c r="AA2298" s="2" t="s">
        <v>46</v>
      </c>
      <c r="AB2298" s="2" t="s">
        <v>47</v>
      </c>
      <c r="AC2298" s="2" t="s">
        <v>48</v>
      </c>
      <c r="AF2298" s="2">
        <f t="shared" si="261"/>
        <v>0</v>
      </c>
      <c r="AJ2298" s="2">
        <f t="shared" si="262"/>
        <v>0</v>
      </c>
      <c r="AK2298" s="2">
        <f t="shared" si="263"/>
        <v>11.2</v>
      </c>
      <c r="AL2298" s="5">
        <f t="shared" si="266"/>
        <v>0.58333333333333337</v>
      </c>
    </row>
    <row r="2299" spans="1:38" hidden="1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4"/>
        <v>0.52105128205128204</v>
      </c>
      <c r="Z2299" s="2" t="s">
        <v>3231</v>
      </c>
      <c r="AA2299" s="2" t="s">
        <v>46</v>
      </c>
      <c r="AB2299" s="2" t="s">
        <v>47</v>
      </c>
      <c r="AC2299" s="2" t="s">
        <v>48</v>
      </c>
      <c r="AF2299" s="2">
        <f t="shared" si="261"/>
        <v>0</v>
      </c>
      <c r="AG2299" s="2">
        <v>3.7357999999999998</v>
      </c>
      <c r="AH2299" s="2">
        <v>9</v>
      </c>
      <c r="AJ2299" s="2">
        <f t="shared" si="262"/>
        <v>0</v>
      </c>
      <c r="AK2299" s="2">
        <f t="shared" si="263"/>
        <v>12.192599999999999</v>
      </c>
      <c r="AL2299" s="5">
        <f t="shared" si="266"/>
        <v>0.52105128205128204</v>
      </c>
    </row>
    <row r="2300" spans="1:38" hidden="1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4"/>
        <v>0.14054054054054055</v>
      </c>
      <c r="Z2300" s="2" t="s">
        <v>3231</v>
      </c>
      <c r="AA2300" s="2" t="s">
        <v>46</v>
      </c>
      <c r="AB2300" s="2" t="s">
        <v>57</v>
      </c>
      <c r="AC2300" s="2" t="s">
        <v>58</v>
      </c>
      <c r="AF2300" s="2">
        <f t="shared" si="261"/>
        <v>0</v>
      </c>
      <c r="AG2300" s="2">
        <v>10.6</v>
      </c>
      <c r="AH2300" s="2">
        <v>18</v>
      </c>
      <c r="AJ2300" s="2">
        <f t="shared" si="262"/>
        <v>0</v>
      </c>
      <c r="AK2300" s="2">
        <f t="shared" si="263"/>
        <v>52</v>
      </c>
      <c r="AL2300" s="5">
        <f t="shared" si="266"/>
        <v>0.14054054054054055</v>
      </c>
    </row>
    <row r="2301" spans="1:38" hidden="1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1037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4"/>
        <v>0.56246621882480119</v>
      </c>
      <c r="Z2301" s="2" t="s">
        <v>3231</v>
      </c>
      <c r="AA2301" s="2" t="s">
        <v>76</v>
      </c>
      <c r="AB2301" s="2" t="s">
        <v>77</v>
      </c>
      <c r="AC2301" s="2" t="s">
        <v>78</v>
      </c>
      <c r="AF2301" s="2">
        <f t="shared" si="261"/>
        <v>0</v>
      </c>
      <c r="AG2301" s="2">
        <v>113.33</v>
      </c>
      <c r="AH2301" s="2">
        <v>220</v>
      </c>
      <c r="AJ2301" s="2">
        <f t="shared" si="262"/>
        <v>0</v>
      </c>
      <c r="AK2301" s="2">
        <f t="shared" si="263"/>
        <v>145.69</v>
      </c>
      <c r="AL2301" s="5">
        <f t="shared" si="266"/>
        <v>0.56246621882480119</v>
      </c>
    </row>
    <row r="2302" spans="1:38" hidden="1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1040</v>
      </c>
      <c r="Q2302" s="2" t="s">
        <v>1573</v>
      </c>
      <c r="R2302" s="2" t="s">
        <v>1574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4"/>
        <v>0.4878924731182796</v>
      </c>
      <c r="Z2302" s="2" t="s">
        <v>3231</v>
      </c>
      <c r="AA2302" s="2" t="s">
        <v>76</v>
      </c>
      <c r="AB2302" s="2" t="s">
        <v>77</v>
      </c>
      <c r="AC2302" s="2" t="s">
        <v>1040</v>
      </c>
      <c r="AF2302" s="2">
        <f t="shared" si="261"/>
        <v>0</v>
      </c>
      <c r="AJ2302" s="2">
        <f t="shared" si="262"/>
        <v>0</v>
      </c>
      <c r="AK2302" s="2">
        <f t="shared" si="263"/>
        <v>226.87</v>
      </c>
      <c r="AL2302" s="5">
        <f t="shared" si="266"/>
        <v>0.4878924731182796</v>
      </c>
    </row>
    <row r="2303" spans="1:38" hidden="1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3391</v>
      </c>
      <c r="Q2303" s="2" t="s">
        <v>2088</v>
      </c>
      <c r="R2303" s="2" t="s">
        <v>2089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4"/>
        <v>0</v>
      </c>
      <c r="Z2303" s="2" t="s">
        <v>3231</v>
      </c>
      <c r="AA2303" s="2" t="s">
        <v>2171</v>
      </c>
      <c r="AB2303" s="2" t="s">
        <v>2251</v>
      </c>
      <c r="AC2303" s="2" t="s">
        <v>3391</v>
      </c>
      <c r="AF2303" s="2">
        <f t="shared" si="261"/>
        <v>0</v>
      </c>
      <c r="AJ2303" s="2">
        <f t="shared" si="262"/>
        <v>0</v>
      </c>
      <c r="AK2303" s="2">
        <f t="shared" si="263"/>
        <v>0</v>
      </c>
      <c r="AL2303" s="5">
        <f t="shared" si="266"/>
        <v>0</v>
      </c>
    </row>
    <row r="2304" spans="1:38" hidden="1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3392</v>
      </c>
      <c r="Q2304" s="2" t="s">
        <v>2090</v>
      </c>
      <c r="R2304" s="2" t="s">
        <v>2091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4"/>
        <v>0</v>
      </c>
      <c r="Z2304" s="2" t="s">
        <v>3231</v>
      </c>
      <c r="AA2304" s="2" t="s">
        <v>1043</v>
      </c>
      <c r="AB2304" s="2" t="s">
        <v>1272</v>
      </c>
      <c r="AC2304" s="2" t="s">
        <v>3392</v>
      </c>
      <c r="AF2304" s="2">
        <f t="shared" si="261"/>
        <v>0</v>
      </c>
      <c r="AJ2304" s="2">
        <f t="shared" si="262"/>
        <v>0</v>
      </c>
      <c r="AK2304" s="2">
        <f t="shared" si="263"/>
        <v>0</v>
      </c>
      <c r="AL2304" s="5">
        <f t="shared" si="266"/>
        <v>0</v>
      </c>
    </row>
    <row r="2305" spans="1:38" hidden="1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3392</v>
      </c>
      <c r="Q2305" s="2" t="s">
        <v>2092</v>
      </c>
      <c r="R2305" s="2" t="s">
        <v>2093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4"/>
        <v>0</v>
      </c>
      <c r="Z2305" s="2" t="s">
        <v>3231</v>
      </c>
      <c r="AA2305" s="2" t="s">
        <v>1043</v>
      </c>
      <c r="AB2305" s="2" t="s">
        <v>1272</v>
      </c>
      <c r="AC2305" s="2" t="s">
        <v>3392</v>
      </c>
      <c r="AF2305" s="2">
        <f t="shared" si="261"/>
        <v>0</v>
      </c>
      <c r="AJ2305" s="2">
        <f t="shared" si="262"/>
        <v>0</v>
      </c>
      <c r="AK2305" s="2">
        <f t="shared" si="263"/>
        <v>0</v>
      </c>
      <c r="AL2305" s="5">
        <f t="shared" si="266"/>
        <v>0</v>
      </c>
    </row>
    <row r="2306" spans="1:38" hidden="1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3392</v>
      </c>
      <c r="Q2306" s="2" t="s">
        <v>2094</v>
      </c>
      <c r="R2306" s="2" t="s">
        <v>2095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4"/>
        <v>0</v>
      </c>
      <c r="Z2306" s="2" t="s">
        <v>3231</v>
      </c>
      <c r="AA2306" s="2" t="s">
        <v>1043</v>
      </c>
      <c r="AB2306" s="2" t="s">
        <v>1272</v>
      </c>
      <c r="AC2306" s="2" t="s">
        <v>3392</v>
      </c>
      <c r="AF2306" s="2">
        <f t="shared" si="261"/>
        <v>0</v>
      </c>
      <c r="AJ2306" s="2">
        <f t="shared" si="262"/>
        <v>0</v>
      </c>
      <c r="AK2306" s="2">
        <f t="shared" si="263"/>
        <v>0</v>
      </c>
      <c r="AL2306" s="5">
        <f t="shared" si="266"/>
        <v>0</v>
      </c>
    </row>
    <row r="2307" spans="1:38" hidden="1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3391</v>
      </c>
      <c r="Q2307" s="2" t="s">
        <v>2096</v>
      </c>
      <c r="R2307" s="2" t="s">
        <v>2097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4"/>
        <v>0</v>
      </c>
      <c r="Z2307" s="2" t="s">
        <v>3231</v>
      </c>
      <c r="AA2307" s="2" t="s">
        <v>2171</v>
      </c>
      <c r="AB2307" s="2" t="s">
        <v>2251</v>
      </c>
      <c r="AC2307" s="2" t="s">
        <v>3391</v>
      </c>
      <c r="AF2307" s="2">
        <f t="shared" ref="AF2307:AF2370" si="267">AJ2307</f>
        <v>0</v>
      </c>
      <c r="AJ2307" s="2">
        <f t="shared" ref="AJ2307:AJ2370" si="268">AI2307*T2307</f>
        <v>0</v>
      </c>
      <c r="AK2307" s="2">
        <f t="shared" ref="AK2307:AK2370" si="269">T2307-W2307</f>
        <v>0</v>
      </c>
      <c r="AL2307" s="5">
        <f t="shared" si="266"/>
        <v>0</v>
      </c>
    </row>
    <row r="2308" spans="1:38" hidden="1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4"/>
        <v>0.23333333333333334</v>
      </c>
      <c r="Z2308" s="2" t="s">
        <v>170</v>
      </c>
      <c r="AA2308" s="2" t="s">
        <v>170</v>
      </c>
      <c r="AF2308" s="2">
        <f t="shared" si="267"/>
        <v>0</v>
      </c>
      <c r="AJ2308" s="2">
        <f t="shared" si="268"/>
        <v>0</v>
      </c>
      <c r="AK2308" s="2">
        <f t="shared" si="269"/>
        <v>7</v>
      </c>
      <c r="AL2308" s="5">
        <f t="shared" si="266"/>
        <v>0.23333333333333334</v>
      </c>
    </row>
    <row r="2309" spans="1:38" hidden="1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4"/>
        <v>0</v>
      </c>
      <c r="Z2309" s="2" t="s">
        <v>3231</v>
      </c>
      <c r="AA2309" s="2" t="s">
        <v>97</v>
      </c>
      <c r="AB2309" s="2" t="s">
        <v>77</v>
      </c>
      <c r="AC2309" s="2" t="s">
        <v>94</v>
      </c>
      <c r="AF2309" s="2">
        <f t="shared" si="267"/>
        <v>0</v>
      </c>
      <c r="AJ2309" s="2">
        <f t="shared" si="268"/>
        <v>0</v>
      </c>
      <c r="AK2309" s="2">
        <f t="shared" si="269"/>
        <v>0</v>
      </c>
      <c r="AL2309" s="5">
        <f t="shared" si="266"/>
        <v>0</v>
      </c>
    </row>
    <row r="2310" spans="1:38" hidden="1" x14ac:dyDescent="0.2">
      <c r="A2310" s="2">
        <v>2025</v>
      </c>
      <c r="B2310" s="2">
        <v>12</v>
      </c>
      <c r="D2310" s="2" t="s">
        <v>1147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1148</v>
      </c>
      <c r="J2310" s="2" t="s">
        <v>1149</v>
      </c>
      <c r="L2310" s="2" t="s">
        <v>134</v>
      </c>
      <c r="M2310" s="2" t="s">
        <v>41</v>
      </c>
      <c r="O2310" s="2" t="s">
        <v>2098</v>
      </c>
      <c r="P2310" s="2" t="s">
        <v>115</v>
      </c>
      <c r="Q2310" s="16" t="s">
        <v>710</v>
      </c>
      <c r="R2310" s="2" t="s">
        <v>711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264"/>
        <v>0.30489134078212288</v>
      </c>
      <c r="Z2310" s="2" t="s">
        <v>105</v>
      </c>
      <c r="AA2310" s="2" t="s">
        <v>579</v>
      </c>
      <c r="AB2310" s="2" t="s">
        <v>702</v>
      </c>
      <c r="AC2310" s="2" t="s">
        <v>115</v>
      </c>
      <c r="AF2310" s="2">
        <f t="shared" si="267"/>
        <v>0</v>
      </c>
      <c r="AJ2310" s="2">
        <f t="shared" si="268"/>
        <v>0</v>
      </c>
      <c r="AK2310" s="2">
        <f t="shared" si="269"/>
        <v>545.75549999999998</v>
      </c>
      <c r="AL2310" s="5">
        <f t="shared" si="266"/>
        <v>0.30489134078212288</v>
      </c>
    </row>
    <row r="2311" spans="1:38" hidden="1" x14ac:dyDescent="0.2">
      <c r="A2311" s="2">
        <v>2025</v>
      </c>
      <c r="B2311" s="2">
        <v>12</v>
      </c>
      <c r="D2311" s="2" t="s">
        <v>1147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1148</v>
      </c>
      <c r="J2311" s="2" t="s">
        <v>1149</v>
      </c>
      <c r="L2311" s="2" t="s">
        <v>134</v>
      </c>
      <c r="M2311" s="2" t="s">
        <v>41</v>
      </c>
      <c r="O2311" s="2" t="s">
        <v>2098</v>
      </c>
      <c r="P2311" s="2" t="s">
        <v>115</v>
      </c>
      <c r="Q2311" s="2" t="s">
        <v>881</v>
      </c>
      <c r="R2311" s="2" t="s">
        <v>882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4"/>
        <v>1</v>
      </c>
      <c r="Z2311" s="2" t="s">
        <v>105</v>
      </c>
      <c r="AA2311" s="2" t="s">
        <v>617</v>
      </c>
      <c r="AC2311" s="2" t="s">
        <v>115</v>
      </c>
      <c r="AF2311" s="2">
        <f t="shared" si="267"/>
        <v>0</v>
      </c>
      <c r="AJ2311" s="2">
        <f t="shared" si="268"/>
        <v>0</v>
      </c>
      <c r="AK2311" s="2">
        <f t="shared" si="269"/>
        <v>4599</v>
      </c>
      <c r="AL2311" s="5">
        <f t="shared" si="266"/>
        <v>1</v>
      </c>
    </row>
    <row r="2312" spans="1:38" hidden="1" x14ac:dyDescent="0.2">
      <c r="A2312" s="2">
        <v>2025</v>
      </c>
      <c r="B2312" s="2">
        <v>12</v>
      </c>
      <c r="D2312" s="2" t="s">
        <v>1147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1148</v>
      </c>
      <c r="J2312" s="2" t="s">
        <v>1149</v>
      </c>
      <c r="L2312" s="2" t="s">
        <v>134</v>
      </c>
      <c r="M2312" s="2" t="s">
        <v>41</v>
      </c>
      <c r="O2312" s="2" t="s">
        <v>2098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4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7"/>
        <v>0</v>
      </c>
      <c r="AJ2312" s="2">
        <f t="shared" si="268"/>
        <v>0</v>
      </c>
      <c r="AK2312" s="2">
        <f t="shared" si="269"/>
        <v>754.875</v>
      </c>
      <c r="AL2312" s="5">
        <f t="shared" si="266"/>
        <v>0.18411585365853658</v>
      </c>
    </row>
    <row r="2313" spans="1:38" hidden="1" x14ac:dyDescent="0.2">
      <c r="A2313" s="2">
        <v>2025</v>
      </c>
      <c r="B2313" s="2">
        <v>12</v>
      </c>
      <c r="D2313" s="2" t="s">
        <v>1147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1148</v>
      </c>
      <c r="J2313" s="2" t="s">
        <v>1149</v>
      </c>
      <c r="L2313" s="2" t="s">
        <v>134</v>
      </c>
      <c r="M2313" s="2" t="s">
        <v>41</v>
      </c>
      <c r="O2313" s="2" t="s">
        <v>2098</v>
      </c>
      <c r="P2313" s="2" t="s">
        <v>69</v>
      </c>
      <c r="Q2313" s="2" t="s">
        <v>1623</v>
      </c>
      <c r="R2313" s="2" t="s">
        <v>1624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4"/>
        <v>1</v>
      </c>
      <c r="Z2313" s="2" t="s">
        <v>105</v>
      </c>
      <c r="AA2313" s="2" t="s">
        <v>2099</v>
      </c>
      <c r="AB2313" s="2" t="s">
        <v>69</v>
      </c>
      <c r="AC2313" s="2" t="s">
        <v>3235</v>
      </c>
      <c r="AF2313" s="2">
        <f t="shared" si="267"/>
        <v>0</v>
      </c>
      <c r="AJ2313" s="2">
        <f t="shared" si="268"/>
        <v>0</v>
      </c>
      <c r="AK2313" s="2">
        <f t="shared" si="269"/>
        <v>2100</v>
      </c>
      <c r="AL2313" s="5">
        <f t="shared" si="266"/>
        <v>1</v>
      </c>
    </row>
    <row r="2314" spans="1:38" hidden="1" x14ac:dyDescent="0.2">
      <c r="A2314" s="2">
        <v>2025</v>
      </c>
      <c r="B2314" s="2">
        <v>12</v>
      </c>
      <c r="D2314" s="2" t="s">
        <v>1147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1148</v>
      </c>
      <c r="J2314" s="2" t="s">
        <v>1149</v>
      </c>
      <c r="L2314" s="2" t="s">
        <v>134</v>
      </c>
      <c r="M2314" s="2" t="s">
        <v>41</v>
      </c>
      <c r="O2314" s="2" t="s">
        <v>2098</v>
      </c>
      <c r="P2314" s="2" t="s">
        <v>1196</v>
      </c>
      <c r="Q2314" s="2" t="s">
        <v>1715</v>
      </c>
      <c r="R2314" s="2" t="s">
        <v>1716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4"/>
        <v>1</v>
      </c>
      <c r="Z2314" s="2" t="s">
        <v>105</v>
      </c>
      <c r="AA2314" s="2" t="s">
        <v>1201</v>
      </c>
      <c r="AB2314" s="2" t="s">
        <v>120</v>
      </c>
      <c r="AC2314" s="2" t="s">
        <v>1196</v>
      </c>
      <c r="AF2314" s="2">
        <f t="shared" si="267"/>
        <v>0</v>
      </c>
      <c r="AJ2314" s="2">
        <f t="shared" si="268"/>
        <v>0</v>
      </c>
      <c r="AK2314" s="2">
        <f t="shared" si="269"/>
        <v>2750</v>
      </c>
      <c r="AL2314" s="5">
        <f t="shared" si="266"/>
        <v>1</v>
      </c>
    </row>
    <row r="2315" spans="1:38" hidden="1" x14ac:dyDescent="0.2">
      <c r="A2315" s="2">
        <v>2025</v>
      </c>
      <c r="B2315" s="2">
        <v>12</v>
      </c>
      <c r="D2315" s="2" t="s">
        <v>1147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1148</v>
      </c>
      <c r="J2315" s="2" t="s">
        <v>1149</v>
      </c>
      <c r="L2315" s="2" t="s">
        <v>134</v>
      </c>
      <c r="M2315" s="2" t="s">
        <v>41</v>
      </c>
      <c r="O2315" s="2" t="s">
        <v>2098</v>
      </c>
      <c r="P2315" s="2" t="s">
        <v>1196</v>
      </c>
      <c r="Q2315" s="2" t="s">
        <v>1199</v>
      </c>
      <c r="R2315" s="2" t="s">
        <v>1200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4"/>
        <v>1</v>
      </c>
      <c r="Z2315" s="2" t="s">
        <v>105</v>
      </c>
      <c r="AA2315" s="2" t="s">
        <v>1201</v>
      </c>
      <c r="AB2315" s="2" t="s">
        <v>120</v>
      </c>
      <c r="AC2315" s="2" t="s">
        <v>1196</v>
      </c>
      <c r="AF2315" s="2">
        <f t="shared" si="267"/>
        <v>0</v>
      </c>
      <c r="AJ2315" s="2">
        <f t="shared" si="268"/>
        <v>0</v>
      </c>
      <c r="AK2315" s="2">
        <f t="shared" si="269"/>
        <v>500</v>
      </c>
      <c r="AL2315" s="5">
        <f t="shared" si="266"/>
        <v>1</v>
      </c>
    </row>
    <row r="2316" spans="1:38" hidden="1" x14ac:dyDescent="0.2">
      <c r="A2316" s="2">
        <v>2025</v>
      </c>
      <c r="B2316" s="2">
        <v>12</v>
      </c>
      <c r="D2316" s="2" t="s">
        <v>1152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4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7"/>
        <v>0</v>
      </c>
      <c r="AJ2316" s="2">
        <f t="shared" si="268"/>
        <v>0</v>
      </c>
      <c r="AK2316" s="2">
        <f t="shared" si="269"/>
        <v>252.82999999999998</v>
      </c>
      <c r="AL2316" s="5">
        <f t="shared" si="266"/>
        <v>0.42180513847180512</v>
      </c>
    </row>
    <row r="2317" spans="1:38" hidden="1" x14ac:dyDescent="0.2">
      <c r="A2317" s="2">
        <v>2025</v>
      </c>
      <c r="B2317" s="2">
        <v>12</v>
      </c>
      <c r="D2317" s="2" t="s">
        <v>1152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4"/>
        <v>0.6</v>
      </c>
      <c r="Z2317" s="2" t="s">
        <v>118</v>
      </c>
      <c r="AA2317" s="2" t="s">
        <v>191</v>
      </c>
      <c r="AB2317" s="2" t="s">
        <v>190</v>
      </c>
      <c r="AC2317" s="2" t="s">
        <v>40</v>
      </c>
      <c r="AF2317" s="2">
        <f t="shared" si="267"/>
        <v>0</v>
      </c>
      <c r="AJ2317" s="2">
        <f t="shared" si="268"/>
        <v>0</v>
      </c>
      <c r="AK2317" s="2">
        <f t="shared" si="269"/>
        <v>50.82</v>
      </c>
      <c r="AL2317" s="5">
        <f t="shared" si="266"/>
        <v>0.6</v>
      </c>
    </row>
    <row r="2318" spans="1:38" hidden="1" x14ac:dyDescent="0.2">
      <c r="A2318" s="2">
        <v>2025</v>
      </c>
      <c r="B2318" s="2">
        <v>12</v>
      </c>
      <c r="D2318" s="2" t="s">
        <v>1152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4"/>
        <v>0.5</v>
      </c>
      <c r="Z2318" s="2" t="s">
        <v>118</v>
      </c>
      <c r="AA2318" s="2" t="s">
        <v>191</v>
      </c>
      <c r="AB2318" s="2" t="s">
        <v>191</v>
      </c>
      <c r="AC2318" s="2" t="s">
        <v>40</v>
      </c>
      <c r="AF2318" s="2">
        <f t="shared" si="267"/>
        <v>0</v>
      </c>
      <c r="AJ2318" s="2">
        <f t="shared" si="268"/>
        <v>0</v>
      </c>
      <c r="AK2318" s="2">
        <f t="shared" si="269"/>
        <v>17.5</v>
      </c>
      <c r="AL2318" s="5">
        <f t="shared" si="266"/>
        <v>0.5</v>
      </c>
    </row>
    <row r="2319" spans="1:38" hidden="1" x14ac:dyDescent="0.2">
      <c r="A2319" s="2">
        <v>2025</v>
      </c>
      <c r="B2319" s="2">
        <v>12</v>
      </c>
      <c r="D2319" s="2" t="s">
        <v>2100</v>
      </c>
      <c r="M2319" s="2" t="s">
        <v>40</v>
      </c>
      <c r="P2319" s="2" t="s">
        <v>115</v>
      </c>
      <c r="Q2319" s="2" t="s">
        <v>906</v>
      </c>
      <c r="R2319" s="2" t="s">
        <v>907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4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7"/>
        <v>0</v>
      </c>
      <c r="AJ2319" s="2">
        <f t="shared" si="268"/>
        <v>0</v>
      </c>
      <c r="AK2319" s="2">
        <f t="shared" si="269"/>
        <v>246.74660000000006</v>
      </c>
      <c r="AL2319" s="5">
        <f t="shared" si="266"/>
        <v>0.4168368950080244</v>
      </c>
    </row>
    <row r="2320" spans="1:38" hidden="1" x14ac:dyDescent="0.2">
      <c r="A2320" s="2">
        <v>2025</v>
      </c>
      <c r="B2320" s="2">
        <v>12</v>
      </c>
      <c r="D2320" s="2" t="s">
        <v>2100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4"/>
        <v>0.6</v>
      </c>
      <c r="Z2320" s="2" t="s">
        <v>118</v>
      </c>
      <c r="AA2320" s="2" t="s">
        <v>191</v>
      </c>
      <c r="AB2320" s="2" t="s">
        <v>190</v>
      </c>
      <c r="AC2320" s="2" t="s">
        <v>40</v>
      </c>
      <c r="AF2320" s="2">
        <f t="shared" si="267"/>
        <v>0</v>
      </c>
      <c r="AJ2320" s="2">
        <f t="shared" si="268"/>
        <v>0</v>
      </c>
      <c r="AK2320" s="2">
        <f t="shared" si="269"/>
        <v>30</v>
      </c>
      <c r="AL2320" s="5">
        <f t="shared" si="266"/>
        <v>0.6</v>
      </c>
    </row>
    <row r="2321" spans="1:38" hidden="1" x14ac:dyDescent="0.2">
      <c r="A2321" s="2">
        <v>2025</v>
      </c>
      <c r="B2321" s="2">
        <v>12</v>
      </c>
      <c r="D2321" s="2" t="s">
        <v>2100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4"/>
        <v>0.5</v>
      </c>
      <c r="Z2321" s="2" t="s">
        <v>118</v>
      </c>
      <c r="AA2321" s="2" t="s">
        <v>191</v>
      </c>
      <c r="AB2321" s="2" t="s">
        <v>191</v>
      </c>
      <c r="AC2321" s="2" t="s">
        <v>40</v>
      </c>
      <c r="AF2321" s="2">
        <f t="shared" si="267"/>
        <v>0</v>
      </c>
      <c r="AJ2321" s="2">
        <f t="shared" si="268"/>
        <v>0</v>
      </c>
      <c r="AK2321" s="2">
        <f t="shared" si="269"/>
        <v>25</v>
      </c>
      <c r="AL2321" s="5">
        <f t="shared" si="266"/>
        <v>0.5</v>
      </c>
    </row>
    <row r="2322" spans="1:38" hidden="1" x14ac:dyDescent="0.2">
      <c r="A2322" s="2">
        <v>2025</v>
      </c>
      <c r="B2322" s="2">
        <v>12</v>
      </c>
      <c r="D2322" s="2" t="s">
        <v>2100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4"/>
        <v>1</v>
      </c>
      <c r="Z2322" s="2" t="s">
        <v>120</v>
      </c>
      <c r="AA2322" s="2" t="s">
        <v>3385</v>
      </c>
      <c r="AF2322" s="2">
        <f t="shared" si="267"/>
        <v>0</v>
      </c>
      <c r="AJ2322" s="2">
        <f t="shared" si="268"/>
        <v>0</v>
      </c>
      <c r="AK2322" s="2">
        <f t="shared" si="269"/>
        <v>297</v>
      </c>
      <c r="AL2322" s="5">
        <f t="shared" si="266"/>
        <v>1</v>
      </c>
    </row>
    <row r="2323" spans="1:38" hidden="1" x14ac:dyDescent="0.2">
      <c r="A2323" s="2">
        <v>2025</v>
      </c>
      <c r="B2323" s="2">
        <v>12</v>
      </c>
      <c r="D2323" s="2" t="s">
        <v>1478</v>
      </c>
      <c r="E2323" s="2" t="s">
        <v>753</v>
      </c>
      <c r="F2323" s="2" t="s">
        <v>1479</v>
      </c>
      <c r="G2323" s="2">
        <v>506123758</v>
      </c>
      <c r="H2323" s="2" t="s">
        <v>110</v>
      </c>
      <c r="I2323" s="2" t="s">
        <v>1480</v>
      </c>
      <c r="J2323" s="2" t="s">
        <v>1481</v>
      </c>
      <c r="K2323" s="2">
        <v>936406952</v>
      </c>
      <c r="L2323" s="2" t="s">
        <v>462</v>
      </c>
      <c r="M2323" s="2" t="s">
        <v>40</v>
      </c>
      <c r="O2323" s="2" t="s">
        <v>2101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70">(T2323-W2323)/T2323</f>
        <v>0.6</v>
      </c>
      <c r="Z2323" s="2" t="s">
        <v>118</v>
      </c>
      <c r="AA2323" s="2" t="s">
        <v>191</v>
      </c>
      <c r="AB2323" s="2" t="s">
        <v>190</v>
      </c>
      <c r="AC2323" s="2" t="s">
        <v>40</v>
      </c>
      <c r="AF2323" s="2">
        <f t="shared" si="267"/>
        <v>0</v>
      </c>
      <c r="AJ2323" s="2">
        <f t="shared" si="268"/>
        <v>0</v>
      </c>
      <c r="AK2323" s="2">
        <f t="shared" si="269"/>
        <v>111.6</v>
      </c>
      <c r="AL2323" s="5">
        <f t="shared" si="266"/>
        <v>0.6</v>
      </c>
    </row>
    <row r="2324" spans="1:38" hidden="1" x14ac:dyDescent="0.2">
      <c r="A2324" s="2">
        <v>2025</v>
      </c>
      <c r="B2324" s="2">
        <v>12</v>
      </c>
      <c r="D2324" s="2" t="s">
        <v>1478</v>
      </c>
      <c r="E2324" s="2" t="s">
        <v>753</v>
      </c>
      <c r="F2324" s="2" t="s">
        <v>1479</v>
      </c>
      <c r="G2324" s="2">
        <v>506123758</v>
      </c>
      <c r="H2324" s="2" t="s">
        <v>110</v>
      </c>
      <c r="I2324" s="2" t="s">
        <v>1480</v>
      </c>
      <c r="J2324" s="2" t="s">
        <v>1481</v>
      </c>
      <c r="K2324" s="2">
        <v>936406952</v>
      </c>
      <c r="L2324" s="2" t="s">
        <v>462</v>
      </c>
      <c r="M2324" s="2" t="s">
        <v>40</v>
      </c>
      <c r="O2324" s="2" t="s">
        <v>2101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70"/>
        <v>0.5</v>
      </c>
      <c r="Z2324" s="2" t="s">
        <v>118</v>
      </c>
      <c r="AA2324" s="2" t="s">
        <v>191</v>
      </c>
      <c r="AB2324" s="2" t="s">
        <v>191</v>
      </c>
      <c r="AC2324" s="2" t="s">
        <v>40</v>
      </c>
      <c r="AF2324" s="2">
        <f t="shared" si="267"/>
        <v>0</v>
      </c>
      <c r="AJ2324" s="2">
        <f t="shared" si="268"/>
        <v>0</v>
      </c>
      <c r="AK2324" s="2">
        <f t="shared" si="269"/>
        <v>25</v>
      </c>
      <c r="AL2324" s="5">
        <f t="shared" si="266"/>
        <v>0.5</v>
      </c>
    </row>
    <row r="2325" spans="1:38" hidden="1" x14ac:dyDescent="0.2">
      <c r="A2325" s="2">
        <v>2025</v>
      </c>
      <c r="B2325" s="2">
        <v>12</v>
      </c>
      <c r="D2325" s="2" t="s">
        <v>688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689</v>
      </c>
      <c r="L2325" s="2" t="s">
        <v>340</v>
      </c>
      <c r="P2325" s="2" t="s">
        <v>115</v>
      </c>
      <c r="Q2325" s="2" t="s">
        <v>824</v>
      </c>
      <c r="R2325" s="2" t="s">
        <v>825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70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7"/>
        <v>0</v>
      </c>
      <c r="AJ2325" s="2">
        <f t="shared" si="268"/>
        <v>0</v>
      </c>
      <c r="AK2325" s="2">
        <f t="shared" si="269"/>
        <v>273.13</v>
      </c>
      <c r="AL2325" s="5">
        <f t="shared" si="266"/>
        <v>1</v>
      </c>
    </row>
    <row r="2326" spans="1:38" hidden="1" x14ac:dyDescent="0.2">
      <c r="A2326" s="2">
        <v>2025</v>
      </c>
      <c r="B2326" s="2">
        <v>12</v>
      </c>
      <c r="D2326" s="2" t="s">
        <v>690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691</v>
      </c>
      <c r="K2326" s="2">
        <v>913036545</v>
      </c>
      <c r="L2326" s="2" t="s">
        <v>178</v>
      </c>
      <c r="M2326" s="2" t="s">
        <v>40</v>
      </c>
      <c r="O2326" s="2" t="s">
        <v>2102</v>
      </c>
      <c r="P2326" s="2" t="s">
        <v>115</v>
      </c>
      <c r="Q2326" s="2" t="s">
        <v>2103</v>
      </c>
      <c r="R2326" s="2" t="s">
        <v>2104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70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7"/>
        <v>0</v>
      </c>
      <c r="AG2326" s="2">
        <v>42.23</v>
      </c>
      <c r="AJ2326" s="2">
        <f t="shared" si="268"/>
        <v>0</v>
      </c>
      <c r="AK2326" s="2">
        <f t="shared" si="269"/>
        <v>12.900000000000006</v>
      </c>
      <c r="AL2326" s="5">
        <f t="shared" si="266"/>
        <v>0.23399238164338845</v>
      </c>
    </row>
    <row r="2327" spans="1:38" hidden="1" x14ac:dyDescent="0.2">
      <c r="A2327" s="2">
        <v>2025</v>
      </c>
      <c r="B2327" s="2">
        <v>12</v>
      </c>
      <c r="D2327" s="2" t="s">
        <v>690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691</v>
      </c>
      <c r="K2327" s="2">
        <v>913036545</v>
      </c>
      <c r="L2327" s="2" t="s">
        <v>178</v>
      </c>
      <c r="M2327" s="2" t="s">
        <v>40</v>
      </c>
      <c r="O2327" s="2" t="s">
        <v>2102</v>
      </c>
      <c r="P2327" s="2" t="s">
        <v>115</v>
      </c>
      <c r="Q2327" s="2" t="s">
        <v>1426</v>
      </c>
      <c r="R2327" s="2" t="s">
        <v>1427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270"/>
        <v>0.53835775587452683</v>
      </c>
      <c r="Z2327" s="2" t="s">
        <v>118</v>
      </c>
      <c r="AA2327" s="2" t="s">
        <v>119</v>
      </c>
      <c r="AF2327" s="2">
        <f t="shared" si="267"/>
        <v>0</v>
      </c>
      <c r="AJ2327" s="2">
        <f t="shared" si="268"/>
        <v>0</v>
      </c>
      <c r="AK2327" s="2">
        <f t="shared" si="269"/>
        <v>1005.55</v>
      </c>
      <c r="AL2327" s="5">
        <f t="shared" si="266"/>
        <v>0.53835775587452683</v>
      </c>
    </row>
    <row r="2328" spans="1:38" hidden="1" x14ac:dyDescent="0.2">
      <c r="A2328" s="2">
        <v>2025</v>
      </c>
      <c r="B2328" s="2">
        <v>12</v>
      </c>
      <c r="D2328" s="2" t="s">
        <v>690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691</v>
      </c>
      <c r="K2328" s="2">
        <v>913036545</v>
      </c>
      <c r="L2328" s="2" t="s">
        <v>178</v>
      </c>
      <c r="M2328" s="2" t="s">
        <v>41</v>
      </c>
      <c r="O2328" s="2" t="s">
        <v>2105</v>
      </c>
      <c r="P2328" s="2" t="s">
        <v>115</v>
      </c>
      <c r="Q2328" s="2" t="s">
        <v>1889</v>
      </c>
      <c r="R2328" s="2" t="s">
        <v>1890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270"/>
        <v>0.29566382978723404</v>
      </c>
      <c r="Z2328" s="2" t="s">
        <v>105</v>
      </c>
      <c r="AA2328" s="2" t="s">
        <v>151</v>
      </c>
      <c r="AB2328" s="2" t="s">
        <v>152</v>
      </c>
      <c r="AC2328" s="2" t="s">
        <v>115</v>
      </c>
      <c r="AF2328" s="2">
        <f t="shared" si="267"/>
        <v>0</v>
      </c>
      <c r="AJ2328" s="2">
        <f t="shared" si="268"/>
        <v>0</v>
      </c>
      <c r="AK2328" s="2">
        <f t="shared" si="269"/>
        <v>1389.62</v>
      </c>
      <c r="AL2328" s="5">
        <f t="shared" si="266"/>
        <v>0.29566382978723404</v>
      </c>
    </row>
    <row r="2329" spans="1:38" hidden="1" x14ac:dyDescent="0.2">
      <c r="A2329" s="2">
        <v>2025</v>
      </c>
      <c r="B2329" s="2">
        <v>12</v>
      </c>
      <c r="D2329" s="2" t="s">
        <v>690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691</v>
      </c>
      <c r="K2329" s="2">
        <v>913036545</v>
      </c>
      <c r="L2329" s="2" t="s">
        <v>178</v>
      </c>
      <c r="M2329" s="2" t="s">
        <v>41</v>
      </c>
      <c r="O2329" s="2" t="s">
        <v>2106</v>
      </c>
      <c r="P2329" s="2" t="s">
        <v>283</v>
      </c>
      <c r="Q2329" s="2" t="s">
        <v>1071</v>
      </c>
      <c r="R2329" s="2" t="s">
        <v>1072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70"/>
        <v>0.33387665198237887</v>
      </c>
      <c r="Z2329" s="2" t="s">
        <v>3231</v>
      </c>
      <c r="AA2329" s="2" t="s">
        <v>72</v>
      </c>
      <c r="AB2329" s="2" t="s">
        <v>120</v>
      </c>
      <c r="AC2329" s="2" t="s">
        <v>120</v>
      </c>
      <c r="AF2329" s="2">
        <f t="shared" si="267"/>
        <v>0</v>
      </c>
      <c r="AJ2329" s="2">
        <f t="shared" si="268"/>
        <v>0</v>
      </c>
      <c r="AK2329" s="2">
        <f t="shared" si="269"/>
        <v>6.0632000000000001</v>
      </c>
      <c r="AL2329" s="5">
        <f t="shared" si="266"/>
        <v>0.33387665198237887</v>
      </c>
    </row>
    <row r="2330" spans="1:38" hidden="1" x14ac:dyDescent="0.2">
      <c r="A2330" s="2">
        <v>2025</v>
      </c>
      <c r="B2330" s="2">
        <v>12</v>
      </c>
      <c r="D2330" s="2" t="s">
        <v>690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691</v>
      </c>
      <c r="K2330" s="2">
        <v>913036545</v>
      </c>
      <c r="L2330" s="2" t="s">
        <v>178</v>
      </c>
      <c r="M2330" s="2" t="s">
        <v>41</v>
      </c>
      <c r="O2330" s="2" t="s">
        <v>2106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270"/>
        <v>0.24999999999999994</v>
      </c>
      <c r="Z2330" s="2" t="s">
        <v>3231</v>
      </c>
      <c r="AA2330" s="2" t="s">
        <v>46</v>
      </c>
      <c r="AB2330" s="2" t="s">
        <v>47</v>
      </c>
      <c r="AC2330" s="2" t="s">
        <v>48</v>
      </c>
      <c r="AF2330" s="2">
        <f t="shared" si="267"/>
        <v>0</v>
      </c>
      <c r="AG2330" s="2">
        <v>10.2346</v>
      </c>
      <c r="AH2330" s="2">
        <v>18</v>
      </c>
      <c r="AJ2330" s="2">
        <f t="shared" si="268"/>
        <v>0</v>
      </c>
      <c r="AK2330" s="2">
        <f t="shared" si="269"/>
        <v>9.5999999999999979</v>
      </c>
      <c r="AL2330" s="5">
        <f t="shared" si="266"/>
        <v>0.24999999999999994</v>
      </c>
    </row>
    <row r="2331" spans="1:38" hidden="1" x14ac:dyDescent="0.2">
      <c r="A2331" s="2">
        <v>2025</v>
      </c>
      <c r="B2331" s="2">
        <v>12</v>
      </c>
      <c r="D2331" s="2" t="s">
        <v>690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691</v>
      </c>
      <c r="K2331" s="2">
        <v>913036545</v>
      </c>
      <c r="L2331" s="2" t="s">
        <v>178</v>
      </c>
      <c r="M2331" s="2" t="s">
        <v>41</v>
      </c>
      <c r="O2331" s="2" t="s">
        <v>2106</v>
      </c>
      <c r="P2331" s="2" t="s">
        <v>43</v>
      </c>
      <c r="Q2331" s="2" t="s">
        <v>861</v>
      </c>
      <c r="R2331" s="2" t="s">
        <v>862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270"/>
        <v>0.58333333333333337</v>
      </c>
      <c r="Z2331" s="2" t="s">
        <v>3231</v>
      </c>
      <c r="AA2331" s="2" t="s">
        <v>46</v>
      </c>
      <c r="AB2331" s="2" t="s">
        <v>47</v>
      </c>
      <c r="AC2331" s="2" t="s">
        <v>48</v>
      </c>
      <c r="AF2331" s="2">
        <f t="shared" si="267"/>
        <v>0</v>
      </c>
      <c r="AJ2331" s="2">
        <f t="shared" si="268"/>
        <v>0</v>
      </c>
      <c r="AK2331" s="2">
        <f t="shared" si="269"/>
        <v>22.4</v>
      </c>
      <c r="AL2331" s="5">
        <f t="shared" si="266"/>
        <v>0.58333333333333337</v>
      </c>
    </row>
    <row r="2332" spans="1:38" hidden="1" x14ac:dyDescent="0.2">
      <c r="A2332" s="2">
        <v>2025</v>
      </c>
      <c r="B2332" s="2">
        <v>12</v>
      </c>
      <c r="D2332" s="2" t="s">
        <v>690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691</v>
      </c>
      <c r="K2332" s="2">
        <v>913036545</v>
      </c>
      <c r="L2332" s="2" t="s">
        <v>178</v>
      </c>
      <c r="M2332" s="2" t="s">
        <v>41</v>
      </c>
      <c r="O2332" s="2" t="s">
        <v>2106</v>
      </c>
      <c r="P2332" s="2" t="s">
        <v>43</v>
      </c>
      <c r="Q2332" s="2" t="s">
        <v>1167</v>
      </c>
      <c r="R2332" s="2" t="s">
        <v>1168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270"/>
        <v>0.43636363636363634</v>
      </c>
      <c r="Z2332" s="2" t="s">
        <v>3231</v>
      </c>
      <c r="AA2332" s="2" t="s">
        <v>46</v>
      </c>
      <c r="AB2332" s="2" t="s">
        <v>47</v>
      </c>
      <c r="AC2332" s="2" t="s">
        <v>48</v>
      </c>
      <c r="AF2332" s="2">
        <f t="shared" si="267"/>
        <v>0</v>
      </c>
      <c r="AJ2332" s="2">
        <f t="shared" si="268"/>
        <v>0</v>
      </c>
      <c r="AK2332" s="2">
        <f t="shared" si="269"/>
        <v>14.399999999999999</v>
      </c>
      <c r="AL2332" s="5">
        <f t="shared" si="266"/>
        <v>0.43636363636363634</v>
      </c>
    </row>
    <row r="2333" spans="1:38" hidden="1" x14ac:dyDescent="0.2">
      <c r="A2333" s="2">
        <v>2025</v>
      </c>
      <c r="B2333" s="2">
        <v>12</v>
      </c>
      <c r="D2333" s="2" t="s">
        <v>690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691</v>
      </c>
      <c r="K2333" s="2">
        <v>913036545</v>
      </c>
      <c r="L2333" s="2" t="s">
        <v>178</v>
      </c>
      <c r="M2333" s="2" t="s">
        <v>40</v>
      </c>
      <c r="O2333" s="2" t="s">
        <v>2102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70"/>
        <v>0.6</v>
      </c>
      <c r="Z2333" s="2" t="s">
        <v>118</v>
      </c>
      <c r="AA2333" s="2" t="s">
        <v>191</v>
      </c>
      <c r="AB2333" s="2" t="s">
        <v>190</v>
      </c>
      <c r="AC2333" s="2" t="s">
        <v>40</v>
      </c>
      <c r="AF2333" s="2">
        <f t="shared" si="267"/>
        <v>0</v>
      </c>
      <c r="AJ2333" s="2">
        <f t="shared" si="268"/>
        <v>0</v>
      </c>
      <c r="AK2333" s="2">
        <f t="shared" si="269"/>
        <v>47.4</v>
      </c>
      <c r="AL2333" s="5">
        <f t="shared" si="266"/>
        <v>0.6</v>
      </c>
    </row>
    <row r="2334" spans="1:38" hidden="1" x14ac:dyDescent="0.2">
      <c r="A2334" s="2">
        <v>2025</v>
      </c>
      <c r="B2334" s="2">
        <v>12</v>
      </c>
      <c r="D2334" s="2" t="s">
        <v>690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691</v>
      </c>
      <c r="K2334" s="2">
        <v>913036545</v>
      </c>
      <c r="L2334" s="2" t="s">
        <v>178</v>
      </c>
      <c r="M2334" s="2" t="s">
        <v>40</v>
      </c>
      <c r="O2334" s="2" t="s">
        <v>2102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70"/>
        <v>0.5</v>
      </c>
      <c r="Z2334" s="2" t="s">
        <v>118</v>
      </c>
      <c r="AA2334" s="2" t="s">
        <v>191</v>
      </c>
      <c r="AB2334" s="2" t="s">
        <v>191</v>
      </c>
      <c r="AC2334" s="2" t="s">
        <v>40</v>
      </c>
      <c r="AF2334" s="2">
        <f t="shared" si="267"/>
        <v>0</v>
      </c>
      <c r="AJ2334" s="2">
        <f t="shared" si="268"/>
        <v>0</v>
      </c>
      <c r="AK2334" s="2">
        <f t="shared" si="269"/>
        <v>50</v>
      </c>
      <c r="AL2334" s="5">
        <f t="shared" si="266"/>
        <v>0.5</v>
      </c>
    </row>
    <row r="2335" spans="1:38" hidden="1" x14ac:dyDescent="0.2">
      <c r="A2335" s="2">
        <v>2025</v>
      </c>
      <c r="B2335" s="2">
        <v>12</v>
      </c>
      <c r="D2335" s="2" t="s">
        <v>690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691</v>
      </c>
      <c r="K2335" s="2">
        <v>913036545</v>
      </c>
      <c r="L2335" s="2" t="s">
        <v>178</v>
      </c>
      <c r="M2335" s="2" t="s">
        <v>40</v>
      </c>
      <c r="O2335" s="2" t="s">
        <v>2105</v>
      </c>
      <c r="P2335" s="2" t="s">
        <v>188</v>
      </c>
      <c r="Q2335" s="2" t="s">
        <v>1310</v>
      </c>
      <c r="R2335" s="2" t="s">
        <v>1311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118</v>
      </c>
      <c r="AA2335" s="2" t="s">
        <v>1312</v>
      </c>
      <c r="AF2335" s="2">
        <f t="shared" si="267"/>
        <v>0</v>
      </c>
      <c r="AJ2335" s="2">
        <f t="shared" si="268"/>
        <v>0</v>
      </c>
      <c r="AK2335" s="2">
        <f t="shared" si="269"/>
        <v>0</v>
      </c>
      <c r="AL2335" s="5">
        <v>-1</v>
      </c>
    </row>
    <row r="2336" spans="1:38" hidden="1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2107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71">(T2336-W2336)/T2336</f>
        <v>0.430969696969697</v>
      </c>
      <c r="Z2336" s="2" t="s">
        <v>3231</v>
      </c>
      <c r="AA2336" s="2" t="s">
        <v>46</v>
      </c>
      <c r="AB2336" s="2" t="s">
        <v>61</v>
      </c>
      <c r="AC2336" s="2" t="s">
        <v>58</v>
      </c>
      <c r="AF2336" s="2">
        <f t="shared" si="267"/>
        <v>0</v>
      </c>
      <c r="AG2336" s="2">
        <v>3.7555999999999998</v>
      </c>
      <c r="AH2336" s="2">
        <v>7.2</v>
      </c>
      <c r="AJ2336" s="2">
        <f t="shared" si="268"/>
        <v>0</v>
      </c>
      <c r="AK2336" s="2">
        <f t="shared" si="269"/>
        <v>34.132800000000003</v>
      </c>
      <c r="AL2336" s="5">
        <f t="shared" si="266"/>
        <v>0.430969696969697</v>
      </c>
    </row>
    <row r="2337" spans="1:38" hidden="1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2107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71"/>
        <v>0.5243888888888889</v>
      </c>
      <c r="Z2337" s="2" t="s">
        <v>3231</v>
      </c>
      <c r="AA2337" s="2" t="s">
        <v>46</v>
      </c>
      <c r="AB2337" s="2" t="s">
        <v>61</v>
      </c>
      <c r="AC2337" s="2" t="s">
        <v>58</v>
      </c>
      <c r="AF2337" s="2">
        <f t="shared" si="267"/>
        <v>0</v>
      </c>
      <c r="AG2337" s="2">
        <v>0.85609999999999997</v>
      </c>
      <c r="AH2337" s="2">
        <v>1.8</v>
      </c>
      <c r="AJ2337" s="2">
        <f t="shared" si="268"/>
        <v>0</v>
      </c>
      <c r="AK2337" s="2">
        <f t="shared" si="269"/>
        <v>11.326800000000002</v>
      </c>
      <c r="AL2337" s="5">
        <f t="shared" si="266"/>
        <v>0.5243888888888889</v>
      </c>
    </row>
    <row r="2338" spans="1:38" hidden="1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2107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71"/>
        <v>0.62926666666666664</v>
      </c>
      <c r="Z2338" s="2" t="s">
        <v>3231</v>
      </c>
      <c r="AA2338" s="2" t="s">
        <v>46</v>
      </c>
      <c r="AB2338" s="2" t="s">
        <v>61</v>
      </c>
      <c r="AC2338" s="2" t="s">
        <v>58</v>
      </c>
      <c r="AF2338" s="2">
        <f t="shared" si="267"/>
        <v>0</v>
      </c>
      <c r="AG2338" s="2">
        <v>1.1122000000000001</v>
      </c>
      <c r="AH2338" s="2">
        <v>3</v>
      </c>
      <c r="AJ2338" s="2">
        <f t="shared" si="268"/>
        <v>0</v>
      </c>
      <c r="AK2338" s="2">
        <f t="shared" si="269"/>
        <v>18.878</v>
      </c>
      <c r="AL2338" s="5">
        <f t="shared" si="266"/>
        <v>0.62926666666666664</v>
      </c>
    </row>
    <row r="2339" spans="1:38" hidden="1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2108</v>
      </c>
      <c r="P2339" s="2" t="s">
        <v>115</v>
      </c>
      <c r="Q2339" s="2" t="s">
        <v>1518</v>
      </c>
      <c r="R2339" s="2" t="s">
        <v>1519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71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7"/>
        <v>0</v>
      </c>
      <c r="AJ2339" s="2">
        <f t="shared" si="268"/>
        <v>0</v>
      </c>
      <c r="AK2339" s="2">
        <f t="shared" si="269"/>
        <v>33.33</v>
      </c>
      <c r="AL2339" s="5">
        <f t="shared" si="266"/>
        <v>1</v>
      </c>
    </row>
    <row r="2340" spans="1:38" hidden="1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2108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71"/>
        <v>0.59999999999999987</v>
      </c>
      <c r="Z2340" s="2" t="s">
        <v>118</v>
      </c>
      <c r="AA2340" s="2" t="s">
        <v>191</v>
      </c>
      <c r="AB2340" s="2" t="s">
        <v>190</v>
      </c>
      <c r="AC2340" s="2" t="s">
        <v>40</v>
      </c>
      <c r="AF2340" s="2">
        <f t="shared" si="267"/>
        <v>0</v>
      </c>
      <c r="AJ2340" s="2">
        <f t="shared" si="268"/>
        <v>0</v>
      </c>
      <c r="AK2340" s="2">
        <f t="shared" si="269"/>
        <v>36.599999999999994</v>
      </c>
      <c r="AL2340" s="5">
        <f t="shared" si="266"/>
        <v>0.59999999999999987</v>
      </c>
    </row>
    <row r="2341" spans="1:38" hidden="1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2108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71"/>
        <v>0.5</v>
      </c>
      <c r="Z2341" s="2" t="s">
        <v>118</v>
      </c>
      <c r="AA2341" s="2" t="s">
        <v>191</v>
      </c>
      <c r="AB2341" s="2" t="s">
        <v>191</v>
      </c>
      <c r="AC2341" s="2" t="s">
        <v>40</v>
      </c>
      <c r="AF2341" s="2">
        <f t="shared" si="267"/>
        <v>0</v>
      </c>
      <c r="AJ2341" s="2">
        <f t="shared" si="268"/>
        <v>0</v>
      </c>
      <c r="AK2341" s="2">
        <f t="shared" si="269"/>
        <v>62.5</v>
      </c>
      <c r="AL2341" s="5">
        <f t="shared" si="266"/>
        <v>0.5</v>
      </c>
    </row>
    <row r="2342" spans="1:38" hidden="1" x14ac:dyDescent="0.2">
      <c r="A2342" s="2">
        <v>2025</v>
      </c>
      <c r="B2342" s="2">
        <v>12</v>
      </c>
      <c r="D2342" s="2" t="s">
        <v>2109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71"/>
        <v>0.59999999999999987</v>
      </c>
      <c r="Z2342" s="2" t="s">
        <v>118</v>
      </c>
      <c r="AA2342" s="2" t="s">
        <v>191</v>
      </c>
      <c r="AB2342" s="2" t="s">
        <v>190</v>
      </c>
      <c r="AC2342" s="2" t="s">
        <v>40</v>
      </c>
      <c r="AF2342" s="2">
        <f t="shared" si="267"/>
        <v>0</v>
      </c>
      <c r="AJ2342" s="2">
        <f t="shared" si="268"/>
        <v>0</v>
      </c>
      <c r="AK2342" s="2">
        <f t="shared" si="269"/>
        <v>42.599999999999994</v>
      </c>
      <c r="AL2342" s="5">
        <f t="shared" si="266"/>
        <v>0.59999999999999987</v>
      </c>
    </row>
    <row r="2343" spans="1:38" hidden="1" x14ac:dyDescent="0.2">
      <c r="A2343" s="2">
        <v>2025</v>
      </c>
      <c r="B2343" s="2">
        <v>12</v>
      </c>
      <c r="D2343" s="2" t="s">
        <v>2109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71"/>
        <v>0.5</v>
      </c>
      <c r="Z2343" s="2" t="s">
        <v>118</v>
      </c>
      <c r="AA2343" s="2" t="s">
        <v>191</v>
      </c>
      <c r="AB2343" s="2" t="s">
        <v>191</v>
      </c>
      <c r="AC2343" s="2" t="s">
        <v>40</v>
      </c>
      <c r="AF2343" s="2">
        <f t="shared" si="267"/>
        <v>0</v>
      </c>
      <c r="AJ2343" s="2">
        <f t="shared" si="268"/>
        <v>0</v>
      </c>
      <c r="AK2343" s="2">
        <f t="shared" si="269"/>
        <v>25</v>
      </c>
      <c r="AL2343" s="5">
        <f t="shared" si="266"/>
        <v>0.5</v>
      </c>
    </row>
    <row r="2344" spans="1:38" hidden="1" x14ac:dyDescent="0.2">
      <c r="A2344" s="2">
        <v>2025</v>
      </c>
      <c r="B2344" s="2">
        <v>12</v>
      </c>
      <c r="D2344" s="2" t="s">
        <v>2109</v>
      </c>
      <c r="P2344" s="2" t="s">
        <v>188</v>
      </c>
      <c r="Q2344" s="2" t="s">
        <v>1310</v>
      </c>
      <c r="R2344" s="2" t="s">
        <v>1311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71"/>
        <v>1</v>
      </c>
      <c r="Z2344" s="2" t="s">
        <v>118</v>
      </c>
      <c r="AA2344" s="2" t="s">
        <v>1312</v>
      </c>
      <c r="AF2344" s="2">
        <f t="shared" si="267"/>
        <v>0</v>
      </c>
      <c r="AJ2344" s="2">
        <f t="shared" si="268"/>
        <v>0</v>
      </c>
      <c r="AK2344" s="2">
        <f t="shared" si="269"/>
        <v>45</v>
      </c>
      <c r="AL2344" s="5">
        <f t="shared" si="266"/>
        <v>1</v>
      </c>
    </row>
    <row r="2345" spans="1:38" hidden="1" x14ac:dyDescent="0.2">
      <c r="A2345" s="2">
        <v>2025</v>
      </c>
      <c r="B2345" s="2">
        <v>12</v>
      </c>
      <c r="D2345" s="2" t="s">
        <v>1170</v>
      </c>
      <c r="E2345" s="2" t="s">
        <v>753</v>
      </c>
      <c r="F2345" s="2" t="s">
        <v>1171</v>
      </c>
      <c r="G2345" s="2">
        <v>505760088</v>
      </c>
      <c r="H2345" s="2" t="s">
        <v>291</v>
      </c>
      <c r="I2345" s="2" t="s">
        <v>1172</v>
      </c>
      <c r="J2345" s="2" t="s">
        <v>1173</v>
      </c>
      <c r="L2345" s="2" t="s">
        <v>340</v>
      </c>
      <c r="M2345" s="2" t="s">
        <v>1174</v>
      </c>
      <c r="O2345" s="2" t="s">
        <v>2110</v>
      </c>
      <c r="P2345" s="2" t="s">
        <v>43</v>
      </c>
      <c r="Q2345" s="2" t="s">
        <v>973</v>
      </c>
      <c r="R2345" s="2" t="s">
        <v>974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71"/>
        <v>0.36885999999999997</v>
      </c>
      <c r="Z2345" s="2" t="s">
        <v>3231</v>
      </c>
      <c r="AA2345" s="2" t="s">
        <v>46</v>
      </c>
      <c r="AB2345" s="2" t="s">
        <v>61</v>
      </c>
      <c r="AC2345" s="2" t="s">
        <v>58</v>
      </c>
      <c r="AF2345" s="2">
        <f t="shared" si="267"/>
        <v>0</v>
      </c>
      <c r="AG2345" s="2">
        <v>18.934200000000001</v>
      </c>
      <c r="AH2345" s="2">
        <v>29</v>
      </c>
      <c r="AJ2345" s="2">
        <f t="shared" si="268"/>
        <v>0</v>
      </c>
      <c r="AK2345" s="2">
        <f t="shared" si="269"/>
        <v>44.263199999999998</v>
      </c>
      <c r="AL2345" s="5">
        <f t="shared" si="266"/>
        <v>0.36885999999999997</v>
      </c>
    </row>
    <row r="2346" spans="1:38" hidden="1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71"/>
        <v>0.6</v>
      </c>
      <c r="Z2346" s="2" t="s">
        <v>118</v>
      </c>
      <c r="AA2346" s="2" t="s">
        <v>191</v>
      </c>
      <c r="AB2346" s="2" t="s">
        <v>190</v>
      </c>
      <c r="AC2346" s="2" t="s">
        <v>40</v>
      </c>
      <c r="AF2346" s="2">
        <f t="shared" si="267"/>
        <v>0</v>
      </c>
      <c r="AJ2346" s="2">
        <f t="shared" si="268"/>
        <v>0</v>
      </c>
      <c r="AK2346" s="2">
        <f t="shared" si="269"/>
        <v>34.799999999999997</v>
      </c>
      <c r="AL2346" s="5">
        <f t="shared" si="266"/>
        <v>0.6</v>
      </c>
    </row>
    <row r="2347" spans="1:38" hidden="1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71"/>
        <v>0.5</v>
      </c>
      <c r="Z2347" s="2" t="s">
        <v>118</v>
      </c>
      <c r="AA2347" s="2" t="s">
        <v>191</v>
      </c>
      <c r="AB2347" s="2" t="s">
        <v>191</v>
      </c>
      <c r="AC2347" s="2" t="s">
        <v>40</v>
      </c>
      <c r="AF2347" s="2">
        <f t="shared" si="267"/>
        <v>0</v>
      </c>
      <c r="AJ2347" s="2">
        <f t="shared" si="268"/>
        <v>0</v>
      </c>
      <c r="AK2347" s="2">
        <f t="shared" si="269"/>
        <v>18.75</v>
      </c>
      <c r="AL2347" s="5">
        <f t="shared" si="266"/>
        <v>0.5</v>
      </c>
    </row>
    <row r="2348" spans="1:38" hidden="1" x14ac:dyDescent="0.2">
      <c r="A2348" s="2">
        <v>2025</v>
      </c>
      <c r="B2348" s="2">
        <v>12</v>
      </c>
      <c r="D2348" s="2" t="s">
        <v>694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695</v>
      </c>
      <c r="J2348" s="2" t="s">
        <v>696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71"/>
        <v>0.41191666666666665</v>
      </c>
      <c r="Z2348" s="2" t="s">
        <v>3231</v>
      </c>
      <c r="AA2348" s="2" t="s">
        <v>46</v>
      </c>
      <c r="AB2348" s="2" t="s">
        <v>61</v>
      </c>
      <c r="AC2348" s="2" t="s">
        <v>58</v>
      </c>
      <c r="AF2348" s="2">
        <f t="shared" si="267"/>
        <v>0</v>
      </c>
      <c r="AG2348" s="2">
        <v>1.4114</v>
      </c>
      <c r="AH2348" s="2">
        <v>3</v>
      </c>
      <c r="AJ2348" s="2">
        <f t="shared" si="268"/>
        <v>0</v>
      </c>
      <c r="AK2348" s="2">
        <f t="shared" si="269"/>
        <v>3.9543999999999997</v>
      </c>
      <c r="AL2348" s="5">
        <f t="shared" si="266"/>
        <v>0.41191666666666665</v>
      </c>
    </row>
    <row r="2349" spans="1:38" hidden="1" x14ac:dyDescent="0.2">
      <c r="A2349" s="2">
        <v>2025</v>
      </c>
      <c r="B2349" s="2">
        <v>12</v>
      </c>
      <c r="D2349" s="2" t="s">
        <v>694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695</v>
      </c>
      <c r="J2349" s="2" t="s">
        <v>696</v>
      </c>
      <c r="K2349" s="2">
        <v>917295518</v>
      </c>
      <c r="L2349" s="2" t="s">
        <v>178</v>
      </c>
      <c r="M2349" s="2" t="s">
        <v>41</v>
      </c>
      <c r="O2349" s="2" t="s">
        <v>2111</v>
      </c>
      <c r="P2349" s="2" t="s">
        <v>43</v>
      </c>
      <c r="Q2349" s="2" t="s">
        <v>2112</v>
      </c>
      <c r="R2349" s="2" t="s">
        <v>2113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71"/>
        <v>0.49208333333333326</v>
      </c>
      <c r="Z2349" s="2" t="s">
        <v>3231</v>
      </c>
      <c r="AA2349" s="2" t="s">
        <v>46</v>
      </c>
      <c r="AB2349" s="2" t="s">
        <v>61</v>
      </c>
      <c r="AC2349" s="2" t="s">
        <v>58</v>
      </c>
      <c r="AF2349" s="2">
        <f t="shared" si="267"/>
        <v>0</v>
      </c>
      <c r="AG2349" s="2">
        <v>1.2190000000000001</v>
      </c>
      <c r="AH2349" s="2">
        <v>3</v>
      </c>
      <c r="AJ2349" s="2">
        <f t="shared" si="268"/>
        <v>0</v>
      </c>
      <c r="AK2349" s="2">
        <f t="shared" si="269"/>
        <v>4.7239999999999993</v>
      </c>
      <c r="AL2349" s="5">
        <f t="shared" si="266"/>
        <v>0.49208333333333326</v>
      </c>
    </row>
    <row r="2350" spans="1:38" hidden="1" x14ac:dyDescent="0.2">
      <c r="A2350" s="2">
        <v>2025</v>
      </c>
      <c r="B2350" s="2">
        <v>12</v>
      </c>
      <c r="D2350" s="2" t="s">
        <v>2114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71"/>
        <v>1</v>
      </c>
      <c r="Z2350" s="2" t="s">
        <v>120</v>
      </c>
      <c r="AA2350" s="2" t="s">
        <v>3385</v>
      </c>
      <c r="AF2350" s="2">
        <f t="shared" si="267"/>
        <v>0</v>
      </c>
      <c r="AJ2350" s="2">
        <f t="shared" si="268"/>
        <v>0</v>
      </c>
      <c r="AK2350" s="2">
        <f t="shared" si="269"/>
        <v>18.260000000000002</v>
      </c>
      <c r="AL2350" s="5">
        <f t="shared" si="266"/>
        <v>1</v>
      </c>
    </row>
    <row r="2351" spans="1:38" hidden="1" x14ac:dyDescent="0.2">
      <c r="A2351" s="2">
        <v>2025</v>
      </c>
      <c r="B2351" s="2">
        <v>12</v>
      </c>
      <c r="D2351" s="2" t="s">
        <v>2115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3385</v>
      </c>
      <c r="AF2351" s="2">
        <f t="shared" si="267"/>
        <v>0</v>
      </c>
      <c r="AJ2351" s="2">
        <f t="shared" si="268"/>
        <v>0</v>
      </c>
    </row>
    <row r="2352" spans="1:38" hidden="1" x14ac:dyDescent="0.2">
      <c r="A2352" s="2">
        <v>2025</v>
      </c>
      <c r="B2352" s="2">
        <v>12</v>
      </c>
      <c r="D2352" s="2" t="s">
        <v>717</v>
      </c>
      <c r="E2352" s="2" t="s">
        <v>109</v>
      </c>
      <c r="F2352" s="2" t="s">
        <v>718</v>
      </c>
      <c r="G2352" s="2">
        <v>500042063</v>
      </c>
      <c r="H2352" s="2" t="s">
        <v>110</v>
      </c>
      <c r="I2352" s="2" t="s">
        <v>113</v>
      </c>
      <c r="J2352" s="2" t="s">
        <v>719</v>
      </c>
      <c r="L2352" s="2" t="s">
        <v>113</v>
      </c>
      <c r="M2352" s="2" t="s">
        <v>40</v>
      </c>
      <c r="O2352" s="2" t="s">
        <v>2116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71"/>
        <v>0.6</v>
      </c>
      <c r="Z2352" s="2" t="s">
        <v>118</v>
      </c>
      <c r="AA2352" s="2" t="s">
        <v>191</v>
      </c>
      <c r="AB2352" s="2" t="s">
        <v>190</v>
      </c>
      <c r="AC2352" s="2" t="s">
        <v>40</v>
      </c>
      <c r="AF2352" s="2">
        <f t="shared" si="267"/>
        <v>0</v>
      </c>
      <c r="AJ2352" s="2">
        <f t="shared" si="268"/>
        <v>0</v>
      </c>
      <c r="AK2352" s="2">
        <f t="shared" si="269"/>
        <v>58.949999999999996</v>
      </c>
      <c r="AL2352" s="5">
        <f t="shared" si="266"/>
        <v>0.6</v>
      </c>
    </row>
    <row r="2353" spans="1:38" hidden="1" x14ac:dyDescent="0.2">
      <c r="A2353" s="2">
        <v>2025</v>
      </c>
      <c r="B2353" s="2">
        <v>12</v>
      </c>
      <c r="D2353" s="2" t="s">
        <v>717</v>
      </c>
      <c r="E2353" s="2" t="s">
        <v>109</v>
      </c>
      <c r="F2353" s="2" t="s">
        <v>718</v>
      </c>
      <c r="G2353" s="2">
        <v>500042063</v>
      </c>
      <c r="H2353" s="2" t="s">
        <v>110</v>
      </c>
      <c r="I2353" s="2" t="s">
        <v>113</v>
      </c>
      <c r="J2353" s="2" t="s">
        <v>719</v>
      </c>
      <c r="L2353" s="2" t="s">
        <v>113</v>
      </c>
      <c r="M2353" s="2" t="s">
        <v>40</v>
      </c>
      <c r="O2353" s="2" t="s">
        <v>2116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71"/>
        <v>0.5</v>
      </c>
      <c r="Z2353" s="2" t="s">
        <v>118</v>
      </c>
      <c r="AA2353" s="2" t="s">
        <v>191</v>
      </c>
      <c r="AB2353" s="2" t="s">
        <v>191</v>
      </c>
      <c r="AC2353" s="2" t="s">
        <v>40</v>
      </c>
      <c r="AF2353" s="2">
        <f t="shared" si="267"/>
        <v>0</v>
      </c>
      <c r="AJ2353" s="2">
        <f t="shared" si="268"/>
        <v>0</v>
      </c>
      <c r="AK2353" s="2">
        <f t="shared" si="269"/>
        <v>16.875</v>
      </c>
      <c r="AL2353" s="5">
        <f t="shared" si="266"/>
        <v>0.5</v>
      </c>
    </row>
    <row r="2354" spans="1:38" hidden="1" x14ac:dyDescent="0.2">
      <c r="A2354" s="2">
        <v>2025</v>
      </c>
      <c r="B2354" s="2">
        <v>12</v>
      </c>
      <c r="D2354" s="2" t="s">
        <v>2117</v>
      </c>
      <c r="P2354" s="2" t="s">
        <v>115</v>
      </c>
      <c r="Q2354" s="2" t="s">
        <v>835</v>
      </c>
      <c r="R2354" s="2" t="s">
        <v>836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267"/>
        <v>0</v>
      </c>
      <c r="AJ2354" s="2">
        <f t="shared" si="268"/>
        <v>0</v>
      </c>
      <c r="AK2354" s="2">
        <f t="shared" si="269"/>
        <v>0</v>
      </c>
      <c r="AL2354" s="5" t="e">
        <f t="shared" si="266"/>
        <v>#DIV/0!</v>
      </c>
    </row>
    <row r="2355" spans="1:38" hidden="1" x14ac:dyDescent="0.2">
      <c r="A2355" s="2">
        <v>2025</v>
      </c>
      <c r="B2355" s="2">
        <v>12</v>
      </c>
      <c r="D2355" s="2" t="s">
        <v>2117</v>
      </c>
      <c r="P2355" s="2" t="s">
        <v>115</v>
      </c>
      <c r="Q2355" s="2" t="s">
        <v>2118</v>
      </c>
      <c r="R2355" s="2" t="s">
        <v>2119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71"/>
        <v>1</v>
      </c>
      <c r="AF2355" s="2">
        <f t="shared" si="267"/>
        <v>0</v>
      </c>
      <c r="AJ2355" s="2">
        <f t="shared" si="268"/>
        <v>0</v>
      </c>
      <c r="AK2355" s="2">
        <f t="shared" si="269"/>
        <v>669.3</v>
      </c>
      <c r="AL2355" s="5">
        <f t="shared" ref="AL2355:AL2418" si="272">(T2355-W2355)/T2355</f>
        <v>1</v>
      </c>
    </row>
    <row r="2356" spans="1:38" hidden="1" x14ac:dyDescent="0.2">
      <c r="A2356" s="2">
        <v>2025</v>
      </c>
      <c r="B2356" s="2">
        <v>12</v>
      </c>
      <c r="D2356" s="2" t="s">
        <v>2117</v>
      </c>
      <c r="P2356" s="2" t="s">
        <v>115</v>
      </c>
      <c r="Q2356" s="2" t="s">
        <v>1185</v>
      </c>
      <c r="R2356" s="2" t="s">
        <v>1186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71"/>
        <v>1</v>
      </c>
      <c r="Z2356" s="2" t="s">
        <v>105</v>
      </c>
      <c r="AF2356" s="2">
        <f t="shared" si="267"/>
        <v>0</v>
      </c>
      <c r="AJ2356" s="2">
        <f t="shared" si="268"/>
        <v>0</v>
      </c>
      <c r="AK2356" s="2">
        <f t="shared" si="269"/>
        <v>11834</v>
      </c>
      <c r="AL2356" s="5">
        <f t="shared" si="272"/>
        <v>1</v>
      </c>
    </row>
    <row r="2357" spans="1:38" hidden="1" x14ac:dyDescent="0.2">
      <c r="A2357" s="2">
        <v>2025</v>
      </c>
      <c r="B2357" s="2">
        <v>12</v>
      </c>
      <c r="D2357" s="2" t="s">
        <v>2120</v>
      </c>
      <c r="Q2357" s="2" t="s">
        <v>2121</v>
      </c>
      <c r="R2357" s="2" t="s">
        <v>2122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71"/>
        <v>#DIV/0!</v>
      </c>
      <c r="Z2357" s="2" t="s">
        <v>105</v>
      </c>
      <c r="AF2357" s="2">
        <f t="shared" si="267"/>
        <v>0</v>
      </c>
      <c r="AJ2357" s="2">
        <f t="shared" si="268"/>
        <v>0</v>
      </c>
      <c r="AK2357" s="2">
        <f t="shared" si="269"/>
        <v>0</v>
      </c>
      <c r="AL2357" s="5" t="e">
        <f t="shared" si="272"/>
        <v>#DIV/0!</v>
      </c>
    </row>
    <row r="2358" spans="1:38" hidden="1" x14ac:dyDescent="0.2">
      <c r="A2358" s="2">
        <v>2025</v>
      </c>
      <c r="B2358" s="2">
        <v>12</v>
      </c>
      <c r="D2358" s="2" t="s">
        <v>2120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71"/>
        <v>1</v>
      </c>
      <c r="Z2358" s="2" t="s">
        <v>120</v>
      </c>
      <c r="AA2358" s="2" t="s">
        <v>3385</v>
      </c>
      <c r="AF2358" s="2">
        <f t="shared" si="267"/>
        <v>0</v>
      </c>
      <c r="AJ2358" s="2">
        <f t="shared" si="268"/>
        <v>0</v>
      </c>
      <c r="AK2358" s="2">
        <f t="shared" si="269"/>
        <v>5000</v>
      </c>
      <c r="AL2358" s="5">
        <f t="shared" si="272"/>
        <v>1</v>
      </c>
    </row>
    <row r="2359" spans="1:38" hidden="1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71"/>
        <v>0.6</v>
      </c>
      <c r="Z2359" s="2" t="s">
        <v>118</v>
      </c>
      <c r="AA2359" s="2" t="s">
        <v>191</v>
      </c>
      <c r="AB2359" s="2" t="s">
        <v>190</v>
      </c>
      <c r="AC2359" s="2" t="s">
        <v>40</v>
      </c>
      <c r="AF2359" s="2">
        <f t="shared" si="267"/>
        <v>0</v>
      </c>
      <c r="AJ2359" s="2">
        <f t="shared" si="268"/>
        <v>0</v>
      </c>
      <c r="AK2359" s="2">
        <f t="shared" si="269"/>
        <v>22.5</v>
      </c>
      <c r="AL2359" s="5">
        <f t="shared" si="272"/>
        <v>0.6</v>
      </c>
    </row>
    <row r="2360" spans="1:38" hidden="1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71"/>
        <v>0.5</v>
      </c>
      <c r="Z2360" s="2" t="s">
        <v>118</v>
      </c>
      <c r="AA2360" s="2" t="s">
        <v>191</v>
      </c>
      <c r="AB2360" s="2" t="s">
        <v>191</v>
      </c>
      <c r="AC2360" s="2" t="s">
        <v>40</v>
      </c>
      <c r="AF2360" s="2">
        <f t="shared" si="267"/>
        <v>0</v>
      </c>
      <c r="AJ2360" s="2">
        <f t="shared" si="268"/>
        <v>0</v>
      </c>
      <c r="AK2360" s="2">
        <f t="shared" si="269"/>
        <v>18</v>
      </c>
      <c r="AL2360" s="5">
        <f t="shared" si="272"/>
        <v>0.5</v>
      </c>
    </row>
    <row r="2361" spans="1:38" hidden="1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2123</v>
      </c>
      <c r="P2361" s="2" t="s">
        <v>43</v>
      </c>
      <c r="Q2361" s="2" t="s">
        <v>971</v>
      </c>
      <c r="R2361" s="2" t="s">
        <v>972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271"/>
        <v>0.31955925925925921</v>
      </c>
      <c r="Z2361" s="2" t="s">
        <v>3231</v>
      </c>
      <c r="AA2361" s="2" t="s">
        <v>46</v>
      </c>
      <c r="AB2361" s="2" t="s">
        <v>61</v>
      </c>
      <c r="AC2361" s="2" t="s">
        <v>58</v>
      </c>
      <c r="AF2361" s="2">
        <f t="shared" si="267"/>
        <v>0</v>
      </c>
      <c r="AJ2361" s="2">
        <f t="shared" si="268"/>
        <v>0</v>
      </c>
      <c r="AK2361" s="2">
        <f t="shared" si="269"/>
        <v>207.07439999999997</v>
      </c>
      <c r="AL2361" s="5">
        <f t="shared" si="272"/>
        <v>0.31955925925925921</v>
      </c>
    </row>
    <row r="2362" spans="1:38" hidden="1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2124</v>
      </c>
      <c r="P2362" s="2" t="s">
        <v>43</v>
      </c>
      <c r="Q2362" s="2" t="s">
        <v>973</v>
      </c>
      <c r="R2362" s="2" t="s">
        <v>974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71"/>
        <v>1</v>
      </c>
      <c r="Z2362" s="2" t="s">
        <v>3231</v>
      </c>
      <c r="AA2362" s="2" t="s">
        <v>46</v>
      </c>
      <c r="AB2362" s="2" t="s">
        <v>61</v>
      </c>
      <c r="AC2362" s="2" t="s">
        <v>58</v>
      </c>
      <c r="AF2362" s="2">
        <f t="shared" si="267"/>
        <v>0</v>
      </c>
      <c r="AJ2362" s="2">
        <f t="shared" si="268"/>
        <v>0</v>
      </c>
      <c r="AK2362" s="2">
        <f t="shared" si="269"/>
        <v>648</v>
      </c>
      <c r="AL2362" s="5">
        <f t="shared" si="272"/>
        <v>1</v>
      </c>
    </row>
    <row r="2363" spans="1:38" hidden="1" x14ac:dyDescent="0.2">
      <c r="A2363" s="2">
        <v>2025</v>
      </c>
      <c r="B2363" s="2">
        <v>12</v>
      </c>
      <c r="D2363" s="2" t="s">
        <v>2125</v>
      </c>
      <c r="P2363" s="2" t="s">
        <v>283</v>
      </c>
      <c r="Q2363" s="2" t="s">
        <v>1551</v>
      </c>
      <c r="R2363" s="2" t="s">
        <v>1552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71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7"/>
        <v>0</v>
      </c>
      <c r="AJ2363" s="2">
        <f t="shared" si="268"/>
        <v>0</v>
      </c>
      <c r="AK2363" s="2">
        <f t="shared" si="269"/>
        <v>109</v>
      </c>
      <c r="AL2363" s="5">
        <f t="shared" si="272"/>
        <v>0.26847290640394089</v>
      </c>
    </row>
    <row r="2364" spans="1:38" hidden="1" x14ac:dyDescent="0.2">
      <c r="A2364" s="2">
        <v>2025</v>
      </c>
      <c r="B2364" s="2">
        <v>12</v>
      </c>
      <c r="D2364" s="2" t="s">
        <v>2126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71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7"/>
        <v>0</v>
      </c>
      <c r="AJ2364" s="2">
        <f t="shared" si="268"/>
        <v>0</v>
      </c>
      <c r="AK2364" s="2">
        <f t="shared" si="269"/>
        <v>4320.6000000000004</v>
      </c>
      <c r="AL2364" s="5">
        <f t="shared" si="272"/>
        <v>0.28823215476984659</v>
      </c>
    </row>
    <row r="2365" spans="1:38" hidden="1" x14ac:dyDescent="0.2">
      <c r="A2365" s="2">
        <v>2025</v>
      </c>
      <c r="B2365" s="2">
        <v>12</v>
      </c>
      <c r="D2365" s="2" t="s">
        <v>2127</v>
      </c>
      <c r="P2365" s="2" t="s">
        <v>283</v>
      </c>
      <c r="Q2365" s="2" t="s">
        <v>2128</v>
      </c>
      <c r="R2365" s="2" t="s">
        <v>2129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71"/>
        <v>1</v>
      </c>
      <c r="Z2365" s="2" t="s">
        <v>3231</v>
      </c>
      <c r="AF2365" s="2">
        <f t="shared" si="267"/>
        <v>0</v>
      </c>
      <c r="AJ2365" s="2">
        <f t="shared" si="268"/>
        <v>0</v>
      </c>
      <c r="AK2365" s="2">
        <f t="shared" si="269"/>
        <v>239.8</v>
      </c>
      <c r="AL2365" s="5">
        <f t="shared" si="272"/>
        <v>1</v>
      </c>
    </row>
    <row r="2366" spans="1:38" hidden="1" x14ac:dyDescent="0.2">
      <c r="A2366" s="2">
        <v>2025</v>
      </c>
      <c r="B2366" s="2">
        <v>12</v>
      </c>
      <c r="D2366" s="2" t="s">
        <v>2127</v>
      </c>
      <c r="P2366" s="2" t="s">
        <v>283</v>
      </c>
      <c r="Q2366" s="2" t="s">
        <v>1706</v>
      </c>
      <c r="R2366" s="2" t="s">
        <v>1707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71"/>
        <v>1</v>
      </c>
      <c r="Z2366" s="2" t="s">
        <v>3231</v>
      </c>
      <c r="AF2366" s="2">
        <f t="shared" si="267"/>
        <v>0</v>
      </c>
      <c r="AJ2366" s="2">
        <f t="shared" si="268"/>
        <v>0</v>
      </c>
      <c r="AK2366" s="2">
        <f t="shared" si="269"/>
        <v>759</v>
      </c>
      <c r="AL2366" s="5">
        <f t="shared" si="272"/>
        <v>1</v>
      </c>
    </row>
    <row r="2367" spans="1:38" hidden="1" x14ac:dyDescent="0.2">
      <c r="A2367" s="2">
        <v>2025</v>
      </c>
      <c r="B2367" s="2">
        <v>12</v>
      </c>
      <c r="D2367" s="2" t="s">
        <v>2130</v>
      </c>
      <c r="P2367" s="2" t="s">
        <v>283</v>
      </c>
      <c r="Q2367" s="2" t="s">
        <v>1156</v>
      </c>
      <c r="R2367" s="2" t="s">
        <v>1157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71"/>
        <v>0.30476190476190479</v>
      </c>
      <c r="Z2367" s="2" t="s">
        <v>105</v>
      </c>
      <c r="AA2367" s="2" t="s">
        <v>1578</v>
      </c>
      <c r="AB2367" s="2" t="s">
        <v>389</v>
      </c>
      <c r="AC2367" s="2" t="s">
        <v>1329</v>
      </c>
      <c r="AF2367" s="2">
        <f t="shared" si="267"/>
        <v>0</v>
      </c>
      <c r="AJ2367" s="2">
        <f t="shared" si="268"/>
        <v>0</v>
      </c>
      <c r="AK2367" s="2">
        <f t="shared" si="269"/>
        <v>960</v>
      </c>
      <c r="AL2367" s="5">
        <f t="shared" si="272"/>
        <v>0.30476190476190479</v>
      </c>
    </row>
    <row r="2368" spans="1:38" hidden="1" x14ac:dyDescent="0.2">
      <c r="A2368" s="2">
        <v>2025</v>
      </c>
      <c r="B2368" s="2">
        <v>12</v>
      </c>
      <c r="D2368" s="2" t="s">
        <v>2130</v>
      </c>
      <c r="P2368" s="2" t="s">
        <v>283</v>
      </c>
      <c r="Q2368" s="2" t="s">
        <v>1160</v>
      </c>
      <c r="R2368" s="2" t="s">
        <v>1161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267"/>
        <v>0</v>
      </c>
      <c r="AJ2368" s="2">
        <f t="shared" si="268"/>
        <v>0</v>
      </c>
      <c r="AK2368" s="2">
        <f t="shared" si="269"/>
        <v>0</v>
      </c>
      <c r="AL2368" s="5" t="e">
        <f t="shared" si="272"/>
        <v>#DIV/0!</v>
      </c>
    </row>
    <row r="2369" spans="1:38" hidden="1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99" si="273">(T2369-W2369)/T2369</f>
        <v>0.5243888888888889</v>
      </c>
      <c r="Z2369" s="2" t="s">
        <v>3231</v>
      </c>
      <c r="AA2369" s="2" t="s">
        <v>46</v>
      </c>
      <c r="AB2369" s="2" t="s">
        <v>61</v>
      </c>
      <c r="AC2369" s="2" t="s">
        <v>58</v>
      </c>
      <c r="AF2369" s="2">
        <f t="shared" si="267"/>
        <v>0</v>
      </c>
      <c r="AG2369" s="2">
        <v>0.85609999999999997</v>
      </c>
      <c r="AH2369" s="2">
        <v>1.8</v>
      </c>
      <c r="AJ2369" s="2">
        <f t="shared" si="268"/>
        <v>0</v>
      </c>
      <c r="AK2369" s="2">
        <f t="shared" si="269"/>
        <v>18.878</v>
      </c>
      <c r="AL2369" s="5">
        <f t="shared" si="272"/>
        <v>0.5243888888888889</v>
      </c>
    </row>
    <row r="2370" spans="1:38" hidden="1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73"/>
        <v>0.34694347826086952</v>
      </c>
      <c r="Z2370" s="2" t="s">
        <v>3231</v>
      </c>
      <c r="AA2370" s="2" t="s">
        <v>46</v>
      </c>
      <c r="AB2370" s="2" t="s">
        <v>68</v>
      </c>
      <c r="AC2370" s="2" t="s">
        <v>58</v>
      </c>
      <c r="AF2370" s="2">
        <f t="shared" si="267"/>
        <v>0</v>
      </c>
      <c r="AG2370" s="2">
        <v>15.020300000000001</v>
      </c>
      <c r="AH2370" s="2">
        <v>27.6</v>
      </c>
      <c r="AJ2370" s="2">
        <f t="shared" si="268"/>
        <v>0</v>
      </c>
      <c r="AK2370" s="2">
        <f t="shared" si="269"/>
        <v>31.918799999999997</v>
      </c>
      <c r="AL2370" s="5">
        <f t="shared" si="272"/>
        <v>0.34694347826086952</v>
      </c>
    </row>
    <row r="2371" spans="1:38" hidden="1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273"/>
        <v>0.62349999999999994</v>
      </c>
      <c r="Z2371" s="2" t="s">
        <v>3231</v>
      </c>
      <c r="AA2371" s="2" t="s">
        <v>46</v>
      </c>
      <c r="AB2371" s="2" t="s">
        <v>47</v>
      </c>
      <c r="AC2371" s="2" t="s">
        <v>48</v>
      </c>
      <c r="AF2371" s="2">
        <f t="shared" ref="AF2371:AF2434" si="274">AJ2371</f>
        <v>0</v>
      </c>
      <c r="AG2371" s="2">
        <v>11.295</v>
      </c>
      <c r="AJ2371" s="2">
        <f t="shared" ref="AJ2371:AJ2434" si="275">AI2371*T2371</f>
        <v>0</v>
      </c>
      <c r="AK2371" s="2">
        <f t="shared" ref="AK2371:AK2434" si="276">T2371-W2371</f>
        <v>18.704999999999998</v>
      </c>
      <c r="AL2371" s="5">
        <f t="shared" si="272"/>
        <v>0.62349999999999994</v>
      </c>
    </row>
    <row r="2372" spans="1:38" hidden="1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73"/>
        <v>0.45290151515151511</v>
      </c>
      <c r="Z2372" s="2" t="s">
        <v>3231</v>
      </c>
      <c r="AA2372" s="2" t="s">
        <v>46</v>
      </c>
      <c r="AB2372" s="2" t="s">
        <v>57</v>
      </c>
      <c r="AC2372" s="2" t="s">
        <v>58</v>
      </c>
      <c r="AF2372" s="2">
        <f t="shared" si="274"/>
        <v>0</v>
      </c>
      <c r="AG2372" s="2">
        <v>7.2217000000000002</v>
      </c>
      <c r="AH2372" s="2">
        <v>14.4</v>
      </c>
      <c r="AJ2372" s="2">
        <f t="shared" si="275"/>
        <v>0</v>
      </c>
      <c r="AK2372" s="2">
        <f t="shared" si="276"/>
        <v>5.9782999999999991</v>
      </c>
      <c r="AL2372" s="5">
        <f t="shared" si="272"/>
        <v>0.45290151515151511</v>
      </c>
    </row>
    <row r="2373" spans="1:38" hidden="1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73"/>
        <v>1</v>
      </c>
      <c r="Z2373" s="2" t="s">
        <v>3231</v>
      </c>
      <c r="AA2373" s="2" t="s">
        <v>46</v>
      </c>
      <c r="AB2373" s="2" t="s">
        <v>57</v>
      </c>
      <c r="AC2373" s="2" t="s">
        <v>58</v>
      </c>
      <c r="AF2373" s="2">
        <f t="shared" si="274"/>
        <v>0</v>
      </c>
      <c r="AJ2373" s="2">
        <f t="shared" si="275"/>
        <v>0</v>
      </c>
      <c r="AK2373" s="2">
        <f t="shared" si="276"/>
        <v>24</v>
      </c>
      <c r="AL2373" s="5">
        <f t="shared" si="272"/>
        <v>1</v>
      </c>
    </row>
    <row r="2374" spans="1:38" hidden="1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73"/>
        <v>1</v>
      </c>
      <c r="Z2374" s="2" t="s">
        <v>3231</v>
      </c>
      <c r="AA2374" s="2" t="s">
        <v>46</v>
      </c>
      <c r="AB2374" s="2" t="s">
        <v>57</v>
      </c>
      <c r="AC2374" s="2" t="s">
        <v>58</v>
      </c>
      <c r="AF2374" s="2">
        <f t="shared" si="274"/>
        <v>0</v>
      </c>
      <c r="AJ2374" s="2">
        <f t="shared" si="275"/>
        <v>0</v>
      </c>
      <c r="AK2374" s="2">
        <f t="shared" si="276"/>
        <v>57.6</v>
      </c>
      <c r="AL2374" s="5">
        <f t="shared" si="272"/>
        <v>1</v>
      </c>
    </row>
    <row r="2375" spans="1:38" hidden="1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73"/>
        <v>1</v>
      </c>
      <c r="Z2375" s="2" t="s">
        <v>3231</v>
      </c>
      <c r="AA2375" s="2" t="s">
        <v>46</v>
      </c>
      <c r="AB2375" s="2" t="s">
        <v>57</v>
      </c>
      <c r="AC2375" s="2" t="s">
        <v>58</v>
      </c>
      <c r="AF2375" s="2">
        <f t="shared" si="274"/>
        <v>0</v>
      </c>
      <c r="AJ2375" s="2">
        <f t="shared" si="275"/>
        <v>0</v>
      </c>
      <c r="AK2375" s="2">
        <f t="shared" si="276"/>
        <v>33.6</v>
      </c>
      <c r="AL2375" s="5">
        <f t="shared" si="272"/>
        <v>1</v>
      </c>
    </row>
    <row r="2376" spans="1:38" hidden="1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73"/>
        <v>0.80399999999999994</v>
      </c>
      <c r="Z2376" s="2" t="s">
        <v>3231</v>
      </c>
      <c r="AA2376" s="2" t="s">
        <v>46</v>
      </c>
      <c r="AB2376" s="2" t="s">
        <v>91</v>
      </c>
      <c r="AC2376" s="2" t="s">
        <v>58</v>
      </c>
      <c r="AF2376" s="2">
        <f t="shared" si="274"/>
        <v>0</v>
      </c>
      <c r="AG2376" s="2">
        <v>0.98</v>
      </c>
      <c r="AH2376" s="2">
        <v>3</v>
      </c>
      <c r="AJ2376" s="2">
        <f t="shared" si="275"/>
        <v>0</v>
      </c>
      <c r="AK2376" s="2">
        <f t="shared" si="276"/>
        <v>4.0199999999999996</v>
      </c>
      <c r="AL2376" s="5">
        <f t="shared" si="272"/>
        <v>0.80399999999999994</v>
      </c>
    </row>
    <row r="2377" spans="1:38" hidden="1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1975</v>
      </c>
      <c r="R2377" s="2" t="s">
        <v>1976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73"/>
        <v>0.54033333333333333</v>
      </c>
      <c r="Z2377" s="2" t="s">
        <v>3231</v>
      </c>
      <c r="AA2377" s="2" t="s">
        <v>88</v>
      </c>
      <c r="AB2377" s="2" t="s">
        <v>91</v>
      </c>
      <c r="AC2377" s="2" t="s">
        <v>85</v>
      </c>
      <c r="AF2377" s="2">
        <f t="shared" si="274"/>
        <v>0</v>
      </c>
      <c r="AG2377" s="2">
        <v>6.8949999999999996</v>
      </c>
      <c r="AJ2377" s="2">
        <f t="shared" si="275"/>
        <v>0</v>
      </c>
      <c r="AK2377" s="2">
        <f t="shared" si="276"/>
        <v>8.1050000000000004</v>
      </c>
      <c r="AL2377" s="5">
        <f t="shared" si="272"/>
        <v>0.54033333333333333</v>
      </c>
    </row>
    <row r="2378" spans="1:38" hidden="1" x14ac:dyDescent="0.2">
      <c r="A2378" s="2">
        <v>2025</v>
      </c>
      <c r="B2378" s="2">
        <v>12</v>
      </c>
      <c r="D2378" s="2" t="s">
        <v>1356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B2378" s="2" t="s">
        <v>190</v>
      </c>
      <c r="AC2378" s="2" t="s">
        <v>40</v>
      </c>
      <c r="AF2378" s="2">
        <f t="shared" si="274"/>
        <v>0</v>
      </c>
      <c r="AJ2378" s="2">
        <f t="shared" si="275"/>
        <v>0</v>
      </c>
      <c r="AK2378" s="2">
        <f t="shared" si="276"/>
        <v>0</v>
      </c>
      <c r="AL2378" s="5">
        <v>0</v>
      </c>
    </row>
    <row r="2379" spans="1:38" hidden="1" x14ac:dyDescent="0.2">
      <c r="A2379" s="2">
        <v>2025</v>
      </c>
      <c r="B2379" s="2">
        <v>12</v>
      </c>
      <c r="D2379" s="2" t="s">
        <v>1356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73"/>
        <v>0.5</v>
      </c>
      <c r="Z2379" s="2" t="s">
        <v>118</v>
      </c>
      <c r="AA2379" s="2" t="s">
        <v>191</v>
      </c>
      <c r="AB2379" s="2" t="s">
        <v>191</v>
      </c>
      <c r="AC2379" s="2" t="s">
        <v>40</v>
      </c>
      <c r="AF2379" s="2">
        <f t="shared" si="274"/>
        <v>0</v>
      </c>
      <c r="AJ2379" s="2">
        <f t="shared" si="275"/>
        <v>0</v>
      </c>
      <c r="AK2379" s="2">
        <f t="shared" si="276"/>
        <v>12.5</v>
      </c>
      <c r="AL2379" s="5">
        <f t="shared" si="272"/>
        <v>0.5</v>
      </c>
    </row>
    <row r="2380" spans="1:38" hidden="1" x14ac:dyDescent="0.2">
      <c r="A2380" s="2">
        <v>2025</v>
      </c>
      <c r="B2380" s="2">
        <v>12</v>
      </c>
      <c r="D2380" s="2" t="s">
        <v>1357</v>
      </c>
      <c r="E2380" s="2" t="s">
        <v>753</v>
      </c>
      <c r="F2380" s="2" t="s">
        <v>39</v>
      </c>
      <c r="G2380" s="2">
        <v>518238334</v>
      </c>
      <c r="H2380" s="2" t="s">
        <v>41</v>
      </c>
      <c r="I2380" s="2" t="s">
        <v>763</v>
      </c>
      <c r="J2380" s="2" t="s">
        <v>1358</v>
      </c>
      <c r="L2380" s="2" t="s">
        <v>419</v>
      </c>
      <c r="P2380" s="2" t="s">
        <v>283</v>
      </c>
      <c r="Q2380" s="2" t="s">
        <v>1666</v>
      </c>
      <c r="R2380" s="2" t="s">
        <v>1667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73"/>
        <v>0.4018181818181818</v>
      </c>
      <c r="Z2380" s="2" t="s">
        <v>105</v>
      </c>
      <c r="AA2380" s="2" t="s">
        <v>388</v>
      </c>
      <c r="AB2380" s="2" t="s">
        <v>2645</v>
      </c>
      <c r="AC2380" s="2" t="s">
        <v>1329</v>
      </c>
      <c r="AF2380" s="2">
        <f t="shared" si="274"/>
        <v>0</v>
      </c>
      <c r="AJ2380" s="2">
        <f t="shared" si="275"/>
        <v>0</v>
      </c>
      <c r="AK2380" s="2">
        <f t="shared" si="276"/>
        <v>2210</v>
      </c>
      <c r="AL2380" s="5">
        <f t="shared" si="272"/>
        <v>0.4018181818181818</v>
      </c>
    </row>
    <row r="2381" spans="1:38" hidden="1" x14ac:dyDescent="0.2">
      <c r="A2381" s="2">
        <v>2025</v>
      </c>
      <c r="B2381" s="2">
        <v>12</v>
      </c>
      <c r="D2381" s="2" t="s">
        <v>1357</v>
      </c>
      <c r="E2381" s="2" t="s">
        <v>753</v>
      </c>
      <c r="F2381" s="2" t="s">
        <v>39</v>
      </c>
      <c r="G2381" s="2">
        <v>518238334</v>
      </c>
      <c r="H2381" s="2" t="s">
        <v>41</v>
      </c>
      <c r="I2381" s="2" t="s">
        <v>763</v>
      </c>
      <c r="J2381" s="2" t="s">
        <v>1358</v>
      </c>
      <c r="L2381" s="2" t="s">
        <v>419</v>
      </c>
      <c r="P2381" s="2" t="s">
        <v>283</v>
      </c>
      <c r="Q2381" s="2" t="s">
        <v>1668</v>
      </c>
      <c r="R2381" s="2" t="s">
        <v>1669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2645</v>
      </c>
      <c r="AC2381" s="2" t="s">
        <v>1329</v>
      </c>
      <c r="AF2381" s="2">
        <f t="shared" si="274"/>
        <v>0</v>
      </c>
      <c r="AJ2381" s="2">
        <f t="shared" si="275"/>
        <v>0</v>
      </c>
      <c r="AK2381" s="2">
        <f t="shared" si="276"/>
        <v>0</v>
      </c>
      <c r="AL2381" s="5" t="e">
        <f t="shared" si="272"/>
        <v>#DIV/0!</v>
      </c>
    </row>
    <row r="2382" spans="1:38" hidden="1" x14ac:dyDescent="0.2">
      <c r="A2382" s="2">
        <v>2025</v>
      </c>
      <c r="B2382" s="2">
        <v>12</v>
      </c>
      <c r="D2382" s="2" t="s">
        <v>1357</v>
      </c>
      <c r="E2382" s="2" t="s">
        <v>753</v>
      </c>
      <c r="F2382" s="2" t="s">
        <v>39</v>
      </c>
      <c r="G2382" s="2">
        <v>518238334</v>
      </c>
      <c r="H2382" s="2" t="s">
        <v>41</v>
      </c>
      <c r="I2382" s="2" t="s">
        <v>763</v>
      </c>
      <c r="J2382" s="2" t="s">
        <v>1358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73"/>
        <v>0.49025384615384621</v>
      </c>
      <c r="Z2382" s="2" t="s">
        <v>3231</v>
      </c>
      <c r="AA2382" s="2" t="s">
        <v>46</v>
      </c>
      <c r="AB2382" s="2" t="s">
        <v>47</v>
      </c>
      <c r="AC2382" s="2" t="s">
        <v>48</v>
      </c>
      <c r="AF2382" s="2">
        <f t="shared" si="274"/>
        <v>0</v>
      </c>
      <c r="AG2382" s="2">
        <v>6.6266999999999996</v>
      </c>
      <c r="AH2382" s="2">
        <v>12</v>
      </c>
      <c r="AJ2382" s="2">
        <f t="shared" si="275"/>
        <v>0</v>
      </c>
      <c r="AK2382" s="2">
        <f t="shared" si="276"/>
        <v>6.3733000000000004</v>
      </c>
      <c r="AL2382" s="5">
        <f t="shared" si="272"/>
        <v>0.49025384615384621</v>
      </c>
    </row>
    <row r="2383" spans="1:38" hidden="1" x14ac:dyDescent="0.2">
      <c r="A2383" s="2">
        <v>2025</v>
      </c>
      <c r="B2383" s="2">
        <v>12</v>
      </c>
      <c r="D2383" s="2" t="s">
        <v>1357</v>
      </c>
      <c r="E2383" s="2" t="s">
        <v>753</v>
      </c>
      <c r="F2383" s="2" t="s">
        <v>39</v>
      </c>
      <c r="G2383" s="2">
        <v>518238334</v>
      </c>
      <c r="H2383" s="2" t="s">
        <v>41</v>
      </c>
      <c r="I2383" s="2" t="s">
        <v>763</v>
      </c>
      <c r="J2383" s="2" t="s">
        <v>1358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73"/>
        <v>0.58000000000000007</v>
      </c>
      <c r="Z2383" s="2" t="s">
        <v>3231</v>
      </c>
      <c r="AA2383" s="2" t="s">
        <v>88</v>
      </c>
      <c r="AB2383" s="2" t="s">
        <v>91</v>
      </c>
      <c r="AC2383" s="2" t="s">
        <v>85</v>
      </c>
      <c r="AF2383" s="2">
        <f t="shared" si="274"/>
        <v>0</v>
      </c>
      <c r="AJ2383" s="2">
        <f t="shared" si="275"/>
        <v>0</v>
      </c>
      <c r="AK2383" s="2">
        <f t="shared" si="276"/>
        <v>4.0600000000000005</v>
      </c>
      <c r="AL2383" s="5">
        <f t="shared" si="272"/>
        <v>0.58000000000000007</v>
      </c>
    </row>
    <row r="2384" spans="1:38" hidden="1" x14ac:dyDescent="0.2">
      <c r="A2384" s="2">
        <v>2025</v>
      </c>
      <c r="B2384" s="2">
        <v>12</v>
      </c>
      <c r="D2384" s="2" t="s">
        <v>1357</v>
      </c>
      <c r="E2384" s="2" t="s">
        <v>753</v>
      </c>
      <c r="F2384" s="2" t="s">
        <v>39</v>
      </c>
      <c r="G2384" s="2">
        <v>518238334</v>
      </c>
      <c r="H2384" s="2" t="s">
        <v>41</v>
      </c>
      <c r="I2384" s="2" t="s">
        <v>763</v>
      </c>
      <c r="J2384" s="2" t="s">
        <v>1358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73"/>
        <v>1</v>
      </c>
      <c r="Z2384" s="2" t="s">
        <v>3231</v>
      </c>
      <c r="AA2384" s="2" t="s">
        <v>88</v>
      </c>
      <c r="AB2384" s="2" t="s">
        <v>91</v>
      </c>
      <c r="AC2384" s="2" t="s">
        <v>85</v>
      </c>
      <c r="AF2384" s="2">
        <f t="shared" si="274"/>
        <v>0</v>
      </c>
      <c r="AJ2384" s="2">
        <f t="shared" si="275"/>
        <v>0</v>
      </c>
      <c r="AK2384" s="2">
        <f t="shared" si="276"/>
        <v>7</v>
      </c>
      <c r="AL2384" s="5">
        <f t="shared" si="272"/>
        <v>1</v>
      </c>
    </row>
    <row r="2385" spans="1:38" hidden="1" x14ac:dyDescent="0.2">
      <c r="A2385" s="2">
        <v>2025</v>
      </c>
      <c r="B2385" s="2">
        <v>12</v>
      </c>
      <c r="D2385" s="2" t="s">
        <v>745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746</v>
      </c>
      <c r="J2385" s="2" t="s">
        <v>747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73"/>
        <v>1</v>
      </c>
      <c r="Z2385" s="2" t="s">
        <v>120</v>
      </c>
      <c r="AA2385" s="2" t="s">
        <v>3385</v>
      </c>
      <c r="AF2385" s="2">
        <f t="shared" si="274"/>
        <v>0</v>
      </c>
      <c r="AJ2385" s="2">
        <f t="shared" si="275"/>
        <v>0</v>
      </c>
      <c r="AK2385" s="2">
        <f t="shared" si="276"/>
        <v>440</v>
      </c>
      <c r="AL2385" s="5">
        <f t="shared" si="272"/>
        <v>1</v>
      </c>
    </row>
    <row r="2386" spans="1:38" hidden="1" x14ac:dyDescent="0.2">
      <c r="A2386" s="2">
        <v>2025</v>
      </c>
      <c r="B2386" s="2">
        <v>12</v>
      </c>
      <c r="D2386" s="2" t="s">
        <v>2131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73"/>
        <v>0.6</v>
      </c>
      <c r="Z2386" s="2" t="s">
        <v>118</v>
      </c>
      <c r="AA2386" s="2" t="s">
        <v>191</v>
      </c>
      <c r="AB2386" s="2" t="s">
        <v>190</v>
      </c>
      <c r="AC2386" s="2" t="s">
        <v>40</v>
      </c>
      <c r="AF2386" s="2">
        <f t="shared" si="274"/>
        <v>0</v>
      </c>
      <c r="AJ2386" s="2">
        <f t="shared" si="275"/>
        <v>0</v>
      </c>
      <c r="AK2386" s="2">
        <f t="shared" si="276"/>
        <v>102</v>
      </c>
      <c r="AL2386" s="5">
        <f t="shared" si="272"/>
        <v>0.6</v>
      </c>
    </row>
    <row r="2387" spans="1:38" hidden="1" x14ac:dyDescent="0.2">
      <c r="A2387" s="2">
        <v>2025</v>
      </c>
      <c r="B2387" s="2">
        <v>12</v>
      </c>
      <c r="D2387" s="2" t="s">
        <v>2131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73"/>
        <v>0.5</v>
      </c>
      <c r="Z2387" s="2" t="s">
        <v>118</v>
      </c>
      <c r="AA2387" s="2" t="s">
        <v>191</v>
      </c>
      <c r="AB2387" s="2" t="s">
        <v>191</v>
      </c>
      <c r="AC2387" s="2" t="s">
        <v>40</v>
      </c>
      <c r="AF2387" s="2">
        <f t="shared" si="274"/>
        <v>0</v>
      </c>
      <c r="AJ2387" s="2">
        <f t="shared" si="275"/>
        <v>0</v>
      </c>
      <c r="AK2387" s="2">
        <f t="shared" si="276"/>
        <v>18.75</v>
      </c>
      <c r="AL2387" s="5">
        <f t="shared" si="272"/>
        <v>0.5</v>
      </c>
    </row>
    <row r="2388" spans="1:38" hidden="1" x14ac:dyDescent="0.2">
      <c r="A2388" s="2">
        <v>2025</v>
      </c>
      <c r="B2388" s="2">
        <v>12</v>
      </c>
      <c r="D2388" s="2" t="s">
        <v>750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751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73"/>
        <v>0.6</v>
      </c>
      <c r="Z2388" s="2" t="s">
        <v>118</v>
      </c>
      <c r="AA2388" s="2" t="s">
        <v>191</v>
      </c>
      <c r="AB2388" s="2" t="s">
        <v>190</v>
      </c>
      <c r="AC2388" s="2" t="s">
        <v>40</v>
      </c>
      <c r="AF2388" s="2">
        <f t="shared" si="274"/>
        <v>0</v>
      </c>
      <c r="AJ2388" s="2">
        <f t="shared" si="275"/>
        <v>0</v>
      </c>
      <c r="AK2388" s="2">
        <f t="shared" si="276"/>
        <v>110.39999999999999</v>
      </c>
      <c r="AL2388" s="5">
        <f t="shared" si="272"/>
        <v>0.6</v>
      </c>
    </row>
    <row r="2389" spans="1:38" hidden="1" x14ac:dyDescent="0.2">
      <c r="A2389" s="2">
        <v>2025</v>
      </c>
      <c r="B2389" s="2">
        <v>12</v>
      </c>
      <c r="D2389" s="2" t="s">
        <v>750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751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73"/>
        <v>0.5</v>
      </c>
      <c r="Z2389" s="2" t="s">
        <v>118</v>
      </c>
      <c r="AA2389" s="2" t="s">
        <v>191</v>
      </c>
      <c r="AB2389" s="2" t="s">
        <v>191</v>
      </c>
      <c r="AC2389" s="2" t="s">
        <v>40</v>
      </c>
      <c r="AF2389" s="2">
        <f t="shared" si="274"/>
        <v>0</v>
      </c>
      <c r="AJ2389" s="2">
        <f t="shared" si="275"/>
        <v>0</v>
      </c>
      <c r="AK2389" s="2">
        <f t="shared" si="276"/>
        <v>62.5</v>
      </c>
      <c r="AL2389" s="5">
        <f t="shared" si="272"/>
        <v>0.5</v>
      </c>
    </row>
    <row r="2390" spans="1:38" hidden="1" x14ac:dyDescent="0.2">
      <c r="A2390" s="2">
        <v>2025</v>
      </c>
      <c r="B2390" s="2">
        <v>12</v>
      </c>
      <c r="D2390" s="2" t="s">
        <v>1697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73"/>
        <v>0.6</v>
      </c>
      <c r="Z2390" s="2" t="s">
        <v>118</v>
      </c>
      <c r="AA2390" s="2" t="s">
        <v>191</v>
      </c>
      <c r="AB2390" s="2" t="s">
        <v>190</v>
      </c>
      <c r="AC2390" s="2" t="s">
        <v>40</v>
      </c>
      <c r="AF2390" s="2">
        <f t="shared" si="274"/>
        <v>0</v>
      </c>
      <c r="AJ2390" s="2">
        <f t="shared" si="275"/>
        <v>0</v>
      </c>
      <c r="AK2390" s="2">
        <f t="shared" si="276"/>
        <v>57</v>
      </c>
      <c r="AL2390" s="5">
        <f t="shared" si="272"/>
        <v>0.6</v>
      </c>
    </row>
    <row r="2391" spans="1:38" hidden="1" x14ac:dyDescent="0.2">
      <c r="A2391" s="2">
        <v>2025</v>
      </c>
      <c r="B2391" s="2">
        <v>12</v>
      </c>
      <c r="D2391" s="2" t="s">
        <v>1697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73"/>
        <v>0.5</v>
      </c>
      <c r="Z2391" s="2" t="s">
        <v>118</v>
      </c>
      <c r="AA2391" s="2" t="s">
        <v>191</v>
      </c>
      <c r="AB2391" s="2" t="s">
        <v>191</v>
      </c>
      <c r="AC2391" s="2" t="s">
        <v>40</v>
      </c>
      <c r="AF2391" s="2">
        <f t="shared" si="274"/>
        <v>0</v>
      </c>
      <c r="AJ2391" s="2">
        <f t="shared" si="275"/>
        <v>0</v>
      </c>
      <c r="AK2391" s="2">
        <f t="shared" si="276"/>
        <v>25</v>
      </c>
      <c r="AL2391" s="5">
        <f t="shared" si="272"/>
        <v>0.5</v>
      </c>
    </row>
    <row r="2392" spans="1:38" hidden="1" x14ac:dyDescent="0.2">
      <c r="A2392" s="2">
        <v>2025</v>
      </c>
      <c r="B2392" s="2">
        <v>12</v>
      </c>
      <c r="D2392" s="2" t="s">
        <v>1697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73"/>
        <v>1</v>
      </c>
      <c r="Z2392" s="2" t="s">
        <v>120</v>
      </c>
      <c r="AA2392" s="2" t="s">
        <v>3385</v>
      </c>
      <c r="AF2392" s="2">
        <f t="shared" si="274"/>
        <v>0</v>
      </c>
      <c r="AJ2392" s="2">
        <f t="shared" si="275"/>
        <v>0</v>
      </c>
      <c r="AK2392" s="2">
        <f t="shared" si="276"/>
        <v>99.75</v>
      </c>
      <c r="AL2392" s="5">
        <f t="shared" si="272"/>
        <v>1</v>
      </c>
    </row>
    <row r="2393" spans="1:38" hidden="1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3124</v>
      </c>
      <c r="K2393" s="2">
        <v>917575485</v>
      </c>
      <c r="L2393" s="2" t="s">
        <v>462</v>
      </c>
      <c r="M2393" s="2" t="s">
        <v>40</v>
      </c>
      <c r="O2393" s="2" t="s">
        <v>3125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73"/>
        <v>1</v>
      </c>
      <c r="Z2393" s="2" t="s">
        <v>118</v>
      </c>
      <c r="AA2393" s="2" t="s">
        <v>318</v>
      </c>
      <c r="AF2393" s="2">
        <f t="shared" si="274"/>
        <v>0</v>
      </c>
      <c r="AJ2393" s="2">
        <f t="shared" si="275"/>
        <v>0</v>
      </c>
      <c r="AK2393" s="2">
        <f t="shared" si="276"/>
        <v>723.1</v>
      </c>
      <c r="AL2393" s="5">
        <f t="shared" si="272"/>
        <v>1</v>
      </c>
    </row>
    <row r="2394" spans="1:38" hidden="1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3124</v>
      </c>
      <c r="K2394" s="2">
        <v>917575485</v>
      </c>
      <c r="L2394" s="2" t="s">
        <v>462</v>
      </c>
      <c r="M2394" s="2" t="s">
        <v>40</v>
      </c>
      <c r="O2394" s="2" t="s">
        <v>3125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74"/>
        <v>0</v>
      </c>
      <c r="AJ2394" s="2">
        <f t="shared" si="275"/>
        <v>0</v>
      </c>
      <c r="AK2394" s="2">
        <f t="shared" si="276"/>
        <v>0</v>
      </c>
      <c r="AL2394" s="5">
        <v>0</v>
      </c>
    </row>
    <row r="2395" spans="1:38" hidden="1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2132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73"/>
        <v>0.46612272727272724</v>
      </c>
      <c r="Z2395" s="2" t="s">
        <v>3231</v>
      </c>
      <c r="AA2395" s="2" t="s">
        <v>76</v>
      </c>
      <c r="AB2395" s="2" t="s">
        <v>77</v>
      </c>
      <c r="AC2395" s="2" t="s">
        <v>78</v>
      </c>
      <c r="AF2395" s="2">
        <f t="shared" si="274"/>
        <v>0</v>
      </c>
      <c r="AG2395" s="2">
        <v>117.453</v>
      </c>
      <c r="AH2395" s="2">
        <v>220</v>
      </c>
      <c r="AJ2395" s="2">
        <f t="shared" si="275"/>
        <v>0</v>
      </c>
      <c r="AK2395" s="2">
        <f t="shared" si="276"/>
        <v>102.547</v>
      </c>
      <c r="AL2395" s="5">
        <f t="shared" si="272"/>
        <v>0.46612272727272724</v>
      </c>
    </row>
    <row r="2396" spans="1:38" hidden="1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2132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73"/>
        <v>0</v>
      </c>
      <c r="Z2396" s="2" t="s">
        <v>3231</v>
      </c>
      <c r="AA2396" s="2" t="s">
        <v>97</v>
      </c>
      <c r="AB2396" s="2" t="s">
        <v>77</v>
      </c>
      <c r="AC2396" s="2" t="s">
        <v>94</v>
      </c>
      <c r="AF2396" s="2">
        <f t="shared" si="274"/>
        <v>0</v>
      </c>
      <c r="AJ2396" s="2">
        <f t="shared" si="275"/>
        <v>0</v>
      </c>
      <c r="AK2396" s="2">
        <f t="shared" si="276"/>
        <v>0</v>
      </c>
      <c r="AL2396" s="5">
        <f t="shared" si="272"/>
        <v>0</v>
      </c>
    </row>
    <row r="2397" spans="1:38" hidden="1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2133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73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74"/>
        <v>0</v>
      </c>
      <c r="AJ2397" s="2">
        <f t="shared" si="275"/>
        <v>0</v>
      </c>
      <c r="AK2397" s="2">
        <f t="shared" si="276"/>
        <v>25.908000000000001</v>
      </c>
      <c r="AL2397" s="5">
        <f t="shared" si="272"/>
        <v>0.52927477017364655</v>
      </c>
    </row>
    <row r="2398" spans="1:38" hidden="1" x14ac:dyDescent="0.2">
      <c r="A2398" s="2">
        <v>2025</v>
      </c>
      <c r="B2398" s="2">
        <v>12</v>
      </c>
      <c r="D2398" s="2" t="s">
        <v>766</v>
      </c>
      <c r="E2398" s="2" t="s">
        <v>38</v>
      </c>
      <c r="G2398" s="2">
        <v>513686231</v>
      </c>
      <c r="H2398" s="2" t="s">
        <v>291</v>
      </c>
      <c r="I2398" s="2" t="s">
        <v>767</v>
      </c>
      <c r="J2398" s="2" t="s">
        <v>768</v>
      </c>
      <c r="L2398" s="2" t="s">
        <v>481</v>
      </c>
      <c r="M2398" s="2" t="s">
        <v>81</v>
      </c>
      <c r="O2398" s="2" t="s">
        <v>2134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73"/>
        <v>0.47912698412698412</v>
      </c>
      <c r="Z2398" s="2" t="s">
        <v>3231</v>
      </c>
      <c r="AA2398" s="2" t="s">
        <v>46</v>
      </c>
      <c r="AB2398" s="2" t="s">
        <v>57</v>
      </c>
      <c r="AC2398" s="2" t="s">
        <v>58</v>
      </c>
      <c r="AF2398" s="2">
        <f t="shared" si="274"/>
        <v>0</v>
      </c>
      <c r="AG2398" s="2">
        <v>5.9066999999999998</v>
      </c>
      <c r="AH2398" s="2">
        <v>12.6</v>
      </c>
      <c r="AJ2398" s="2">
        <f t="shared" si="275"/>
        <v>0</v>
      </c>
      <c r="AK2398" s="2">
        <f t="shared" si="276"/>
        <v>5.4333</v>
      </c>
      <c r="AL2398" s="5">
        <f t="shared" si="272"/>
        <v>0.47912698412698412</v>
      </c>
    </row>
    <row r="2399" spans="1:38" hidden="1" x14ac:dyDescent="0.2">
      <c r="A2399" s="2">
        <v>2025</v>
      </c>
      <c r="B2399" s="2">
        <v>12</v>
      </c>
      <c r="D2399" s="2" t="s">
        <v>766</v>
      </c>
      <c r="E2399" s="2" t="s">
        <v>38</v>
      </c>
      <c r="G2399" s="2">
        <v>513686231</v>
      </c>
      <c r="H2399" s="2" t="s">
        <v>291</v>
      </c>
      <c r="I2399" s="2" t="s">
        <v>767</v>
      </c>
      <c r="J2399" s="2" t="s">
        <v>768</v>
      </c>
      <c r="L2399" s="2" t="s">
        <v>481</v>
      </c>
      <c r="M2399" s="2" t="s">
        <v>81</v>
      </c>
      <c r="O2399" s="2" t="s">
        <v>2134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73"/>
        <v>0.48580074487895719</v>
      </c>
      <c r="Z2399" s="2" t="s">
        <v>3231</v>
      </c>
      <c r="AA2399" s="2" t="s">
        <v>46</v>
      </c>
      <c r="AB2399" s="2" t="s">
        <v>57</v>
      </c>
      <c r="AC2399" s="2" t="s">
        <v>58</v>
      </c>
      <c r="AF2399" s="2">
        <f t="shared" si="274"/>
        <v>0</v>
      </c>
      <c r="AG2399" s="2">
        <v>11.045</v>
      </c>
      <c r="AJ2399" s="2">
        <f t="shared" si="275"/>
        <v>0</v>
      </c>
      <c r="AK2399" s="2">
        <f t="shared" si="276"/>
        <v>10.435</v>
      </c>
      <c r="AL2399" s="5">
        <f t="shared" si="272"/>
        <v>0.48580074487895719</v>
      </c>
    </row>
    <row r="2400" spans="1:38" hidden="1" x14ac:dyDescent="0.2">
      <c r="A2400" s="2">
        <v>2025</v>
      </c>
      <c r="B2400" s="2">
        <v>12</v>
      </c>
      <c r="D2400" s="2" t="s">
        <v>766</v>
      </c>
      <c r="E2400" s="2" t="s">
        <v>38</v>
      </c>
      <c r="G2400" s="2">
        <v>513686231</v>
      </c>
      <c r="H2400" s="2" t="s">
        <v>291</v>
      </c>
      <c r="I2400" s="2" t="s">
        <v>767</v>
      </c>
      <c r="J2400" s="2" t="s">
        <v>768</v>
      </c>
      <c r="L2400" s="2" t="s">
        <v>481</v>
      </c>
      <c r="M2400" s="2" t="s">
        <v>81</v>
      </c>
      <c r="O2400" s="2" t="s">
        <v>2134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7">(T2400-W2400)/T2400</f>
        <v>0.37647058823529411</v>
      </c>
      <c r="Z2400" s="2" t="s">
        <v>3231</v>
      </c>
      <c r="AA2400" s="2" t="s">
        <v>46</v>
      </c>
      <c r="AB2400" s="2" t="s">
        <v>57</v>
      </c>
      <c r="AC2400" s="2" t="s">
        <v>58</v>
      </c>
      <c r="AF2400" s="2">
        <f t="shared" si="274"/>
        <v>0</v>
      </c>
      <c r="AG2400" s="2">
        <v>10.6</v>
      </c>
      <c r="AH2400" s="2">
        <v>18</v>
      </c>
      <c r="AJ2400" s="2">
        <f t="shared" si="275"/>
        <v>0</v>
      </c>
      <c r="AK2400" s="2">
        <f t="shared" si="276"/>
        <v>64</v>
      </c>
      <c r="AL2400" s="5">
        <f t="shared" si="272"/>
        <v>0.37647058823529411</v>
      </c>
    </row>
    <row r="2401" spans="1:38" hidden="1" x14ac:dyDescent="0.2">
      <c r="A2401" s="2">
        <v>2025</v>
      </c>
      <c r="B2401" s="2">
        <v>12</v>
      </c>
      <c r="D2401" s="2" t="s">
        <v>766</v>
      </c>
      <c r="E2401" s="2" t="s">
        <v>38</v>
      </c>
      <c r="G2401" s="2">
        <v>513686231</v>
      </c>
      <c r="H2401" s="2" t="s">
        <v>291</v>
      </c>
      <c r="I2401" s="2" t="s">
        <v>767</v>
      </c>
      <c r="J2401" s="2" t="s">
        <v>768</v>
      </c>
      <c r="L2401" s="2" t="s">
        <v>481</v>
      </c>
      <c r="M2401" s="2" t="s">
        <v>81</v>
      </c>
      <c r="O2401" s="2" t="s">
        <v>2134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7"/>
        <v>0.31666666666666665</v>
      </c>
      <c r="Z2401" s="2" t="s">
        <v>3231</v>
      </c>
      <c r="AA2401" s="2" t="s">
        <v>46</v>
      </c>
      <c r="AB2401" s="2" t="s">
        <v>61</v>
      </c>
      <c r="AC2401" s="2" t="s">
        <v>58</v>
      </c>
      <c r="AF2401" s="2">
        <f t="shared" si="274"/>
        <v>0</v>
      </c>
      <c r="AG2401" s="2">
        <v>8.1999999999999993</v>
      </c>
      <c r="AH2401" s="2">
        <v>13</v>
      </c>
      <c r="AJ2401" s="2">
        <f t="shared" si="275"/>
        <v>0</v>
      </c>
      <c r="AK2401" s="2">
        <f t="shared" si="276"/>
        <v>19</v>
      </c>
      <c r="AL2401" s="5">
        <f t="shared" si="272"/>
        <v>0.31666666666666665</v>
      </c>
    </row>
    <row r="2402" spans="1:38" hidden="1" x14ac:dyDescent="0.2">
      <c r="A2402" s="2">
        <v>2025</v>
      </c>
      <c r="B2402" s="2">
        <v>12</v>
      </c>
      <c r="D2402" s="2" t="s">
        <v>766</v>
      </c>
      <c r="E2402" s="2" t="s">
        <v>38</v>
      </c>
      <c r="G2402" s="2">
        <v>513686231</v>
      </c>
      <c r="H2402" s="2" t="s">
        <v>291</v>
      </c>
      <c r="I2402" s="2" t="s">
        <v>767</v>
      </c>
      <c r="J2402" s="2" t="s">
        <v>768</v>
      </c>
      <c r="L2402" s="2" t="s">
        <v>481</v>
      </c>
      <c r="M2402" s="2" t="s">
        <v>81</v>
      </c>
      <c r="O2402" s="2" t="s">
        <v>2134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7"/>
        <v>0.45283848797250864</v>
      </c>
      <c r="Z2402" s="2" t="s">
        <v>3231</v>
      </c>
      <c r="AA2402" s="2" t="s">
        <v>46</v>
      </c>
      <c r="AB2402" s="2" t="s">
        <v>68</v>
      </c>
      <c r="AC2402" s="2" t="s">
        <v>58</v>
      </c>
      <c r="AF2402" s="2">
        <f t="shared" si="274"/>
        <v>0</v>
      </c>
      <c r="AG2402" s="2">
        <v>7.9611999999999998</v>
      </c>
      <c r="AH2402" s="2">
        <v>14.4</v>
      </c>
      <c r="AJ2402" s="2">
        <f t="shared" si="275"/>
        <v>0</v>
      </c>
      <c r="AK2402" s="2">
        <f t="shared" si="276"/>
        <v>6.5888000000000009</v>
      </c>
      <c r="AL2402" s="5">
        <f t="shared" si="272"/>
        <v>0.45283848797250864</v>
      </c>
    </row>
    <row r="2403" spans="1:38" hidden="1" x14ac:dyDescent="0.2">
      <c r="A2403" s="2">
        <v>2025</v>
      </c>
      <c r="B2403" s="2">
        <v>12</v>
      </c>
      <c r="D2403" s="2" t="s">
        <v>2135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7"/>
        <v>0.59999999999999987</v>
      </c>
      <c r="Z2403" s="2" t="s">
        <v>118</v>
      </c>
      <c r="AA2403" s="2" t="s">
        <v>191</v>
      </c>
      <c r="AB2403" s="2" t="s">
        <v>190</v>
      </c>
      <c r="AC2403" s="2" t="s">
        <v>40</v>
      </c>
      <c r="AF2403" s="2">
        <f t="shared" si="274"/>
        <v>0</v>
      </c>
      <c r="AJ2403" s="2">
        <f t="shared" si="275"/>
        <v>0</v>
      </c>
      <c r="AK2403" s="2">
        <f t="shared" si="276"/>
        <v>164.39999999999998</v>
      </c>
      <c r="AL2403" s="5">
        <f t="shared" si="272"/>
        <v>0.59999999999999987</v>
      </c>
    </row>
    <row r="2404" spans="1:38" hidden="1" x14ac:dyDescent="0.2">
      <c r="A2404" s="2">
        <v>2025</v>
      </c>
      <c r="B2404" s="2">
        <v>12</v>
      </c>
      <c r="D2404" s="2" t="s">
        <v>2135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7"/>
        <v>0.5</v>
      </c>
      <c r="Z2404" s="2" t="s">
        <v>118</v>
      </c>
      <c r="AA2404" s="2" t="s">
        <v>191</v>
      </c>
      <c r="AB2404" s="2" t="s">
        <v>191</v>
      </c>
      <c r="AC2404" s="2" t="s">
        <v>40</v>
      </c>
      <c r="AF2404" s="2">
        <f t="shared" si="274"/>
        <v>0</v>
      </c>
      <c r="AJ2404" s="2">
        <f t="shared" si="275"/>
        <v>0</v>
      </c>
      <c r="AK2404" s="2">
        <f t="shared" si="276"/>
        <v>31.25</v>
      </c>
      <c r="AL2404" s="5">
        <f t="shared" si="272"/>
        <v>0.5</v>
      </c>
    </row>
    <row r="2405" spans="1:38" hidden="1" x14ac:dyDescent="0.2">
      <c r="A2405" s="2">
        <v>2025</v>
      </c>
      <c r="B2405" s="2">
        <v>12</v>
      </c>
      <c r="D2405" s="2" t="s">
        <v>2136</v>
      </c>
      <c r="M2405" s="2" t="s">
        <v>40</v>
      </c>
      <c r="P2405" s="2" t="s">
        <v>115</v>
      </c>
      <c r="Q2405" s="2" t="s">
        <v>906</v>
      </c>
      <c r="R2405" s="2" t="s">
        <v>907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7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74"/>
        <v>0</v>
      </c>
      <c r="AJ2405" s="2">
        <f t="shared" si="275"/>
        <v>0</v>
      </c>
      <c r="AK2405" s="2">
        <f t="shared" si="276"/>
        <v>354.09659999999997</v>
      </c>
      <c r="AL2405" s="5">
        <f t="shared" si="272"/>
        <v>0.50635864435864431</v>
      </c>
    </row>
    <row r="2406" spans="1:38" hidden="1" x14ac:dyDescent="0.2">
      <c r="A2406" s="2">
        <v>2025</v>
      </c>
      <c r="B2406" s="2">
        <v>12</v>
      </c>
      <c r="D2406" s="2" t="s">
        <v>2136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7"/>
        <v>0.6</v>
      </c>
      <c r="Z2406" s="2" t="s">
        <v>118</v>
      </c>
      <c r="AA2406" s="2" t="s">
        <v>191</v>
      </c>
      <c r="AB2406" s="2" t="s">
        <v>190</v>
      </c>
      <c r="AC2406" s="2" t="s">
        <v>40</v>
      </c>
      <c r="AF2406" s="2">
        <f t="shared" si="274"/>
        <v>0</v>
      </c>
      <c r="AJ2406" s="2">
        <f t="shared" si="275"/>
        <v>0</v>
      </c>
      <c r="AK2406" s="2">
        <f t="shared" si="276"/>
        <v>104.39999999999999</v>
      </c>
      <c r="AL2406" s="5">
        <f t="shared" si="272"/>
        <v>0.6</v>
      </c>
    </row>
    <row r="2407" spans="1:38" hidden="1" x14ac:dyDescent="0.2">
      <c r="A2407" s="2">
        <v>2025</v>
      </c>
      <c r="B2407" s="2">
        <v>12</v>
      </c>
      <c r="D2407" s="2" t="s">
        <v>2136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7"/>
        <v>0.5</v>
      </c>
      <c r="Z2407" s="2" t="s">
        <v>118</v>
      </c>
      <c r="AA2407" s="2" t="s">
        <v>191</v>
      </c>
      <c r="AB2407" s="2" t="s">
        <v>191</v>
      </c>
      <c r="AC2407" s="2" t="s">
        <v>40</v>
      </c>
      <c r="AF2407" s="2">
        <f t="shared" si="274"/>
        <v>0</v>
      </c>
      <c r="AJ2407" s="2">
        <f t="shared" si="275"/>
        <v>0</v>
      </c>
      <c r="AK2407" s="2">
        <f t="shared" si="276"/>
        <v>50</v>
      </c>
      <c r="AL2407" s="5">
        <f t="shared" si="272"/>
        <v>0.5</v>
      </c>
    </row>
    <row r="2408" spans="1:38" hidden="1" x14ac:dyDescent="0.2">
      <c r="A2408" s="2">
        <v>2025</v>
      </c>
      <c r="B2408" s="2">
        <v>12</v>
      </c>
      <c r="C2408" s="2" t="s">
        <v>3448</v>
      </c>
      <c r="D2408" s="2" t="s">
        <v>1891</v>
      </c>
      <c r="E2408" s="2" t="s">
        <v>38</v>
      </c>
      <c r="F2408" s="2" t="s">
        <v>39</v>
      </c>
      <c r="L2408" s="2" t="s">
        <v>462</v>
      </c>
      <c r="M2408" s="2" t="s">
        <v>81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277"/>
        <v>0.58248333333333335</v>
      </c>
      <c r="Z2408" s="2" t="s">
        <v>3231</v>
      </c>
      <c r="AA2408" s="2" t="s">
        <v>88</v>
      </c>
      <c r="AB2408" s="2" t="s">
        <v>91</v>
      </c>
      <c r="AC2408" s="2" t="s">
        <v>85</v>
      </c>
      <c r="AF2408" s="2">
        <f t="shared" si="274"/>
        <v>0</v>
      </c>
      <c r="AJ2408" s="2">
        <f t="shared" si="275"/>
        <v>0</v>
      </c>
      <c r="AK2408" s="2">
        <f t="shared" si="276"/>
        <v>3.4948999999999999</v>
      </c>
      <c r="AL2408" s="5">
        <f t="shared" si="272"/>
        <v>0.58248333333333335</v>
      </c>
    </row>
    <row r="2409" spans="1:38" hidden="1" x14ac:dyDescent="0.2">
      <c r="A2409" s="2">
        <v>2025</v>
      </c>
      <c r="B2409" s="2">
        <v>12</v>
      </c>
      <c r="D2409" s="2" t="s">
        <v>776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777</v>
      </c>
      <c r="J2409" s="2" t="s">
        <v>778</v>
      </c>
      <c r="L2409" s="2" t="s">
        <v>340</v>
      </c>
      <c r="M2409" s="2" t="s">
        <v>40</v>
      </c>
      <c r="O2409" s="2" t="s">
        <v>2137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7"/>
        <v>0.6</v>
      </c>
      <c r="Z2409" s="2" t="s">
        <v>118</v>
      </c>
      <c r="AA2409" s="2" t="s">
        <v>191</v>
      </c>
      <c r="AB2409" s="2" t="s">
        <v>190</v>
      </c>
      <c r="AC2409" s="2" t="s">
        <v>40</v>
      </c>
      <c r="AF2409" s="2">
        <f t="shared" si="274"/>
        <v>0</v>
      </c>
      <c r="AJ2409" s="2">
        <f t="shared" si="275"/>
        <v>0</v>
      </c>
      <c r="AK2409" s="2">
        <f t="shared" si="276"/>
        <v>30</v>
      </c>
      <c r="AL2409" s="5">
        <f t="shared" si="272"/>
        <v>0.6</v>
      </c>
    </row>
    <row r="2410" spans="1:38" hidden="1" x14ac:dyDescent="0.2">
      <c r="A2410" s="2">
        <v>2025</v>
      </c>
      <c r="B2410" s="2">
        <v>12</v>
      </c>
      <c r="D2410" s="2" t="s">
        <v>776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777</v>
      </c>
      <c r="J2410" s="2" t="s">
        <v>778</v>
      </c>
      <c r="L2410" s="2" t="s">
        <v>340</v>
      </c>
      <c r="M2410" s="2" t="s">
        <v>40</v>
      </c>
      <c r="O2410" s="2" t="s">
        <v>2137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7"/>
        <v>0.5</v>
      </c>
      <c r="Z2410" s="2" t="s">
        <v>118</v>
      </c>
      <c r="AA2410" s="2" t="s">
        <v>191</v>
      </c>
      <c r="AB2410" s="2" t="s">
        <v>191</v>
      </c>
      <c r="AC2410" s="2" t="s">
        <v>40</v>
      </c>
      <c r="AF2410" s="2">
        <f t="shared" si="274"/>
        <v>0</v>
      </c>
      <c r="AJ2410" s="2">
        <f t="shared" si="275"/>
        <v>0</v>
      </c>
      <c r="AK2410" s="2">
        <f t="shared" si="276"/>
        <v>31.25</v>
      </c>
      <c r="AL2410" s="5">
        <f t="shared" si="272"/>
        <v>0.5</v>
      </c>
    </row>
    <row r="2411" spans="1:38" hidden="1" x14ac:dyDescent="0.2">
      <c r="A2411" s="2">
        <v>2025</v>
      </c>
      <c r="B2411" s="2">
        <v>12</v>
      </c>
      <c r="D2411" s="2" t="s">
        <v>2012</v>
      </c>
      <c r="E2411" s="2" t="s">
        <v>38</v>
      </c>
      <c r="F2411" s="2" t="s">
        <v>39</v>
      </c>
      <c r="L2411" s="2" t="s">
        <v>572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7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74"/>
        <v>0</v>
      </c>
      <c r="AJ2411" s="2">
        <f t="shared" si="275"/>
        <v>0</v>
      </c>
      <c r="AK2411" s="2">
        <f t="shared" si="276"/>
        <v>25.908000000000001</v>
      </c>
      <c r="AL2411" s="5">
        <f t="shared" si="272"/>
        <v>0.52927477017364655</v>
      </c>
    </row>
    <row r="2412" spans="1:38" hidden="1" x14ac:dyDescent="0.2">
      <c r="A2412" s="2">
        <v>2025</v>
      </c>
      <c r="B2412" s="2">
        <v>12</v>
      </c>
      <c r="D2412" s="2" t="s">
        <v>2012</v>
      </c>
      <c r="E2412" s="2" t="s">
        <v>38</v>
      </c>
      <c r="F2412" s="2" t="s">
        <v>39</v>
      </c>
      <c r="L2412" s="2" t="s">
        <v>572</v>
      </c>
      <c r="M2412" s="2" t="s">
        <v>81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7"/>
        <v>0.41692380952380953</v>
      </c>
      <c r="Z2412" s="2" t="s">
        <v>3231</v>
      </c>
      <c r="AA2412" s="2" t="s">
        <v>76</v>
      </c>
      <c r="AB2412" s="2" t="s">
        <v>77</v>
      </c>
      <c r="AC2412" s="2" t="s">
        <v>78</v>
      </c>
      <c r="AF2412" s="2">
        <f t="shared" si="274"/>
        <v>0</v>
      </c>
      <c r="AG2412" s="2">
        <v>122.446</v>
      </c>
      <c r="AH2412" s="2">
        <v>230</v>
      </c>
      <c r="AJ2412" s="2">
        <f t="shared" si="275"/>
        <v>0</v>
      </c>
      <c r="AK2412" s="2">
        <f t="shared" si="276"/>
        <v>87.554000000000002</v>
      </c>
      <c r="AL2412" s="5">
        <f t="shared" si="272"/>
        <v>0.41692380952380953</v>
      </c>
    </row>
    <row r="2413" spans="1:38" hidden="1" x14ac:dyDescent="0.2">
      <c r="A2413" s="2">
        <v>2025</v>
      </c>
      <c r="B2413" s="2">
        <v>12</v>
      </c>
      <c r="D2413" s="2" t="s">
        <v>2012</v>
      </c>
      <c r="E2413" s="2" t="s">
        <v>38</v>
      </c>
      <c r="F2413" s="2" t="s">
        <v>39</v>
      </c>
      <c r="L2413" s="2" t="s">
        <v>572</v>
      </c>
      <c r="M2413" s="2" t="s">
        <v>81</v>
      </c>
      <c r="P2413" s="2" t="s">
        <v>1040</v>
      </c>
      <c r="Q2413" s="2" t="s">
        <v>2138</v>
      </c>
      <c r="R2413" s="2" t="s">
        <v>2139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7"/>
        <v>0.38626086956521738</v>
      </c>
      <c r="Z2413" s="2" t="s">
        <v>3231</v>
      </c>
      <c r="AA2413" s="2" t="s">
        <v>76</v>
      </c>
      <c r="AB2413" s="2" t="s">
        <v>77</v>
      </c>
      <c r="AC2413" s="2" t="s">
        <v>1040</v>
      </c>
      <c r="AF2413" s="2">
        <f t="shared" si="274"/>
        <v>0</v>
      </c>
      <c r="AJ2413" s="2">
        <f t="shared" si="275"/>
        <v>0</v>
      </c>
      <c r="AK2413" s="2">
        <f t="shared" si="276"/>
        <v>88.84</v>
      </c>
      <c r="AL2413" s="5">
        <f t="shared" si="272"/>
        <v>0.38626086956521738</v>
      </c>
    </row>
    <row r="2414" spans="1:38" hidden="1" x14ac:dyDescent="0.2">
      <c r="A2414" s="2">
        <v>2025</v>
      </c>
      <c r="B2414" s="2">
        <v>12</v>
      </c>
      <c r="D2414" s="2" t="s">
        <v>2012</v>
      </c>
      <c r="E2414" s="2" t="s">
        <v>38</v>
      </c>
      <c r="F2414" s="2" t="s">
        <v>39</v>
      </c>
      <c r="L2414" s="2" t="s">
        <v>572</v>
      </c>
      <c r="M2414" s="2" t="s">
        <v>81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7"/>
        <v>0.25</v>
      </c>
      <c r="Z2414" s="2" t="s">
        <v>170</v>
      </c>
      <c r="AA2414" s="2" t="s">
        <v>170</v>
      </c>
      <c r="AF2414" s="2">
        <f t="shared" si="274"/>
        <v>0</v>
      </c>
      <c r="AJ2414" s="2">
        <f t="shared" si="275"/>
        <v>0</v>
      </c>
      <c r="AK2414" s="2">
        <f t="shared" si="276"/>
        <v>10</v>
      </c>
      <c r="AL2414" s="5">
        <f t="shared" si="272"/>
        <v>0.25</v>
      </c>
    </row>
    <row r="2415" spans="1:38" hidden="1" x14ac:dyDescent="0.2">
      <c r="A2415" s="2">
        <v>2025</v>
      </c>
      <c r="B2415" s="2">
        <v>12</v>
      </c>
      <c r="D2415" s="2" t="s">
        <v>2012</v>
      </c>
      <c r="E2415" s="2" t="s">
        <v>38</v>
      </c>
      <c r="F2415" s="2" t="s">
        <v>39</v>
      </c>
      <c r="L2415" s="2" t="s">
        <v>572</v>
      </c>
      <c r="M2415" s="2" t="s">
        <v>81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7"/>
        <v>0</v>
      </c>
      <c r="Z2415" s="2" t="s">
        <v>3231</v>
      </c>
      <c r="AA2415" s="2" t="s">
        <v>97</v>
      </c>
      <c r="AB2415" s="2" t="s">
        <v>77</v>
      </c>
      <c r="AC2415" s="2" t="s">
        <v>94</v>
      </c>
      <c r="AF2415" s="2">
        <f t="shared" si="274"/>
        <v>0</v>
      </c>
      <c r="AJ2415" s="2">
        <f t="shared" si="275"/>
        <v>0</v>
      </c>
      <c r="AK2415" s="2">
        <f t="shared" si="276"/>
        <v>0</v>
      </c>
      <c r="AL2415" s="5">
        <f t="shared" si="272"/>
        <v>0</v>
      </c>
    </row>
    <row r="2416" spans="1:38" hidden="1" x14ac:dyDescent="0.2">
      <c r="A2416" s="2">
        <v>2025</v>
      </c>
      <c r="B2416" s="2">
        <v>12</v>
      </c>
      <c r="D2416" s="2" t="s">
        <v>1011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1012</v>
      </c>
      <c r="J2416" s="2" t="s">
        <v>1013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7"/>
        <v>0.46612272727272724</v>
      </c>
      <c r="Z2416" s="2" t="s">
        <v>3231</v>
      </c>
      <c r="AA2416" s="2" t="s">
        <v>76</v>
      </c>
      <c r="AB2416" s="2" t="s">
        <v>77</v>
      </c>
      <c r="AC2416" s="2" t="s">
        <v>78</v>
      </c>
      <c r="AF2416" s="2">
        <f t="shared" si="274"/>
        <v>0</v>
      </c>
      <c r="AG2416" s="2">
        <v>117.453</v>
      </c>
      <c r="AH2416" s="2">
        <v>220</v>
      </c>
      <c r="AJ2416" s="2">
        <f t="shared" si="275"/>
        <v>0</v>
      </c>
      <c r="AK2416" s="2">
        <f t="shared" si="276"/>
        <v>102.547</v>
      </c>
      <c r="AL2416" s="5">
        <f t="shared" si="272"/>
        <v>0.46612272727272724</v>
      </c>
    </row>
    <row r="2417" spans="1:38" hidden="1" x14ac:dyDescent="0.2">
      <c r="A2417" s="2">
        <v>2025</v>
      </c>
      <c r="B2417" s="2">
        <v>12</v>
      </c>
      <c r="D2417" s="2" t="s">
        <v>1011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1012</v>
      </c>
      <c r="J2417" s="2" t="s">
        <v>1013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7"/>
        <v>0.6</v>
      </c>
      <c r="Z2417" s="2" t="s">
        <v>118</v>
      </c>
      <c r="AA2417" s="2" t="s">
        <v>191</v>
      </c>
      <c r="AB2417" s="2" t="s">
        <v>190</v>
      </c>
      <c r="AC2417" s="2" t="s">
        <v>40</v>
      </c>
      <c r="AF2417" s="2">
        <f t="shared" si="274"/>
        <v>0</v>
      </c>
      <c r="AJ2417" s="2">
        <f t="shared" si="275"/>
        <v>0</v>
      </c>
      <c r="AK2417" s="2">
        <f t="shared" si="276"/>
        <v>24.75</v>
      </c>
      <c r="AL2417" s="5">
        <f t="shared" si="272"/>
        <v>0.6</v>
      </c>
    </row>
    <row r="2418" spans="1:38" hidden="1" x14ac:dyDescent="0.2">
      <c r="A2418" s="2">
        <v>2025</v>
      </c>
      <c r="B2418" s="2">
        <v>12</v>
      </c>
      <c r="D2418" s="2" t="s">
        <v>1011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1012</v>
      </c>
      <c r="J2418" s="2" t="s">
        <v>1013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7"/>
        <v>0.5</v>
      </c>
      <c r="Z2418" s="2" t="s">
        <v>118</v>
      </c>
      <c r="AA2418" s="2" t="s">
        <v>191</v>
      </c>
      <c r="AB2418" s="2" t="s">
        <v>191</v>
      </c>
      <c r="AC2418" s="2" t="s">
        <v>40</v>
      </c>
      <c r="AF2418" s="2">
        <f t="shared" si="274"/>
        <v>0</v>
      </c>
      <c r="AJ2418" s="2">
        <f t="shared" si="275"/>
        <v>0</v>
      </c>
      <c r="AK2418" s="2">
        <f t="shared" si="276"/>
        <v>22.5</v>
      </c>
      <c r="AL2418" s="5">
        <f t="shared" si="272"/>
        <v>0.5</v>
      </c>
    </row>
    <row r="2419" spans="1:38" hidden="1" x14ac:dyDescent="0.2">
      <c r="A2419" s="2">
        <v>2025</v>
      </c>
      <c r="B2419" s="2">
        <v>12</v>
      </c>
      <c r="D2419" s="2" t="s">
        <v>1011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1012</v>
      </c>
      <c r="J2419" s="2" t="s">
        <v>1013</v>
      </c>
      <c r="L2419" s="2" t="s">
        <v>294</v>
      </c>
      <c r="M2419" s="2" t="s">
        <v>81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7"/>
        <v>0</v>
      </c>
      <c r="Z2419" s="2" t="s">
        <v>3231</v>
      </c>
      <c r="AA2419" s="2" t="s">
        <v>97</v>
      </c>
      <c r="AB2419" s="2" t="s">
        <v>77</v>
      </c>
      <c r="AC2419" s="2" t="s">
        <v>94</v>
      </c>
      <c r="AF2419" s="2">
        <f t="shared" si="274"/>
        <v>0</v>
      </c>
      <c r="AJ2419" s="2">
        <f t="shared" si="275"/>
        <v>0</v>
      </c>
      <c r="AK2419" s="2">
        <f t="shared" si="276"/>
        <v>0</v>
      </c>
      <c r="AL2419" s="5">
        <f t="shared" ref="AL2419:AL2482" si="278">(T2419-W2419)/T2419</f>
        <v>0</v>
      </c>
    </row>
    <row r="2420" spans="1:38" hidden="1" x14ac:dyDescent="0.2">
      <c r="A2420" s="2">
        <v>2025</v>
      </c>
      <c r="B2420" s="2">
        <v>12</v>
      </c>
      <c r="D2420" s="2" t="s">
        <v>1011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1012</v>
      </c>
      <c r="J2420" s="2" t="s">
        <v>1013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7"/>
        <v>1</v>
      </c>
      <c r="Z2420" s="2" t="s">
        <v>120</v>
      </c>
      <c r="AA2420" s="2" t="s">
        <v>3385</v>
      </c>
      <c r="AF2420" s="2">
        <f t="shared" si="274"/>
        <v>0</v>
      </c>
      <c r="AJ2420" s="2">
        <f t="shared" si="275"/>
        <v>0</v>
      </c>
      <c r="AK2420" s="2">
        <f t="shared" si="276"/>
        <v>28.5</v>
      </c>
      <c r="AL2420" s="5">
        <f t="shared" si="278"/>
        <v>1</v>
      </c>
    </row>
    <row r="2421" spans="1:38" hidden="1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2480</v>
      </c>
      <c r="J2421" s="2" t="s">
        <v>3127</v>
      </c>
      <c r="K2421" s="2">
        <v>965864665</v>
      </c>
      <c r="L2421" s="2" t="s">
        <v>345</v>
      </c>
      <c r="M2421" s="2" t="s">
        <v>40</v>
      </c>
      <c r="O2421" s="2" t="s">
        <v>3132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7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74"/>
        <v>0</v>
      </c>
      <c r="AG2421" s="2">
        <v>10669.4</v>
      </c>
      <c r="AJ2421" s="2">
        <f t="shared" si="275"/>
        <v>0</v>
      </c>
      <c r="AK2421" s="2">
        <f t="shared" si="276"/>
        <v>4320.6000000000004</v>
      </c>
      <c r="AL2421" s="5">
        <f t="shared" si="278"/>
        <v>0.28823215476984659</v>
      </c>
    </row>
    <row r="2422" spans="1:38" hidden="1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7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74"/>
        <v>0</v>
      </c>
      <c r="AJ2422" s="2">
        <f t="shared" si="275"/>
        <v>0</v>
      </c>
      <c r="AK2422" s="2">
        <f t="shared" si="276"/>
        <v>25.908000000000001</v>
      </c>
      <c r="AL2422" s="5">
        <f t="shared" si="278"/>
        <v>0.52927477017364655</v>
      </c>
    </row>
    <row r="2423" spans="1:38" hidden="1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7"/>
        <v>0.43096969696969695</v>
      </c>
      <c r="Z2423" s="2" t="s">
        <v>3231</v>
      </c>
      <c r="AA2423" s="2" t="s">
        <v>46</v>
      </c>
      <c r="AB2423" s="2" t="s">
        <v>61</v>
      </c>
      <c r="AC2423" s="2" t="s">
        <v>58</v>
      </c>
      <c r="AF2423" s="2">
        <f t="shared" si="274"/>
        <v>0</v>
      </c>
      <c r="AG2423" s="2">
        <v>3.7555999999999998</v>
      </c>
      <c r="AH2423" s="2">
        <v>7.2</v>
      </c>
      <c r="AJ2423" s="2">
        <f t="shared" si="275"/>
        <v>0</v>
      </c>
      <c r="AK2423" s="2">
        <f t="shared" si="276"/>
        <v>22.755199999999999</v>
      </c>
      <c r="AL2423" s="5">
        <f t="shared" si="278"/>
        <v>0.43096969696969695</v>
      </c>
    </row>
    <row r="2424" spans="1:38" hidden="1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7"/>
        <v>1</v>
      </c>
      <c r="Z2424" s="2" t="s">
        <v>170</v>
      </c>
      <c r="AA2424" s="2" t="s">
        <v>170</v>
      </c>
      <c r="AF2424" s="2">
        <f t="shared" si="274"/>
        <v>0</v>
      </c>
      <c r="AJ2424" s="2">
        <f t="shared" si="275"/>
        <v>0</v>
      </c>
      <c r="AK2424" s="2">
        <f t="shared" si="276"/>
        <v>13.5</v>
      </c>
      <c r="AL2424" s="5">
        <f t="shared" si="278"/>
        <v>1</v>
      </c>
    </row>
    <row r="2425" spans="1:38" hidden="1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7"/>
        <v>0.36923076923076914</v>
      </c>
      <c r="Z2425" s="2" t="s">
        <v>3231</v>
      </c>
      <c r="AA2425" s="2" t="s">
        <v>46</v>
      </c>
      <c r="AB2425" s="2" t="s">
        <v>61</v>
      </c>
      <c r="AC2425" s="2" t="s">
        <v>58</v>
      </c>
      <c r="AF2425" s="2">
        <f t="shared" si="274"/>
        <v>0</v>
      </c>
      <c r="AG2425" s="2">
        <v>8.1999999999999993</v>
      </c>
      <c r="AH2425" s="2">
        <v>13</v>
      </c>
      <c r="AJ2425" s="2">
        <f t="shared" si="275"/>
        <v>0</v>
      </c>
      <c r="AK2425" s="2">
        <f t="shared" si="276"/>
        <v>9.5999999999999979</v>
      </c>
      <c r="AL2425" s="5">
        <f t="shared" si="278"/>
        <v>0.36923076923076914</v>
      </c>
    </row>
    <row r="2426" spans="1:38" hidden="1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7"/>
        <v>0.41111111111111115</v>
      </c>
      <c r="Z2426" s="2" t="s">
        <v>3231</v>
      </c>
      <c r="AA2426" s="2" t="s">
        <v>46</v>
      </c>
      <c r="AB2426" s="2" t="s">
        <v>57</v>
      </c>
      <c r="AC2426" s="2" t="s">
        <v>58</v>
      </c>
      <c r="AF2426" s="2">
        <f t="shared" si="274"/>
        <v>0</v>
      </c>
      <c r="AG2426" s="2">
        <v>10.6</v>
      </c>
      <c r="AH2426" s="2">
        <v>18</v>
      </c>
      <c r="AJ2426" s="2">
        <f t="shared" si="275"/>
        <v>0</v>
      </c>
      <c r="AK2426" s="2">
        <f t="shared" si="276"/>
        <v>7.4</v>
      </c>
      <c r="AL2426" s="5">
        <f t="shared" si="278"/>
        <v>0.41111111111111115</v>
      </c>
    </row>
    <row r="2427" spans="1:38" hidden="1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7"/>
        <v>0.36923076923076914</v>
      </c>
      <c r="Z2427" s="2" t="s">
        <v>3231</v>
      </c>
      <c r="AA2427" s="2" t="s">
        <v>46</v>
      </c>
      <c r="AB2427" s="2" t="s">
        <v>61</v>
      </c>
      <c r="AC2427" s="2" t="s">
        <v>58</v>
      </c>
      <c r="AF2427" s="2">
        <f t="shared" si="274"/>
        <v>0</v>
      </c>
      <c r="AG2427" s="2">
        <v>8.1999999999999993</v>
      </c>
      <c r="AH2427" s="2">
        <v>13</v>
      </c>
      <c r="AJ2427" s="2">
        <f t="shared" si="275"/>
        <v>0</v>
      </c>
      <c r="AK2427" s="2">
        <f t="shared" si="276"/>
        <v>4.7999999999999989</v>
      </c>
      <c r="AL2427" s="5">
        <f t="shared" si="278"/>
        <v>0.36923076923076914</v>
      </c>
    </row>
    <row r="2428" spans="1:38" hidden="1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7"/>
        <v>0.43104924242424236</v>
      </c>
      <c r="Z2428" s="2" t="s">
        <v>3231</v>
      </c>
      <c r="AA2428" s="2" t="s">
        <v>46</v>
      </c>
      <c r="AB2428" s="2" t="s">
        <v>68</v>
      </c>
      <c r="AC2428" s="2" t="s">
        <v>58</v>
      </c>
      <c r="AF2428" s="2">
        <f t="shared" si="274"/>
        <v>0</v>
      </c>
      <c r="AG2428" s="2">
        <v>15.020300000000001</v>
      </c>
      <c r="AH2428" s="2">
        <v>27.6</v>
      </c>
      <c r="AJ2428" s="2">
        <f t="shared" si="275"/>
        <v>0</v>
      </c>
      <c r="AK2428" s="2">
        <f t="shared" si="276"/>
        <v>11.379699999999998</v>
      </c>
      <c r="AL2428" s="5">
        <f t="shared" si="278"/>
        <v>0.43104924242424236</v>
      </c>
    </row>
    <row r="2429" spans="1:38" hidden="1" x14ac:dyDescent="0.2">
      <c r="A2429" s="2">
        <v>2025</v>
      </c>
      <c r="B2429" s="2">
        <v>12</v>
      </c>
      <c r="D2429" s="2" t="s">
        <v>2140</v>
      </c>
      <c r="P2429" s="2" t="s">
        <v>115</v>
      </c>
      <c r="Q2429" s="2" t="s">
        <v>2141</v>
      </c>
      <c r="R2429" s="2" t="s">
        <v>2142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7"/>
        <v>1</v>
      </c>
      <c r="Z2429" s="2" t="s">
        <v>118</v>
      </c>
      <c r="AF2429" s="2">
        <f t="shared" si="274"/>
        <v>0</v>
      </c>
      <c r="AJ2429" s="2">
        <f t="shared" si="275"/>
        <v>0</v>
      </c>
      <c r="AK2429" s="2">
        <f t="shared" si="276"/>
        <v>13500</v>
      </c>
      <c r="AL2429" s="5">
        <f t="shared" si="278"/>
        <v>1</v>
      </c>
    </row>
    <row r="2430" spans="1:38" hidden="1" x14ac:dyDescent="0.2">
      <c r="A2430" s="2">
        <v>2025</v>
      </c>
      <c r="B2430" s="2">
        <v>12</v>
      </c>
      <c r="D2430" s="2" t="s">
        <v>1378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7"/>
        <v>0.46612272727272724</v>
      </c>
      <c r="Z2430" s="2" t="s">
        <v>3231</v>
      </c>
      <c r="AA2430" s="2" t="s">
        <v>76</v>
      </c>
      <c r="AB2430" s="2" t="s">
        <v>77</v>
      </c>
      <c r="AC2430" s="2" t="s">
        <v>78</v>
      </c>
      <c r="AF2430" s="2">
        <f t="shared" si="274"/>
        <v>0</v>
      </c>
      <c r="AG2430" s="2">
        <v>117.453</v>
      </c>
      <c r="AH2430" s="2">
        <v>220</v>
      </c>
      <c r="AJ2430" s="2">
        <f t="shared" si="275"/>
        <v>0</v>
      </c>
      <c r="AK2430" s="2">
        <f t="shared" si="276"/>
        <v>102.547</v>
      </c>
      <c r="AL2430" s="5">
        <f t="shared" si="278"/>
        <v>0.46612272727272724</v>
      </c>
    </row>
    <row r="2431" spans="1:38" hidden="1" x14ac:dyDescent="0.2">
      <c r="A2431" s="2">
        <v>2025</v>
      </c>
      <c r="B2431" s="2">
        <v>12</v>
      </c>
      <c r="D2431" s="2" t="s">
        <v>1378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7"/>
        <v>0</v>
      </c>
      <c r="Z2431" s="2" t="s">
        <v>3231</v>
      </c>
      <c r="AA2431" s="2" t="s">
        <v>97</v>
      </c>
      <c r="AB2431" s="2" t="s">
        <v>77</v>
      </c>
      <c r="AC2431" s="2" t="s">
        <v>94</v>
      </c>
      <c r="AF2431" s="2">
        <f t="shared" si="274"/>
        <v>0</v>
      </c>
      <c r="AJ2431" s="2">
        <f t="shared" si="275"/>
        <v>0</v>
      </c>
      <c r="AK2431" s="2">
        <f t="shared" si="276"/>
        <v>0</v>
      </c>
      <c r="AL2431" s="5">
        <f t="shared" si="278"/>
        <v>0</v>
      </c>
    </row>
    <row r="2432" spans="1:38" hidden="1" x14ac:dyDescent="0.2">
      <c r="A2432" s="2">
        <v>2025</v>
      </c>
      <c r="B2432" s="2">
        <v>12</v>
      </c>
      <c r="D2432" s="2" t="s">
        <v>2021</v>
      </c>
      <c r="M2432" s="2" t="s">
        <v>40</v>
      </c>
      <c r="P2432" s="2" t="s">
        <v>115</v>
      </c>
      <c r="Q2432" s="2" t="s">
        <v>906</v>
      </c>
      <c r="R2432" s="2" t="s">
        <v>907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9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74"/>
        <v>0</v>
      </c>
      <c r="AJ2432" s="2">
        <f t="shared" si="275"/>
        <v>0</v>
      </c>
      <c r="AK2432" s="2">
        <f t="shared" si="276"/>
        <v>354.09659999999997</v>
      </c>
      <c r="AL2432" s="5">
        <f t="shared" si="278"/>
        <v>0.50635864435864431</v>
      </c>
    </row>
    <row r="2433" spans="1:38" hidden="1" x14ac:dyDescent="0.2">
      <c r="A2433" s="2">
        <v>2025</v>
      </c>
      <c r="B2433" s="2">
        <v>12</v>
      </c>
      <c r="D2433" s="2" t="s">
        <v>2021</v>
      </c>
      <c r="M2433" s="2" t="s">
        <v>41</v>
      </c>
      <c r="O2433" s="2" t="s">
        <v>2143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9"/>
        <v>0.45454545454545453</v>
      </c>
      <c r="Z2433" s="2" t="s">
        <v>3231</v>
      </c>
      <c r="AA2433" s="2" t="s">
        <v>46</v>
      </c>
      <c r="AB2433" s="2" t="s">
        <v>47</v>
      </c>
      <c r="AC2433" s="2" t="s">
        <v>48</v>
      </c>
      <c r="AF2433" s="2">
        <f t="shared" si="274"/>
        <v>0</v>
      </c>
      <c r="AG2433" s="2">
        <v>9.3000000000000007</v>
      </c>
      <c r="AH2433" s="2">
        <v>21</v>
      </c>
      <c r="AJ2433" s="2">
        <f t="shared" si="275"/>
        <v>0</v>
      </c>
      <c r="AK2433" s="2">
        <f t="shared" si="276"/>
        <v>7.75</v>
      </c>
      <c r="AL2433" s="5">
        <f t="shared" si="278"/>
        <v>0.45454545454545453</v>
      </c>
    </row>
    <row r="2434" spans="1:38" hidden="1" x14ac:dyDescent="0.2">
      <c r="A2434" s="2">
        <v>2025</v>
      </c>
      <c r="B2434" s="2">
        <v>12</v>
      </c>
      <c r="D2434" s="2" t="s">
        <v>2021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9"/>
        <v>0.44777500000000003</v>
      </c>
      <c r="Z2434" s="2" t="s">
        <v>3231</v>
      </c>
      <c r="AA2434" s="2" t="s">
        <v>46</v>
      </c>
      <c r="AB2434" s="2" t="s">
        <v>47</v>
      </c>
      <c r="AC2434" s="2" t="s">
        <v>48</v>
      </c>
      <c r="AF2434" s="2">
        <f t="shared" si="274"/>
        <v>0</v>
      </c>
      <c r="AG2434" s="2">
        <v>6.6266999999999996</v>
      </c>
      <c r="AH2434" s="2">
        <v>12</v>
      </c>
      <c r="AJ2434" s="2">
        <f t="shared" si="275"/>
        <v>0</v>
      </c>
      <c r="AK2434" s="2">
        <f t="shared" si="276"/>
        <v>5.3733000000000004</v>
      </c>
      <c r="AL2434" s="5">
        <f t="shared" si="278"/>
        <v>0.44777500000000003</v>
      </c>
    </row>
    <row r="2435" spans="1:38" hidden="1" x14ac:dyDescent="0.2">
      <c r="A2435" s="2">
        <v>2025</v>
      </c>
      <c r="B2435" s="2">
        <v>12</v>
      </c>
      <c r="D2435" s="2" t="s">
        <v>2021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9"/>
        <v>0.41111111111111115</v>
      </c>
      <c r="Z2435" s="2" t="s">
        <v>3231</v>
      </c>
      <c r="AA2435" s="2" t="s">
        <v>46</v>
      </c>
      <c r="AB2435" s="2" t="s">
        <v>57</v>
      </c>
      <c r="AC2435" s="2" t="s">
        <v>58</v>
      </c>
      <c r="AF2435" s="2">
        <f t="shared" ref="AF2435:AF2498" si="280">AJ2435</f>
        <v>0</v>
      </c>
      <c r="AG2435" s="2">
        <v>10.6</v>
      </c>
      <c r="AH2435" s="2">
        <v>18</v>
      </c>
      <c r="AJ2435" s="2">
        <f t="shared" ref="AJ2435:AJ2498" si="281">AI2435*T2435</f>
        <v>0</v>
      </c>
      <c r="AK2435" s="2">
        <f t="shared" ref="AK2435:AK2498" si="282">T2435-W2435</f>
        <v>14.8</v>
      </c>
      <c r="AL2435" s="5">
        <f t="shared" si="278"/>
        <v>0.41111111111111115</v>
      </c>
    </row>
    <row r="2436" spans="1:38" hidden="1" x14ac:dyDescent="0.2">
      <c r="A2436" s="2">
        <v>2025</v>
      </c>
      <c r="B2436" s="2">
        <v>12</v>
      </c>
      <c r="D2436" s="2" t="s">
        <v>2021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9"/>
        <v>0.6</v>
      </c>
      <c r="Z2436" s="2" t="s">
        <v>118</v>
      </c>
      <c r="AA2436" s="2" t="s">
        <v>191</v>
      </c>
      <c r="AB2436" s="2" t="s">
        <v>190</v>
      </c>
      <c r="AC2436" s="2" t="s">
        <v>40</v>
      </c>
      <c r="AF2436" s="2">
        <f t="shared" si="280"/>
        <v>0</v>
      </c>
      <c r="AJ2436" s="2">
        <f t="shared" si="281"/>
        <v>0</v>
      </c>
      <c r="AK2436" s="2">
        <f t="shared" si="282"/>
        <v>36</v>
      </c>
      <c r="AL2436" s="5">
        <f t="shared" si="278"/>
        <v>0.6</v>
      </c>
    </row>
    <row r="2437" spans="1:38" hidden="1" x14ac:dyDescent="0.2">
      <c r="A2437" s="2">
        <v>2025</v>
      </c>
      <c r="B2437" s="2">
        <v>12</v>
      </c>
      <c r="D2437" s="2" t="s">
        <v>2021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9"/>
        <v>0.5</v>
      </c>
      <c r="Z2437" s="2" t="s">
        <v>118</v>
      </c>
      <c r="AA2437" s="2" t="s">
        <v>191</v>
      </c>
      <c r="AB2437" s="2" t="s">
        <v>191</v>
      </c>
      <c r="AC2437" s="2" t="s">
        <v>40</v>
      </c>
      <c r="AF2437" s="2">
        <f t="shared" si="280"/>
        <v>0</v>
      </c>
      <c r="AJ2437" s="2">
        <f t="shared" si="281"/>
        <v>0</v>
      </c>
      <c r="AK2437" s="2">
        <f t="shared" si="282"/>
        <v>25</v>
      </c>
      <c r="AL2437" s="5">
        <f t="shared" si="278"/>
        <v>0.5</v>
      </c>
    </row>
    <row r="2438" spans="1:38" hidden="1" x14ac:dyDescent="0.2">
      <c r="A2438" s="2">
        <v>2025</v>
      </c>
      <c r="B2438" s="2">
        <v>12</v>
      </c>
      <c r="D2438" s="2" t="s">
        <v>2144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9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80"/>
        <v>0</v>
      </c>
      <c r="AJ2438" s="2">
        <f t="shared" si="281"/>
        <v>0</v>
      </c>
      <c r="AK2438" s="2">
        <f t="shared" si="282"/>
        <v>352.72999999999996</v>
      </c>
      <c r="AL2438" s="5">
        <f t="shared" si="278"/>
        <v>0.50440440440440437</v>
      </c>
    </row>
    <row r="2439" spans="1:38" hidden="1" x14ac:dyDescent="0.2">
      <c r="A2439" s="2">
        <v>2025</v>
      </c>
      <c r="B2439" s="2">
        <v>12</v>
      </c>
      <c r="D2439" s="2" t="s">
        <v>2144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9"/>
        <v>0.6</v>
      </c>
      <c r="Z2439" s="2" t="s">
        <v>118</v>
      </c>
      <c r="AA2439" s="2" t="s">
        <v>191</v>
      </c>
      <c r="AB2439" s="2" t="s">
        <v>190</v>
      </c>
      <c r="AC2439" s="2" t="s">
        <v>40</v>
      </c>
      <c r="AF2439" s="2">
        <f t="shared" si="280"/>
        <v>0</v>
      </c>
      <c r="AJ2439" s="2">
        <f t="shared" si="281"/>
        <v>0</v>
      </c>
      <c r="AK2439" s="2">
        <f t="shared" si="282"/>
        <v>102.6</v>
      </c>
      <c r="AL2439" s="5">
        <f t="shared" si="278"/>
        <v>0.6</v>
      </c>
    </row>
    <row r="2440" spans="1:38" hidden="1" x14ac:dyDescent="0.2">
      <c r="A2440" s="2">
        <v>2025</v>
      </c>
      <c r="B2440" s="2">
        <v>12</v>
      </c>
      <c r="D2440" s="2" t="s">
        <v>2144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9"/>
        <v>0.5</v>
      </c>
      <c r="Z2440" s="2" t="s">
        <v>118</v>
      </c>
      <c r="AA2440" s="2" t="s">
        <v>191</v>
      </c>
      <c r="AB2440" s="2" t="s">
        <v>191</v>
      </c>
      <c r="AC2440" s="2" t="s">
        <v>40</v>
      </c>
      <c r="AF2440" s="2">
        <f t="shared" si="280"/>
        <v>0</v>
      </c>
      <c r="AJ2440" s="2">
        <f t="shared" si="281"/>
        <v>0</v>
      </c>
      <c r="AK2440" s="2">
        <f t="shared" si="282"/>
        <v>25</v>
      </c>
      <c r="AL2440" s="5">
        <f t="shared" si="278"/>
        <v>0.5</v>
      </c>
    </row>
    <row r="2441" spans="1:38" hidden="1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699</v>
      </c>
      <c r="Q2441" s="2" t="s">
        <v>2145</v>
      </c>
      <c r="R2441" s="2" t="s">
        <v>2146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9"/>
        <v>0.25960564258436597</v>
      </c>
      <c r="Z2441" s="2" t="s">
        <v>105</v>
      </c>
      <c r="AA2441" s="2" t="s">
        <v>415</v>
      </c>
      <c r="AB2441" s="2" t="s">
        <v>1114</v>
      </c>
      <c r="AC2441" s="2" t="s">
        <v>699</v>
      </c>
      <c r="AF2441" s="2">
        <f t="shared" si="280"/>
        <v>0</v>
      </c>
      <c r="AJ2441" s="2">
        <f t="shared" si="281"/>
        <v>0</v>
      </c>
      <c r="AK2441" s="2">
        <f t="shared" si="282"/>
        <v>6662</v>
      </c>
      <c r="AL2441" s="5">
        <f t="shared" si="278"/>
        <v>0.25960564258436597</v>
      </c>
    </row>
    <row r="2442" spans="1:38" hidden="1" x14ac:dyDescent="0.2">
      <c r="A2442" s="2">
        <v>2025</v>
      </c>
      <c r="B2442" s="2">
        <v>12</v>
      </c>
      <c r="D2442" s="2" t="s">
        <v>834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9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80"/>
        <v>0</v>
      </c>
      <c r="AJ2442" s="2">
        <f t="shared" si="281"/>
        <v>0</v>
      </c>
      <c r="AK2442" s="2">
        <f t="shared" si="282"/>
        <v>282.8</v>
      </c>
      <c r="AL2442" s="5">
        <f t="shared" si="278"/>
        <v>0.44933822711600491</v>
      </c>
    </row>
    <row r="2443" spans="1:38" hidden="1" x14ac:dyDescent="0.2">
      <c r="A2443" s="2">
        <v>2025</v>
      </c>
      <c r="B2443" s="2">
        <v>12</v>
      </c>
      <c r="D2443" s="2" t="s">
        <v>834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9"/>
        <v>0.59999999999999987</v>
      </c>
      <c r="Z2443" s="2" t="s">
        <v>118</v>
      </c>
      <c r="AA2443" s="2" t="s">
        <v>191</v>
      </c>
      <c r="AB2443" s="2" t="s">
        <v>190</v>
      </c>
      <c r="AC2443" s="2" t="s">
        <v>40</v>
      </c>
      <c r="AF2443" s="2">
        <f t="shared" si="280"/>
        <v>0</v>
      </c>
      <c r="AJ2443" s="2">
        <f t="shared" si="281"/>
        <v>0</v>
      </c>
      <c r="AK2443" s="2">
        <f t="shared" si="282"/>
        <v>42.599999999999994</v>
      </c>
      <c r="AL2443" s="5">
        <f t="shared" si="278"/>
        <v>0.59999999999999987</v>
      </c>
    </row>
    <row r="2444" spans="1:38" hidden="1" x14ac:dyDescent="0.2">
      <c r="A2444" s="2">
        <v>2025</v>
      </c>
      <c r="B2444" s="2">
        <v>12</v>
      </c>
      <c r="D2444" s="2" t="s">
        <v>834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9"/>
        <v>#DIV/0!</v>
      </c>
      <c r="Z2444" s="2" t="s">
        <v>118</v>
      </c>
      <c r="AA2444" s="2" t="s">
        <v>191</v>
      </c>
      <c r="AB2444" s="2" t="s">
        <v>191</v>
      </c>
      <c r="AC2444" s="2" t="s">
        <v>40</v>
      </c>
      <c r="AF2444" s="2">
        <f t="shared" si="280"/>
        <v>0</v>
      </c>
      <c r="AJ2444" s="2">
        <f t="shared" si="281"/>
        <v>0</v>
      </c>
      <c r="AK2444" s="2">
        <f t="shared" si="282"/>
        <v>0</v>
      </c>
      <c r="AL2444" s="5">
        <v>0</v>
      </c>
    </row>
    <row r="2445" spans="1:38" hidden="1" x14ac:dyDescent="0.2">
      <c r="A2445" s="2">
        <v>2025</v>
      </c>
      <c r="B2445" s="2">
        <v>12</v>
      </c>
      <c r="D2445" s="2" t="s">
        <v>834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9"/>
        <v>1</v>
      </c>
      <c r="Z2445" s="2" t="s">
        <v>120</v>
      </c>
      <c r="AA2445" s="2" t="s">
        <v>3385</v>
      </c>
      <c r="AF2445" s="2">
        <f t="shared" si="280"/>
        <v>0</v>
      </c>
      <c r="AJ2445" s="2">
        <f t="shared" si="281"/>
        <v>0</v>
      </c>
      <c r="AK2445" s="2">
        <f t="shared" si="282"/>
        <v>629.37</v>
      </c>
      <c r="AL2445" s="5">
        <f t="shared" si="278"/>
        <v>1</v>
      </c>
    </row>
    <row r="2446" spans="1:38" hidden="1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9"/>
        <v>0.25454545454545452</v>
      </c>
      <c r="Z2446" s="2" t="s">
        <v>3231</v>
      </c>
      <c r="AA2446" s="2" t="s">
        <v>46</v>
      </c>
      <c r="AB2446" s="2" t="s">
        <v>61</v>
      </c>
      <c r="AC2446" s="2" t="s">
        <v>58</v>
      </c>
      <c r="AF2446" s="2">
        <f t="shared" si="280"/>
        <v>0</v>
      </c>
      <c r="AG2446" s="2">
        <v>8.1999999999999993</v>
      </c>
      <c r="AH2446" s="2">
        <v>13</v>
      </c>
      <c r="AJ2446" s="2">
        <f t="shared" si="281"/>
        <v>0</v>
      </c>
      <c r="AK2446" s="2">
        <f t="shared" si="282"/>
        <v>28</v>
      </c>
      <c r="AL2446" s="5">
        <f t="shared" si="278"/>
        <v>0.25454545454545452</v>
      </c>
    </row>
    <row r="2447" spans="1:38" hidden="1" x14ac:dyDescent="0.2">
      <c r="A2447" s="2">
        <v>2025</v>
      </c>
      <c r="B2447" s="2">
        <v>12</v>
      </c>
      <c r="D2447" s="2" t="s">
        <v>2147</v>
      </c>
      <c r="I2447" s="2" t="s">
        <v>316</v>
      </c>
      <c r="L2447" s="2" t="s">
        <v>100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9"/>
        <v>0.46612272727272724</v>
      </c>
      <c r="Z2447" s="2" t="s">
        <v>3231</v>
      </c>
      <c r="AA2447" s="2" t="s">
        <v>76</v>
      </c>
      <c r="AB2447" s="2" t="s">
        <v>77</v>
      </c>
      <c r="AC2447" s="2" t="s">
        <v>78</v>
      </c>
      <c r="AF2447" s="2">
        <f t="shared" si="280"/>
        <v>0</v>
      </c>
      <c r="AG2447" s="2">
        <v>117.453</v>
      </c>
      <c r="AH2447" s="2">
        <v>220</v>
      </c>
      <c r="AJ2447" s="2">
        <f t="shared" si="281"/>
        <v>0</v>
      </c>
      <c r="AK2447" s="2">
        <f t="shared" si="282"/>
        <v>102.547</v>
      </c>
      <c r="AL2447" s="5">
        <f t="shared" si="278"/>
        <v>0.46612272727272724</v>
      </c>
    </row>
    <row r="2448" spans="1:38" hidden="1" x14ac:dyDescent="0.2">
      <c r="A2448" s="2">
        <v>2025</v>
      </c>
      <c r="B2448" s="2">
        <v>12</v>
      </c>
      <c r="D2448" s="2" t="s">
        <v>2147</v>
      </c>
      <c r="I2448" s="2" t="s">
        <v>316</v>
      </c>
      <c r="L2448" s="2" t="s">
        <v>100</v>
      </c>
      <c r="M2448" s="2" t="s">
        <v>81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9"/>
        <v>0</v>
      </c>
      <c r="Z2448" s="2" t="s">
        <v>3231</v>
      </c>
      <c r="AA2448" s="2" t="s">
        <v>97</v>
      </c>
      <c r="AB2448" s="2" t="s">
        <v>77</v>
      </c>
      <c r="AC2448" s="2" t="s">
        <v>94</v>
      </c>
      <c r="AF2448" s="2">
        <f t="shared" si="280"/>
        <v>0</v>
      </c>
      <c r="AJ2448" s="2">
        <f t="shared" si="281"/>
        <v>0</v>
      </c>
      <c r="AK2448" s="2">
        <f t="shared" si="282"/>
        <v>0</v>
      </c>
      <c r="AL2448" s="5">
        <f t="shared" si="278"/>
        <v>0</v>
      </c>
    </row>
    <row r="2449" spans="1:38" hidden="1" x14ac:dyDescent="0.2">
      <c r="A2449" s="2">
        <v>2025</v>
      </c>
      <c r="B2449" s="2">
        <v>12</v>
      </c>
      <c r="C2449" s="2" t="s">
        <v>3330</v>
      </c>
      <c r="D2449" s="2" t="s">
        <v>3466</v>
      </c>
      <c r="E2449" s="2" t="s">
        <v>109</v>
      </c>
      <c r="F2449" s="2" t="s">
        <v>39</v>
      </c>
      <c r="L2449" s="2" t="s">
        <v>419</v>
      </c>
      <c r="M2449" s="2" t="s">
        <v>41</v>
      </c>
      <c r="P2449" s="2" t="s">
        <v>115</v>
      </c>
      <c r="Q2449" s="2" t="s">
        <v>957</v>
      </c>
      <c r="R2449" s="2" t="s">
        <v>958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9"/>
        <v>0.31614479433271908</v>
      </c>
      <c r="Z2449" s="2" t="s">
        <v>105</v>
      </c>
      <c r="AA2449" s="2" t="s">
        <v>617</v>
      </c>
      <c r="AB2449" s="2" t="s">
        <v>959</v>
      </c>
      <c r="AC2449" s="2" t="s">
        <v>115</v>
      </c>
      <c r="AF2449" s="2">
        <f t="shared" si="280"/>
        <v>0</v>
      </c>
      <c r="AG2449" s="2">
        <v>6468.73</v>
      </c>
      <c r="AJ2449" s="2">
        <f t="shared" si="281"/>
        <v>0</v>
      </c>
      <c r="AK2449" s="2">
        <f t="shared" si="282"/>
        <v>2990.4799999999996</v>
      </c>
      <c r="AL2449" s="5">
        <f t="shared" si="278"/>
        <v>0.31614479433271908</v>
      </c>
    </row>
    <row r="2450" spans="1:38" hidden="1" x14ac:dyDescent="0.2">
      <c r="A2450" s="2">
        <v>2025</v>
      </c>
      <c r="B2450" s="2">
        <v>12</v>
      </c>
      <c r="C2450" s="2" t="s">
        <v>3465</v>
      </c>
      <c r="D2450" s="15" t="s">
        <v>3420</v>
      </c>
      <c r="E2450" s="2" t="s">
        <v>109</v>
      </c>
      <c r="F2450" s="2" t="s">
        <v>39</v>
      </c>
      <c r="L2450" s="2" t="s">
        <v>134</v>
      </c>
      <c r="M2450" s="2" t="s">
        <v>110</v>
      </c>
      <c r="O2450" s="2" t="s">
        <v>2148</v>
      </c>
      <c r="P2450" s="2" t="s">
        <v>283</v>
      </c>
      <c r="Q2450" s="2" t="s">
        <v>1284</v>
      </c>
      <c r="R2450" s="2" t="s">
        <v>1285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9"/>
        <v>8.0132450331125829E-2</v>
      </c>
      <c r="Z2450" s="2" t="s">
        <v>105</v>
      </c>
      <c r="AA2450" s="2" t="s">
        <v>1578</v>
      </c>
      <c r="AB2450" s="2" t="s">
        <v>389</v>
      </c>
      <c r="AC2450" s="2" t="s">
        <v>1329</v>
      </c>
      <c r="AF2450" s="2">
        <f t="shared" si="280"/>
        <v>0</v>
      </c>
      <c r="AG2450" s="2">
        <f>1294+95</f>
        <v>1389</v>
      </c>
      <c r="AJ2450" s="2">
        <f t="shared" si="281"/>
        <v>0</v>
      </c>
      <c r="AK2450" s="2">
        <f t="shared" si="282"/>
        <v>121</v>
      </c>
      <c r="AL2450" s="5">
        <f t="shared" si="278"/>
        <v>8.0132450331125829E-2</v>
      </c>
    </row>
    <row r="2451" spans="1:38" hidden="1" x14ac:dyDescent="0.2">
      <c r="A2451" s="2">
        <v>2025</v>
      </c>
      <c r="B2451" s="2">
        <v>12</v>
      </c>
      <c r="C2451" s="2" t="s">
        <v>3465</v>
      </c>
      <c r="D2451" s="15" t="s">
        <v>3420</v>
      </c>
      <c r="E2451" s="2" t="s">
        <v>109</v>
      </c>
      <c r="F2451" s="2" t="s">
        <v>39</v>
      </c>
      <c r="L2451" s="2" t="s">
        <v>134</v>
      </c>
      <c r="M2451" s="2" t="s">
        <v>110</v>
      </c>
      <c r="O2451" s="2" t="s">
        <v>2148</v>
      </c>
      <c r="P2451" s="2" t="s">
        <v>283</v>
      </c>
      <c r="Q2451" s="2" t="s">
        <v>1286</v>
      </c>
      <c r="R2451" s="2" t="s">
        <v>1287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1578</v>
      </c>
      <c r="AB2451" s="2" t="s">
        <v>389</v>
      </c>
      <c r="AC2451" s="2" t="s">
        <v>1329</v>
      </c>
      <c r="AF2451" s="2">
        <f t="shared" si="280"/>
        <v>0</v>
      </c>
      <c r="AJ2451" s="2">
        <f t="shared" si="281"/>
        <v>0</v>
      </c>
      <c r="AK2451" s="2">
        <v>0</v>
      </c>
      <c r="AL2451" s="5">
        <v>0</v>
      </c>
    </row>
    <row r="2452" spans="1:38" hidden="1" x14ac:dyDescent="0.2">
      <c r="A2452" s="2">
        <v>2025</v>
      </c>
      <c r="B2452" s="2">
        <v>12</v>
      </c>
      <c r="C2452" s="2" t="s">
        <v>3465</v>
      </c>
      <c r="D2452" s="15" t="s">
        <v>3420</v>
      </c>
      <c r="E2452" s="2" t="s">
        <v>109</v>
      </c>
      <c r="F2452" s="2" t="s">
        <v>39</v>
      </c>
      <c r="L2452" s="2" t="s">
        <v>134</v>
      </c>
      <c r="M2452" s="2" t="s">
        <v>110</v>
      </c>
      <c r="O2452" s="2" t="s">
        <v>2148</v>
      </c>
      <c r="P2452" s="2" t="s">
        <v>283</v>
      </c>
      <c r="Q2452" s="2" t="s">
        <v>1156</v>
      </c>
      <c r="R2452" s="2" t="s">
        <v>1157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1578</v>
      </c>
      <c r="AB2452" s="2" t="s">
        <v>389</v>
      </c>
      <c r="AC2452" s="2" t="s">
        <v>1329</v>
      </c>
      <c r="AF2452" s="2">
        <f t="shared" si="280"/>
        <v>0</v>
      </c>
      <c r="AG2452" s="2">
        <v>2190</v>
      </c>
      <c r="AJ2452" s="2">
        <f t="shared" si="281"/>
        <v>0</v>
      </c>
      <c r="AK2452" s="2">
        <f t="shared" si="282"/>
        <v>800</v>
      </c>
      <c r="AL2452" s="5">
        <f t="shared" si="278"/>
        <v>0.26755852842809363</v>
      </c>
    </row>
    <row r="2453" spans="1:38" hidden="1" x14ac:dyDescent="0.2">
      <c r="A2453" s="2">
        <v>2025</v>
      </c>
      <c r="B2453" s="2">
        <v>12</v>
      </c>
      <c r="C2453" s="2" t="s">
        <v>3465</v>
      </c>
      <c r="D2453" s="15" t="s">
        <v>3420</v>
      </c>
      <c r="E2453" s="2" t="s">
        <v>109</v>
      </c>
      <c r="F2453" s="2" t="s">
        <v>39</v>
      </c>
      <c r="L2453" s="2" t="s">
        <v>134</v>
      </c>
      <c r="M2453" s="2" t="s">
        <v>110</v>
      </c>
      <c r="O2453" s="2" t="s">
        <v>2148</v>
      </c>
      <c r="P2453" s="2" t="s">
        <v>283</v>
      </c>
      <c r="Q2453" s="2" t="s">
        <v>1160</v>
      </c>
      <c r="R2453" s="2" t="s">
        <v>1161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1578</v>
      </c>
      <c r="AB2453" s="2" t="s">
        <v>389</v>
      </c>
      <c r="AC2453" s="2" t="s">
        <v>1329</v>
      </c>
      <c r="AF2453" s="2">
        <f t="shared" si="280"/>
        <v>0</v>
      </c>
      <c r="AJ2453" s="2">
        <f t="shared" si="281"/>
        <v>0</v>
      </c>
      <c r="AK2453" s="2">
        <v>0</v>
      </c>
      <c r="AL2453" s="5">
        <v>0</v>
      </c>
    </row>
    <row r="2454" spans="1:38" hidden="1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3168</v>
      </c>
      <c r="P2454" s="2" t="s">
        <v>1040</v>
      </c>
      <c r="Q2454" s="2" t="s">
        <v>2149</v>
      </c>
      <c r="R2454" s="2" t="s">
        <v>2150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83">(T2454-W2454)/T2454</f>
        <v>0.51213768115942027</v>
      </c>
      <c r="Z2454" s="2" t="s">
        <v>3231</v>
      </c>
      <c r="AA2454" s="2" t="s">
        <v>76</v>
      </c>
      <c r="AB2454" s="2" t="s">
        <v>77</v>
      </c>
      <c r="AC2454" s="2" t="s">
        <v>1040</v>
      </c>
      <c r="AF2454" s="2">
        <f t="shared" si="280"/>
        <v>0</v>
      </c>
      <c r="AG2454" s="2">
        <v>107.72</v>
      </c>
      <c r="AJ2454" s="2">
        <f t="shared" si="281"/>
        <v>0</v>
      </c>
      <c r="AK2454" s="2">
        <f t="shared" si="282"/>
        <v>113.08000000000001</v>
      </c>
      <c r="AL2454" s="5">
        <f t="shared" si="278"/>
        <v>0.51213768115942027</v>
      </c>
    </row>
    <row r="2455" spans="1:38" hidden="1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83"/>
        <v>0.08</v>
      </c>
      <c r="Z2455" s="2" t="s">
        <v>170</v>
      </c>
      <c r="AA2455" s="2" t="s">
        <v>170</v>
      </c>
      <c r="AF2455" s="2">
        <f t="shared" si="280"/>
        <v>0</v>
      </c>
      <c r="AJ2455" s="2">
        <f t="shared" si="281"/>
        <v>0</v>
      </c>
      <c r="AK2455" s="2">
        <f t="shared" si="282"/>
        <v>2</v>
      </c>
      <c r="AL2455" s="5">
        <f t="shared" si="278"/>
        <v>0.08</v>
      </c>
    </row>
    <row r="2456" spans="1:38" hidden="1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83"/>
        <v>0</v>
      </c>
      <c r="Z2456" s="2" t="s">
        <v>3231</v>
      </c>
      <c r="AA2456" s="2" t="s">
        <v>97</v>
      </c>
      <c r="AB2456" s="2" t="s">
        <v>77</v>
      </c>
      <c r="AC2456" s="2" t="s">
        <v>94</v>
      </c>
      <c r="AF2456" s="2">
        <f t="shared" si="280"/>
        <v>0</v>
      </c>
      <c r="AJ2456" s="2">
        <f t="shared" si="281"/>
        <v>0</v>
      </c>
      <c r="AK2456" s="2">
        <f t="shared" si="282"/>
        <v>0</v>
      </c>
      <c r="AL2456" s="5">
        <f t="shared" si="278"/>
        <v>0</v>
      </c>
    </row>
    <row r="2457" spans="1:38" hidden="1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83"/>
        <v>1</v>
      </c>
      <c r="Z2457" s="2" t="s">
        <v>120</v>
      </c>
      <c r="AA2457" s="2" t="s">
        <v>493</v>
      </c>
      <c r="AF2457" s="2">
        <f t="shared" si="280"/>
        <v>0</v>
      </c>
      <c r="AJ2457" s="2">
        <f t="shared" si="281"/>
        <v>0</v>
      </c>
      <c r="AK2457" s="2">
        <f t="shared" si="282"/>
        <v>664.04</v>
      </c>
      <c r="AL2457" s="5">
        <f t="shared" si="278"/>
        <v>1</v>
      </c>
    </row>
    <row r="2458" spans="1:38" hidden="1" x14ac:dyDescent="0.2">
      <c r="A2458" s="2">
        <v>2025</v>
      </c>
      <c r="B2458" s="2">
        <v>12</v>
      </c>
      <c r="D2458" s="2" t="s">
        <v>1258</v>
      </c>
      <c r="P2458" s="2" t="s">
        <v>115</v>
      </c>
      <c r="Q2458" s="2" t="s">
        <v>928</v>
      </c>
      <c r="R2458" s="2" t="s">
        <v>929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118</v>
      </c>
      <c r="AF2458" s="2">
        <f t="shared" si="280"/>
        <v>0</v>
      </c>
      <c r="AJ2458" s="2">
        <f t="shared" si="281"/>
        <v>0</v>
      </c>
      <c r="AK2458" s="2">
        <f t="shared" si="282"/>
        <v>0</v>
      </c>
      <c r="AL2458" s="5" t="e">
        <f t="shared" si="278"/>
        <v>#DIV/0!</v>
      </c>
    </row>
    <row r="2459" spans="1:38" hidden="1" x14ac:dyDescent="0.2">
      <c r="A2459" s="2">
        <v>2025</v>
      </c>
      <c r="B2459" s="2">
        <v>12</v>
      </c>
      <c r="D2459" s="2" t="s">
        <v>1258</v>
      </c>
      <c r="P2459" s="2" t="s">
        <v>115</v>
      </c>
      <c r="Q2459" s="2" t="s">
        <v>2151</v>
      </c>
      <c r="R2459" s="2" t="s">
        <v>2152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83"/>
        <v>1</v>
      </c>
      <c r="Z2459" s="2" t="s">
        <v>105</v>
      </c>
      <c r="AF2459" s="2">
        <f t="shared" si="280"/>
        <v>0</v>
      </c>
      <c r="AJ2459" s="2">
        <f t="shared" si="281"/>
        <v>0</v>
      </c>
      <c r="AK2459" s="2">
        <f t="shared" si="282"/>
        <v>8500</v>
      </c>
      <c r="AL2459" s="5">
        <f t="shared" si="278"/>
        <v>1</v>
      </c>
    </row>
    <row r="2460" spans="1:38" hidden="1" x14ac:dyDescent="0.2">
      <c r="A2460" s="2">
        <v>2025</v>
      </c>
      <c r="B2460" s="2">
        <v>12</v>
      </c>
      <c r="D2460" s="2" t="s">
        <v>1259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83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80"/>
        <v>0</v>
      </c>
      <c r="AJ2460" s="2">
        <f t="shared" si="281"/>
        <v>0</v>
      </c>
      <c r="AK2460" s="2">
        <f t="shared" si="282"/>
        <v>4320.6000000000004</v>
      </c>
      <c r="AL2460" s="5">
        <f t="shared" si="278"/>
        <v>0.28823215476984659</v>
      </c>
    </row>
    <row r="2461" spans="1:38" hidden="1" x14ac:dyDescent="0.2">
      <c r="A2461" s="2">
        <v>2025</v>
      </c>
      <c r="B2461" s="2">
        <v>12</v>
      </c>
      <c r="D2461" s="2" t="s">
        <v>1051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1052</v>
      </c>
      <c r="J2461" s="2" t="s">
        <v>1053</v>
      </c>
      <c r="L2461" s="2" t="s">
        <v>340</v>
      </c>
      <c r="M2461" s="2" t="s">
        <v>40</v>
      </c>
      <c r="O2461" s="2" t="s">
        <v>2153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83"/>
        <v>0.6</v>
      </c>
      <c r="Z2461" s="2" t="s">
        <v>118</v>
      </c>
      <c r="AA2461" s="2" t="s">
        <v>191</v>
      </c>
      <c r="AB2461" s="2" t="s">
        <v>190</v>
      </c>
      <c r="AC2461" s="2" t="s">
        <v>40</v>
      </c>
      <c r="AF2461" s="2">
        <f t="shared" si="280"/>
        <v>0</v>
      </c>
      <c r="AJ2461" s="2">
        <f t="shared" si="281"/>
        <v>0</v>
      </c>
      <c r="AK2461" s="2">
        <f t="shared" si="282"/>
        <v>30</v>
      </c>
      <c r="AL2461" s="5">
        <f t="shared" si="278"/>
        <v>0.6</v>
      </c>
    </row>
    <row r="2462" spans="1:38" hidden="1" x14ac:dyDescent="0.2">
      <c r="A2462" s="2">
        <v>2025</v>
      </c>
      <c r="B2462" s="2">
        <v>12</v>
      </c>
      <c r="D2462" s="2" t="s">
        <v>1051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1052</v>
      </c>
      <c r="J2462" s="2" t="s">
        <v>1053</v>
      </c>
      <c r="L2462" s="2" t="s">
        <v>340</v>
      </c>
      <c r="M2462" s="2" t="s">
        <v>40</v>
      </c>
      <c r="O2462" s="2" t="s">
        <v>2153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83"/>
        <v>0.5</v>
      </c>
      <c r="Z2462" s="2" t="s">
        <v>118</v>
      </c>
      <c r="AA2462" s="2" t="s">
        <v>191</v>
      </c>
      <c r="AB2462" s="2" t="s">
        <v>191</v>
      </c>
      <c r="AC2462" s="2" t="s">
        <v>40</v>
      </c>
      <c r="AF2462" s="2">
        <f t="shared" si="280"/>
        <v>0</v>
      </c>
      <c r="AJ2462" s="2">
        <f t="shared" si="281"/>
        <v>0</v>
      </c>
      <c r="AK2462" s="2">
        <f t="shared" si="282"/>
        <v>25</v>
      </c>
      <c r="AL2462" s="5">
        <f t="shared" si="278"/>
        <v>0.5</v>
      </c>
    </row>
    <row r="2463" spans="1:38" hidden="1" x14ac:dyDescent="0.2">
      <c r="A2463" s="2">
        <v>2025</v>
      </c>
      <c r="B2463" s="2">
        <v>12</v>
      </c>
      <c r="D2463" s="2" t="s">
        <v>1051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1052</v>
      </c>
      <c r="J2463" s="2" t="s">
        <v>1053</v>
      </c>
      <c r="L2463" s="2" t="s">
        <v>340</v>
      </c>
      <c r="M2463" s="2" t="s">
        <v>40</v>
      </c>
      <c r="O2463" s="2" t="s">
        <v>2153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83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80"/>
        <v>0</v>
      </c>
      <c r="AJ2463" s="2">
        <f t="shared" si="281"/>
        <v>0</v>
      </c>
      <c r="AK2463" s="2">
        <f t="shared" si="282"/>
        <v>699.3</v>
      </c>
      <c r="AL2463" s="5">
        <f t="shared" si="278"/>
        <v>1</v>
      </c>
    </row>
    <row r="2464" spans="1:38" hidden="1" x14ac:dyDescent="0.2">
      <c r="A2464" s="2">
        <v>2025</v>
      </c>
      <c r="B2464" s="2">
        <v>12</v>
      </c>
      <c r="C2464" s="2" t="s">
        <v>3330</v>
      </c>
      <c r="D2464" s="2" t="s">
        <v>2154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906</v>
      </c>
      <c r="R2464" s="2" t="s">
        <v>907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83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80"/>
        <v>0</v>
      </c>
      <c r="AJ2464" s="2">
        <f t="shared" si="281"/>
        <v>0</v>
      </c>
      <c r="AK2464" s="2">
        <f t="shared" si="282"/>
        <v>254.19659999999999</v>
      </c>
      <c r="AL2464" s="5">
        <f t="shared" si="278"/>
        <v>0.42408508508508508</v>
      </c>
    </row>
    <row r="2465" spans="1:38" hidden="1" x14ac:dyDescent="0.2">
      <c r="A2465" s="2">
        <v>2025</v>
      </c>
      <c r="B2465" s="2">
        <v>12</v>
      </c>
      <c r="C2465" s="2" t="s">
        <v>3330</v>
      </c>
      <c r="D2465" s="2" t="s">
        <v>2154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83"/>
        <v>0.60000000000000009</v>
      </c>
      <c r="Z2465" s="2" t="s">
        <v>118</v>
      </c>
      <c r="AA2465" s="2" t="s">
        <v>191</v>
      </c>
      <c r="AB2465" s="2" t="s">
        <v>190</v>
      </c>
      <c r="AC2465" s="2" t="s">
        <v>40</v>
      </c>
      <c r="AF2465" s="2">
        <f t="shared" si="280"/>
        <v>0</v>
      </c>
      <c r="AJ2465" s="2">
        <f t="shared" si="281"/>
        <v>0</v>
      </c>
      <c r="AK2465" s="2">
        <f t="shared" si="282"/>
        <v>40.200000000000003</v>
      </c>
      <c r="AL2465" s="5">
        <f t="shared" si="278"/>
        <v>0.60000000000000009</v>
      </c>
    </row>
    <row r="2466" spans="1:38" hidden="1" x14ac:dyDescent="0.2">
      <c r="A2466" s="2">
        <v>2025</v>
      </c>
      <c r="B2466" s="2">
        <v>12</v>
      </c>
      <c r="C2466" s="2" t="s">
        <v>3330</v>
      </c>
      <c r="D2466" s="2" t="s">
        <v>2154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83"/>
        <v>0.5</v>
      </c>
      <c r="Z2466" s="2" t="s">
        <v>118</v>
      </c>
      <c r="AA2466" s="2" t="s">
        <v>191</v>
      </c>
      <c r="AB2466" s="2" t="s">
        <v>191</v>
      </c>
      <c r="AC2466" s="2" t="s">
        <v>40</v>
      </c>
      <c r="AF2466" s="2">
        <f t="shared" si="280"/>
        <v>0</v>
      </c>
      <c r="AJ2466" s="2">
        <f t="shared" si="281"/>
        <v>0</v>
      </c>
      <c r="AK2466" s="2">
        <f t="shared" si="282"/>
        <v>25</v>
      </c>
      <c r="AL2466" s="5">
        <f t="shared" si="278"/>
        <v>0.5</v>
      </c>
    </row>
    <row r="2467" spans="1:38" hidden="1" x14ac:dyDescent="0.2">
      <c r="A2467" s="2">
        <v>2025</v>
      </c>
      <c r="B2467" s="2">
        <v>12</v>
      </c>
      <c r="D2467" s="2" t="s">
        <v>855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856</v>
      </c>
      <c r="J2467" s="2" t="s">
        <v>857</v>
      </c>
      <c r="K2467" s="2">
        <v>917665950</v>
      </c>
      <c r="L2467" s="2" t="s">
        <v>100</v>
      </c>
      <c r="M2467" s="2" t="s">
        <v>41</v>
      </c>
      <c r="O2467" s="2" t="s">
        <v>2155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83"/>
        <v>0.44777500000000003</v>
      </c>
      <c r="Z2467" s="2" t="s">
        <v>3231</v>
      </c>
      <c r="AA2467" s="2" t="s">
        <v>46</v>
      </c>
      <c r="AB2467" s="2" t="s">
        <v>47</v>
      </c>
      <c r="AC2467" s="2" t="s">
        <v>48</v>
      </c>
      <c r="AF2467" s="2">
        <f t="shared" si="280"/>
        <v>0</v>
      </c>
      <c r="AG2467" s="2">
        <v>6.6266999999999996</v>
      </c>
      <c r="AH2467" s="2">
        <v>12</v>
      </c>
      <c r="AJ2467" s="2">
        <f t="shared" si="281"/>
        <v>0</v>
      </c>
      <c r="AK2467" s="2">
        <f t="shared" si="282"/>
        <v>10.746600000000001</v>
      </c>
      <c r="AL2467" s="5">
        <f t="shared" si="278"/>
        <v>0.44777500000000003</v>
      </c>
    </row>
    <row r="2468" spans="1:38" hidden="1" x14ac:dyDescent="0.2">
      <c r="A2468" s="2">
        <v>2025</v>
      </c>
      <c r="B2468" s="2">
        <v>12</v>
      </c>
      <c r="D2468" s="2" t="s">
        <v>855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856</v>
      </c>
      <c r="J2468" s="2" t="s">
        <v>857</v>
      </c>
      <c r="K2468" s="2">
        <v>917665950</v>
      </c>
      <c r="L2468" s="2" t="s">
        <v>100</v>
      </c>
      <c r="M2468" s="2" t="s">
        <v>41</v>
      </c>
      <c r="O2468" s="2" t="s">
        <v>2155</v>
      </c>
      <c r="P2468" s="2" t="s">
        <v>43</v>
      </c>
      <c r="Q2468" s="2" t="s">
        <v>861</v>
      </c>
      <c r="R2468" s="2" t="s">
        <v>862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283"/>
        <v>0.58333333333333337</v>
      </c>
      <c r="Z2468" s="2" t="s">
        <v>3231</v>
      </c>
      <c r="AA2468" s="2" t="s">
        <v>46</v>
      </c>
      <c r="AB2468" s="2" t="s">
        <v>47</v>
      </c>
      <c r="AC2468" s="2" t="s">
        <v>48</v>
      </c>
      <c r="AF2468" s="2">
        <f t="shared" si="280"/>
        <v>0</v>
      </c>
      <c r="AJ2468" s="2">
        <f t="shared" si="281"/>
        <v>0</v>
      </c>
      <c r="AK2468" s="2">
        <f t="shared" si="282"/>
        <v>11.2</v>
      </c>
      <c r="AL2468" s="5">
        <f t="shared" si="278"/>
        <v>0.58333333333333337</v>
      </c>
    </row>
    <row r="2469" spans="1:38" hidden="1" x14ac:dyDescent="0.2">
      <c r="A2469" s="2">
        <v>2025</v>
      </c>
      <c r="B2469" s="2">
        <v>12</v>
      </c>
      <c r="D2469" s="2" t="s">
        <v>855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856</v>
      </c>
      <c r="J2469" s="2" t="s">
        <v>857</v>
      </c>
      <c r="K2469" s="2">
        <v>917665950</v>
      </c>
      <c r="L2469" s="2" t="s">
        <v>100</v>
      </c>
      <c r="M2469" s="2" t="s">
        <v>41</v>
      </c>
      <c r="O2469" s="2" t="s">
        <v>2155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83"/>
        <v>1</v>
      </c>
      <c r="Z2469" s="2" t="s">
        <v>3231</v>
      </c>
      <c r="AA2469" s="2" t="s">
        <v>46</v>
      </c>
      <c r="AB2469" s="2" t="s">
        <v>57</v>
      </c>
      <c r="AC2469" s="2" t="s">
        <v>58</v>
      </c>
      <c r="AF2469" s="2">
        <f t="shared" si="280"/>
        <v>0</v>
      </c>
      <c r="AJ2469" s="2">
        <f t="shared" si="281"/>
        <v>0</v>
      </c>
      <c r="AK2469" s="2">
        <f t="shared" si="282"/>
        <v>27</v>
      </c>
      <c r="AL2469" s="5">
        <f t="shared" si="278"/>
        <v>1</v>
      </c>
    </row>
    <row r="2470" spans="1:38" hidden="1" x14ac:dyDescent="0.2">
      <c r="A2470" s="2">
        <v>2025</v>
      </c>
      <c r="B2470" s="2">
        <v>12</v>
      </c>
      <c r="D2470" s="2" t="s">
        <v>855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856</v>
      </c>
      <c r="J2470" s="2" t="s">
        <v>857</v>
      </c>
      <c r="K2470" s="2">
        <v>917665950</v>
      </c>
      <c r="L2470" s="2" t="s">
        <v>100</v>
      </c>
      <c r="M2470" s="2" t="s">
        <v>41</v>
      </c>
      <c r="O2470" s="2" t="s">
        <v>2155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83"/>
        <v>0.50777499999999998</v>
      </c>
      <c r="Z2470" s="2" t="s">
        <v>3231</v>
      </c>
      <c r="AA2470" s="2" t="s">
        <v>46</v>
      </c>
      <c r="AB2470" s="2" t="s">
        <v>57</v>
      </c>
      <c r="AC2470" s="2" t="s">
        <v>58</v>
      </c>
      <c r="AF2470" s="2">
        <f t="shared" si="280"/>
        <v>0</v>
      </c>
      <c r="AG2470" s="2">
        <v>5.9066999999999998</v>
      </c>
      <c r="AH2470" s="2">
        <v>12.6</v>
      </c>
      <c r="AJ2470" s="2">
        <f t="shared" si="281"/>
        <v>0</v>
      </c>
      <c r="AK2470" s="2">
        <f t="shared" si="282"/>
        <v>6.0933000000000002</v>
      </c>
      <c r="AL2470" s="5">
        <f t="shared" si="278"/>
        <v>0.50777499999999998</v>
      </c>
    </row>
    <row r="2471" spans="1:38" hidden="1" x14ac:dyDescent="0.2">
      <c r="A2471" s="2">
        <v>2025</v>
      </c>
      <c r="B2471" s="2">
        <v>12</v>
      </c>
      <c r="D2471" s="2" t="s">
        <v>855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856</v>
      </c>
      <c r="J2471" s="2" t="s">
        <v>857</v>
      </c>
      <c r="K2471" s="2">
        <v>917665950</v>
      </c>
      <c r="L2471" s="2" t="s">
        <v>100</v>
      </c>
      <c r="M2471" s="2" t="s">
        <v>41</v>
      </c>
      <c r="O2471" s="2" t="s">
        <v>2155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83"/>
        <v>0.45290151515151511</v>
      </c>
      <c r="Z2471" s="2" t="s">
        <v>3231</v>
      </c>
      <c r="AA2471" s="2" t="s">
        <v>46</v>
      </c>
      <c r="AB2471" s="2" t="s">
        <v>57</v>
      </c>
      <c r="AC2471" s="2" t="s">
        <v>58</v>
      </c>
      <c r="AF2471" s="2">
        <f t="shared" si="280"/>
        <v>0</v>
      </c>
      <c r="AG2471" s="2">
        <v>7.2217000000000002</v>
      </c>
      <c r="AH2471" s="2">
        <v>14.4</v>
      </c>
      <c r="AJ2471" s="2">
        <f t="shared" si="281"/>
        <v>0</v>
      </c>
      <c r="AK2471" s="2">
        <f t="shared" si="282"/>
        <v>5.9782999999999991</v>
      </c>
      <c r="AL2471" s="5">
        <f t="shared" si="278"/>
        <v>0.45290151515151511</v>
      </c>
    </row>
    <row r="2472" spans="1:38" hidden="1" x14ac:dyDescent="0.2">
      <c r="A2472" s="2">
        <v>2025</v>
      </c>
      <c r="B2472" s="2">
        <v>12</v>
      </c>
      <c r="D2472" s="2" t="s">
        <v>855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856</v>
      </c>
      <c r="J2472" s="2" t="s">
        <v>857</v>
      </c>
      <c r="K2472" s="2">
        <v>917665950</v>
      </c>
      <c r="L2472" s="2" t="s">
        <v>100</v>
      </c>
      <c r="M2472" s="2" t="s">
        <v>41</v>
      </c>
      <c r="O2472" s="2" t="s">
        <v>2155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83"/>
        <v>1</v>
      </c>
      <c r="Z2472" s="2" t="s">
        <v>3231</v>
      </c>
      <c r="AA2472" s="2" t="s">
        <v>46</v>
      </c>
      <c r="AB2472" s="2" t="s">
        <v>57</v>
      </c>
      <c r="AC2472" s="2" t="s">
        <v>58</v>
      </c>
      <c r="AF2472" s="2">
        <f t="shared" si="280"/>
        <v>0</v>
      </c>
      <c r="AJ2472" s="2">
        <f t="shared" si="281"/>
        <v>0</v>
      </c>
      <c r="AK2472" s="2">
        <f t="shared" si="282"/>
        <v>24</v>
      </c>
      <c r="AL2472" s="5">
        <f t="shared" si="278"/>
        <v>1</v>
      </c>
    </row>
    <row r="2473" spans="1:38" hidden="1" x14ac:dyDescent="0.2">
      <c r="A2473" s="2">
        <v>2025</v>
      </c>
      <c r="B2473" s="2">
        <v>12</v>
      </c>
      <c r="D2473" s="2" t="s">
        <v>855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856</v>
      </c>
      <c r="J2473" s="2" t="s">
        <v>857</v>
      </c>
      <c r="K2473" s="2">
        <v>917665950</v>
      </c>
      <c r="L2473" s="2" t="s">
        <v>100</v>
      </c>
      <c r="M2473" s="2" t="s">
        <v>41</v>
      </c>
      <c r="O2473" s="2" t="s">
        <v>2155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83"/>
        <v>0.53508771929824561</v>
      </c>
      <c r="Z2473" s="2" t="s">
        <v>3231</v>
      </c>
      <c r="AA2473" s="2" t="s">
        <v>46</v>
      </c>
      <c r="AB2473" s="2" t="s">
        <v>57</v>
      </c>
      <c r="AC2473" s="2" t="s">
        <v>58</v>
      </c>
      <c r="AF2473" s="2">
        <f t="shared" si="280"/>
        <v>0</v>
      </c>
      <c r="AG2473" s="2">
        <v>10.6</v>
      </c>
      <c r="AH2473" s="2">
        <v>18</v>
      </c>
      <c r="AJ2473" s="2">
        <f t="shared" si="281"/>
        <v>0</v>
      </c>
      <c r="AK2473" s="2">
        <f t="shared" si="282"/>
        <v>24.400000000000002</v>
      </c>
      <c r="AL2473" s="5">
        <f t="shared" si="278"/>
        <v>0.53508771929824561</v>
      </c>
    </row>
    <row r="2474" spans="1:38" hidden="1" x14ac:dyDescent="0.2">
      <c r="A2474" s="2">
        <v>2025</v>
      </c>
      <c r="B2474" s="2">
        <v>12</v>
      </c>
      <c r="D2474" s="2" t="s">
        <v>2156</v>
      </c>
      <c r="M2474" s="2" t="s">
        <v>40</v>
      </c>
      <c r="P2474" s="2" t="s">
        <v>115</v>
      </c>
      <c r="Q2474" s="2" t="s">
        <v>906</v>
      </c>
      <c r="R2474" s="2" t="s">
        <v>907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83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80"/>
        <v>0</v>
      </c>
      <c r="AJ2474" s="2">
        <f t="shared" si="281"/>
        <v>0</v>
      </c>
      <c r="AK2474" s="2">
        <f t="shared" si="282"/>
        <v>354.09659999999997</v>
      </c>
      <c r="AL2474" s="5">
        <f t="shared" si="278"/>
        <v>0.50635864435864431</v>
      </c>
    </row>
    <row r="2475" spans="1:38" hidden="1" x14ac:dyDescent="0.2">
      <c r="A2475" s="2">
        <v>2025</v>
      </c>
      <c r="B2475" s="2">
        <v>12</v>
      </c>
      <c r="D2475" s="2" t="s">
        <v>2156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83"/>
        <v>0.6</v>
      </c>
      <c r="Z2475" s="2" t="s">
        <v>118</v>
      </c>
      <c r="AA2475" s="2" t="s">
        <v>191</v>
      </c>
      <c r="AB2475" s="2" t="s">
        <v>190</v>
      </c>
      <c r="AC2475" s="2" t="s">
        <v>40</v>
      </c>
      <c r="AF2475" s="2">
        <f t="shared" si="280"/>
        <v>0</v>
      </c>
      <c r="AJ2475" s="2">
        <f t="shared" si="281"/>
        <v>0</v>
      </c>
      <c r="AK2475" s="2">
        <f t="shared" si="282"/>
        <v>69</v>
      </c>
      <c r="AL2475" s="5">
        <f t="shared" si="278"/>
        <v>0.6</v>
      </c>
    </row>
    <row r="2476" spans="1:38" hidden="1" x14ac:dyDescent="0.2">
      <c r="A2476" s="2">
        <v>2025</v>
      </c>
      <c r="B2476" s="2">
        <v>12</v>
      </c>
      <c r="D2476" s="2" t="s">
        <v>2156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83"/>
        <v>0.5</v>
      </c>
      <c r="Z2476" s="2" t="s">
        <v>118</v>
      </c>
      <c r="AA2476" s="2" t="s">
        <v>191</v>
      </c>
      <c r="AB2476" s="2" t="s">
        <v>191</v>
      </c>
      <c r="AC2476" s="2" t="s">
        <v>40</v>
      </c>
      <c r="AF2476" s="2">
        <f t="shared" si="280"/>
        <v>0</v>
      </c>
      <c r="AJ2476" s="2">
        <f t="shared" si="281"/>
        <v>0</v>
      </c>
      <c r="AK2476" s="2">
        <f t="shared" si="282"/>
        <v>25</v>
      </c>
      <c r="AL2476" s="5">
        <f t="shared" si="278"/>
        <v>0.5</v>
      </c>
    </row>
    <row r="2477" spans="1:38" hidden="1" x14ac:dyDescent="0.2">
      <c r="A2477" s="2">
        <v>2025</v>
      </c>
      <c r="B2477" s="2">
        <v>12</v>
      </c>
      <c r="D2477" s="2" t="s">
        <v>1067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83"/>
        <v>0.30138139534883718</v>
      </c>
      <c r="Z2477" s="2" t="s">
        <v>3231</v>
      </c>
      <c r="AA2477" s="2" t="s">
        <v>46</v>
      </c>
      <c r="AB2477" s="2" t="s">
        <v>68</v>
      </c>
      <c r="AC2477" s="2" t="s">
        <v>58</v>
      </c>
      <c r="AF2477" s="2">
        <f t="shared" si="280"/>
        <v>0</v>
      </c>
      <c r="AG2477" s="2">
        <v>15.020300000000001</v>
      </c>
      <c r="AH2477" s="2">
        <v>27.6</v>
      </c>
      <c r="AJ2477" s="2">
        <f t="shared" si="281"/>
        <v>0</v>
      </c>
      <c r="AK2477" s="2">
        <f t="shared" si="282"/>
        <v>64.796999999999997</v>
      </c>
      <c r="AL2477" s="5">
        <f t="shared" si="278"/>
        <v>0.30138139534883718</v>
      </c>
    </row>
    <row r="2478" spans="1:38" hidden="1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83"/>
        <v>0.41111111111111115</v>
      </c>
      <c r="Z2478" s="2" t="s">
        <v>3231</v>
      </c>
      <c r="AA2478" s="2" t="s">
        <v>46</v>
      </c>
      <c r="AB2478" s="2" t="s">
        <v>57</v>
      </c>
      <c r="AC2478" s="2" t="s">
        <v>58</v>
      </c>
      <c r="AF2478" s="2">
        <f t="shared" si="280"/>
        <v>0</v>
      </c>
      <c r="AG2478" s="2">
        <v>10.6</v>
      </c>
      <c r="AH2478" s="2">
        <v>18</v>
      </c>
      <c r="AJ2478" s="2">
        <f t="shared" si="281"/>
        <v>0</v>
      </c>
      <c r="AK2478" s="2">
        <f t="shared" si="282"/>
        <v>29.6</v>
      </c>
      <c r="AL2478" s="5">
        <f t="shared" si="278"/>
        <v>0.41111111111111115</v>
      </c>
    </row>
    <row r="2479" spans="1:38" hidden="1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83"/>
        <v>0.3166666666666666</v>
      </c>
      <c r="Z2479" s="2" t="s">
        <v>3231</v>
      </c>
      <c r="AA2479" s="2" t="s">
        <v>46</v>
      </c>
      <c r="AB2479" s="2" t="s">
        <v>61</v>
      </c>
      <c r="AC2479" s="2" t="s">
        <v>58</v>
      </c>
      <c r="AF2479" s="2">
        <f t="shared" si="280"/>
        <v>0</v>
      </c>
      <c r="AG2479" s="2">
        <v>8.1999999999999993</v>
      </c>
      <c r="AH2479" s="2">
        <v>13</v>
      </c>
      <c r="AJ2479" s="2">
        <f t="shared" si="281"/>
        <v>0</v>
      </c>
      <c r="AK2479" s="2">
        <f t="shared" si="282"/>
        <v>15.199999999999996</v>
      </c>
      <c r="AL2479" s="5">
        <f t="shared" si="278"/>
        <v>0.3166666666666666</v>
      </c>
    </row>
    <row r="2480" spans="1:38" hidden="1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83"/>
        <v>0.45095172413793105</v>
      </c>
      <c r="Z2480" s="2" t="s">
        <v>3231</v>
      </c>
      <c r="AA2480" s="2" t="s">
        <v>46</v>
      </c>
      <c r="AB2480" s="2" t="s">
        <v>68</v>
      </c>
      <c r="AC2480" s="2" t="s">
        <v>58</v>
      </c>
      <c r="AF2480" s="2">
        <f t="shared" si="280"/>
        <v>0</v>
      </c>
      <c r="AG2480" s="2">
        <v>7.9611999999999998</v>
      </c>
      <c r="AH2480" s="2">
        <v>14.4</v>
      </c>
      <c r="AJ2480" s="2">
        <f t="shared" si="281"/>
        <v>0</v>
      </c>
      <c r="AK2480" s="2">
        <f t="shared" si="282"/>
        <v>13.0776</v>
      </c>
      <c r="AL2480" s="5">
        <f t="shared" si="278"/>
        <v>0.45095172413793105</v>
      </c>
    </row>
    <row r="2481" spans="1:38" hidden="1" x14ac:dyDescent="0.2">
      <c r="A2481" s="2">
        <v>2025</v>
      </c>
      <c r="B2481" s="2">
        <v>12</v>
      </c>
      <c r="D2481" s="2" t="s">
        <v>2157</v>
      </c>
      <c r="P2481" s="2" t="s">
        <v>115</v>
      </c>
      <c r="Q2481" s="2" t="s">
        <v>2158</v>
      </c>
      <c r="R2481" s="2" t="s">
        <v>2159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83"/>
        <v>1</v>
      </c>
      <c r="Z2481" s="2" t="s">
        <v>118</v>
      </c>
      <c r="AF2481" s="2">
        <f t="shared" si="280"/>
        <v>0</v>
      </c>
      <c r="AJ2481" s="2">
        <f t="shared" si="281"/>
        <v>0</v>
      </c>
      <c r="AK2481" s="2">
        <f t="shared" si="282"/>
        <v>65.72</v>
      </c>
      <c r="AL2481" s="5">
        <f t="shared" si="278"/>
        <v>1</v>
      </c>
    </row>
    <row r="2482" spans="1:38" hidden="1" x14ac:dyDescent="0.2">
      <c r="A2482" s="2">
        <v>2025</v>
      </c>
      <c r="B2482" s="2">
        <v>12</v>
      </c>
      <c r="D2482" s="2" t="s">
        <v>2157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83"/>
        <v>1</v>
      </c>
      <c r="Z2482" s="2" t="s">
        <v>118</v>
      </c>
      <c r="AF2482" s="2">
        <f t="shared" si="280"/>
        <v>0</v>
      </c>
      <c r="AJ2482" s="2">
        <f t="shared" si="281"/>
        <v>0</v>
      </c>
      <c r="AK2482" s="2">
        <f t="shared" si="282"/>
        <v>28.57</v>
      </c>
      <c r="AL2482" s="5">
        <f t="shared" si="278"/>
        <v>1</v>
      </c>
    </row>
    <row r="2483" spans="1:38" hidden="1" x14ac:dyDescent="0.2">
      <c r="A2483" s="2">
        <v>2025</v>
      </c>
      <c r="B2483" s="2">
        <v>12</v>
      </c>
      <c r="D2483" s="2" t="s">
        <v>1594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83"/>
        <v>0.6</v>
      </c>
      <c r="Z2483" s="2" t="s">
        <v>118</v>
      </c>
      <c r="AA2483" s="2" t="s">
        <v>191</v>
      </c>
      <c r="AB2483" s="2" t="s">
        <v>190</v>
      </c>
      <c r="AC2483" s="2" t="s">
        <v>40</v>
      </c>
      <c r="AF2483" s="2">
        <f t="shared" si="280"/>
        <v>0</v>
      </c>
      <c r="AJ2483" s="2">
        <f t="shared" si="281"/>
        <v>0</v>
      </c>
      <c r="AK2483" s="2">
        <f t="shared" si="282"/>
        <v>110.39999999999999</v>
      </c>
      <c r="AL2483" s="5">
        <f t="shared" ref="AL2483:AL2513" si="284">(T2483-W2483)/T2483</f>
        <v>0.6</v>
      </c>
    </row>
    <row r="2484" spans="1:38" hidden="1" x14ac:dyDescent="0.2">
      <c r="A2484" s="2">
        <v>2025</v>
      </c>
      <c r="B2484" s="2">
        <v>12</v>
      </c>
      <c r="D2484" s="2" t="s">
        <v>1594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83"/>
        <v>0.5</v>
      </c>
      <c r="Z2484" s="2" t="s">
        <v>118</v>
      </c>
      <c r="AA2484" s="2" t="s">
        <v>191</v>
      </c>
      <c r="AB2484" s="2" t="s">
        <v>191</v>
      </c>
      <c r="AC2484" s="2" t="s">
        <v>40</v>
      </c>
      <c r="AF2484" s="2">
        <f t="shared" si="280"/>
        <v>0</v>
      </c>
      <c r="AJ2484" s="2">
        <f t="shared" si="281"/>
        <v>0</v>
      </c>
      <c r="AK2484" s="2">
        <f t="shared" si="282"/>
        <v>31.25</v>
      </c>
      <c r="AL2484" s="5">
        <f t="shared" si="284"/>
        <v>0.5</v>
      </c>
    </row>
    <row r="2485" spans="1:38" hidden="1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957</v>
      </c>
      <c r="R2485" s="2" t="s">
        <v>958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83"/>
        <v>0.34856696878147031</v>
      </c>
      <c r="Z2485" s="2" t="s">
        <v>105</v>
      </c>
      <c r="AA2485" s="2" t="s">
        <v>617</v>
      </c>
      <c r="AB2485" s="2" t="s">
        <v>959</v>
      </c>
      <c r="AC2485" s="2" t="s">
        <v>115</v>
      </c>
      <c r="AF2485" s="2">
        <f t="shared" si="280"/>
        <v>0</v>
      </c>
      <c r="AG2485" s="2">
        <v>6468.73</v>
      </c>
      <c r="AJ2485" s="2">
        <f t="shared" si="281"/>
        <v>0</v>
      </c>
      <c r="AK2485" s="2">
        <f t="shared" si="282"/>
        <v>3461.2700000000004</v>
      </c>
      <c r="AL2485" s="5">
        <f t="shared" si="284"/>
        <v>0.34856696878147031</v>
      </c>
    </row>
    <row r="2486" spans="1:38" hidden="1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5">(T2486-W2486)/T2486</f>
        <v>0.46583136256139712</v>
      </c>
      <c r="Z2486" s="2" t="s">
        <v>3231</v>
      </c>
      <c r="AA2486" s="2" t="s">
        <v>76</v>
      </c>
      <c r="AB2486" s="2" t="s">
        <v>77</v>
      </c>
      <c r="AC2486" s="2" t="s">
        <v>78</v>
      </c>
      <c r="AF2486" s="2">
        <f t="shared" si="280"/>
        <v>0</v>
      </c>
      <c r="AG2486" s="2">
        <v>117.453</v>
      </c>
      <c r="AH2486" s="2">
        <v>220</v>
      </c>
      <c r="AJ2486" s="2">
        <f t="shared" si="281"/>
        <v>0</v>
      </c>
      <c r="AK2486" s="2">
        <f t="shared" si="282"/>
        <v>102.42699999999999</v>
      </c>
      <c r="AL2486" s="5">
        <f t="shared" si="284"/>
        <v>0.46583136256139712</v>
      </c>
    </row>
    <row r="2487" spans="1:38" hidden="1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1347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5"/>
        <v>0.54161899313501138</v>
      </c>
      <c r="Z2487" s="2" t="s">
        <v>3231</v>
      </c>
      <c r="AA2487" s="2" t="s">
        <v>76</v>
      </c>
      <c r="AB2487" s="2" t="s">
        <v>77</v>
      </c>
      <c r="AC2487" s="2" t="s">
        <v>78</v>
      </c>
      <c r="AF2487" s="2">
        <f t="shared" si="280"/>
        <v>0</v>
      </c>
      <c r="AJ2487" s="2">
        <f t="shared" si="281"/>
        <v>0</v>
      </c>
      <c r="AK2487" s="2">
        <f t="shared" si="282"/>
        <v>113.60999999999999</v>
      </c>
      <c r="AL2487" s="5">
        <f t="shared" si="284"/>
        <v>0.54161899313501138</v>
      </c>
    </row>
    <row r="2488" spans="1:38" hidden="1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80"/>
        <v>0</v>
      </c>
      <c r="AJ2488" s="2">
        <f t="shared" si="281"/>
        <v>0</v>
      </c>
    </row>
    <row r="2489" spans="1:38" hidden="1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5"/>
        <v>0</v>
      </c>
      <c r="Z2489" s="2" t="s">
        <v>3231</v>
      </c>
      <c r="AA2489" s="2" t="s">
        <v>97</v>
      </c>
      <c r="AB2489" s="2" t="s">
        <v>77</v>
      </c>
      <c r="AC2489" s="2" t="s">
        <v>94</v>
      </c>
      <c r="AF2489" s="2">
        <f t="shared" si="280"/>
        <v>0</v>
      </c>
      <c r="AJ2489" s="2">
        <f t="shared" si="281"/>
        <v>0</v>
      </c>
      <c r="AK2489" s="2">
        <f t="shared" si="282"/>
        <v>0</v>
      </c>
      <c r="AL2489" s="5">
        <f t="shared" si="284"/>
        <v>0</v>
      </c>
    </row>
    <row r="2490" spans="1:38" hidden="1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2160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5"/>
        <v>1</v>
      </c>
      <c r="AF2490" s="2">
        <f t="shared" si="280"/>
        <v>0</v>
      </c>
      <c r="AJ2490" s="2">
        <f t="shared" si="281"/>
        <v>0</v>
      </c>
      <c r="AK2490" s="2">
        <f t="shared" si="282"/>
        <v>488.82</v>
      </c>
      <c r="AL2490" s="5">
        <f t="shared" si="284"/>
        <v>1</v>
      </c>
    </row>
    <row r="2491" spans="1:38" hidden="1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2160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5"/>
        <v>0.60000000000000009</v>
      </c>
      <c r="Z2491" s="2" t="s">
        <v>118</v>
      </c>
      <c r="AA2491" s="2" t="s">
        <v>191</v>
      </c>
      <c r="AB2491" s="2" t="s">
        <v>190</v>
      </c>
      <c r="AC2491" s="2" t="s">
        <v>40</v>
      </c>
      <c r="AF2491" s="2">
        <f t="shared" si="280"/>
        <v>0</v>
      </c>
      <c r="AJ2491" s="2">
        <f t="shared" si="281"/>
        <v>0</v>
      </c>
      <c r="AK2491" s="2">
        <f t="shared" si="282"/>
        <v>80.400000000000006</v>
      </c>
      <c r="AL2491" s="5">
        <f t="shared" si="284"/>
        <v>0.60000000000000009</v>
      </c>
    </row>
    <row r="2492" spans="1:38" hidden="1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2160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5"/>
        <v>0.5</v>
      </c>
      <c r="Z2492" s="2" t="s">
        <v>118</v>
      </c>
      <c r="AA2492" s="2" t="s">
        <v>191</v>
      </c>
      <c r="AB2492" s="2" t="s">
        <v>191</v>
      </c>
      <c r="AC2492" s="2" t="s">
        <v>40</v>
      </c>
      <c r="AF2492" s="2">
        <f t="shared" si="280"/>
        <v>0</v>
      </c>
      <c r="AJ2492" s="2">
        <f t="shared" si="281"/>
        <v>0</v>
      </c>
      <c r="AK2492" s="2">
        <f t="shared" si="282"/>
        <v>25</v>
      </c>
      <c r="AL2492" s="5">
        <f t="shared" si="284"/>
        <v>0.5</v>
      </c>
    </row>
    <row r="2493" spans="1:38" hidden="1" x14ac:dyDescent="0.2">
      <c r="A2493" s="2">
        <v>2025</v>
      </c>
      <c r="B2493" s="2">
        <v>12</v>
      </c>
      <c r="D2493" s="2" t="s">
        <v>1420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2415</v>
      </c>
      <c r="J2493" s="2" t="s">
        <v>2416</v>
      </c>
      <c r="L2493" s="2" t="s">
        <v>202</v>
      </c>
      <c r="M2493" s="2" t="s">
        <v>81</v>
      </c>
      <c r="P2493" s="2" t="s">
        <v>1040</v>
      </c>
      <c r="Q2493" s="2" t="s">
        <v>1922</v>
      </c>
      <c r="R2493" s="2" t="s">
        <v>1923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3231</v>
      </c>
      <c r="AA2493" s="2" t="s">
        <v>1043</v>
      </c>
      <c r="AB2493" s="2" t="s">
        <v>1320</v>
      </c>
      <c r="AC2493" s="2" t="s">
        <v>1040</v>
      </c>
      <c r="AF2493" s="2">
        <f t="shared" si="280"/>
        <v>0</v>
      </c>
      <c r="AJ2493" s="2">
        <f t="shared" si="281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hidden="1" x14ac:dyDescent="0.2">
      <c r="A2494" s="2">
        <v>2025</v>
      </c>
      <c r="B2494" s="2">
        <v>12</v>
      </c>
      <c r="D2494" s="2" t="s">
        <v>1420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2415</v>
      </c>
      <c r="J2494" s="2" t="s">
        <v>2416</v>
      </c>
      <c r="L2494" s="2" t="s">
        <v>202</v>
      </c>
      <c r="M2494" s="2" t="s">
        <v>81</v>
      </c>
      <c r="P2494" s="2" t="s">
        <v>1040</v>
      </c>
      <c r="Q2494" s="2" t="s">
        <v>2161</v>
      </c>
      <c r="R2494" s="2" t="s">
        <v>2162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5"/>
        <v>0.32891798811641382</v>
      </c>
      <c r="Z2494" s="2" t="s">
        <v>3231</v>
      </c>
      <c r="AA2494" s="2" t="s">
        <v>1043</v>
      </c>
      <c r="AB2494" s="2" t="s">
        <v>1320</v>
      </c>
      <c r="AC2494" s="2" t="s">
        <v>1040</v>
      </c>
      <c r="AF2494" s="2">
        <f t="shared" si="280"/>
        <v>0</v>
      </c>
      <c r="AJ2494" s="2">
        <f t="shared" si="281"/>
        <v>0</v>
      </c>
      <c r="AK2494" s="2">
        <f t="shared" si="282"/>
        <v>173.82000000000005</v>
      </c>
      <c r="AL2494" s="5">
        <f t="shared" si="284"/>
        <v>0.32891798811641382</v>
      </c>
    </row>
    <row r="2495" spans="1:38" hidden="1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1216</v>
      </c>
      <c r="R2495" s="2" t="s">
        <v>1217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5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80"/>
        <v>0</v>
      </c>
      <c r="AJ2495" s="2">
        <f t="shared" si="281"/>
        <v>0</v>
      </c>
      <c r="AK2495" s="2">
        <f t="shared" si="282"/>
        <v>25.8736</v>
      </c>
      <c r="AL2495" s="5">
        <f t="shared" si="284"/>
        <v>0.52049084691209013</v>
      </c>
    </row>
    <row r="2496" spans="1:38" hidden="1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1570</v>
      </c>
      <c r="R2496" s="2" t="s">
        <v>1571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5"/>
        <v>1</v>
      </c>
      <c r="AF2496" s="2">
        <f t="shared" si="280"/>
        <v>0</v>
      </c>
      <c r="AJ2496" s="2">
        <f t="shared" si="281"/>
        <v>0</v>
      </c>
      <c r="AK2496" s="2">
        <f t="shared" si="282"/>
        <v>845.25</v>
      </c>
      <c r="AL2496" s="5">
        <f t="shared" si="284"/>
        <v>1</v>
      </c>
    </row>
    <row r="2497" spans="1:38" hidden="1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2163</v>
      </c>
      <c r="R2497" s="2" t="s">
        <v>2164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5"/>
        <v>1</v>
      </c>
      <c r="AF2497" s="2">
        <f t="shared" si="280"/>
        <v>0</v>
      </c>
      <c r="AJ2497" s="2">
        <f t="shared" si="281"/>
        <v>0</v>
      </c>
      <c r="AK2497" s="2">
        <f t="shared" si="282"/>
        <v>886.2</v>
      </c>
      <c r="AL2497" s="5">
        <f t="shared" si="284"/>
        <v>1</v>
      </c>
    </row>
    <row r="2498" spans="1:38" hidden="1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5"/>
        <v>1</v>
      </c>
      <c r="AF2498" s="2">
        <f t="shared" si="280"/>
        <v>0</v>
      </c>
      <c r="AJ2498" s="2">
        <f t="shared" si="281"/>
        <v>0</v>
      </c>
      <c r="AK2498" s="2">
        <f t="shared" si="282"/>
        <v>631.04999999999995</v>
      </c>
      <c r="AL2498" s="5">
        <f t="shared" si="284"/>
        <v>1</v>
      </c>
    </row>
    <row r="2499" spans="1:38" hidden="1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1040</v>
      </c>
      <c r="Q2499" s="2" t="s">
        <v>2165</v>
      </c>
      <c r="R2499" s="2" t="s">
        <v>2166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5"/>
        <v>0.1286958262436193</v>
      </c>
      <c r="Z2499" s="2" t="s">
        <v>3231</v>
      </c>
      <c r="AA2499" s="2" t="s">
        <v>1043</v>
      </c>
      <c r="AB2499" s="2" t="s">
        <v>1320</v>
      </c>
      <c r="AC2499" s="2" t="s">
        <v>1040</v>
      </c>
      <c r="AF2499" s="2">
        <f t="shared" ref="AF2499:AF2562" si="286">AJ2499</f>
        <v>0</v>
      </c>
      <c r="AJ2499" s="2">
        <f t="shared" ref="AJ2499:AJ2562" si="287">AI2499*T2499</f>
        <v>0</v>
      </c>
      <c r="AK2499" s="2">
        <f t="shared" ref="AK2499:AK2562" si="288">T2499-W2499</f>
        <v>64.29000000000002</v>
      </c>
      <c r="AL2499" s="5">
        <f t="shared" si="284"/>
        <v>0.1286958262436193</v>
      </c>
    </row>
    <row r="2500" spans="1:38" hidden="1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1040</v>
      </c>
      <c r="Q2500" s="2" t="s">
        <v>1926</v>
      </c>
      <c r="R2500" s="2" t="s">
        <v>1927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5"/>
        <v>0.17286652078774617</v>
      </c>
      <c r="Z2500" s="2" t="s">
        <v>3231</v>
      </c>
      <c r="AA2500" s="2" t="s">
        <v>1043</v>
      </c>
      <c r="AB2500" s="2" t="s">
        <v>1272</v>
      </c>
      <c r="AC2500" s="2" t="s">
        <v>1040</v>
      </c>
      <c r="AF2500" s="2">
        <f t="shared" si="286"/>
        <v>0</v>
      </c>
      <c r="AJ2500" s="2">
        <f t="shared" si="287"/>
        <v>0</v>
      </c>
      <c r="AK2500" s="2">
        <f t="shared" si="288"/>
        <v>160.37</v>
      </c>
      <c r="AL2500" s="5">
        <f t="shared" si="284"/>
        <v>0.17286652078774617</v>
      </c>
    </row>
    <row r="2501" spans="1:38" hidden="1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1040</v>
      </c>
      <c r="Q2501" s="2" t="s">
        <v>2167</v>
      </c>
      <c r="R2501" s="2" t="s">
        <v>2168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5"/>
        <v>0.18477888241343851</v>
      </c>
      <c r="Z2501" s="2" t="s">
        <v>3231</v>
      </c>
      <c r="AA2501" s="2" t="s">
        <v>1043</v>
      </c>
      <c r="AB2501" s="2" t="s">
        <v>1272</v>
      </c>
      <c r="AC2501" s="2" t="s">
        <v>1040</v>
      </c>
      <c r="AF2501" s="2">
        <f t="shared" si="286"/>
        <v>0</v>
      </c>
      <c r="AJ2501" s="2">
        <f t="shared" si="287"/>
        <v>0</v>
      </c>
      <c r="AK2501" s="2">
        <f t="shared" si="288"/>
        <v>161.70000000000005</v>
      </c>
      <c r="AL2501" s="5">
        <f t="shared" si="284"/>
        <v>0.18477888241343851</v>
      </c>
    </row>
    <row r="2502" spans="1:38" hidden="1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1040</v>
      </c>
      <c r="Q2502" s="2" t="s">
        <v>1930</v>
      </c>
      <c r="R2502" s="2" t="s">
        <v>1931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5"/>
        <v>0.12937552506300756</v>
      </c>
      <c r="Z2502" s="2" t="s">
        <v>3231</v>
      </c>
      <c r="AA2502" s="2" t="s">
        <v>1043</v>
      </c>
      <c r="AB2502" s="2" t="s">
        <v>1320</v>
      </c>
      <c r="AC2502" s="2" t="s">
        <v>1040</v>
      </c>
      <c r="AF2502" s="2">
        <f t="shared" si="286"/>
        <v>0</v>
      </c>
      <c r="AJ2502" s="2">
        <f t="shared" si="287"/>
        <v>0</v>
      </c>
      <c r="AK2502" s="2">
        <f t="shared" si="288"/>
        <v>64.680000000000007</v>
      </c>
      <c r="AL2502" s="5">
        <f t="shared" si="284"/>
        <v>0.12937552506300756</v>
      </c>
    </row>
    <row r="2503" spans="1:38" hidden="1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3391</v>
      </c>
      <c r="Q2503" s="2" t="s">
        <v>2169</v>
      </c>
      <c r="R2503" s="2" t="s">
        <v>2170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5"/>
        <v>0</v>
      </c>
      <c r="Z2503" s="2" t="s">
        <v>3231</v>
      </c>
      <c r="AA2503" s="2" t="s">
        <v>2171</v>
      </c>
      <c r="AB2503" s="2" t="s">
        <v>2172</v>
      </c>
      <c r="AC2503" s="2" t="s">
        <v>3391</v>
      </c>
      <c r="AF2503" s="2">
        <f t="shared" si="286"/>
        <v>0</v>
      </c>
      <c r="AJ2503" s="2">
        <f t="shared" si="287"/>
        <v>0</v>
      </c>
      <c r="AK2503" s="2">
        <f t="shared" si="288"/>
        <v>0</v>
      </c>
      <c r="AL2503" s="5">
        <f t="shared" si="284"/>
        <v>0</v>
      </c>
    </row>
    <row r="2504" spans="1:38" hidden="1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3401</v>
      </c>
      <c r="Q2504" s="2" t="s">
        <v>2173</v>
      </c>
      <c r="R2504" s="2" t="s">
        <v>2174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5"/>
        <v>1.5926190345433139E-3</v>
      </c>
      <c r="Z2504" s="2" t="s">
        <v>3231</v>
      </c>
      <c r="AA2504" s="2" t="s">
        <v>2171</v>
      </c>
      <c r="AB2504" s="2" t="s">
        <v>2035</v>
      </c>
      <c r="AC2504" s="2" t="s">
        <v>3401</v>
      </c>
      <c r="AF2504" s="2">
        <f t="shared" si="286"/>
        <v>0</v>
      </c>
      <c r="AJ2504" s="2">
        <f t="shared" si="287"/>
        <v>0</v>
      </c>
      <c r="AK2504" s="2">
        <f t="shared" si="288"/>
        <v>0.28999999999999204</v>
      </c>
      <c r="AL2504" s="5">
        <f t="shared" si="284"/>
        <v>1.5926190345433139E-3</v>
      </c>
    </row>
    <row r="2505" spans="1:38" hidden="1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3401</v>
      </c>
      <c r="Q2505" s="2" t="s">
        <v>2175</v>
      </c>
      <c r="R2505" s="2" t="s">
        <v>2176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5"/>
        <v>1.5926190345433139E-3</v>
      </c>
      <c r="Z2505" s="2" t="s">
        <v>3231</v>
      </c>
      <c r="AA2505" s="2" t="s">
        <v>2171</v>
      </c>
      <c r="AB2505" s="2" t="s">
        <v>2035</v>
      </c>
      <c r="AC2505" s="2" t="s">
        <v>3401</v>
      </c>
      <c r="AF2505" s="2">
        <f t="shared" si="286"/>
        <v>0</v>
      </c>
      <c r="AJ2505" s="2">
        <f t="shared" si="287"/>
        <v>0</v>
      </c>
      <c r="AK2505" s="2">
        <f t="shared" si="288"/>
        <v>0.28999999999999204</v>
      </c>
      <c r="AL2505" s="5">
        <f t="shared" si="284"/>
        <v>1.5926190345433139E-3</v>
      </c>
    </row>
    <row r="2506" spans="1:38" hidden="1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5"/>
        <v>1</v>
      </c>
      <c r="Z2506" s="2" t="s">
        <v>170</v>
      </c>
      <c r="AA2506" s="2" t="s">
        <v>170</v>
      </c>
      <c r="AF2506" s="2">
        <f t="shared" si="286"/>
        <v>0</v>
      </c>
      <c r="AJ2506" s="2">
        <f t="shared" si="287"/>
        <v>0</v>
      </c>
      <c r="AK2506" s="2">
        <f t="shared" si="288"/>
        <v>115</v>
      </c>
      <c r="AL2506" s="5">
        <f t="shared" si="284"/>
        <v>1</v>
      </c>
    </row>
    <row r="2507" spans="1:38" hidden="1" x14ac:dyDescent="0.2">
      <c r="A2507" s="2">
        <v>2025</v>
      </c>
      <c r="B2507" s="2">
        <v>12</v>
      </c>
      <c r="D2507" s="2" t="s">
        <v>2177</v>
      </c>
      <c r="P2507" s="2" t="s">
        <v>115</v>
      </c>
      <c r="Q2507" s="2" t="s">
        <v>2178</v>
      </c>
      <c r="R2507" s="2" t="s">
        <v>2179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5"/>
        <v>1</v>
      </c>
      <c r="Z2507" s="2" t="s">
        <v>118</v>
      </c>
      <c r="AF2507" s="2">
        <f t="shared" si="286"/>
        <v>0</v>
      </c>
      <c r="AJ2507" s="2">
        <f t="shared" si="287"/>
        <v>0</v>
      </c>
      <c r="AK2507" s="2">
        <f t="shared" si="288"/>
        <v>10.78</v>
      </c>
      <c r="AL2507" s="5">
        <f t="shared" si="284"/>
        <v>1</v>
      </c>
    </row>
    <row r="2508" spans="1:38" hidden="1" x14ac:dyDescent="0.2">
      <c r="A2508" s="2">
        <v>2025</v>
      </c>
      <c r="B2508" s="2">
        <v>12</v>
      </c>
      <c r="D2508" s="2" t="s">
        <v>2177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5"/>
        <v>0.6</v>
      </c>
      <c r="Z2508" s="2" t="s">
        <v>118</v>
      </c>
      <c r="AA2508" s="2" t="s">
        <v>191</v>
      </c>
      <c r="AB2508" s="2" t="s">
        <v>190</v>
      </c>
      <c r="AC2508" s="2" t="s">
        <v>40</v>
      </c>
      <c r="AF2508" s="2">
        <f t="shared" si="286"/>
        <v>0</v>
      </c>
      <c r="AJ2508" s="2">
        <f t="shared" si="287"/>
        <v>0</v>
      </c>
      <c r="AK2508" s="2">
        <f t="shared" si="288"/>
        <v>43.8</v>
      </c>
      <c r="AL2508" s="5">
        <f t="shared" si="284"/>
        <v>0.6</v>
      </c>
    </row>
    <row r="2509" spans="1:38" hidden="1" x14ac:dyDescent="0.2">
      <c r="A2509" s="2">
        <v>2025</v>
      </c>
      <c r="B2509" s="2">
        <v>12</v>
      </c>
      <c r="D2509" s="2" t="s">
        <v>2177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5"/>
        <v>0.5</v>
      </c>
      <c r="Z2509" s="2" t="s">
        <v>118</v>
      </c>
      <c r="AA2509" s="2" t="s">
        <v>191</v>
      </c>
      <c r="AB2509" s="2" t="s">
        <v>191</v>
      </c>
      <c r="AC2509" s="2" t="s">
        <v>40</v>
      </c>
      <c r="AF2509" s="2">
        <f t="shared" si="286"/>
        <v>0</v>
      </c>
      <c r="AJ2509" s="2">
        <f t="shared" si="287"/>
        <v>0</v>
      </c>
      <c r="AK2509" s="2">
        <f t="shared" si="288"/>
        <v>25</v>
      </c>
      <c r="AL2509" s="5">
        <f t="shared" si="284"/>
        <v>0.5</v>
      </c>
    </row>
    <row r="2510" spans="1:38" hidden="1" x14ac:dyDescent="0.2">
      <c r="A2510" s="2">
        <v>2025</v>
      </c>
      <c r="B2510" s="2">
        <v>12</v>
      </c>
      <c r="D2510" s="2" t="s">
        <v>2177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5"/>
        <v>1</v>
      </c>
      <c r="Z2510" s="2" t="s">
        <v>120</v>
      </c>
      <c r="AA2510" s="2" t="s">
        <v>3385</v>
      </c>
      <c r="AF2510" s="2">
        <f t="shared" si="286"/>
        <v>0</v>
      </c>
      <c r="AJ2510" s="2">
        <f t="shared" si="287"/>
        <v>0</v>
      </c>
      <c r="AK2510" s="2">
        <f t="shared" si="288"/>
        <v>50.05</v>
      </c>
      <c r="AL2510" s="5">
        <f t="shared" si="284"/>
        <v>1</v>
      </c>
    </row>
    <row r="2511" spans="1:38" hidden="1" x14ac:dyDescent="0.2">
      <c r="A2511" s="2">
        <v>2025</v>
      </c>
      <c r="B2511" s="2">
        <v>12</v>
      </c>
      <c r="D2511" s="2" t="s">
        <v>1626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1627</v>
      </c>
      <c r="J2511" s="2" t="s">
        <v>1628</v>
      </c>
      <c r="L2511" s="2" t="s">
        <v>294</v>
      </c>
      <c r="M2511" s="2" t="s">
        <v>1174</v>
      </c>
      <c r="O2511" s="2" t="s">
        <v>2180</v>
      </c>
      <c r="P2511" s="2" t="s">
        <v>115</v>
      </c>
      <c r="Q2511" s="2" t="s">
        <v>2181</v>
      </c>
      <c r="R2511" s="2" t="s">
        <v>2182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5"/>
        <v>0.3247410241318423</v>
      </c>
      <c r="Z2511" s="2" t="s">
        <v>105</v>
      </c>
      <c r="AA2511" s="2" t="s">
        <v>151</v>
      </c>
      <c r="AB2511" s="2" t="s">
        <v>1114</v>
      </c>
      <c r="AC2511" s="2" t="s">
        <v>115</v>
      </c>
      <c r="AF2511" s="2">
        <f t="shared" si="286"/>
        <v>0</v>
      </c>
      <c r="AG2511" s="2">
        <f>10972.65+500</f>
        <v>11472.65</v>
      </c>
      <c r="AJ2511" s="2">
        <f t="shared" si="287"/>
        <v>0</v>
      </c>
      <c r="AK2511" s="2">
        <f t="shared" si="288"/>
        <v>5517.35</v>
      </c>
      <c r="AL2511" s="5">
        <f t="shared" si="284"/>
        <v>0.3247410241318423</v>
      </c>
    </row>
    <row r="2512" spans="1:38" hidden="1" x14ac:dyDescent="0.2">
      <c r="A2512" s="2">
        <v>2025</v>
      </c>
      <c r="B2512" s="2">
        <v>12</v>
      </c>
      <c r="D2512" s="2" t="s">
        <v>1946</v>
      </c>
      <c r="P2512" s="2" t="s">
        <v>115</v>
      </c>
      <c r="Q2512" s="2" t="s">
        <v>1387</v>
      </c>
      <c r="R2512" s="2" t="s">
        <v>1082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5"/>
        <v>1</v>
      </c>
      <c r="Z2512" s="2" t="s">
        <v>118</v>
      </c>
      <c r="AF2512" s="2">
        <f t="shared" si="286"/>
        <v>0</v>
      </c>
      <c r="AJ2512" s="2">
        <f t="shared" si="287"/>
        <v>0</v>
      </c>
      <c r="AK2512" s="2">
        <f t="shared" si="288"/>
        <v>94.68</v>
      </c>
      <c r="AL2512" s="5">
        <f t="shared" si="284"/>
        <v>1</v>
      </c>
    </row>
    <row r="2513" spans="1:38" hidden="1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1908</v>
      </c>
      <c r="R2513" s="2" t="s">
        <v>1909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5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6"/>
        <v>0</v>
      </c>
      <c r="AJ2513" s="2">
        <f t="shared" si="287"/>
        <v>0</v>
      </c>
      <c r="AK2513" s="2">
        <f t="shared" si="288"/>
        <v>10849.029999999999</v>
      </c>
      <c r="AL2513" s="5">
        <f t="shared" si="284"/>
        <v>0.38955224416517054</v>
      </c>
    </row>
    <row r="2514" spans="1:38" hidden="1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1077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9">SIGN(T2514)*((ABS(T2514)-W2514)/ABS(T2514))</f>
        <v>-0.35772946859903387</v>
      </c>
      <c r="Z2514" s="2" t="s">
        <v>3231</v>
      </c>
      <c r="AA2514" s="2" t="s">
        <v>76</v>
      </c>
      <c r="AB2514" s="2" t="s">
        <v>77</v>
      </c>
      <c r="AC2514" s="2" t="s">
        <v>78</v>
      </c>
      <c r="AF2514" s="2">
        <f t="shared" si="286"/>
        <v>0</v>
      </c>
      <c r="AG2514" s="2">
        <f>144.14+15.4</f>
        <v>159.54</v>
      </c>
      <c r="AH2514" s="2">
        <v>280</v>
      </c>
      <c r="AJ2514" s="2">
        <f t="shared" si="287"/>
        <v>0</v>
      </c>
      <c r="AK2514" s="2">
        <f t="shared" ref="AK2514:AK2515" si="290">T2514+(W2514)</f>
        <v>-88.860000000000014</v>
      </c>
      <c r="AL2514" s="18">
        <f t="shared" ref="AL2514:AL2515" si="291">SIGN(T2514)*((ABS(T2514)-W2514)/ABS(T2514))</f>
        <v>-0.35772946859903387</v>
      </c>
    </row>
    <row r="2515" spans="1:38" hidden="1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9"/>
        <v>0</v>
      </c>
      <c r="Z2515" s="2" t="s">
        <v>3231</v>
      </c>
      <c r="AA2515" s="2" t="s">
        <v>97</v>
      </c>
      <c r="AB2515" s="2" t="s">
        <v>77</v>
      </c>
      <c r="AC2515" s="2" t="s">
        <v>94</v>
      </c>
      <c r="AF2515" s="2">
        <f t="shared" si="286"/>
        <v>0</v>
      </c>
      <c r="AJ2515" s="2">
        <f t="shared" si="287"/>
        <v>0</v>
      </c>
      <c r="AK2515" s="2">
        <f t="shared" si="290"/>
        <v>0</v>
      </c>
      <c r="AL2515" s="18">
        <f t="shared" si="291"/>
        <v>0</v>
      </c>
    </row>
    <row r="2516" spans="1:38" hidden="1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1071</v>
      </c>
      <c r="R2516" s="2" t="s">
        <v>1072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92">(T2516-W2516)/T2516</f>
        <v>0.33387665198237887</v>
      </c>
      <c r="Z2516" s="2" t="s">
        <v>3231</v>
      </c>
      <c r="AA2516" s="2" t="s">
        <v>72</v>
      </c>
      <c r="AB2516" s="2" t="s">
        <v>120</v>
      </c>
      <c r="AC2516" s="2" t="s">
        <v>120</v>
      </c>
      <c r="AF2516" s="2">
        <f t="shared" si="286"/>
        <v>0</v>
      </c>
      <c r="AJ2516" s="2">
        <f t="shared" si="287"/>
        <v>0</v>
      </c>
      <c r="AK2516" s="2">
        <f t="shared" si="288"/>
        <v>6.0632000000000001</v>
      </c>
      <c r="AL2516" s="5">
        <f t="shared" ref="AL2516:AL2520" si="293">(T2516-W2516)/T2516</f>
        <v>0.33387665198237887</v>
      </c>
    </row>
    <row r="2517" spans="1:38" hidden="1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92"/>
        <v>0.49025384615384621</v>
      </c>
      <c r="Z2517" s="2" t="s">
        <v>3231</v>
      </c>
      <c r="AA2517" s="2" t="s">
        <v>46</v>
      </c>
      <c r="AB2517" s="2" t="s">
        <v>47</v>
      </c>
      <c r="AC2517" s="2" t="s">
        <v>48</v>
      </c>
      <c r="AF2517" s="2">
        <f t="shared" si="286"/>
        <v>0</v>
      </c>
      <c r="AG2517" s="2">
        <v>6.6266999999999996</v>
      </c>
      <c r="AH2517" s="2">
        <v>12</v>
      </c>
      <c r="AJ2517" s="2">
        <f t="shared" si="287"/>
        <v>0</v>
      </c>
      <c r="AK2517" s="2">
        <f t="shared" si="288"/>
        <v>12.746600000000001</v>
      </c>
      <c r="AL2517" s="5">
        <f t="shared" si="293"/>
        <v>0.49025384615384621</v>
      </c>
    </row>
    <row r="2518" spans="1:38" hidden="1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92"/>
        <v>0.52105128205128204</v>
      </c>
      <c r="Z2518" s="2" t="s">
        <v>3231</v>
      </c>
      <c r="AA2518" s="2" t="s">
        <v>46</v>
      </c>
      <c r="AB2518" s="2" t="s">
        <v>47</v>
      </c>
      <c r="AC2518" s="2" t="s">
        <v>48</v>
      </c>
      <c r="AF2518" s="2">
        <f t="shared" si="286"/>
        <v>0</v>
      </c>
      <c r="AG2518" s="2">
        <v>3.7357999999999998</v>
      </c>
      <c r="AH2518" s="2">
        <v>9</v>
      </c>
      <c r="AJ2518" s="2">
        <f t="shared" si="287"/>
        <v>0</v>
      </c>
      <c r="AK2518" s="2">
        <f t="shared" si="288"/>
        <v>4.0641999999999996</v>
      </c>
      <c r="AL2518" s="5">
        <f t="shared" si="293"/>
        <v>0.52105128205128204</v>
      </c>
    </row>
    <row r="2519" spans="1:38" hidden="1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2183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92"/>
        <v>0.6</v>
      </c>
      <c r="Z2519" s="2" t="s">
        <v>118</v>
      </c>
      <c r="AA2519" s="2" t="s">
        <v>191</v>
      </c>
      <c r="AB2519" s="2" t="s">
        <v>190</v>
      </c>
      <c r="AC2519" s="2" t="s">
        <v>40</v>
      </c>
      <c r="AF2519" s="2">
        <f t="shared" si="286"/>
        <v>0</v>
      </c>
      <c r="AJ2519" s="2">
        <f t="shared" si="287"/>
        <v>0</v>
      </c>
      <c r="AK2519" s="2">
        <f t="shared" si="288"/>
        <v>78.599999999999994</v>
      </c>
      <c r="AL2519" s="5">
        <f t="shared" si="293"/>
        <v>0.6</v>
      </c>
    </row>
    <row r="2520" spans="1:38" hidden="1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2183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92"/>
        <v>0.5</v>
      </c>
      <c r="Z2520" s="2" t="s">
        <v>118</v>
      </c>
      <c r="AA2520" s="2" t="s">
        <v>191</v>
      </c>
      <c r="AB2520" s="2" t="s">
        <v>191</v>
      </c>
      <c r="AC2520" s="2" t="s">
        <v>40</v>
      </c>
      <c r="AF2520" s="2">
        <f t="shared" si="286"/>
        <v>0</v>
      </c>
      <c r="AJ2520" s="2">
        <f t="shared" si="287"/>
        <v>0</v>
      </c>
      <c r="AK2520" s="2">
        <f t="shared" si="288"/>
        <v>50</v>
      </c>
      <c r="AL2520" s="5">
        <f t="shared" si="293"/>
        <v>0.5</v>
      </c>
    </row>
    <row r="2521" spans="1:38" hidden="1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2184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3231</v>
      </c>
      <c r="AA2521" s="2" t="s">
        <v>46</v>
      </c>
      <c r="AB2521" s="2" t="s">
        <v>61</v>
      </c>
      <c r="AC2521" s="2" t="s">
        <v>58</v>
      </c>
      <c r="AF2521" s="2">
        <f t="shared" si="286"/>
        <v>0</v>
      </c>
      <c r="AG2521" s="2">
        <v>9.14</v>
      </c>
      <c r="AH2521" s="2">
        <v>16</v>
      </c>
      <c r="AJ2521" s="2">
        <f t="shared" si="287"/>
        <v>0</v>
      </c>
      <c r="AK2521" s="2">
        <f t="shared" si="288"/>
        <v>-18.279999999999998</v>
      </c>
      <c r="AL2521" s="18">
        <f>IF(T2521=0,IF(W2521&gt;0,-100%,0%),(T2521-W2521)/T2521)</f>
        <v>-1</v>
      </c>
    </row>
    <row r="2522" spans="1:38" hidden="1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2184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3231</v>
      </c>
      <c r="AA2522" s="2" t="s">
        <v>46</v>
      </c>
      <c r="AB2522" s="2" t="s">
        <v>61</v>
      </c>
      <c r="AC2522" s="2" t="s">
        <v>58</v>
      </c>
      <c r="AF2522" s="2">
        <f t="shared" si="286"/>
        <v>0</v>
      </c>
      <c r="AG2522" s="2">
        <v>8.1999999999999993</v>
      </c>
      <c r="AH2522" s="2">
        <v>13</v>
      </c>
      <c r="AJ2522" s="2">
        <f t="shared" si="287"/>
        <v>0</v>
      </c>
      <c r="AK2522" s="2">
        <f t="shared" si="288"/>
        <v>-16.400000000000002</v>
      </c>
      <c r="AL2522" s="5">
        <f>IF(T2522=0,IF(W2522&gt;0,-100%,0%),(T2522-W2522)/T2522)</f>
        <v>-1</v>
      </c>
    </row>
    <row r="2523" spans="1:38" hidden="1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2184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3231</v>
      </c>
      <c r="AA2523" s="2" t="s">
        <v>46</v>
      </c>
      <c r="AB2523" s="2" t="s">
        <v>61</v>
      </c>
      <c r="AC2523" s="2" t="s">
        <v>58</v>
      </c>
      <c r="AF2523" s="2">
        <f t="shared" si="286"/>
        <v>0</v>
      </c>
      <c r="AJ2523" s="2">
        <f t="shared" si="287"/>
        <v>0</v>
      </c>
      <c r="AK2523" s="2">
        <f t="shared" si="288"/>
        <v>-18.279999999999998</v>
      </c>
      <c r="AL2523" s="19">
        <f>IF(T2523=0,IF(W2523&gt;0,-100%,0%),(T2523-W2523)/T2523)</f>
        <v>-1</v>
      </c>
    </row>
    <row r="2524" spans="1:38" hidden="1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2184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3231</v>
      </c>
      <c r="AA2524" s="2" t="s">
        <v>46</v>
      </c>
      <c r="AB2524" s="2" t="s">
        <v>68</v>
      </c>
      <c r="AC2524" s="2" t="s">
        <v>58</v>
      </c>
      <c r="AF2524" s="2">
        <f t="shared" si="286"/>
        <v>0</v>
      </c>
      <c r="AG2524" s="2">
        <v>15.020300000000001</v>
      </c>
      <c r="AH2524" s="2">
        <v>27.6</v>
      </c>
      <c r="AJ2524" s="2">
        <f t="shared" si="287"/>
        <v>0</v>
      </c>
      <c r="AK2524" s="2">
        <f t="shared" si="288"/>
        <v>-45.060900000000004</v>
      </c>
      <c r="AL2524" s="5">
        <f>IF(T2524=0,IF(W2524&gt;0,-100%,0%),(T2524-W2524)/T2524)</f>
        <v>-1</v>
      </c>
    </row>
    <row r="2525" spans="1:38" hidden="1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2184</v>
      </c>
      <c r="P2525" s="2" t="s">
        <v>167</v>
      </c>
      <c r="Q2525" s="2" t="s">
        <v>2185</v>
      </c>
      <c r="R2525" s="2" t="s">
        <v>2186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3231</v>
      </c>
      <c r="AA2525" s="2" t="s">
        <v>88</v>
      </c>
      <c r="AB2525" s="2" t="s">
        <v>120</v>
      </c>
      <c r="AC2525" s="2" t="s">
        <v>167</v>
      </c>
      <c r="AF2525" s="2">
        <f t="shared" si="286"/>
        <v>0</v>
      </c>
      <c r="AJ2525" s="2">
        <f t="shared" si="287"/>
        <v>0</v>
      </c>
      <c r="AK2525" s="2">
        <f t="shared" si="288"/>
        <v>0</v>
      </c>
      <c r="AL2525" s="5" t="e">
        <f t="shared" ref="AL2525:AL2588" si="294">(T2525-W2525)/T2525</f>
        <v>#DIV/0!</v>
      </c>
    </row>
    <row r="2526" spans="1:38" hidden="1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2184</v>
      </c>
      <c r="P2526" s="2" t="s">
        <v>85</v>
      </c>
      <c r="Q2526" s="2" t="s">
        <v>1211</v>
      </c>
      <c r="R2526" s="2" t="s">
        <v>1212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3231</v>
      </c>
      <c r="AA2526" s="2" t="s">
        <v>88</v>
      </c>
      <c r="AB2526" s="2" t="s">
        <v>61</v>
      </c>
      <c r="AC2526" s="2" t="s">
        <v>85</v>
      </c>
      <c r="AF2526" s="2">
        <f t="shared" si="286"/>
        <v>0</v>
      </c>
      <c r="AJ2526" s="2">
        <f t="shared" si="287"/>
        <v>0</v>
      </c>
      <c r="AK2526" s="2">
        <f t="shared" si="288"/>
        <v>0</v>
      </c>
      <c r="AL2526" s="5" t="e">
        <f t="shared" si="294"/>
        <v>#DIV/0!</v>
      </c>
    </row>
    <row r="2527" spans="1:38" hidden="1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2184</v>
      </c>
      <c r="P2527" s="2" t="s">
        <v>85</v>
      </c>
      <c r="Q2527" s="2" t="s">
        <v>1975</v>
      </c>
      <c r="R2527" s="2" t="s">
        <v>1976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3231</v>
      </c>
      <c r="AA2527" s="2" t="s">
        <v>88</v>
      </c>
      <c r="AB2527" s="2" t="s">
        <v>91</v>
      </c>
      <c r="AC2527" s="2" t="s">
        <v>85</v>
      </c>
      <c r="AF2527" s="2">
        <f t="shared" si="286"/>
        <v>0</v>
      </c>
      <c r="AJ2527" s="2">
        <f t="shared" si="287"/>
        <v>0</v>
      </c>
      <c r="AK2527" s="2">
        <f t="shared" si="288"/>
        <v>0</v>
      </c>
      <c r="AL2527" s="5" t="e">
        <f t="shared" si="294"/>
        <v>#DIV/0!</v>
      </c>
    </row>
    <row r="2528" spans="1:38" hidden="1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1207</v>
      </c>
      <c r="R2528" s="2" t="s">
        <v>1208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5">(T2528-W2528)/T2528</f>
        <v>0.39999999999999997</v>
      </c>
      <c r="Z2528" s="2" t="s">
        <v>3231</v>
      </c>
      <c r="AA2528" s="2" t="s">
        <v>72</v>
      </c>
      <c r="AB2528" s="2" t="s">
        <v>120</v>
      </c>
      <c r="AC2528" s="2" t="s">
        <v>120</v>
      </c>
      <c r="AF2528" s="2">
        <f t="shared" si="286"/>
        <v>0</v>
      </c>
      <c r="AJ2528" s="2">
        <f t="shared" si="287"/>
        <v>0</v>
      </c>
      <c r="AK2528" s="2">
        <f t="shared" si="288"/>
        <v>9.5599999999999987</v>
      </c>
      <c r="AL2528" s="5">
        <f t="shared" si="294"/>
        <v>0.39999999999999997</v>
      </c>
    </row>
    <row r="2529" spans="1:38" hidden="1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5"/>
        <v>0.33750000000000002</v>
      </c>
      <c r="Z2529" s="2" t="s">
        <v>3231</v>
      </c>
      <c r="AA2529" s="2" t="s">
        <v>46</v>
      </c>
      <c r="AB2529" s="2" t="s">
        <v>57</v>
      </c>
      <c r="AC2529" s="2" t="s">
        <v>58</v>
      </c>
      <c r="AF2529" s="2">
        <f t="shared" si="286"/>
        <v>0</v>
      </c>
      <c r="AG2529" s="2">
        <v>10.6</v>
      </c>
      <c r="AH2529" s="2">
        <v>18</v>
      </c>
      <c r="AJ2529" s="2">
        <f t="shared" si="287"/>
        <v>0</v>
      </c>
      <c r="AK2529" s="2">
        <f t="shared" si="288"/>
        <v>27</v>
      </c>
      <c r="AL2529" s="5">
        <f t="shared" si="294"/>
        <v>0.33750000000000002</v>
      </c>
    </row>
    <row r="2530" spans="1:38" hidden="1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5"/>
        <v>0.39918799999999999</v>
      </c>
      <c r="Z2530" s="2" t="s">
        <v>3231</v>
      </c>
      <c r="AA2530" s="2" t="s">
        <v>46</v>
      </c>
      <c r="AB2530" s="2" t="s">
        <v>68</v>
      </c>
      <c r="AC2530" s="2" t="s">
        <v>58</v>
      </c>
      <c r="AF2530" s="2">
        <f t="shared" si="286"/>
        <v>0</v>
      </c>
      <c r="AG2530" s="2">
        <v>15.020300000000001</v>
      </c>
      <c r="AH2530" s="2">
        <v>27.6</v>
      </c>
      <c r="AJ2530" s="2">
        <f t="shared" si="287"/>
        <v>0</v>
      </c>
      <c r="AK2530" s="2">
        <f t="shared" si="288"/>
        <v>9.9796999999999993</v>
      </c>
      <c r="AL2530" s="5">
        <f t="shared" si="294"/>
        <v>0.39918799999999999</v>
      </c>
    </row>
    <row r="2531" spans="1:38" hidden="1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5"/>
        <v>1</v>
      </c>
      <c r="Z2531" s="2" t="s">
        <v>170</v>
      </c>
      <c r="AA2531" s="2" t="s">
        <v>170</v>
      </c>
      <c r="AF2531" s="2">
        <f t="shared" si="286"/>
        <v>0</v>
      </c>
      <c r="AJ2531" s="2">
        <f t="shared" si="287"/>
        <v>0</v>
      </c>
      <c r="AK2531" s="2">
        <f t="shared" si="288"/>
        <v>5</v>
      </c>
      <c r="AL2531" s="5">
        <f t="shared" si="294"/>
        <v>1</v>
      </c>
    </row>
    <row r="2532" spans="1:38" hidden="1" x14ac:dyDescent="0.2">
      <c r="A2532" s="2">
        <v>2025</v>
      </c>
      <c r="B2532" s="2">
        <v>12</v>
      </c>
      <c r="D2532" s="2" t="s">
        <v>2076</v>
      </c>
      <c r="P2532" s="2" t="s">
        <v>283</v>
      </c>
      <c r="Q2532" s="2" t="s">
        <v>1534</v>
      </c>
      <c r="R2532" s="2" t="s">
        <v>1535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5"/>
        <v>0.88333333333333341</v>
      </c>
      <c r="Z2532" s="2" t="s">
        <v>3231</v>
      </c>
      <c r="AA2532" s="2" t="s">
        <v>156</v>
      </c>
      <c r="AB2532" s="2" t="s">
        <v>3408</v>
      </c>
      <c r="AC2532" s="2" t="s">
        <v>1329</v>
      </c>
      <c r="AF2532" s="2">
        <f t="shared" si="286"/>
        <v>0</v>
      </c>
      <c r="AJ2532" s="2">
        <f t="shared" si="287"/>
        <v>0</v>
      </c>
      <c r="AK2532" s="2">
        <f t="shared" si="288"/>
        <v>47.7</v>
      </c>
      <c r="AL2532" s="5">
        <f t="shared" si="294"/>
        <v>0.88333333333333341</v>
      </c>
    </row>
    <row r="2533" spans="1:38" hidden="1" x14ac:dyDescent="0.2">
      <c r="A2533" s="2">
        <v>2025</v>
      </c>
      <c r="B2533" s="2">
        <v>12</v>
      </c>
      <c r="D2533" s="2" t="s">
        <v>2076</v>
      </c>
      <c r="P2533" s="2" t="s">
        <v>283</v>
      </c>
      <c r="Q2533" s="2" t="s">
        <v>2187</v>
      </c>
      <c r="R2533" s="2" t="s">
        <v>2188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295"/>
        <v>0.30000000000000004</v>
      </c>
      <c r="Z2533" s="2" t="s">
        <v>3231</v>
      </c>
      <c r="AA2533" s="2" t="s">
        <v>156</v>
      </c>
      <c r="AB2533" s="2" t="s">
        <v>3408</v>
      </c>
      <c r="AC2533" s="2" t="s">
        <v>1329</v>
      </c>
      <c r="AF2533" s="2">
        <f t="shared" si="286"/>
        <v>0</v>
      </c>
      <c r="AJ2533" s="2">
        <f t="shared" si="287"/>
        <v>0</v>
      </c>
      <c r="AK2533" s="2">
        <f t="shared" si="288"/>
        <v>9.6000000000000014</v>
      </c>
      <c r="AL2533" s="5">
        <f t="shared" si="294"/>
        <v>0.30000000000000004</v>
      </c>
    </row>
    <row r="2534" spans="1:38" hidden="1" x14ac:dyDescent="0.2">
      <c r="A2534" s="2">
        <v>2025</v>
      </c>
      <c r="B2534" s="2">
        <v>12</v>
      </c>
      <c r="D2534" s="2" t="s">
        <v>1297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1298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5"/>
        <v>0.41705716963448919</v>
      </c>
      <c r="Z2534" s="2" t="s">
        <v>3231</v>
      </c>
      <c r="AA2534" s="2" t="s">
        <v>76</v>
      </c>
      <c r="AB2534" s="2" t="s">
        <v>77</v>
      </c>
      <c r="AC2534" s="2" t="s">
        <v>78</v>
      </c>
      <c r="AF2534" s="2">
        <f t="shared" si="286"/>
        <v>0</v>
      </c>
      <c r="AG2534" s="2">
        <v>124.4</v>
      </c>
      <c r="AH2534" s="2">
        <v>200</v>
      </c>
      <c r="AJ2534" s="2">
        <f t="shared" si="287"/>
        <v>0</v>
      </c>
      <c r="AK2534" s="2">
        <f t="shared" si="288"/>
        <v>89</v>
      </c>
      <c r="AL2534" s="5">
        <f t="shared" si="294"/>
        <v>0.41705716963448919</v>
      </c>
    </row>
    <row r="2535" spans="1:38" hidden="1" x14ac:dyDescent="0.2">
      <c r="A2535" s="2">
        <v>2025</v>
      </c>
      <c r="B2535" s="2">
        <v>12</v>
      </c>
      <c r="D2535" s="2" t="s">
        <v>1297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1298</v>
      </c>
      <c r="L2535" s="2" t="s">
        <v>340</v>
      </c>
      <c r="P2535" s="2" t="s">
        <v>1040</v>
      </c>
      <c r="Q2535" s="2" t="s">
        <v>1957</v>
      </c>
      <c r="R2535" s="2" t="s">
        <v>1958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5"/>
        <v>0.43582474226804124</v>
      </c>
      <c r="Z2535" s="2" t="s">
        <v>3231</v>
      </c>
      <c r="AA2535" s="2" t="s">
        <v>76</v>
      </c>
      <c r="AB2535" s="2" t="s">
        <v>77</v>
      </c>
      <c r="AC2535" s="2" t="s">
        <v>1040</v>
      </c>
      <c r="AF2535" s="2">
        <f t="shared" si="286"/>
        <v>0</v>
      </c>
      <c r="AJ2535" s="2">
        <f t="shared" si="287"/>
        <v>0</v>
      </c>
      <c r="AK2535" s="2">
        <f t="shared" si="288"/>
        <v>93.00500000000001</v>
      </c>
      <c r="AL2535" s="5">
        <f t="shared" si="294"/>
        <v>0.43582474226804124</v>
      </c>
    </row>
    <row r="2536" spans="1:38" hidden="1" x14ac:dyDescent="0.2">
      <c r="A2536" s="2">
        <v>2025</v>
      </c>
      <c r="B2536" s="2">
        <v>12</v>
      </c>
      <c r="D2536" s="2" t="s">
        <v>1297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1298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5"/>
        <v>0.23333333333333334</v>
      </c>
      <c r="Z2536" s="2" t="s">
        <v>170</v>
      </c>
      <c r="AA2536" s="2" t="s">
        <v>170</v>
      </c>
      <c r="AF2536" s="2">
        <f t="shared" si="286"/>
        <v>0</v>
      </c>
      <c r="AJ2536" s="2">
        <f t="shared" si="287"/>
        <v>0</v>
      </c>
      <c r="AK2536" s="2">
        <f t="shared" si="288"/>
        <v>7</v>
      </c>
      <c r="AL2536" s="5">
        <f t="shared" si="294"/>
        <v>0.23333333333333334</v>
      </c>
    </row>
    <row r="2537" spans="1:38" hidden="1" x14ac:dyDescent="0.2">
      <c r="A2537" s="2">
        <v>2025</v>
      </c>
      <c r="B2537" s="2">
        <v>12</v>
      </c>
      <c r="D2537" s="2" t="s">
        <v>1297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1298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5"/>
        <v>0</v>
      </c>
      <c r="Z2537" s="2" t="s">
        <v>3231</v>
      </c>
      <c r="AA2537" s="2" t="s">
        <v>97</v>
      </c>
      <c r="AB2537" s="2" t="s">
        <v>77</v>
      </c>
      <c r="AC2537" s="2" t="s">
        <v>94</v>
      </c>
      <c r="AF2537" s="2">
        <f t="shared" si="286"/>
        <v>0</v>
      </c>
      <c r="AJ2537" s="2">
        <f t="shared" si="287"/>
        <v>0</v>
      </c>
      <c r="AK2537" s="2">
        <f t="shared" si="288"/>
        <v>0</v>
      </c>
      <c r="AL2537" s="5">
        <f t="shared" si="294"/>
        <v>0</v>
      </c>
    </row>
    <row r="2538" spans="1:38" hidden="1" x14ac:dyDescent="0.2">
      <c r="A2538" s="2">
        <v>2025</v>
      </c>
      <c r="B2538" s="2">
        <v>12</v>
      </c>
      <c r="D2538" s="2" t="s">
        <v>618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619</v>
      </c>
      <c r="J2538" s="2" t="s">
        <v>620</v>
      </c>
      <c r="L2538" s="2" t="s">
        <v>419</v>
      </c>
      <c r="P2538" s="2" t="s">
        <v>43</v>
      </c>
      <c r="Q2538" s="2" t="s">
        <v>1365</v>
      </c>
      <c r="R2538" s="2" t="s">
        <v>1366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295"/>
        <v>0.6542553191489362</v>
      </c>
      <c r="Z2538" s="2" t="s">
        <v>3231</v>
      </c>
      <c r="AA2538" s="2" t="s">
        <v>46</v>
      </c>
      <c r="AB2538" s="2" t="s">
        <v>47</v>
      </c>
      <c r="AC2538" s="2" t="s">
        <v>48</v>
      </c>
      <c r="AF2538" s="2">
        <f t="shared" si="286"/>
        <v>0</v>
      </c>
      <c r="AJ2538" s="2">
        <f t="shared" si="287"/>
        <v>0</v>
      </c>
      <c r="AK2538" s="2">
        <f t="shared" si="288"/>
        <v>18.45</v>
      </c>
      <c r="AL2538" s="5">
        <f t="shared" si="294"/>
        <v>0.6542553191489362</v>
      </c>
    </row>
    <row r="2539" spans="1:38" hidden="1" x14ac:dyDescent="0.2">
      <c r="A2539" s="2">
        <v>2025</v>
      </c>
      <c r="B2539" s="2">
        <v>12</v>
      </c>
      <c r="D2539" s="2" t="s">
        <v>618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619</v>
      </c>
      <c r="J2539" s="2" t="s">
        <v>620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5"/>
        <v>0.24285714285714285</v>
      </c>
      <c r="Z2539" s="2" t="s">
        <v>3231</v>
      </c>
      <c r="AA2539" s="2" t="s">
        <v>46</v>
      </c>
      <c r="AB2539" s="2" t="s">
        <v>57</v>
      </c>
      <c r="AC2539" s="2" t="s">
        <v>58</v>
      </c>
      <c r="AF2539" s="2">
        <f t="shared" si="286"/>
        <v>0</v>
      </c>
      <c r="AG2539" s="2">
        <v>10.6</v>
      </c>
      <c r="AH2539" s="2">
        <v>18</v>
      </c>
      <c r="AJ2539" s="2">
        <f t="shared" si="287"/>
        <v>0</v>
      </c>
      <c r="AK2539" s="2">
        <f t="shared" si="288"/>
        <v>34</v>
      </c>
      <c r="AL2539" s="5">
        <f t="shared" si="294"/>
        <v>0.24285714285714285</v>
      </c>
    </row>
    <row r="2540" spans="1:38" hidden="1" x14ac:dyDescent="0.2">
      <c r="A2540" s="2">
        <v>2025</v>
      </c>
      <c r="B2540" s="2">
        <v>12</v>
      </c>
      <c r="D2540" s="2" t="s">
        <v>618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619</v>
      </c>
      <c r="J2540" s="2" t="s">
        <v>620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5"/>
        <v>0.29692307692307696</v>
      </c>
      <c r="Z2540" s="2" t="s">
        <v>3231</v>
      </c>
      <c r="AA2540" s="2" t="s">
        <v>46</v>
      </c>
      <c r="AB2540" s="2" t="s">
        <v>61</v>
      </c>
      <c r="AC2540" s="2" t="s">
        <v>58</v>
      </c>
      <c r="AF2540" s="2">
        <f t="shared" si="286"/>
        <v>0</v>
      </c>
      <c r="AG2540" s="2">
        <v>9.14</v>
      </c>
      <c r="AH2540" s="2">
        <v>16</v>
      </c>
      <c r="AJ2540" s="2">
        <f t="shared" si="287"/>
        <v>0</v>
      </c>
      <c r="AK2540" s="2">
        <f t="shared" si="288"/>
        <v>11.580000000000002</v>
      </c>
      <c r="AL2540" s="5">
        <f t="shared" si="294"/>
        <v>0.29692307692307696</v>
      </c>
    </row>
    <row r="2541" spans="1:38" hidden="1" x14ac:dyDescent="0.2">
      <c r="A2541" s="2">
        <v>2025</v>
      </c>
      <c r="B2541" s="2">
        <v>12</v>
      </c>
      <c r="D2541" s="2" t="s">
        <v>618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619</v>
      </c>
      <c r="J2541" s="2" t="s">
        <v>620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5"/>
        <v>0.3692307692307692</v>
      </c>
      <c r="Z2541" s="2" t="s">
        <v>3231</v>
      </c>
      <c r="AA2541" s="2" t="s">
        <v>46</v>
      </c>
      <c r="AB2541" s="2" t="s">
        <v>61</v>
      </c>
      <c r="AC2541" s="2" t="s">
        <v>58</v>
      </c>
      <c r="AF2541" s="2">
        <f t="shared" si="286"/>
        <v>0</v>
      </c>
      <c r="AG2541" s="2">
        <v>8.1999999999999993</v>
      </c>
      <c r="AH2541" s="2">
        <v>13</v>
      </c>
      <c r="AJ2541" s="2">
        <f t="shared" si="287"/>
        <v>0</v>
      </c>
      <c r="AK2541" s="2">
        <f t="shared" si="288"/>
        <v>14.399999999999999</v>
      </c>
      <c r="AL2541" s="5">
        <f t="shared" si="294"/>
        <v>0.3692307692307692</v>
      </c>
    </row>
    <row r="2542" spans="1:38" hidden="1" x14ac:dyDescent="0.2">
      <c r="A2542" s="2">
        <v>2025</v>
      </c>
      <c r="B2542" s="2">
        <v>12</v>
      </c>
      <c r="D2542" s="2" t="s">
        <v>625</v>
      </c>
      <c r="E2542" s="2" t="s">
        <v>38</v>
      </c>
      <c r="F2542" s="2" t="s">
        <v>39</v>
      </c>
      <c r="G2542" s="2" t="s">
        <v>626</v>
      </c>
      <c r="H2542" s="2" t="s">
        <v>40</v>
      </c>
      <c r="I2542" s="2" t="s">
        <v>627</v>
      </c>
      <c r="J2542" s="2" t="s">
        <v>628</v>
      </c>
      <c r="L2542" s="2" t="s">
        <v>627</v>
      </c>
      <c r="M2542" s="2" t="s">
        <v>40</v>
      </c>
      <c r="P2542" s="2" t="s">
        <v>115</v>
      </c>
      <c r="Q2542" s="2" t="s">
        <v>1883</v>
      </c>
      <c r="R2542" s="2" t="s">
        <v>1884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295"/>
        <v>0.3802770685288297</v>
      </c>
      <c r="Z2542" s="2" t="s">
        <v>118</v>
      </c>
      <c r="AA2542" s="2" t="s">
        <v>119</v>
      </c>
      <c r="AB2542" s="2" t="s">
        <v>120</v>
      </c>
      <c r="AC2542" s="2" t="s">
        <v>115</v>
      </c>
      <c r="AF2542" s="2">
        <f t="shared" si="286"/>
        <v>0</v>
      </c>
      <c r="AJ2542" s="2">
        <f t="shared" si="287"/>
        <v>0</v>
      </c>
      <c r="AK2542" s="2">
        <f t="shared" si="288"/>
        <v>370.85</v>
      </c>
      <c r="AL2542" s="5">
        <f t="shared" si="294"/>
        <v>0.3802770685288297</v>
      </c>
    </row>
    <row r="2543" spans="1:38" hidden="1" x14ac:dyDescent="0.2">
      <c r="A2543" s="2">
        <v>2025</v>
      </c>
      <c r="B2543" s="2">
        <v>12</v>
      </c>
      <c r="D2543" s="2" t="s">
        <v>1655</v>
      </c>
      <c r="E2543" s="2" t="s">
        <v>38</v>
      </c>
      <c r="F2543" s="2" t="s">
        <v>39</v>
      </c>
      <c r="H2543" s="2" t="s">
        <v>41</v>
      </c>
      <c r="I2543" s="2" t="s">
        <v>1656</v>
      </c>
      <c r="J2543" s="2" t="s">
        <v>1657</v>
      </c>
      <c r="L2543" s="2" t="s">
        <v>113</v>
      </c>
      <c r="M2543" s="2" t="s">
        <v>40</v>
      </c>
      <c r="O2543" s="2" t="s">
        <v>2189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5"/>
        <v>0.60000000000000009</v>
      </c>
      <c r="Z2543" s="2" t="s">
        <v>118</v>
      </c>
      <c r="AA2543" s="2" t="s">
        <v>191</v>
      </c>
      <c r="AB2543" s="2" t="s">
        <v>190</v>
      </c>
      <c r="AC2543" s="2" t="s">
        <v>40</v>
      </c>
      <c r="AF2543" s="2">
        <f t="shared" si="286"/>
        <v>0</v>
      </c>
      <c r="AJ2543" s="2">
        <f t="shared" si="287"/>
        <v>0</v>
      </c>
      <c r="AK2543" s="2">
        <f t="shared" si="288"/>
        <v>80.400000000000006</v>
      </c>
      <c r="AL2543" s="5">
        <f t="shared" si="294"/>
        <v>0.60000000000000009</v>
      </c>
    </row>
    <row r="2544" spans="1:38" hidden="1" x14ac:dyDescent="0.2">
      <c r="A2544" s="2">
        <v>2025</v>
      </c>
      <c r="B2544" s="2">
        <v>12</v>
      </c>
      <c r="D2544" s="2" t="s">
        <v>1655</v>
      </c>
      <c r="E2544" s="2" t="s">
        <v>38</v>
      </c>
      <c r="F2544" s="2" t="s">
        <v>39</v>
      </c>
      <c r="H2544" s="2" t="s">
        <v>41</v>
      </c>
      <c r="I2544" s="2" t="s">
        <v>1656</v>
      </c>
      <c r="J2544" s="2" t="s">
        <v>1657</v>
      </c>
      <c r="L2544" s="2" t="s">
        <v>113</v>
      </c>
      <c r="M2544" s="2" t="s">
        <v>40</v>
      </c>
      <c r="O2544" s="2" t="s">
        <v>2189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5"/>
        <v>0.5</v>
      </c>
      <c r="Z2544" s="2" t="s">
        <v>118</v>
      </c>
      <c r="AA2544" s="2" t="s">
        <v>191</v>
      </c>
      <c r="AB2544" s="2" t="s">
        <v>191</v>
      </c>
      <c r="AC2544" s="2" t="s">
        <v>40</v>
      </c>
      <c r="AF2544" s="2">
        <f t="shared" si="286"/>
        <v>0</v>
      </c>
      <c r="AJ2544" s="2">
        <f t="shared" si="287"/>
        <v>0</v>
      </c>
      <c r="AK2544" s="2">
        <f t="shared" si="288"/>
        <v>50</v>
      </c>
      <c r="AL2544" s="5">
        <f t="shared" si="294"/>
        <v>0.5</v>
      </c>
    </row>
    <row r="2545" spans="1:38" hidden="1" x14ac:dyDescent="0.2">
      <c r="A2545" s="2">
        <v>2025</v>
      </c>
      <c r="B2545" s="2">
        <v>12</v>
      </c>
      <c r="D2545" s="2" t="s">
        <v>1655</v>
      </c>
      <c r="E2545" s="2" t="s">
        <v>38</v>
      </c>
      <c r="F2545" s="2" t="s">
        <v>39</v>
      </c>
      <c r="H2545" s="2" t="s">
        <v>41</v>
      </c>
      <c r="I2545" s="2" t="s">
        <v>1656</v>
      </c>
      <c r="J2545" s="2" t="s">
        <v>1657</v>
      </c>
      <c r="L2545" s="2" t="s">
        <v>113</v>
      </c>
      <c r="M2545" s="2" t="s">
        <v>40</v>
      </c>
      <c r="O2545" s="2" t="s">
        <v>2189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5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6"/>
        <v>0</v>
      </c>
      <c r="AJ2545" s="2">
        <f t="shared" si="287"/>
        <v>0</v>
      </c>
      <c r="AK2545" s="2">
        <f t="shared" si="288"/>
        <v>1165.2</v>
      </c>
      <c r="AL2545" s="5">
        <f t="shared" si="294"/>
        <v>1</v>
      </c>
    </row>
    <row r="2546" spans="1:38" hidden="1" x14ac:dyDescent="0.2">
      <c r="A2546" s="2">
        <v>2025</v>
      </c>
      <c r="B2546" s="2">
        <v>12</v>
      </c>
      <c r="D2546" s="2" t="s">
        <v>2190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5"/>
        <v>0.6</v>
      </c>
      <c r="Z2546" s="2" t="s">
        <v>118</v>
      </c>
      <c r="AA2546" s="2" t="s">
        <v>191</v>
      </c>
      <c r="AB2546" s="2" t="s">
        <v>190</v>
      </c>
      <c r="AC2546" s="2" t="s">
        <v>40</v>
      </c>
      <c r="AF2546" s="2">
        <f t="shared" si="286"/>
        <v>0</v>
      </c>
      <c r="AJ2546" s="2">
        <f t="shared" si="287"/>
        <v>0</v>
      </c>
      <c r="AK2546" s="2">
        <f t="shared" si="288"/>
        <v>30</v>
      </c>
      <c r="AL2546" s="5">
        <f t="shared" si="294"/>
        <v>0.6</v>
      </c>
    </row>
    <row r="2547" spans="1:38" hidden="1" x14ac:dyDescent="0.2">
      <c r="A2547" s="2">
        <v>2025</v>
      </c>
      <c r="B2547" s="2">
        <v>12</v>
      </c>
      <c r="D2547" s="2" t="s">
        <v>2190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5"/>
        <v>0.5</v>
      </c>
      <c r="Z2547" s="2" t="s">
        <v>118</v>
      </c>
      <c r="AA2547" s="2" t="s">
        <v>191</v>
      </c>
      <c r="AB2547" s="2" t="s">
        <v>191</v>
      </c>
      <c r="AC2547" s="2" t="s">
        <v>40</v>
      </c>
      <c r="AF2547" s="2">
        <f t="shared" si="286"/>
        <v>0</v>
      </c>
      <c r="AJ2547" s="2">
        <f t="shared" si="287"/>
        <v>0</v>
      </c>
      <c r="AK2547" s="2">
        <f t="shared" si="288"/>
        <v>50</v>
      </c>
      <c r="AL2547" s="5">
        <f t="shared" si="294"/>
        <v>0.5</v>
      </c>
    </row>
    <row r="2548" spans="1:38" hidden="1" x14ac:dyDescent="0.2">
      <c r="A2548" s="2">
        <v>2025</v>
      </c>
      <c r="B2548" s="2">
        <v>12</v>
      </c>
      <c r="C2548" s="2" t="s">
        <v>3448</v>
      </c>
      <c r="D2548" s="2" t="s">
        <v>911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912</v>
      </c>
      <c r="K2548" s="2">
        <v>914878988</v>
      </c>
      <c r="L2548" s="2" t="s">
        <v>134</v>
      </c>
      <c r="M2548" s="2" t="s">
        <v>40</v>
      </c>
      <c r="O2548" s="2" t="s">
        <v>2191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5"/>
        <v>1</v>
      </c>
      <c r="Z2548" s="2" t="s">
        <v>120</v>
      </c>
      <c r="AA2548" s="2" t="s">
        <v>3472</v>
      </c>
      <c r="AB2548" s="2" t="s">
        <v>3473</v>
      </c>
      <c r="AC2548" s="2" t="s">
        <v>699</v>
      </c>
      <c r="AF2548" s="2">
        <f t="shared" si="286"/>
        <v>0</v>
      </c>
      <c r="AJ2548" s="2">
        <f t="shared" si="287"/>
        <v>0</v>
      </c>
      <c r="AK2548" s="2">
        <f t="shared" si="288"/>
        <v>166.25</v>
      </c>
      <c r="AL2548" s="5">
        <f t="shared" si="294"/>
        <v>1</v>
      </c>
    </row>
    <row r="2549" spans="1:38" hidden="1" x14ac:dyDescent="0.2">
      <c r="A2549" s="2">
        <v>2025</v>
      </c>
      <c r="B2549" s="2">
        <v>12</v>
      </c>
      <c r="D2549" s="2" t="s">
        <v>644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645</v>
      </c>
      <c r="J2549" s="2" t="s">
        <v>646</v>
      </c>
      <c r="K2549" s="2">
        <v>964495536</v>
      </c>
      <c r="L2549" s="2" t="s">
        <v>113</v>
      </c>
      <c r="P2549" s="2" t="s">
        <v>283</v>
      </c>
      <c r="Q2549" s="2" t="s">
        <v>1438</v>
      </c>
      <c r="R2549" s="2" t="s">
        <v>1439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5"/>
        <v>0.35000000000000009</v>
      </c>
      <c r="Z2549" s="2" t="s">
        <v>3231</v>
      </c>
      <c r="AA2549" s="2" t="s">
        <v>72</v>
      </c>
      <c r="AB2549" s="2" t="s">
        <v>120</v>
      </c>
      <c r="AC2549" s="2" t="s">
        <v>120</v>
      </c>
      <c r="AF2549" s="2">
        <f t="shared" si="286"/>
        <v>0</v>
      </c>
      <c r="AJ2549" s="2">
        <f t="shared" si="287"/>
        <v>0</v>
      </c>
      <c r="AK2549" s="2">
        <f t="shared" si="288"/>
        <v>27.650000000000006</v>
      </c>
      <c r="AL2549" s="5">
        <f t="shared" si="294"/>
        <v>0.35000000000000009</v>
      </c>
    </row>
    <row r="2550" spans="1:38" hidden="1" x14ac:dyDescent="0.2">
      <c r="A2550" s="2">
        <v>2025</v>
      </c>
      <c r="B2550" s="2">
        <v>12</v>
      </c>
      <c r="D2550" s="2" t="s">
        <v>2192</v>
      </c>
      <c r="P2550" s="2" t="s">
        <v>115</v>
      </c>
      <c r="Q2550" s="2" t="s">
        <v>2193</v>
      </c>
      <c r="R2550" s="2" t="s">
        <v>2194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118</v>
      </c>
      <c r="AF2550" s="2">
        <f t="shared" si="286"/>
        <v>0</v>
      </c>
      <c r="AJ2550" s="2">
        <f t="shared" si="287"/>
        <v>0</v>
      </c>
      <c r="AK2550" s="2">
        <f t="shared" si="288"/>
        <v>0</v>
      </c>
      <c r="AL2550" s="5" t="e">
        <f t="shared" si="294"/>
        <v>#DIV/0!</v>
      </c>
    </row>
    <row r="2551" spans="1:38" hidden="1" x14ac:dyDescent="0.2">
      <c r="A2551" s="2">
        <v>2025</v>
      </c>
      <c r="B2551" s="2">
        <v>12</v>
      </c>
      <c r="D2551" s="2" t="s">
        <v>2192</v>
      </c>
      <c r="P2551" s="2" t="s">
        <v>115</v>
      </c>
      <c r="Q2551" s="2" t="s">
        <v>837</v>
      </c>
      <c r="R2551" s="2" t="s">
        <v>838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5"/>
        <v>1</v>
      </c>
      <c r="Z2551" s="2" t="s">
        <v>105</v>
      </c>
      <c r="AF2551" s="2">
        <f t="shared" si="286"/>
        <v>0</v>
      </c>
      <c r="AJ2551" s="2">
        <f t="shared" si="287"/>
        <v>0</v>
      </c>
      <c r="AK2551" s="2">
        <f t="shared" si="288"/>
        <v>14990</v>
      </c>
      <c r="AL2551" s="5">
        <f t="shared" si="294"/>
        <v>1</v>
      </c>
    </row>
    <row r="2552" spans="1:38" hidden="1" x14ac:dyDescent="0.2">
      <c r="A2552" s="2">
        <v>2025</v>
      </c>
      <c r="B2552" s="2">
        <v>12</v>
      </c>
      <c r="D2552" s="2" t="s">
        <v>2192</v>
      </c>
      <c r="P2552" s="2" t="s">
        <v>3234</v>
      </c>
      <c r="Q2552" s="2" t="s">
        <v>1886</v>
      </c>
      <c r="R2552" s="2" t="s">
        <v>1887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5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3234</v>
      </c>
      <c r="AF2552" s="2">
        <f t="shared" si="286"/>
        <v>0</v>
      </c>
      <c r="AJ2552" s="2">
        <f t="shared" si="287"/>
        <v>0</v>
      </c>
      <c r="AK2552" s="2">
        <f t="shared" si="288"/>
        <v>1447.2773</v>
      </c>
      <c r="AL2552" s="5">
        <f t="shared" si="294"/>
        <v>0.59436439425051335</v>
      </c>
    </row>
    <row r="2553" spans="1:38" hidden="1" x14ac:dyDescent="0.2">
      <c r="A2553" s="2">
        <v>2025</v>
      </c>
      <c r="B2553" s="2">
        <v>12</v>
      </c>
      <c r="D2553" s="2" t="s">
        <v>2195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5"/>
        <v>0.5243888888888889</v>
      </c>
      <c r="Z2553" s="2" t="s">
        <v>3231</v>
      </c>
      <c r="AA2553" s="2" t="s">
        <v>46</v>
      </c>
      <c r="AB2553" s="2" t="s">
        <v>61</v>
      </c>
      <c r="AC2553" s="2" t="s">
        <v>58</v>
      </c>
      <c r="AF2553" s="2">
        <f t="shared" si="286"/>
        <v>0</v>
      </c>
      <c r="AG2553" s="2">
        <v>0.85609999999999997</v>
      </c>
      <c r="AH2553" s="2">
        <v>1.8</v>
      </c>
      <c r="AJ2553" s="2">
        <f t="shared" si="287"/>
        <v>0</v>
      </c>
      <c r="AK2553" s="2">
        <f t="shared" si="288"/>
        <v>18.878</v>
      </c>
      <c r="AL2553" s="5">
        <f t="shared" si="294"/>
        <v>0.5243888888888889</v>
      </c>
    </row>
    <row r="2554" spans="1:38" hidden="1" x14ac:dyDescent="0.2">
      <c r="A2554" s="2">
        <v>2025</v>
      </c>
      <c r="B2554" s="2">
        <v>12</v>
      </c>
      <c r="D2554" s="2" t="s">
        <v>2195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5"/>
        <v>1</v>
      </c>
      <c r="Z2554" s="2" t="s">
        <v>170</v>
      </c>
      <c r="AA2554" s="2" t="s">
        <v>170</v>
      </c>
      <c r="AF2554" s="2">
        <f t="shared" si="286"/>
        <v>0</v>
      </c>
      <c r="AJ2554" s="2">
        <f t="shared" si="287"/>
        <v>0</v>
      </c>
      <c r="AK2554" s="2">
        <f t="shared" si="288"/>
        <v>8</v>
      </c>
      <c r="AL2554" s="5">
        <f t="shared" si="294"/>
        <v>1</v>
      </c>
    </row>
    <row r="2555" spans="1:38" hidden="1" x14ac:dyDescent="0.2">
      <c r="A2555" s="2">
        <v>2025</v>
      </c>
      <c r="B2555" s="2">
        <v>12</v>
      </c>
      <c r="D2555" s="2" t="s">
        <v>1314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1315</v>
      </c>
      <c r="L2555" s="2" t="s">
        <v>178</v>
      </c>
      <c r="M2555" s="2" t="s">
        <v>40</v>
      </c>
      <c r="O2555" s="2" t="s">
        <v>2196</v>
      </c>
      <c r="P2555" s="2" t="s">
        <v>115</v>
      </c>
      <c r="Q2555" s="2" t="s">
        <v>2197</v>
      </c>
      <c r="R2555" s="2" t="s">
        <v>2198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5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6"/>
        <v>0</v>
      </c>
      <c r="AG2555" s="2">
        <v>7.2733999999999996</v>
      </c>
      <c r="AJ2555" s="2">
        <f t="shared" si="287"/>
        <v>0</v>
      </c>
      <c r="AK2555" s="2">
        <f t="shared" si="288"/>
        <v>8.6066000000000003</v>
      </c>
      <c r="AL2555" s="5">
        <f t="shared" si="294"/>
        <v>0.54197732997481107</v>
      </c>
    </row>
    <row r="2556" spans="1:38" hidden="1" x14ac:dyDescent="0.2">
      <c r="A2556" s="2">
        <v>2025</v>
      </c>
      <c r="B2556" s="2">
        <v>12</v>
      </c>
      <c r="D2556" s="2" t="s">
        <v>1314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1315</v>
      </c>
      <c r="L2556" s="2" t="s">
        <v>178</v>
      </c>
      <c r="M2556" s="2" t="s">
        <v>41</v>
      </c>
      <c r="O2556" s="2" t="s">
        <v>2196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5"/>
        <v>0.41111111111111115</v>
      </c>
      <c r="Z2556" s="2" t="s">
        <v>3231</v>
      </c>
      <c r="AA2556" s="2" t="s">
        <v>46</v>
      </c>
      <c r="AB2556" s="2" t="s">
        <v>57</v>
      </c>
      <c r="AC2556" s="2" t="s">
        <v>58</v>
      </c>
      <c r="AF2556" s="2">
        <f t="shared" si="286"/>
        <v>0</v>
      </c>
      <c r="AG2556" s="2">
        <v>10.6</v>
      </c>
      <c r="AH2556" s="2">
        <v>18</v>
      </c>
      <c r="AJ2556" s="2">
        <f t="shared" si="287"/>
        <v>0</v>
      </c>
      <c r="AK2556" s="2">
        <f t="shared" si="288"/>
        <v>14.8</v>
      </c>
      <c r="AL2556" s="5">
        <f t="shared" si="294"/>
        <v>0.41111111111111115</v>
      </c>
    </row>
    <row r="2557" spans="1:38" hidden="1" x14ac:dyDescent="0.2">
      <c r="A2557" s="2">
        <v>2025</v>
      </c>
      <c r="B2557" s="2">
        <v>12</v>
      </c>
      <c r="D2557" s="2" t="s">
        <v>1314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1315</v>
      </c>
      <c r="L2557" s="2" t="s">
        <v>178</v>
      </c>
      <c r="M2557" s="2" t="s">
        <v>41</v>
      </c>
      <c r="O2557" s="2" t="s">
        <v>2199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5"/>
        <v>0.58173666666666668</v>
      </c>
      <c r="Z2557" s="2" t="s">
        <v>3231</v>
      </c>
      <c r="AA2557" s="2" t="s">
        <v>46</v>
      </c>
      <c r="AB2557" s="2" t="s">
        <v>91</v>
      </c>
      <c r="AC2557" s="2" t="s">
        <v>58</v>
      </c>
      <c r="AF2557" s="2">
        <f t="shared" si="286"/>
        <v>0</v>
      </c>
      <c r="AG2557" s="2">
        <v>25.79</v>
      </c>
      <c r="AJ2557" s="2">
        <f t="shared" si="287"/>
        <v>0</v>
      </c>
      <c r="AK2557" s="2">
        <f t="shared" si="288"/>
        <v>34.904200000000003</v>
      </c>
      <c r="AL2557" s="5">
        <f t="shared" si="294"/>
        <v>0.58173666666666668</v>
      </c>
    </row>
    <row r="2558" spans="1:38" hidden="1" x14ac:dyDescent="0.2">
      <c r="A2558" s="2">
        <v>2025</v>
      </c>
      <c r="B2558" s="2">
        <v>12</v>
      </c>
      <c r="D2558" s="2" t="s">
        <v>1314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1315</v>
      </c>
      <c r="L2558" s="2" t="s">
        <v>178</v>
      </c>
      <c r="M2558" s="2" t="s">
        <v>41</v>
      </c>
      <c r="O2558" s="2" t="s">
        <v>2199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5"/>
        <v>0.34714285714285725</v>
      </c>
      <c r="Z2558" s="2" t="s">
        <v>3231</v>
      </c>
      <c r="AA2558" s="2" t="s">
        <v>46</v>
      </c>
      <c r="AB2558" s="2" t="s">
        <v>61</v>
      </c>
      <c r="AC2558" s="2" t="s">
        <v>58</v>
      </c>
      <c r="AF2558" s="2">
        <f t="shared" si="286"/>
        <v>0</v>
      </c>
      <c r="AG2558" s="2">
        <v>9.14</v>
      </c>
      <c r="AH2558" s="2">
        <v>16</v>
      </c>
      <c r="AJ2558" s="2">
        <f t="shared" si="287"/>
        <v>0</v>
      </c>
      <c r="AK2558" s="2">
        <f t="shared" si="288"/>
        <v>4.8600000000000012</v>
      </c>
      <c r="AL2558" s="5">
        <f t="shared" si="294"/>
        <v>0.34714285714285725</v>
      </c>
    </row>
    <row r="2559" spans="1:38" hidden="1" x14ac:dyDescent="0.2">
      <c r="A2559" s="2">
        <v>2025</v>
      </c>
      <c r="B2559" s="2">
        <v>12</v>
      </c>
      <c r="D2559" s="2" t="s">
        <v>1314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1315</v>
      </c>
      <c r="L2559" s="2" t="s">
        <v>178</v>
      </c>
      <c r="M2559" s="2" t="s">
        <v>41</v>
      </c>
      <c r="O2559" s="2" t="s">
        <v>2199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5"/>
        <v>0.36923076923076914</v>
      </c>
      <c r="Z2559" s="2" t="s">
        <v>3231</v>
      </c>
      <c r="AA2559" s="2" t="s">
        <v>46</v>
      </c>
      <c r="AB2559" s="2" t="s">
        <v>61</v>
      </c>
      <c r="AC2559" s="2" t="s">
        <v>58</v>
      </c>
      <c r="AF2559" s="2">
        <f t="shared" si="286"/>
        <v>0</v>
      </c>
      <c r="AG2559" s="2">
        <v>8.1999999999999993</v>
      </c>
      <c r="AH2559" s="2">
        <v>13</v>
      </c>
      <c r="AJ2559" s="2">
        <f t="shared" si="287"/>
        <v>0</v>
      </c>
      <c r="AK2559" s="2">
        <f t="shared" si="288"/>
        <v>9.5999999999999979</v>
      </c>
      <c r="AL2559" s="5">
        <f t="shared" si="294"/>
        <v>0.36923076923076914</v>
      </c>
    </row>
    <row r="2560" spans="1:38" hidden="1" x14ac:dyDescent="0.2">
      <c r="A2560" s="2">
        <v>2025</v>
      </c>
      <c r="B2560" s="2">
        <v>12</v>
      </c>
      <c r="D2560" s="2" t="s">
        <v>1314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1315</v>
      </c>
      <c r="L2560" s="2" t="s">
        <v>178</v>
      </c>
      <c r="M2560" s="2" t="s">
        <v>41</v>
      </c>
      <c r="O2560" s="2" t="s">
        <v>2199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5"/>
        <v>0.34714285714285725</v>
      </c>
      <c r="Z2560" s="2" t="s">
        <v>3231</v>
      </c>
      <c r="AA2560" s="2" t="s">
        <v>46</v>
      </c>
      <c r="AB2560" s="2" t="s">
        <v>61</v>
      </c>
      <c r="AC2560" s="2" t="s">
        <v>58</v>
      </c>
      <c r="AF2560" s="2">
        <f t="shared" si="286"/>
        <v>0</v>
      </c>
      <c r="AJ2560" s="2">
        <f t="shared" si="287"/>
        <v>0</v>
      </c>
      <c r="AK2560" s="2">
        <f t="shared" si="288"/>
        <v>4.8600000000000012</v>
      </c>
      <c r="AL2560" s="5">
        <f t="shared" si="294"/>
        <v>0.34714285714285725</v>
      </c>
    </row>
    <row r="2561" spans="1:38" hidden="1" x14ac:dyDescent="0.2">
      <c r="A2561" s="2">
        <v>2025</v>
      </c>
      <c r="B2561" s="2">
        <v>12</v>
      </c>
      <c r="D2561" s="2" t="s">
        <v>1314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1315</v>
      </c>
      <c r="L2561" s="2" t="s">
        <v>178</v>
      </c>
      <c r="M2561" s="2" t="s">
        <v>41</v>
      </c>
      <c r="O2561" s="2" t="s">
        <v>2196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5"/>
        <v>0.34571428571428564</v>
      </c>
      <c r="Z2561" s="2" t="s">
        <v>3231</v>
      </c>
      <c r="AA2561" s="2" t="s">
        <v>46</v>
      </c>
      <c r="AB2561" s="2" t="s">
        <v>61</v>
      </c>
      <c r="AC2561" s="2" t="s">
        <v>58</v>
      </c>
      <c r="AF2561" s="2">
        <f t="shared" si="286"/>
        <v>0</v>
      </c>
      <c r="AG2561" s="2">
        <v>1.8320000000000001</v>
      </c>
      <c r="AH2561" s="2">
        <v>2.4</v>
      </c>
      <c r="AJ2561" s="2">
        <f t="shared" si="287"/>
        <v>0</v>
      </c>
      <c r="AK2561" s="2">
        <f t="shared" si="288"/>
        <v>3.871999999999999</v>
      </c>
      <c r="AL2561" s="5">
        <f t="shared" si="294"/>
        <v>0.34571428571428564</v>
      </c>
    </row>
    <row r="2562" spans="1:38" hidden="1" x14ac:dyDescent="0.2">
      <c r="A2562" s="2">
        <v>2025</v>
      </c>
      <c r="B2562" s="2">
        <v>12</v>
      </c>
      <c r="D2562" s="2" t="s">
        <v>2200</v>
      </c>
      <c r="M2562" s="2" t="s">
        <v>40</v>
      </c>
      <c r="P2562" s="2" t="s">
        <v>115</v>
      </c>
      <c r="Q2562" s="2" t="s">
        <v>906</v>
      </c>
      <c r="R2562" s="2" t="s">
        <v>907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5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6"/>
        <v>0</v>
      </c>
      <c r="AJ2562" s="2">
        <f t="shared" si="287"/>
        <v>0</v>
      </c>
      <c r="AK2562" s="2">
        <f t="shared" si="288"/>
        <v>254.19659999999999</v>
      </c>
      <c r="AL2562" s="5">
        <f t="shared" si="294"/>
        <v>0.42408508508508508</v>
      </c>
    </row>
    <row r="2563" spans="1:38" hidden="1" x14ac:dyDescent="0.2">
      <c r="A2563" s="2">
        <v>2025</v>
      </c>
      <c r="B2563" s="2">
        <v>12</v>
      </c>
      <c r="D2563" s="2" t="s">
        <v>2200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5"/>
        <v>0.6</v>
      </c>
      <c r="Z2563" s="2" t="s">
        <v>118</v>
      </c>
      <c r="AA2563" s="2" t="s">
        <v>191</v>
      </c>
      <c r="AB2563" s="2" t="s">
        <v>190</v>
      </c>
      <c r="AC2563" s="2" t="s">
        <v>40</v>
      </c>
      <c r="AF2563" s="2">
        <f t="shared" ref="AF2563:AF2626" si="296">AJ2563</f>
        <v>0</v>
      </c>
      <c r="AJ2563" s="2">
        <f t="shared" ref="AJ2563:AJ2626" si="297">AI2563*T2563</f>
        <v>0</v>
      </c>
      <c r="AK2563" s="2">
        <f t="shared" ref="AK2563:AK2626" si="298">T2563-W2563</f>
        <v>156.6</v>
      </c>
      <c r="AL2563" s="5">
        <f t="shared" si="294"/>
        <v>0.6</v>
      </c>
    </row>
    <row r="2564" spans="1:38" hidden="1" x14ac:dyDescent="0.2">
      <c r="A2564" s="2">
        <v>2025</v>
      </c>
      <c r="B2564" s="2">
        <v>12</v>
      </c>
      <c r="D2564" s="2" t="s">
        <v>2200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5"/>
        <v>0.5</v>
      </c>
      <c r="Z2564" s="2" t="s">
        <v>118</v>
      </c>
      <c r="AA2564" s="2" t="s">
        <v>191</v>
      </c>
      <c r="AB2564" s="2" t="s">
        <v>191</v>
      </c>
      <c r="AC2564" s="2" t="s">
        <v>40</v>
      </c>
      <c r="AF2564" s="2">
        <f t="shared" si="296"/>
        <v>0</v>
      </c>
      <c r="AJ2564" s="2">
        <f t="shared" si="297"/>
        <v>0</v>
      </c>
      <c r="AK2564" s="2">
        <f t="shared" si="298"/>
        <v>75</v>
      </c>
      <c r="AL2564" s="5">
        <f t="shared" si="294"/>
        <v>0.5</v>
      </c>
    </row>
    <row r="2565" spans="1:38" hidden="1" x14ac:dyDescent="0.2">
      <c r="A2565" s="2">
        <v>2025</v>
      </c>
      <c r="B2565" s="2">
        <v>12</v>
      </c>
      <c r="D2565" s="2" t="s">
        <v>2086</v>
      </c>
      <c r="P2565" s="2" t="s">
        <v>1040</v>
      </c>
      <c r="Q2565" s="2" t="s">
        <v>2201</v>
      </c>
      <c r="R2565" s="2" t="s">
        <v>2202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5"/>
        <v>0.41023076923076923</v>
      </c>
      <c r="Z2565" s="2" t="s">
        <v>3231</v>
      </c>
      <c r="AA2565" s="2" t="s">
        <v>76</v>
      </c>
      <c r="AB2565" s="2" t="s">
        <v>77</v>
      </c>
      <c r="AC2565" s="2" t="s">
        <v>1040</v>
      </c>
      <c r="AF2565" s="2">
        <f t="shared" si="296"/>
        <v>0</v>
      </c>
      <c r="AJ2565" s="2">
        <f t="shared" si="297"/>
        <v>0</v>
      </c>
      <c r="AK2565" s="2">
        <f t="shared" si="298"/>
        <v>106.66</v>
      </c>
      <c r="AL2565" s="5">
        <f t="shared" si="294"/>
        <v>0.41023076923076923</v>
      </c>
    </row>
    <row r="2566" spans="1:38" hidden="1" x14ac:dyDescent="0.2">
      <c r="A2566" s="2">
        <v>2025</v>
      </c>
      <c r="B2566" s="2">
        <v>12</v>
      </c>
      <c r="D2566" s="2" t="s">
        <v>2086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5"/>
        <v>0.25</v>
      </c>
      <c r="Z2566" s="2" t="s">
        <v>170</v>
      </c>
      <c r="AA2566" s="2" t="s">
        <v>170</v>
      </c>
      <c r="AF2566" s="2">
        <f t="shared" si="296"/>
        <v>0</v>
      </c>
      <c r="AJ2566" s="2">
        <f t="shared" si="297"/>
        <v>0</v>
      </c>
      <c r="AK2566" s="2">
        <f t="shared" si="298"/>
        <v>10</v>
      </c>
      <c r="AL2566" s="5">
        <f t="shared" si="294"/>
        <v>0.25</v>
      </c>
    </row>
    <row r="2567" spans="1:38" hidden="1" x14ac:dyDescent="0.2">
      <c r="A2567" s="2">
        <v>2025</v>
      </c>
      <c r="B2567" s="2">
        <v>12</v>
      </c>
      <c r="D2567" s="2" t="s">
        <v>2086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5"/>
        <v>0</v>
      </c>
      <c r="Z2567" s="2" t="s">
        <v>3231</v>
      </c>
      <c r="AA2567" s="2" t="s">
        <v>97</v>
      </c>
      <c r="AB2567" s="2" t="s">
        <v>77</v>
      </c>
      <c r="AC2567" s="2" t="s">
        <v>94</v>
      </c>
      <c r="AF2567" s="2">
        <f t="shared" si="296"/>
        <v>0</v>
      </c>
      <c r="AJ2567" s="2">
        <f t="shared" si="297"/>
        <v>0</v>
      </c>
      <c r="AK2567" s="2">
        <f t="shared" si="298"/>
        <v>0</v>
      </c>
      <c r="AL2567" s="5">
        <f t="shared" si="294"/>
        <v>0</v>
      </c>
    </row>
    <row r="2568" spans="1:38" hidden="1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5"/>
        <v>0.24285714285714285</v>
      </c>
      <c r="Z2568" s="2" t="s">
        <v>3231</v>
      </c>
      <c r="AA2568" s="2" t="s">
        <v>46</v>
      </c>
      <c r="AB2568" s="2" t="s">
        <v>57</v>
      </c>
      <c r="AC2568" s="2" t="s">
        <v>58</v>
      </c>
      <c r="AF2568" s="2">
        <f t="shared" si="296"/>
        <v>0</v>
      </c>
      <c r="AG2568" s="2">
        <v>10.6</v>
      </c>
      <c r="AH2568" s="2">
        <v>18</v>
      </c>
      <c r="AJ2568" s="2">
        <f t="shared" si="297"/>
        <v>0</v>
      </c>
      <c r="AK2568" s="2">
        <f t="shared" si="298"/>
        <v>34</v>
      </c>
      <c r="AL2568" s="5">
        <f t="shared" si="294"/>
        <v>0.24285714285714285</v>
      </c>
    </row>
    <row r="2569" spans="1:38" hidden="1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5"/>
        <v>0.29692307692307701</v>
      </c>
      <c r="Z2569" s="2" t="s">
        <v>3231</v>
      </c>
      <c r="AA2569" s="2" t="s">
        <v>46</v>
      </c>
      <c r="AB2569" s="2" t="s">
        <v>61</v>
      </c>
      <c r="AC2569" s="2" t="s">
        <v>58</v>
      </c>
      <c r="AF2569" s="2">
        <f t="shared" si="296"/>
        <v>0</v>
      </c>
      <c r="AG2569" s="2">
        <v>9.14</v>
      </c>
      <c r="AH2569" s="2">
        <v>16</v>
      </c>
      <c r="AJ2569" s="2">
        <f t="shared" si="297"/>
        <v>0</v>
      </c>
      <c r="AK2569" s="2">
        <f t="shared" si="298"/>
        <v>19.300000000000004</v>
      </c>
      <c r="AL2569" s="5">
        <f t="shared" si="294"/>
        <v>0.29692307692307701</v>
      </c>
    </row>
    <row r="2570" spans="1:38" hidden="1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5"/>
        <v>0.21904761904761905</v>
      </c>
      <c r="Z2570" s="2" t="s">
        <v>3231</v>
      </c>
      <c r="AA2570" s="2" t="s">
        <v>46</v>
      </c>
      <c r="AB2570" s="2" t="s">
        <v>61</v>
      </c>
      <c r="AC2570" s="2" t="s">
        <v>58</v>
      </c>
      <c r="AF2570" s="2">
        <f t="shared" si="296"/>
        <v>0</v>
      </c>
      <c r="AG2570" s="2">
        <v>8.1999999999999993</v>
      </c>
      <c r="AH2570" s="2">
        <v>13</v>
      </c>
      <c r="AJ2570" s="2">
        <f t="shared" si="297"/>
        <v>0</v>
      </c>
      <c r="AK2570" s="2">
        <f t="shared" si="298"/>
        <v>46</v>
      </c>
      <c r="AL2570" s="5">
        <f t="shared" si="294"/>
        <v>0.21904761904761905</v>
      </c>
    </row>
    <row r="2571" spans="1:38" hidden="1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5"/>
        <v>0.63812727272727277</v>
      </c>
      <c r="Z2571" s="2" t="s">
        <v>3231</v>
      </c>
      <c r="AA2571" s="2" t="s">
        <v>46</v>
      </c>
      <c r="AB2571" s="2" t="s">
        <v>68</v>
      </c>
      <c r="AC2571" s="2" t="s">
        <v>58</v>
      </c>
      <c r="AF2571" s="2">
        <f t="shared" si="296"/>
        <v>0</v>
      </c>
      <c r="AG2571" s="2">
        <v>7.9611999999999998</v>
      </c>
      <c r="AH2571" s="2">
        <v>14.4</v>
      </c>
      <c r="AJ2571" s="2">
        <f t="shared" si="297"/>
        <v>0</v>
      </c>
      <c r="AK2571" s="2">
        <f t="shared" si="298"/>
        <v>14.0388</v>
      </c>
      <c r="AL2571" s="5">
        <f t="shared" si="294"/>
        <v>0.63812727272727277</v>
      </c>
    </row>
    <row r="2572" spans="1:38" hidden="1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5"/>
        <v>0.31725909090909088</v>
      </c>
      <c r="Z2572" s="2" t="s">
        <v>3231</v>
      </c>
      <c r="AA2572" s="2" t="s">
        <v>46</v>
      </c>
      <c r="AB2572" s="2" t="s">
        <v>68</v>
      </c>
      <c r="AC2572" s="2" t="s">
        <v>58</v>
      </c>
      <c r="AF2572" s="2">
        <f t="shared" si="296"/>
        <v>0</v>
      </c>
      <c r="AG2572" s="2">
        <v>15.020300000000001</v>
      </c>
      <c r="AH2572" s="2">
        <v>27.6</v>
      </c>
      <c r="AJ2572" s="2">
        <f t="shared" si="297"/>
        <v>0</v>
      </c>
      <c r="AK2572" s="2">
        <f t="shared" si="298"/>
        <v>6.9796999999999993</v>
      </c>
      <c r="AL2572" s="5">
        <f t="shared" si="294"/>
        <v>0.31725909090909088</v>
      </c>
    </row>
    <row r="2573" spans="1:38" hidden="1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2203</v>
      </c>
      <c r="L2573" s="2" t="s">
        <v>100</v>
      </c>
      <c r="M2573" s="2" t="s">
        <v>81</v>
      </c>
      <c r="O2573" s="2" t="s">
        <v>2204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5"/>
        <v>0.47150875190258756</v>
      </c>
      <c r="Z2573" s="2" t="s">
        <v>3231</v>
      </c>
      <c r="AA2573" s="2" t="s">
        <v>76</v>
      </c>
      <c r="AB2573" s="2" t="s">
        <v>77</v>
      </c>
      <c r="AC2573" s="2" t="s">
        <v>78</v>
      </c>
      <c r="AF2573" s="2">
        <f t="shared" si="296"/>
        <v>0</v>
      </c>
      <c r="AG2573" s="2">
        <v>101.30500000000001</v>
      </c>
      <c r="AH2573" s="2">
        <v>190</v>
      </c>
      <c r="AJ2573" s="2">
        <f t="shared" si="297"/>
        <v>0</v>
      </c>
      <c r="AK2573" s="2">
        <f t="shared" si="298"/>
        <v>99.13000000000001</v>
      </c>
      <c r="AL2573" s="5">
        <f t="shared" si="294"/>
        <v>0.47150875190258756</v>
      </c>
    </row>
    <row r="2574" spans="1:38" hidden="1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5"/>
        <v>0.36459161147902874</v>
      </c>
      <c r="Z2574" s="2" t="s">
        <v>3231</v>
      </c>
      <c r="AA2574" s="2" t="s">
        <v>76</v>
      </c>
      <c r="AB2574" s="2" t="s">
        <v>77</v>
      </c>
      <c r="AC2574" s="2" t="s">
        <v>78</v>
      </c>
      <c r="AF2574" s="2">
        <f t="shared" si="296"/>
        <v>0</v>
      </c>
      <c r="AJ2574" s="2">
        <f t="shared" si="297"/>
        <v>0</v>
      </c>
      <c r="AK2574" s="2">
        <f t="shared" si="298"/>
        <v>82.580000000000013</v>
      </c>
      <c r="AL2574" s="5">
        <f t="shared" si="294"/>
        <v>0.36459161147902874</v>
      </c>
    </row>
    <row r="2575" spans="1:38" hidden="1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5"/>
        <v>0</v>
      </c>
      <c r="Z2575" s="2" t="s">
        <v>3231</v>
      </c>
      <c r="AA2575" s="2" t="s">
        <v>97</v>
      </c>
      <c r="AB2575" s="2" t="s">
        <v>77</v>
      </c>
      <c r="AC2575" s="2" t="s">
        <v>94</v>
      </c>
      <c r="AF2575" s="2">
        <f t="shared" si="296"/>
        <v>0</v>
      </c>
      <c r="AJ2575" s="2">
        <f t="shared" si="297"/>
        <v>0</v>
      </c>
      <c r="AK2575" s="2">
        <f t="shared" si="298"/>
        <v>0</v>
      </c>
      <c r="AL2575" s="5">
        <f t="shared" si="294"/>
        <v>0</v>
      </c>
    </row>
    <row r="2576" spans="1:38" hidden="1" x14ac:dyDescent="0.2">
      <c r="A2576" s="2">
        <v>2025</v>
      </c>
      <c r="B2576" s="2">
        <v>9</v>
      </c>
      <c r="D2576" s="2" t="s">
        <v>1862</v>
      </c>
      <c r="E2576" s="2" t="s">
        <v>109</v>
      </c>
      <c r="G2576" s="2">
        <v>515549134</v>
      </c>
      <c r="H2576" s="2" t="s">
        <v>41</v>
      </c>
      <c r="I2576" s="2" t="s">
        <v>1863</v>
      </c>
      <c r="J2576" s="2" t="s">
        <v>1864</v>
      </c>
      <c r="L2576" s="2" t="s">
        <v>178</v>
      </c>
      <c r="M2576" s="2" t="s">
        <v>41</v>
      </c>
      <c r="O2576" s="2" t="s">
        <v>2205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295"/>
        <v>0.42644927536231886</v>
      </c>
      <c r="Z2576" s="2" t="s">
        <v>3231</v>
      </c>
      <c r="AA2576" s="2" t="s">
        <v>46</v>
      </c>
      <c r="AB2576" s="2" t="s">
        <v>57</v>
      </c>
      <c r="AC2576" s="2" t="s">
        <v>58</v>
      </c>
      <c r="AF2576" s="2">
        <f t="shared" si="296"/>
        <v>0</v>
      </c>
      <c r="AG2576" s="2">
        <v>7.915</v>
      </c>
      <c r="AJ2576" s="2">
        <f t="shared" si="297"/>
        <v>0</v>
      </c>
      <c r="AK2576" s="2">
        <f t="shared" si="298"/>
        <v>5.8850000000000007</v>
      </c>
      <c r="AL2576" s="5">
        <f t="shared" si="294"/>
        <v>0.42644927536231886</v>
      </c>
    </row>
    <row r="2577" spans="1:38" hidden="1" x14ac:dyDescent="0.2">
      <c r="A2577" s="2">
        <v>2025</v>
      </c>
      <c r="B2577" s="2">
        <v>9</v>
      </c>
      <c r="D2577" s="2" t="s">
        <v>1862</v>
      </c>
      <c r="E2577" s="2" t="s">
        <v>109</v>
      </c>
      <c r="G2577" s="2">
        <v>515549134</v>
      </c>
      <c r="H2577" s="2" t="s">
        <v>41</v>
      </c>
      <c r="I2577" s="2" t="s">
        <v>1863</v>
      </c>
      <c r="J2577" s="2" t="s">
        <v>1864</v>
      </c>
      <c r="L2577" s="2" t="s">
        <v>178</v>
      </c>
      <c r="M2577" s="2" t="s">
        <v>41</v>
      </c>
      <c r="O2577" s="2" t="s">
        <v>2205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5"/>
        <v>0.42327586206896545</v>
      </c>
      <c r="Z2577" s="2" t="s">
        <v>3231</v>
      </c>
      <c r="AA2577" s="2" t="s">
        <v>46</v>
      </c>
      <c r="AB2577" s="2" t="s">
        <v>57</v>
      </c>
      <c r="AC2577" s="2" t="s">
        <v>58</v>
      </c>
      <c r="AF2577" s="2">
        <f t="shared" si="296"/>
        <v>0</v>
      </c>
      <c r="AG2577" s="2">
        <v>10.035</v>
      </c>
      <c r="AJ2577" s="2">
        <f t="shared" si="297"/>
        <v>0</v>
      </c>
      <c r="AK2577" s="2">
        <f t="shared" si="298"/>
        <v>7.3649999999999984</v>
      </c>
      <c r="AL2577" s="5">
        <f t="shared" si="294"/>
        <v>0.42327586206896545</v>
      </c>
    </row>
    <row r="2578" spans="1:38" hidden="1" x14ac:dyDescent="0.2">
      <c r="A2578" s="2">
        <v>2025</v>
      </c>
      <c r="B2578" s="2">
        <v>9</v>
      </c>
      <c r="D2578" s="2" t="s">
        <v>1862</v>
      </c>
      <c r="E2578" s="2" t="s">
        <v>109</v>
      </c>
      <c r="G2578" s="2">
        <v>515549134</v>
      </c>
      <c r="H2578" s="2" t="s">
        <v>41</v>
      </c>
      <c r="I2578" s="2" t="s">
        <v>1863</v>
      </c>
      <c r="J2578" s="2" t="s">
        <v>1864</v>
      </c>
      <c r="L2578" s="2" t="s">
        <v>178</v>
      </c>
      <c r="M2578" s="2" t="s">
        <v>41</v>
      </c>
      <c r="O2578" s="2" t="s">
        <v>2205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5"/>
        <v>0.40745714285714285</v>
      </c>
      <c r="Z2578" s="2" t="s">
        <v>3231</v>
      </c>
      <c r="AA2578" s="2" t="s">
        <v>46</v>
      </c>
      <c r="AB2578" s="2" t="s">
        <v>57</v>
      </c>
      <c r="AC2578" s="2" t="s">
        <v>58</v>
      </c>
      <c r="AF2578" s="2">
        <f t="shared" si="296"/>
        <v>0</v>
      </c>
      <c r="AG2578" s="2">
        <v>12.4434</v>
      </c>
      <c r="AJ2578" s="2">
        <f t="shared" si="297"/>
        <v>0</v>
      </c>
      <c r="AK2578" s="2">
        <f t="shared" si="298"/>
        <v>8.5565999999999995</v>
      </c>
      <c r="AL2578" s="5">
        <f t="shared" si="294"/>
        <v>0.40745714285714285</v>
      </c>
    </row>
    <row r="2579" spans="1:38" hidden="1" x14ac:dyDescent="0.2">
      <c r="A2579" s="2">
        <v>2025</v>
      </c>
      <c r="B2579" s="2">
        <v>9</v>
      </c>
      <c r="D2579" s="2" t="s">
        <v>1862</v>
      </c>
      <c r="E2579" s="2" t="s">
        <v>109</v>
      </c>
      <c r="G2579" s="2">
        <v>515549134</v>
      </c>
      <c r="H2579" s="2" t="s">
        <v>41</v>
      </c>
      <c r="I2579" s="2" t="s">
        <v>1863</v>
      </c>
      <c r="J2579" s="2" t="s">
        <v>1864</v>
      </c>
      <c r="L2579" s="2" t="s">
        <v>178</v>
      </c>
      <c r="M2579" s="2" t="s">
        <v>41</v>
      </c>
      <c r="O2579" s="2" t="s">
        <v>2206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5"/>
        <v>0.44000000000000006</v>
      </c>
      <c r="Z2579" s="2" t="s">
        <v>3231</v>
      </c>
      <c r="AA2579" s="2" t="s">
        <v>46</v>
      </c>
      <c r="AB2579" s="2" t="s">
        <v>57</v>
      </c>
      <c r="AC2579" s="2" t="s">
        <v>58</v>
      </c>
      <c r="AF2579" s="2">
        <f t="shared" si="296"/>
        <v>0</v>
      </c>
      <c r="AG2579" s="2">
        <v>11.087999999999999</v>
      </c>
      <c r="AJ2579" s="2">
        <f t="shared" si="297"/>
        <v>0</v>
      </c>
      <c r="AK2579" s="2">
        <f t="shared" si="298"/>
        <v>8.7120000000000015</v>
      </c>
      <c r="AL2579" s="5">
        <f t="shared" si="294"/>
        <v>0.44000000000000006</v>
      </c>
    </row>
    <row r="2580" spans="1:38" hidden="1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2207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295"/>
        <v>0.25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6"/>
        <v>0</v>
      </c>
      <c r="AJ2580" s="2">
        <f t="shared" si="297"/>
        <v>0</v>
      </c>
      <c r="AK2580" s="2">
        <f t="shared" si="298"/>
        <v>875</v>
      </c>
      <c r="AL2580" s="5">
        <f t="shared" si="294"/>
        <v>0.25</v>
      </c>
    </row>
    <row r="2581" spans="1:38" hidden="1" x14ac:dyDescent="0.2">
      <c r="A2581" s="2">
        <v>2025</v>
      </c>
      <c r="B2581" s="2">
        <v>9</v>
      </c>
      <c r="D2581" s="2" t="s">
        <v>1142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1143</v>
      </c>
      <c r="J2581" s="2" t="s">
        <v>1144</v>
      </c>
      <c r="L2581" s="2" t="s">
        <v>100</v>
      </c>
      <c r="M2581" s="2" t="s">
        <v>41</v>
      </c>
      <c r="O2581" s="2" t="s">
        <v>2208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5"/>
        <v>0.21904761904761905</v>
      </c>
      <c r="Z2581" s="2" t="s">
        <v>3231</v>
      </c>
      <c r="AA2581" s="2" t="s">
        <v>46</v>
      </c>
      <c r="AB2581" s="2" t="s">
        <v>61</v>
      </c>
      <c r="AC2581" s="2" t="s">
        <v>58</v>
      </c>
      <c r="AF2581" s="2">
        <f t="shared" si="296"/>
        <v>0</v>
      </c>
      <c r="AG2581" s="2">
        <v>8.1999999999999993</v>
      </c>
      <c r="AH2581" s="2">
        <v>13</v>
      </c>
      <c r="AJ2581" s="2">
        <f t="shared" si="297"/>
        <v>0</v>
      </c>
      <c r="AK2581" s="2">
        <f t="shared" si="298"/>
        <v>23</v>
      </c>
      <c r="AL2581" s="5">
        <f t="shared" si="294"/>
        <v>0.21904761904761905</v>
      </c>
    </row>
    <row r="2582" spans="1:38" hidden="1" x14ac:dyDescent="0.2">
      <c r="A2582" s="2">
        <v>2025</v>
      </c>
      <c r="B2582" s="2">
        <v>9</v>
      </c>
      <c r="D2582" s="2" t="s">
        <v>1142</v>
      </c>
      <c r="E2582" s="2" t="s">
        <v>109</v>
      </c>
      <c r="G2582" s="2">
        <v>504576658</v>
      </c>
      <c r="H2582" s="2" t="s">
        <v>41</v>
      </c>
      <c r="I2582" s="2" t="s">
        <v>1143</v>
      </c>
      <c r="J2582" s="2" t="s">
        <v>1144</v>
      </c>
      <c r="L2582" s="2" t="s">
        <v>100</v>
      </c>
      <c r="M2582" s="2" t="s">
        <v>41</v>
      </c>
      <c r="O2582" s="2" t="s">
        <v>2208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5"/>
        <v>1</v>
      </c>
      <c r="Z2582" s="2" t="s">
        <v>170</v>
      </c>
      <c r="AA2582" s="2" t="s">
        <v>170</v>
      </c>
      <c r="AF2582" s="2">
        <f t="shared" si="296"/>
        <v>0</v>
      </c>
      <c r="AJ2582" s="2">
        <f t="shared" si="297"/>
        <v>0</v>
      </c>
      <c r="AK2582" s="2">
        <f t="shared" si="298"/>
        <v>8</v>
      </c>
      <c r="AL2582" s="5">
        <f t="shared" si="294"/>
        <v>1</v>
      </c>
    </row>
    <row r="2583" spans="1:38" hidden="1" x14ac:dyDescent="0.2">
      <c r="A2583" s="2">
        <v>2025</v>
      </c>
      <c r="B2583" s="2">
        <v>9</v>
      </c>
      <c r="D2583" s="2" t="s">
        <v>2209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5"/>
        <v>0.6</v>
      </c>
      <c r="Z2583" s="2" t="s">
        <v>118</v>
      </c>
      <c r="AA2583" s="2" t="s">
        <v>191</v>
      </c>
      <c r="AB2583" s="2" t="s">
        <v>190</v>
      </c>
      <c r="AC2583" s="2" t="s">
        <v>40</v>
      </c>
      <c r="AF2583" s="2">
        <f t="shared" si="296"/>
        <v>0</v>
      </c>
      <c r="AJ2583" s="2">
        <f t="shared" si="297"/>
        <v>0</v>
      </c>
      <c r="AK2583" s="2">
        <f t="shared" si="298"/>
        <v>22.5</v>
      </c>
      <c r="AL2583" s="5">
        <f t="shared" si="294"/>
        <v>0.6</v>
      </c>
    </row>
    <row r="2584" spans="1:38" hidden="1" x14ac:dyDescent="0.2">
      <c r="A2584" s="2">
        <v>2025</v>
      </c>
      <c r="B2584" s="2">
        <v>9</v>
      </c>
      <c r="D2584" s="2" t="s">
        <v>2209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5"/>
        <v>0.5</v>
      </c>
      <c r="Z2584" s="2" t="s">
        <v>118</v>
      </c>
      <c r="AA2584" s="2" t="s">
        <v>191</v>
      </c>
      <c r="AB2584" s="2" t="s">
        <v>191</v>
      </c>
      <c r="AC2584" s="2" t="s">
        <v>40</v>
      </c>
      <c r="AF2584" s="2">
        <f t="shared" si="296"/>
        <v>0</v>
      </c>
      <c r="AJ2584" s="2">
        <f t="shared" si="297"/>
        <v>0</v>
      </c>
      <c r="AK2584" s="2">
        <f t="shared" si="298"/>
        <v>45</v>
      </c>
      <c r="AL2584" s="5">
        <f t="shared" si="294"/>
        <v>0.5</v>
      </c>
    </row>
    <row r="2585" spans="1:38" hidden="1" x14ac:dyDescent="0.2">
      <c r="A2585" s="2">
        <v>2025</v>
      </c>
      <c r="B2585" s="2">
        <v>9</v>
      </c>
      <c r="D2585" s="2" t="s">
        <v>2209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5"/>
        <v>1</v>
      </c>
      <c r="Z2585" s="2" t="s">
        <v>120</v>
      </c>
      <c r="AA2585" s="2" t="s">
        <v>3385</v>
      </c>
      <c r="AF2585" s="2">
        <f t="shared" si="296"/>
        <v>0</v>
      </c>
      <c r="AJ2585" s="2">
        <f t="shared" si="297"/>
        <v>0</v>
      </c>
      <c r="AK2585" s="2">
        <f t="shared" si="298"/>
        <v>255</v>
      </c>
      <c r="AL2585" s="5">
        <f t="shared" si="294"/>
        <v>1</v>
      </c>
    </row>
    <row r="2586" spans="1:38" hidden="1" x14ac:dyDescent="0.2">
      <c r="A2586" s="2">
        <v>2025</v>
      </c>
      <c r="B2586" s="2">
        <v>9</v>
      </c>
      <c r="D2586" s="2" t="s">
        <v>2210</v>
      </c>
      <c r="P2586" s="2" t="s">
        <v>73</v>
      </c>
      <c r="Q2586" s="2" t="s">
        <v>1077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5"/>
        <v>0.40911111111111115</v>
      </c>
      <c r="Z2586" s="2" t="s">
        <v>3231</v>
      </c>
      <c r="AA2586" s="2" t="s">
        <v>76</v>
      </c>
      <c r="AB2586" s="2" t="s">
        <v>77</v>
      </c>
      <c r="AC2586" s="2" t="s">
        <v>78</v>
      </c>
      <c r="AF2586" s="2">
        <f t="shared" si="296"/>
        <v>0</v>
      </c>
      <c r="AG2586" s="2">
        <f>144.14+15.4</f>
        <v>159.54</v>
      </c>
      <c r="AH2586" s="2">
        <v>280</v>
      </c>
      <c r="AJ2586" s="2">
        <f t="shared" si="297"/>
        <v>0</v>
      </c>
      <c r="AK2586" s="2">
        <f t="shared" si="298"/>
        <v>110.46000000000001</v>
      </c>
      <c r="AL2586" s="5">
        <f t="shared" si="294"/>
        <v>0.40911111111111115</v>
      </c>
    </row>
    <row r="2587" spans="1:38" hidden="1" x14ac:dyDescent="0.2">
      <c r="A2587" s="2">
        <v>2025</v>
      </c>
      <c r="B2587" s="2">
        <v>9</v>
      </c>
      <c r="D2587" s="2" t="s">
        <v>2210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5"/>
        <v>0</v>
      </c>
      <c r="Z2587" s="2" t="s">
        <v>3231</v>
      </c>
      <c r="AA2587" s="2" t="s">
        <v>97</v>
      </c>
      <c r="AB2587" s="2" t="s">
        <v>77</v>
      </c>
      <c r="AC2587" s="2" t="s">
        <v>94</v>
      </c>
      <c r="AF2587" s="2">
        <f t="shared" si="296"/>
        <v>0</v>
      </c>
      <c r="AJ2587" s="2">
        <f t="shared" si="297"/>
        <v>0</v>
      </c>
      <c r="AK2587" s="2">
        <f t="shared" si="298"/>
        <v>0</v>
      </c>
      <c r="AL2587" s="5">
        <f t="shared" si="294"/>
        <v>0</v>
      </c>
    </row>
    <row r="2588" spans="1:38" hidden="1" x14ac:dyDescent="0.2">
      <c r="A2588" s="2">
        <v>2025</v>
      </c>
      <c r="B2588" s="2">
        <v>9</v>
      </c>
      <c r="D2588" s="2" t="s">
        <v>941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5"/>
        <v>1</v>
      </c>
      <c r="Z2588" s="2" t="s">
        <v>118</v>
      </c>
      <c r="AF2588" s="2">
        <f t="shared" si="296"/>
        <v>0</v>
      </c>
      <c r="AJ2588" s="2">
        <f t="shared" si="297"/>
        <v>0</v>
      </c>
      <c r="AK2588" s="2">
        <f t="shared" si="298"/>
        <v>28.57</v>
      </c>
      <c r="AL2588" s="5">
        <f t="shared" si="294"/>
        <v>1</v>
      </c>
    </row>
    <row r="2589" spans="1:38" hidden="1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2211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9">(T2589-W2589)/T2589</f>
        <v>0.6</v>
      </c>
      <c r="Z2589" s="2" t="s">
        <v>118</v>
      </c>
      <c r="AA2589" s="2" t="s">
        <v>191</v>
      </c>
      <c r="AB2589" s="2" t="s">
        <v>190</v>
      </c>
      <c r="AC2589" s="2" t="s">
        <v>40</v>
      </c>
      <c r="AF2589" s="2">
        <f t="shared" si="296"/>
        <v>0</v>
      </c>
      <c r="AJ2589" s="2">
        <f t="shared" si="297"/>
        <v>0</v>
      </c>
      <c r="AK2589" s="2">
        <f t="shared" si="298"/>
        <v>36</v>
      </c>
      <c r="AL2589" s="5">
        <f t="shared" ref="AL2589:AL2652" si="300">(T2589-W2589)/T2589</f>
        <v>0.6</v>
      </c>
    </row>
    <row r="2590" spans="1:38" hidden="1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2211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9"/>
        <v>0.5</v>
      </c>
      <c r="Z2590" s="2" t="s">
        <v>118</v>
      </c>
      <c r="AA2590" s="2" t="s">
        <v>191</v>
      </c>
      <c r="AB2590" s="2" t="s">
        <v>191</v>
      </c>
      <c r="AC2590" s="2" t="s">
        <v>40</v>
      </c>
      <c r="AF2590" s="2">
        <f t="shared" si="296"/>
        <v>0</v>
      </c>
      <c r="AJ2590" s="2">
        <f t="shared" si="297"/>
        <v>0</v>
      </c>
      <c r="AK2590" s="2">
        <f t="shared" si="298"/>
        <v>25</v>
      </c>
      <c r="AL2590" s="5">
        <f t="shared" si="300"/>
        <v>0.5</v>
      </c>
    </row>
    <row r="2591" spans="1:38" hidden="1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2211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9"/>
        <v>1</v>
      </c>
      <c r="Z2591" s="2" t="s">
        <v>120</v>
      </c>
      <c r="AA2591" s="2" t="s">
        <v>3385</v>
      </c>
      <c r="AF2591" s="2">
        <f t="shared" si="296"/>
        <v>0</v>
      </c>
      <c r="AJ2591" s="2">
        <f t="shared" si="297"/>
        <v>0</v>
      </c>
      <c r="AK2591" s="2">
        <f t="shared" si="298"/>
        <v>99.75</v>
      </c>
      <c r="AL2591" s="5">
        <f t="shared" si="300"/>
        <v>1</v>
      </c>
    </row>
    <row r="2592" spans="1:38" hidden="1" x14ac:dyDescent="0.2">
      <c r="A2592" s="2">
        <v>2025</v>
      </c>
      <c r="B2592" s="2">
        <v>9</v>
      </c>
      <c r="D2592" s="2" t="s">
        <v>2212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9"/>
        <v>0.6</v>
      </c>
      <c r="Z2592" s="2" t="s">
        <v>118</v>
      </c>
      <c r="AA2592" s="2" t="s">
        <v>191</v>
      </c>
      <c r="AB2592" s="2" t="s">
        <v>190</v>
      </c>
      <c r="AC2592" s="2" t="s">
        <v>40</v>
      </c>
      <c r="AF2592" s="2">
        <f t="shared" si="296"/>
        <v>0</v>
      </c>
      <c r="AJ2592" s="2">
        <f t="shared" si="297"/>
        <v>0</v>
      </c>
      <c r="AK2592" s="2">
        <f t="shared" si="298"/>
        <v>36</v>
      </c>
      <c r="AL2592" s="5">
        <f t="shared" si="300"/>
        <v>0.6</v>
      </c>
    </row>
    <row r="2593" spans="1:38" hidden="1" x14ac:dyDescent="0.2">
      <c r="A2593" s="2">
        <v>2025</v>
      </c>
      <c r="B2593" s="2">
        <v>9</v>
      </c>
      <c r="D2593" s="2" t="s">
        <v>2212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9"/>
        <v>0.5</v>
      </c>
      <c r="Z2593" s="2" t="s">
        <v>118</v>
      </c>
      <c r="AA2593" s="2" t="s">
        <v>191</v>
      </c>
      <c r="AB2593" s="2" t="s">
        <v>191</v>
      </c>
      <c r="AC2593" s="2" t="s">
        <v>40</v>
      </c>
      <c r="AF2593" s="2">
        <f t="shared" si="296"/>
        <v>0</v>
      </c>
      <c r="AJ2593" s="2">
        <f t="shared" si="297"/>
        <v>0</v>
      </c>
      <c r="AK2593" s="2">
        <f t="shared" si="298"/>
        <v>37.5</v>
      </c>
      <c r="AL2593" s="5">
        <f t="shared" si="300"/>
        <v>0.5</v>
      </c>
    </row>
    <row r="2594" spans="1:38" hidden="1" x14ac:dyDescent="0.2">
      <c r="A2594" s="2">
        <v>2025</v>
      </c>
      <c r="B2594" s="2">
        <v>9</v>
      </c>
      <c r="D2594" s="2" t="s">
        <v>2212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9"/>
        <v>1</v>
      </c>
      <c r="Z2594" s="2" t="s">
        <v>120</v>
      </c>
      <c r="AA2594" s="2" t="s">
        <v>3385</v>
      </c>
      <c r="AF2594" s="2">
        <f t="shared" si="296"/>
        <v>0</v>
      </c>
      <c r="AJ2594" s="2">
        <f t="shared" si="297"/>
        <v>0</v>
      </c>
      <c r="AK2594" s="2">
        <f t="shared" si="298"/>
        <v>66.97</v>
      </c>
      <c r="AL2594" s="5">
        <f t="shared" si="300"/>
        <v>1</v>
      </c>
    </row>
    <row r="2595" spans="1:38" hidden="1" x14ac:dyDescent="0.2">
      <c r="A2595" s="2">
        <v>2025</v>
      </c>
      <c r="B2595" s="2">
        <v>9</v>
      </c>
      <c r="D2595" s="2" t="s">
        <v>2213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9"/>
        <v>0.4729523809523809</v>
      </c>
      <c r="Z2595" s="2" t="s">
        <v>3231</v>
      </c>
      <c r="AA2595" s="2" t="s">
        <v>76</v>
      </c>
      <c r="AB2595" s="2" t="s">
        <v>77</v>
      </c>
      <c r="AC2595" s="2" t="s">
        <v>78</v>
      </c>
      <c r="AF2595" s="2">
        <f t="shared" si="296"/>
        <v>0</v>
      </c>
      <c r="AG2595" s="2">
        <v>110.68</v>
      </c>
      <c r="AH2595" s="2">
        <v>210</v>
      </c>
      <c r="AJ2595" s="2">
        <f t="shared" si="297"/>
        <v>0</v>
      </c>
      <c r="AK2595" s="2">
        <f t="shared" si="298"/>
        <v>99.32</v>
      </c>
      <c r="AL2595" s="5">
        <f t="shared" si="300"/>
        <v>0.4729523809523809</v>
      </c>
    </row>
    <row r="2596" spans="1:38" hidden="1" x14ac:dyDescent="0.2">
      <c r="A2596" s="2">
        <v>2025</v>
      </c>
      <c r="B2596" s="2">
        <v>9</v>
      </c>
      <c r="D2596" s="2" t="s">
        <v>2213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9"/>
        <v>0</v>
      </c>
      <c r="Z2596" s="2" t="s">
        <v>3231</v>
      </c>
      <c r="AA2596" s="2" t="s">
        <v>97</v>
      </c>
      <c r="AB2596" s="2" t="s">
        <v>77</v>
      </c>
      <c r="AC2596" s="2" t="s">
        <v>94</v>
      </c>
      <c r="AF2596" s="2">
        <f t="shared" si="296"/>
        <v>0</v>
      </c>
      <c r="AJ2596" s="2">
        <f t="shared" si="297"/>
        <v>0</v>
      </c>
      <c r="AK2596" s="2">
        <f t="shared" si="298"/>
        <v>0</v>
      </c>
      <c r="AL2596" s="5">
        <f t="shared" si="300"/>
        <v>0</v>
      </c>
    </row>
    <row r="2597" spans="1:38" hidden="1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2214</v>
      </c>
      <c r="P2597" s="2" t="s">
        <v>115</v>
      </c>
      <c r="Q2597" s="2" t="s">
        <v>2215</v>
      </c>
      <c r="R2597" s="2" t="s">
        <v>2216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9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6"/>
        <v>0</v>
      </c>
      <c r="AG2597" s="2">
        <v>78.570099999999996</v>
      </c>
      <c r="AJ2597" s="2">
        <f t="shared" si="297"/>
        <v>0</v>
      </c>
      <c r="AK2597" s="2">
        <f t="shared" si="298"/>
        <v>52.5899</v>
      </c>
      <c r="AL2597" s="5">
        <f t="shared" si="300"/>
        <v>0.40095989630985057</v>
      </c>
    </row>
    <row r="2598" spans="1:38" hidden="1" x14ac:dyDescent="0.2">
      <c r="A2598" s="2">
        <v>2025</v>
      </c>
      <c r="B2598" s="2">
        <v>9</v>
      </c>
      <c r="D2598" s="2" t="s">
        <v>694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695</v>
      </c>
      <c r="J2598" s="2" t="s">
        <v>696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9"/>
        <v>0.5243888888888889</v>
      </c>
      <c r="Z2598" s="2" t="s">
        <v>3231</v>
      </c>
      <c r="AA2598" s="2" t="s">
        <v>46</v>
      </c>
      <c r="AB2598" s="2" t="s">
        <v>61</v>
      </c>
      <c r="AC2598" s="2" t="s">
        <v>58</v>
      </c>
      <c r="AF2598" s="2">
        <f t="shared" si="296"/>
        <v>0</v>
      </c>
      <c r="AG2598" s="2">
        <v>0.85609999999999997</v>
      </c>
      <c r="AH2598" s="2">
        <v>1.8</v>
      </c>
      <c r="AJ2598" s="2">
        <f t="shared" si="297"/>
        <v>0</v>
      </c>
      <c r="AK2598" s="2">
        <f t="shared" si="298"/>
        <v>18.878</v>
      </c>
      <c r="AL2598" s="5">
        <f t="shared" si="300"/>
        <v>0.5243888888888889</v>
      </c>
    </row>
    <row r="2599" spans="1:38" hidden="1" x14ac:dyDescent="0.2">
      <c r="A2599" s="2">
        <v>2025</v>
      </c>
      <c r="B2599" s="2">
        <v>9</v>
      </c>
      <c r="D2599" s="2" t="s">
        <v>694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695</v>
      </c>
      <c r="J2599" s="2" t="s">
        <v>696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9"/>
        <v>0.62926666666666664</v>
      </c>
      <c r="Z2599" s="2" t="s">
        <v>3231</v>
      </c>
      <c r="AA2599" s="2" t="s">
        <v>46</v>
      </c>
      <c r="AB2599" s="2" t="s">
        <v>61</v>
      </c>
      <c r="AC2599" s="2" t="s">
        <v>58</v>
      </c>
      <c r="AF2599" s="2">
        <f t="shared" si="296"/>
        <v>0</v>
      </c>
      <c r="AG2599" s="2">
        <v>1.1122000000000001</v>
      </c>
      <c r="AH2599" s="2">
        <v>3</v>
      </c>
      <c r="AJ2599" s="2">
        <f t="shared" si="297"/>
        <v>0</v>
      </c>
      <c r="AK2599" s="2">
        <f t="shared" si="298"/>
        <v>18.878</v>
      </c>
      <c r="AL2599" s="5">
        <f t="shared" si="300"/>
        <v>0.62926666666666664</v>
      </c>
    </row>
    <row r="2600" spans="1:38" hidden="1" x14ac:dyDescent="0.2">
      <c r="A2600" s="2">
        <v>2025</v>
      </c>
      <c r="B2600" s="2">
        <v>9</v>
      </c>
      <c r="D2600" s="2" t="s">
        <v>694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695</v>
      </c>
      <c r="J2600" s="2" t="s">
        <v>696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9"/>
        <v>1</v>
      </c>
      <c r="Z2600" s="2" t="s">
        <v>170</v>
      </c>
      <c r="AA2600" s="2" t="s">
        <v>170</v>
      </c>
      <c r="AF2600" s="2">
        <f t="shared" si="296"/>
        <v>0</v>
      </c>
      <c r="AJ2600" s="2">
        <f t="shared" si="297"/>
        <v>0</v>
      </c>
      <c r="AK2600" s="2">
        <f t="shared" si="298"/>
        <v>8</v>
      </c>
      <c r="AL2600" s="5">
        <f t="shared" si="300"/>
        <v>1</v>
      </c>
    </row>
    <row r="2601" spans="1:38" hidden="1" x14ac:dyDescent="0.2">
      <c r="A2601" s="2">
        <v>2025</v>
      </c>
      <c r="B2601" s="2">
        <v>9</v>
      </c>
      <c r="D2601" s="2" t="s">
        <v>2217</v>
      </c>
      <c r="P2601" s="2" t="s">
        <v>73</v>
      </c>
      <c r="Q2601" s="2" t="s">
        <v>1076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9"/>
        <v>0.45713636363636362</v>
      </c>
      <c r="Z2601" s="2" t="s">
        <v>3231</v>
      </c>
      <c r="AA2601" s="2" t="s">
        <v>76</v>
      </c>
      <c r="AB2601" s="2" t="s">
        <v>77</v>
      </c>
      <c r="AC2601" s="2" t="s">
        <v>78</v>
      </c>
      <c r="AF2601" s="2">
        <f t="shared" si="296"/>
        <v>0</v>
      </c>
      <c r="AJ2601" s="2">
        <f t="shared" si="297"/>
        <v>0</v>
      </c>
      <c r="AK2601" s="2">
        <f t="shared" si="298"/>
        <v>100.57</v>
      </c>
      <c r="AL2601" s="5">
        <f t="shared" si="300"/>
        <v>0.45713636363636362</v>
      </c>
    </row>
    <row r="2602" spans="1:38" hidden="1" x14ac:dyDescent="0.2">
      <c r="A2602" s="2">
        <v>2025</v>
      </c>
      <c r="B2602" s="2">
        <v>9</v>
      </c>
      <c r="D2602" s="2" t="s">
        <v>2217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9"/>
        <v>0</v>
      </c>
      <c r="Z2602" s="2" t="s">
        <v>3231</v>
      </c>
      <c r="AA2602" s="2" t="s">
        <v>97</v>
      </c>
      <c r="AB2602" s="2" t="s">
        <v>77</v>
      </c>
      <c r="AC2602" s="2" t="s">
        <v>94</v>
      </c>
      <c r="AF2602" s="2">
        <f t="shared" si="296"/>
        <v>0</v>
      </c>
      <c r="AJ2602" s="2">
        <f t="shared" si="297"/>
        <v>0</v>
      </c>
      <c r="AK2602" s="2">
        <f t="shared" si="298"/>
        <v>0</v>
      </c>
      <c r="AL2602" s="5">
        <f t="shared" si="300"/>
        <v>0</v>
      </c>
    </row>
    <row r="2603" spans="1:38" hidden="1" x14ac:dyDescent="0.2">
      <c r="A2603" s="2">
        <v>2025</v>
      </c>
      <c r="B2603" s="2">
        <v>9</v>
      </c>
      <c r="D2603" s="2" t="s">
        <v>1488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9"/>
        <v>1</v>
      </c>
      <c r="Z2603" s="2" t="s">
        <v>120</v>
      </c>
      <c r="AA2603" s="2" t="s">
        <v>3385</v>
      </c>
      <c r="AF2603" s="2">
        <f t="shared" si="296"/>
        <v>0</v>
      </c>
      <c r="AJ2603" s="2">
        <f t="shared" si="297"/>
        <v>0</v>
      </c>
      <c r="AK2603" s="2">
        <f t="shared" si="298"/>
        <v>99.75</v>
      </c>
      <c r="AL2603" s="5">
        <f t="shared" si="300"/>
        <v>1</v>
      </c>
    </row>
    <row r="2604" spans="1:38" hidden="1" x14ac:dyDescent="0.2">
      <c r="A2604" s="2">
        <v>2025</v>
      </c>
      <c r="B2604" s="2">
        <v>9</v>
      </c>
      <c r="D2604" s="2" t="s">
        <v>2218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9"/>
        <v>0.49025384615384621</v>
      </c>
      <c r="Z2604" s="2" t="s">
        <v>3231</v>
      </c>
      <c r="AA2604" s="2" t="s">
        <v>46</v>
      </c>
      <c r="AB2604" s="2" t="s">
        <v>47</v>
      </c>
      <c r="AC2604" s="2" t="s">
        <v>48</v>
      </c>
      <c r="AF2604" s="2">
        <f t="shared" si="296"/>
        <v>0</v>
      </c>
      <c r="AG2604" s="2">
        <v>6.6266999999999996</v>
      </c>
      <c r="AH2604" s="2">
        <v>12</v>
      </c>
      <c r="AJ2604" s="2">
        <f t="shared" si="297"/>
        <v>0</v>
      </c>
      <c r="AK2604" s="2">
        <f t="shared" si="298"/>
        <v>12.746600000000001</v>
      </c>
      <c r="AL2604" s="5">
        <f t="shared" si="300"/>
        <v>0.49025384615384621</v>
      </c>
    </row>
    <row r="2605" spans="1:38" hidden="1" x14ac:dyDescent="0.2">
      <c r="A2605" s="2">
        <v>2025</v>
      </c>
      <c r="B2605" s="2">
        <v>9</v>
      </c>
      <c r="D2605" s="2" t="s">
        <v>2218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9"/>
        <v>0.41111111111111115</v>
      </c>
      <c r="Z2605" s="2" t="s">
        <v>3231</v>
      </c>
      <c r="AA2605" s="2" t="s">
        <v>46</v>
      </c>
      <c r="AB2605" s="2" t="s">
        <v>57</v>
      </c>
      <c r="AC2605" s="2" t="s">
        <v>58</v>
      </c>
      <c r="AF2605" s="2">
        <f t="shared" si="296"/>
        <v>0</v>
      </c>
      <c r="AG2605" s="2">
        <v>10.6</v>
      </c>
      <c r="AH2605" s="2">
        <v>18</v>
      </c>
      <c r="AJ2605" s="2">
        <f t="shared" si="297"/>
        <v>0</v>
      </c>
      <c r="AK2605" s="2">
        <f t="shared" si="298"/>
        <v>14.8</v>
      </c>
      <c r="AL2605" s="5">
        <f t="shared" si="300"/>
        <v>0.41111111111111115</v>
      </c>
    </row>
    <row r="2606" spans="1:38" hidden="1" x14ac:dyDescent="0.2">
      <c r="A2606" s="2">
        <v>2025</v>
      </c>
      <c r="B2606" s="2">
        <v>9</v>
      </c>
      <c r="D2606" s="2" t="s">
        <v>1491</v>
      </c>
      <c r="P2606" s="2" t="s">
        <v>115</v>
      </c>
      <c r="Q2606" s="2" t="s">
        <v>780</v>
      </c>
      <c r="R2606" s="2" t="s">
        <v>781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9"/>
        <v>1</v>
      </c>
      <c r="Z2606" s="2" t="s">
        <v>118</v>
      </c>
      <c r="AF2606" s="2">
        <f t="shared" si="296"/>
        <v>0</v>
      </c>
      <c r="AJ2606" s="2">
        <f t="shared" si="297"/>
        <v>0</v>
      </c>
      <c r="AK2606" s="2">
        <f t="shared" si="298"/>
        <v>131.44</v>
      </c>
      <c r="AL2606" s="5">
        <f t="shared" si="300"/>
        <v>1</v>
      </c>
    </row>
    <row r="2607" spans="1:38" hidden="1" x14ac:dyDescent="0.2">
      <c r="A2607" s="2">
        <v>2025</v>
      </c>
      <c r="B2607" s="2">
        <v>9</v>
      </c>
      <c r="D2607" s="2" t="s">
        <v>1492</v>
      </c>
      <c r="P2607" s="2" t="s">
        <v>115</v>
      </c>
      <c r="Q2607" s="2" t="s">
        <v>1582</v>
      </c>
      <c r="R2607" s="2" t="s">
        <v>1583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9"/>
        <v>1</v>
      </c>
      <c r="Z2607" s="2" t="s">
        <v>118</v>
      </c>
      <c r="AF2607" s="2">
        <f t="shared" si="296"/>
        <v>0</v>
      </c>
      <c r="AJ2607" s="2">
        <f t="shared" si="297"/>
        <v>0</v>
      </c>
      <c r="AK2607" s="2">
        <f t="shared" si="298"/>
        <v>6680</v>
      </c>
      <c r="AL2607" s="5">
        <f t="shared" si="300"/>
        <v>1</v>
      </c>
    </row>
    <row r="2608" spans="1:38" hidden="1" x14ac:dyDescent="0.2">
      <c r="A2608" s="2">
        <v>2025</v>
      </c>
      <c r="B2608" s="2">
        <v>9</v>
      </c>
      <c r="D2608" s="2" t="s">
        <v>1492</v>
      </c>
      <c r="P2608" s="2" t="s">
        <v>188</v>
      </c>
      <c r="Q2608" s="2" t="s">
        <v>1310</v>
      </c>
      <c r="R2608" s="2" t="s">
        <v>1311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9"/>
        <v>#DIV/0!</v>
      </c>
      <c r="Z2608" s="2" t="s">
        <v>118</v>
      </c>
      <c r="AA2608" s="2" t="s">
        <v>1312</v>
      </c>
      <c r="AF2608" s="2">
        <f t="shared" si="296"/>
        <v>0</v>
      </c>
      <c r="AJ2608" s="2">
        <f t="shared" si="297"/>
        <v>0</v>
      </c>
      <c r="AK2608" s="2">
        <f t="shared" si="298"/>
        <v>0</v>
      </c>
      <c r="AL2608" s="5" t="e">
        <f t="shared" si="300"/>
        <v>#DIV/0!</v>
      </c>
    </row>
    <row r="2609" spans="1:38" hidden="1" x14ac:dyDescent="0.2">
      <c r="A2609" s="2">
        <v>2025</v>
      </c>
      <c r="B2609" s="2">
        <v>9</v>
      </c>
      <c r="D2609" s="2" t="s">
        <v>2115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9"/>
        <v>1</v>
      </c>
      <c r="Z2609" s="2" t="s">
        <v>120</v>
      </c>
      <c r="AA2609" s="2" t="s">
        <v>3385</v>
      </c>
      <c r="AF2609" s="2">
        <f t="shared" si="296"/>
        <v>0</v>
      </c>
      <c r="AJ2609" s="2">
        <f t="shared" si="297"/>
        <v>0</v>
      </c>
      <c r="AK2609" s="2">
        <f t="shared" si="298"/>
        <v>1520</v>
      </c>
      <c r="AL2609" s="5">
        <f t="shared" si="300"/>
        <v>1</v>
      </c>
    </row>
    <row r="2610" spans="1:38" hidden="1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2219</v>
      </c>
      <c r="P2610" s="2" t="s">
        <v>115</v>
      </c>
      <c r="Q2610" s="2" t="s">
        <v>2220</v>
      </c>
      <c r="R2610" s="2" t="s">
        <v>1431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9"/>
        <v>1</v>
      </c>
      <c r="AF2610" s="2">
        <f t="shared" si="296"/>
        <v>0</v>
      </c>
      <c r="AJ2610" s="2">
        <f t="shared" si="297"/>
        <v>0</v>
      </c>
      <c r="AK2610" s="2">
        <f t="shared" si="298"/>
        <v>39.049999999999997</v>
      </c>
      <c r="AL2610" s="5">
        <f t="shared" si="300"/>
        <v>1</v>
      </c>
    </row>
    <row r="2611" spans="1:38" hidden="1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2221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9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6"/>
        <v>0</v>
      </c>
      <c r="AJ2611" s="2">
        <f t="shared" si="297"/>
        <v>0</v>
      </c>
      <c r="AK2611" s="2">
        <f t="shared" si="298"/>
        <v>18.917999999999999</v>
      </c>
      <c r="AL2611" s="5">
        <f t="shared" si="300"/>
        <v>0.45085795996186839</v>
      </c>
    </row>
    <row r="2612" spans="1:38" hidden="1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2222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9"/>
        <v>1</v>
      </c>
      <c r="AF2612" s="2">
        <f t="shared" si="296"/>
        <v>0</v>
      </c>
      <c r="AJ2612" s="2">
        <f t="shared" si="297"/>
        <v>0</v>
      </c>
      <c r="AK2612" s="2">
        <f t="shared" si="298"/>
        <v>488.82</v>
      </c>
      <c r="AL2612" s="5">
        <f t="shared" si="300"/>
        <v>1</v>
      </c>
    </row>
    <row r="2613" spans="1:38" hidden="1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2221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9"/>
        <v>0.44819791666666664</v>
      </c>
      <c r="Z2613" s="2" t="s">
        <v>3231</v>
      </c>
      <c r="AA2613" s="2" t="s">
        <v>46</v>
      </c>
      <c r="AB2613" s="2" t="s">
        <v>47</v>
      </c>
      <c r="AC2613" s="2" t="s">
        <v>48</v>
      </c>
      <c r="AF2613" s="2">
        <f t="shared" si="296"/>
        <v>0</v>
      </c>
      <c r="AG2613" s="2">
        <v>5.2972999999999999</v>
      </c>
      <c r="AH2613" s="2">
        <v>10.8</v>
      </c>
      <c r="AJ2613" s="2">
        <f t="shared" si="297"/>
        <v>0</v>
      </c>
      <c r="AK2613" s="2">
        <f t="shared" si="298"/>
        <v>8.6053999999999995</v>
      </c>
      <c r="AL2613" s="5">
        <f t="shared" si="300"/>
        <v>0.44819791666666664</v>
      </c>
    </row>
    <row r="2614" spans="1:38" hidden="1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2222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9"/>
        <v>0.6</v>
      </c>
      <c r="Z2614" s="2" t="s">
        <v>118</v>
      </c>
      <c r="AA2614" s="2" t="s">
        <v>191</v>
      </c>
      <c r="AB2614" s="2" t="s">
        <v>190</v>
      </c>
      <c r="AC2614" s="2" t="s">
        <v>40</v>
      </c>
      <c r="AF2614" s="2">
        <f t="shared" si="296"/>
        <v>0</v>
      </c>
      <c r="AJ2614" s="2">
        <f t="shared" si="297"/>
        <v>0</v>
      </c>
      <c r="AK2614" s="2">
        <f t="shared" si="298"/>
        <v>47.4</v>
      </c>
      <c r="AL2614" s="5">
        <f t="shared" si="300"/>
        <v>0.6</v>
      </c>
    </row>
    <row r="2615" spans="1:38" hidden="1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2222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9"/>
        <v>0.5</v>
      </c>
      <c r="Z2615" s="2" t="s">
        <v>118</v>
      </c>
      <c r="AA2615" s="2" t="s">
        <v>191</v>
      </c>
      <c r="AB2615" s="2" t="s">
        <v>191</v>
      </c>
      <c r="AC2615" s="2" t="s">
        <v>40</v>
      </c>
      <c r="AF2615" s="2">
        <f t="shared" si="296"/>
        <v>0</v>
      </c>
      <c r="AJ2615" s="2">
        <f t="shared" si="297"/>
        <v>0</v>
      </c>
      <c r="AK2615" s="2">
        <f t="shared" si="298"/>
        <v>25</v>
      </c>
      <c r="AL2615" s="5">
        <f t="shared" si="300"/>
        <v>0.5</v>
      </c>
    </row>
    <row r="2616" spans="1:38" hidden="1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914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9"/>
        <v>0.44554545454545452</v>
      </c>
      <c r="Z2616" s="2" t="s">
        <v>3231</v>
      </c>
      <c r="AA2616" s="2" t="s">
        <v>76</v>
      </c>
      <c r="AB2616" s="2" t="s">
        <v>77</v>
      </c>
      <c r="AC2616" s="2" t="s">
        <v>78</v>
      </c>
      <c r="AF2616" s="2">
        <f t="shared" si="296"/>
        <v>0</v>
      </c>
      <c r="AJ2616" s="2">
        <f t="shared" si="297"/>
        <v>0</v>
      </c>
      <c r="AK2616" s="2">
        <f t="shared" si="298"/>
        <v>98.02</v>
      </c>
      <c r="AL2616" s="5">
        <f t="shared" si="300"/>
        <v>0.44554545454545452</v>
      </c>
    </row>
    <row r="2617" spans="1:38" hidden="1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9"/>
        <v>0</v>
      </c>
      <c r="Z2617" s="2" t="s">
        <v>3231</v>
      </c>
      <c r="AA2617" s="2" t="s">
        <v>97</v>
      </c>
      <c r="AB2617" s="2" t="s">
        <v>77</v>
      </c>
      <c r="AC2617" s="2" t="s">
        <v>94</v>
      </c>
      <c r="AF2617" s="2">
        <f t="shared" si="296"/>
        <v>0</v>
      </c>
      <c r="AJ2617" s="2">
        <f t="shared" si="297"/>
        <v>0</v>
      </c>
      <c r="AK2617" s="2">
        <f t="shared" si="298"/>
        <v>0</v>
      </c>
      <c r="AL2617" s="5">
        <f t="shared" si="300"/>
        <v>0</v>
      </c>
    </row>
    <row r="2618" spans="1:38" hidden="1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2223</v>
      </c>
      <c r="P2618" s="2" t="s">
        <v>43</v>
      </c>
      <c r="Q2618" s="2" t="s">
        <v>971</v>
      </c>
      <c r="R2618" s="2" t="s">
        <v>972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299"/>
        <v>0.3664862068965517</v>
      </c>
      <c r="Z2618" s="2" t="s">
        <v>3231</v>
      </c>
      <c r="AA2618" s="2" t="s">
        <v>46</v>
      </c>
      <c r="AB2618" s="2" t="s">
        <v>61</v>
      </c>
      <c r="AC2618" s="2" t="s">
        <v>58</v>
      </c>
      <c r="AF2618" s="2">
        <f t="shared" si="296"/>
        <v>0</v>
      </c>
      <c r="AJ2618" s="2">
        <f t="shared" si="297"/>
        <v>0</v>
      </c>
      <c r="AK2618" s="2">
        <f t="shared" si="298"/>
        <v>85.024799999999999</v>
      </c>
      <c r="AL2618" s="5">
        <f t="shared" si="300"/>
        <v>0.3664862068965517</v>
      </c>
    </row>
    <row r="2619" spans="1:38" hidden="1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2223</v>
      </c>
      <c r="P2619" s="2" t="s">
        <v>43</v>
      </c>
      <c r="Q2619" s="2" t="s">
        <v>973</v>
      </c>
      <c r="R2619" s="2" t="s">
        <v>974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9"/>
        <v>1</v>
      </c>
      <c r="Z2619" s="2" t="s">
        <v>3231</v>
      </c>
      <c r="AA2619" s="2" t="s">
        <v>46</v>
      </c>
      <c r="AB2619" s="2" t="s">
        <v>61</v>
      </c>
      <c r="AC2619" s="2" t="s">
        <v>58</v>
      </c>
      <c r="AF2619" s="2">
        <f t="shared" si="296"/>
        <v>0</v>
      </c>
      <c r="AJ2619" s="2">
        <f t="shared" si="297"/>
        <v>0</v>
      </c>
      <c r="AK2619" s="2">
        <f t="shared" si="298"/>
        <v>261</v>
      </c>
      <c r="AL2619" s="5">
        <f t="shared" si="300"/>
        <v>1</v>
      </c>
    </row>
    <row r="2620" spans="1:38" hidden="1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2224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9"/>
        <v>0.46612272727272724</v>
      </c>
      <c r="Z2620" s="2" t="s">
        <v>3231</v>
      </c>
      <c r="AA2620" s="2" t="s">
        <v>76</v>
      </c>
      <c r="AB2620" s="2" t="s">
        <v>77</v>
      </c>
      <c r="AC2620" s="2" t="s">
        <v>78</v>
      </c>
      <c r="AF2620" s="2">
        <f t="shared" si="296"/>
        <v>0</v>
      </c>
      <c r="AG2620" s="2">
        <v>117.453</v>
      </c>
      <c r="AH2620" s="2">
        <v>220</v>
      </c>
      <c r="AJ2620" s="2">
        <f t="shared" si="297"/>
        <v>0</v>
      </c>
      <c r="AK2620" s="2">
        <f t="shared" si="298"/>
        <v>205.09399999999999</v>
      </c>
      <c r="AL2620" s="5">
        <f t="shared" si="300"/>
        <v>0.46612272727272724</v>
      </c>
    </row>
    <row r="2621" spans="1:38" hidden="1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2224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9"/>
        <v>0</v>
      </c>
      <c r="Z2621" s="2" t="s">
        <v>3231</v>
      </c>
      <c r="AA2621" s="2" t="s">
        <v>97</v>
      </c>
      <c r="AB2621" s="2" t="s">
        <v>77</v>
      </c>
      <c r="AC2621" s="2" t="s">
        <v>94</v>
      </c>
      <c r="AF2621" s="2">
        <f t="shared" si="296"/>
        <v>0</v>
      </c>
      <c r="AJ2621" s="2">
        <f t="shared" si="297"/>
        <v>0</v>
      </c>
      <c r="AK2621" s="2">
        <f t="shared" si="298"/>
        <v>0</v>
      </c>
      <c r="AL2621" s="5">
        <f t="shared" si="300"/>
        <v>0</v>
      </c>
    </row>
    <row r="2622" spans="1:38" hidden="1" x14ac:dyDescent="0.2">
      <c r="A2622" s="2">
        <v>2025</v>
      </c>
      <c r="B2622" s="2">
        <v>9</v>
      </c>
      <c r="D2622" s="2" t="s">
        <v>1763</v>
      </c>
      <c r="P2622" s="2" t="s">
        <v>115</v>
      </c>
      <c r="Q2622" s="2" t="s">
        <v>928</v>
      </c>
      <c r="R2622" s="2" t="s">
        <v>929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9"/>
        <v>1</v>
      </c>
      <c r="AF2622" s="2">
        <f t="shared" si="296"/>
        <v>0</v>
      </c>
      <c r="AJ2622" s="2">
        <f t="shared" si="297"/>
        <v>0</v>
      </c>
      <c r="AK2622" s="2">
        <f t="shared" si="298"/>
        <v>430</v>
      </c>
      <c r="AL2622" s="5">
        <f t="shared" si="300"/>
        <v>1</v>
      </c>
    </row>
    <row r="2623" spans="1:38" hidden="1" x14ac:dyDescent="0.2">
      <c r="A2623" s="2">
        <v>2025</v>
      </c>
      <c r="B2623" s="2">
        <v>9</v>
      </c>
      <c r="D2623" s="2" t="s">
        <v>2225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9"/>
        <v>1</v>
      </c>
      <c r="AF2623" s="2">
        <f t="shared" si="296"/>
        <v>0</v>
      </c>
      <c r="AJ2623" s="2">
        <f t="shared" si="297"/>
        <v>0</v>
      </c>
      <c r="AK2623" s="2">
        <f t="shared" si="298"/>
        <v>725.58</v>
      </c>
      <c r="AL2623" s="5">
        <f t="shared" si="300"/>
        <v>1</v>
      </c>
    </row>
    <row r="2624" spans="1:38" hidden="1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2226</v>
      </c>
      <c r="R2624" s="2" t="s">
        <v>1112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9"/>
        <v>1</v>
      </c>
      <c r="AF2624" s="2">
        <f t="shared" si="296"/>
        <v>0</v>
      </c>
      <c r="AJ2624" s="2">
        <f t="shared" si="297"/>
        <v>0</v>
      </c>
      <c r="AK2624" s="2">
        <f t="shared" si="298"/>
        <v>1450</v>
      </c>
      <c r="AL2624" s="5">
        <f t="shared" si="300"/>
        <v>1</v>
      </c>
    </row>
    <row r="2625" spans="1:38" hidden="1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9"/>
        <v>1</v>
      </c>
      <c r="Z2625" s="2" t="s">
        <v>3231</v>
      </c>
      <c r="AA2625" s="2" t="s">
        <v>46</v>
      </c>
      <c r="AB2625" s="2" t="s">
        <v>57</v>
      </c>
      <c r="AC2625" s="2" t="s">
        <v>58</v>
      </c>
      <c r="AF2625" s="2">
        <f t="shared" si="296"/>
        <v>0</v>
      </c>
      <c r="AJ2625" s="2">
        <f t="shared" si="297"/>
        <v>0</v>
      </c>
      <c r="AK2625" s="2">
        <f t="shared" si="298"/>
        <v>24</v>
      </c>
      <c r="AL2625" s="5">
        <f t="shared" si="300"/>
        <v>1</v>
      </c>
    </row>
    <row r="2626" spans="1:38" hidden="1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9"/>
        <v>0.29692307692307701</v>
      </c>
      <c r="Z2626" s="2" t="s">
        <v>3231</v>
      </c>
      <c r="AA2626" s="2" t="s">
        <v>46</v>
      </c>
      <c r="AB2626" s="2" t="s">
        <v>61</v>
      </c>
      <c r="AC2626" s="2" t="s">
        <v>58</v>
      </c>
      <c r="AF2626" s="2">
        <f t="shared" si="296"/>
        <v>0</v>
      </c>
      <c r="AG2626" s="2">
        <v>9.14</v>
      </c>
      <c r="AH2626" s="2">
        <v>16</v>
      </c>
      <c r="AJ2626" s="2">
        <f t="shared" si="297"/>
        <v>0</v>
      </c>
      <c r="AK2626" s="2">
        <f t="shared" si="298"/>
        <v>19.300000000000004</v>
      </c>
      <c r="AL2626" s="5">
        <f t="shared" si="300"/>
        <v>0.29692307692307701</v>
      </c>
    </row>
    <row r="2627" spans="1:38" hidden="1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9"/>
        <v>0.31725909090909088</v>
      </c>
      <c r="Z2627" s="2" t="s">
        <v>3231</v>
      </c>
      <c r="AA2627" s="2" t="s">
        <v>46</v>
      </c>
      <c r="AB2627" s="2" t="s">
        <v>68</v>
      </c>
      <c r="AC2627" s="2" t="s">
        <v>58</v>
      </c>
      <c r="AF2627" s="2">
        <f t="shared" ref="AF2627:AF2690" si="301">AJ2627</f>
        <v>0</v>
      </c>
      <c r="AG2627" s="2">
        <v>15.020300000000001</v>
      </c>
      <c r="AH2627" s="2">
        <v>27.6</v>
      </c>
      <c r="AJ2627" s="2">
        <f t="shared" ref="AJ2627:AJ2690" si="302">AI2627*T2627</f>
        <v>0</v>
      </c>
      <c r="AK2627" s="2">
        <f t="shared" ref="AK2627:AK2690" si="303">T2627-W2627</f>
        <v>27.918799999999997</v>
      </c>
      <c r="AL2627" s="5">
        <f t="shared" si="300"/>
        <v>0.31725909090909088</v>
      </c>
    </row>
    <row r="2628" spans="1:38" hidden="1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9"/>
        <v>0.36042307692307685</v>
      </c>
      <c r="Z2628" s="2" t="s">
        <v>3231</v>
      </c>
      <c r="AA2628" s="2" t="s">
        <v>46</v>
      </c>
      <c r="AB2628" s="2" t="s">
        <v>68</v>
      </c>
      <c r="AC2628" s="2" t="s">
        <v>58</v>
      </c>
      <c r="AF2628" s="2">
        <f t="shared" si="301"/>
        <v>0</v>
      </c>
      <c r="AG2628" s="2">
        <v>8.3145000000000007</v>
      </c>
      <c r="AH2628" s="2">
        <v>15</v>
      </c>
      <c r="AJ2628" s="2">
        <f t="shared" si="302"/>
        <v>0</v>
      </c>
      <c r="AK2628" s="2">
        <f t="shared" si="303"/>
        <v>9.3709999999999987</v>
      </c>
      <c r="AL2628" s="5">
        <f t="shared" si="300"/>
        <v>0.36042307692307685</v>
      </c>
    </row>
    <row r="2629" spans="1:38" hidden="1" x14ac:dyDescent="0.2">
      <c r="A2629" s="2">
        <v>2025</v>
      </c>
      <c r="B2629" s="2">
        <v>9</v>
      </c>
      <c r="D2629" s="2" t="s">
        <v>982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9"/>
        <v>1</v>
      </c>
      <c r="Z2629" s="2" t="s">
        <v>3231</v>
      </c>
      <c r="AA2629" s="2" t="s">
        <v>46</v>
      </c>
      <c r="AB2629" s="2" t="s">
        <v>57</v>
      </c>
      <c r="AC2629" s="2" t="s">
        <v>58</v>
      </c>
      <c r="AF2629" s="2">
        <f t="shared" si="301"/>
        <v>0</v>
      </c>
      <c r="AJ2629" s="2">
        <f t="shared" si="302"/>
        <v>0</v>
      </c>
      <c r="AK2629" s="2">
        <f t="shared" si="303"/>
        <v>45</v>
      </c>
      <c r="AL2629" s="5">
        <f t="shared" si="300"/>
        <v>1</v>
      </c>
    </row>
    <row r="2630" spans="1:38" hidden="1" x14ac:dyDescent="0.2">
      <c r="A2630" s="2">
        <v>2025</v>
      </c>
      <c r="B2630" s="2">
        <v>9</v>
      </c>
      <c r="D2630" s="2" t="s">
        <v>982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9"/>
        <v>0.34714285714285725</v>
      </c>
      <c r="Z2630" s="2" t="s">
        <v>3231</v>
      </c>
      <c r="AA2630" s="2" t="s">
        <v>46</v>
      </c>
      <c r="AB2630" s="2" t="s">
        <v>61</v>
      </c>
      <c r="AC2630" s="2" t="s">
        <v>58</v>
      </c>
      <c r="AF2630" s="2">
        <f t="shared" si="301"/>
        <v>0</v>
      </c>
      <c r="AG2630" s="2">
        <v>9.14</v>
      </c>
      <c r="AH2630" s="2">
        <v>16</v>
      </c>
      <c r="AJ2630" s="2">
        <f t="shared" si="302"/>
        <v>0</v>
      </c>
      <c r="AK2630" s="2">
        <f t="shared" si="303"/>
        <v>4.8600000000000012</v>
      </c>
      <c r="AL2630" s="5">
        <f t="shared" si="300"/>
        <v>0.34714285714285725</v>
      </c>
    </row>
    <row r="2631" spans="1:38" hidden="1" x14ac:dyDescent="0.2">
      <c r="A2631" s="2">
        <v>2025</v>
      </c>
      <c r="B2631" s="2">
        <v>9</v>
      </c>
      <c r="D2631" s="2" t="s">
        <v>982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9"/>
        <v>0.36923076923076914</v>
      </c>
      <c r="Z2631" s="2" t="s">
        <v>3231</v>
      </c>
      <c r="AA2631" s="2" t="s">
        <v>46</v>
      </c>
      <c r="AB2631" s="2" t="s">
        <v>61</v>
      </c>
      <c r="AC2631" s="2" t="s">
        <v>58</v>
      </c>
      <c r="AF2631" s="2">
        <f t="shared" si="301"/>
        <v>0</v>
      </c>
      <c r="AG2631" s="2">
        <v>8.1999999999999993</v>
      </c>
      <c r="AH2631" s="2">
        <v>13</v>
      </c>
      <c r="AJ2631" s="2">
        <f t="shared" si="302"/>
        <v>0</v>
      </c>
      <c r="AK2631" s="2">
        <f t="shared" si="303"/>
        <v>4.7999999999999989</v>
      </c>
      <c r="AL2631" s="5">
        <f t="shared" si="300"/>
        <v>0.36923076923076914</v>
      </c>
    </row>
    <row r="2632" spans="1:38" hidden="1" x14ac:dyDescent="0.2">
      <c r="A2632" s="2">
        <v>2025</v>
      </c>
      <c r="B2632" s="2">
        <v>9</v>
      </c>
      <c r="D2632" s="2" t="s">
        <v>982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9"/>
        <v>0.39066666666666677</v>
      </c>
      <c r="Z2632" s="2" t="s">
        <v>3231</v>
      </c>
      <c r="AA2632" s="2" t="s">
        <v>46</v>
      </c>
      <c r="AB2632" s="2" t="s">
        <v>61</v>
      </c>
      <c r="AC2632" s="2" t="s">
        <v>58</v>
      </c>
      <c r="AF2632" s="2">
        <f t="shared" si="301"/>
        <v>0</v>
      </c>
      <c r="AJ2632" s="2">
        <f t="shared" si="302"/>
        <v>0</v>
      </c>
      <c r="AK2632" s="2">
        <f t="shared" si="303"/>
        <v>5.8600000000000012</v>
      </c>
      <c r="AL2632" s="5">
        <f t="shared" si="300"/>
        <v>0.39066666666666677</v>
      </c>
    </row>
    <row r="2633" spans="1:38" hidden="1" x14ac:dyDescent="0.2">
      <c r="A2633" s="2">
        <v>2025</v>
      </c>
      <c r="B2633" s="2">
        <v>9</v>
      </c>
      <c r="D2633" s="2" t="s">
        <v>983</v>
      </c>
      <c r="E2633" s="2" t="s">
        <v>109</v>
      </c>
      <c r="F2633" s="2" t="s">
        <v>718</v>
      </c>
      <c r="G2633" s="2">
        <v>500594309</v>
      </c>
      <c r="H2633" s="2" t="s">
        <v>291</v>
      </c>
      <c r="I2633" s="2" t="s">
        <v>984</v>
      </c>
      <c r="J2633" s="2" t="s">
        <v>985</v>
      </c>
      <c r="L2633" s="2" t="s">
        <v>294</v>
      </c>
      <c r="M2633" s="2" t="s">
        <v>81</v>
      </c>
      <c r="O2633" s="2" t="s">
        <v>2227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9"/>
        <v>0.41891666666666666</v>
      </c>
      <c r="Z2633" s="2" t="s">
        <v>3231</v>
      </c>
      <c r="AA2633" s="2" t="s">
        <v>76</v>
      </c>
      <c r="AB2633" s="2" t="s">
        <v>77</v>
      </c>
      <c r="AC2633" s="2" t="s">
        <v>78</v>
      </c>
      <c r="AF2633" s="2">
        <f t="shared" si="301"/>
        <v>0</v>
      </c>
      <c r="AJ2633" s="2">
        <f t="shared" si="302"/>
        <v>0</v>
      </c>
      <c r="AK2633" s="2">
        <f t="shared" si="303"/>
        <v>100.53999999999999</v>
      </c>
      <c r="AL2633" s="5">
        <f t="shared" si="300"/>
        <v>0.41891666666666666</v>
      </c>
    </row>
    <row r="2634" spans="1:38" hidden="1" x14ac:dyDescent="0.2">
      <c r="A2634" s="2">
        <v>2025</v>
      </c>
      <c r="B2634" s="2">
        <v>9</v>
      </c>
      <c r="D2634" s="2" t="s">
        <v>983</v>
      </c>
      <c r="E2634" s="2" t="s">
        <v>109</v>
      </c>
      <c r="F2634" s="2" t="s">
        <v>718</v>
      </c>
      <c r="G2634" s="2">
        <v>500594309</v>
      </c>
      <c r="H2634" s="2" t="s">
        <v>291</v>
      </c>
      <c r="I2634" s="2" t="s">
        <v>984</v>
      </c>
      <c r="J2634" s="2" t="s">
        <v>985</v>
      </c>
      <c r="L2634" s="2" t="s">
        <v>294</v>
      </c>
      <c r="M2634" s="2" t="s">
        <v>81</v>
      </c>
      <c r="O2634" s="2" t="s">
        <v>2227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9"/>
        <v>0</v>
      </c>
      <c r="Z2634" s="2" t="s">
        <v>3231</v>
      </c>
      <c r="AA2634" s="2" t="s">
        <v>97</v>
      </c>
      <c r="AB2634" s="2" t="s">
        <v>77</v>
      </c>
      <c r="AC2634" s="2" t="s">
        <v>94</v>
      </c>
      <c r="AF2634" s="2">
        <f t="shared" si="301"/>
        <v>0</v>
      </c>
      <c r="AG2634" s="2">
        <v>1.1399999999999999</v>
      </c>
      <c r="AH2634" s="2">
        <v>1.1399999999999999</v>
      </c>
      <c r="AJ2634" s="2">
        <f t="shared" si="302"/>
        <v>0</v>
      </c>
      <c r="AK2634" s="2">
        <f t="shared" si="303"/>
        <v>0</v>
      </c>
      <c r="AL2634" s="5">
        <f t="shared" si="300"/>
        <v>0</v>
      </c>
    </row>
    <row r="2635" spans="1:38" hidden="1" x14ac:dyDescent="0.2">
      <c r="A2635" s="2">
        <v>2025</v>
      </c>
      <c r="B2635" s="2">
        <v>9</v>
      </c>
      <c r="D2635" s="2" t="s">
        <v>745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746</v>
      </c>
      <c r="J2635" s="2" t="s">
        <v>747</v>
      </c>
      <c r="K2635" s="2">
        <v>962372760</v>
      </c>
      <c r="L2635" s="2" t="s">
        <v>202</v>
      </c>
      <c r="M2635" s="2" t="s">
        <v>40</v>
      </c>
      <c r="O2635" s="2" t="s">
        <v>2228</v>
      </c>
      <c r="P2635" s="2" t="s">
        <v>115</v>
      </c>
      <c r="Q2635" s="2" t="s">
        <v>2229</v>
      </c>
      <c r="R2635" s="2" t="s">
        <v>2230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9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301"/>
        <v>0</v>
      </c>
      <c r="AG2635" s="2">
        <v>5.35</v>
      </c>
      <c r="AJ2635" s="2">
        <f t="shared" si="302"/>
        <v>0</v>
      </c>
      <c r="AK2635" s="2">
        <f t="shared" si="303"/>
        <v>5.9</v>
      </c>
      <c r="AL2635" s="5">
        <f t="shared" si="300"/>
        <v>0.52444444444444449</v>
      </c>
    </row>
    <row r="2636" spans="1:38" hidden="1" x14ac:dyDescent="0.2">
      <c r="A2636" s="2">
        <v>2025</v>
      </c>
      <c r="B2636" s="2">
        <v>9</v>
      </c>
      <c r="D2636" s="2" t="s">
        <v>745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746</v>
      </c>
      <c r="J2636" s="2" t="s">
        <v>747</v>
      </c>
      <c r="K2636" s="2">
        <v>962372760</v>
      </c>
      <c r="L2636" s="2" t="s">
        <v>202</v>
      </c>
      <c r="P2636" s="2" t="s">
        <v>115</v>
      </c>
      <c r="Q2636" s="2" t="s">
        <v>2231</v>
      </c>
      <c r="R2636" s="2" t="s">
        <v>2232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9"/>
        <v>1</v>
      </c>
      <c r="AF2636" s="2">
        <f t="shared" si="301"/>
        <v>0</v>
      </c>
      <c r="AJ2636" s="2">
        <f t="shared" si="302"/>
        <v>0</v>
      </c>
      <c r="AK2636" s="2">
        <f t="shared" si="303"/>
        <v>145.26</v>
      </c>
      <c r="AL2636" s="5">
        <f t="shared" si="300"/>
        <v>1</v>
      </c>
    </row>
    <row r="2637" spans="1:38" hidden="1" x14ac:dyDescent="0.2">
      <c r="A2637" s="2">
        <v>2025</v>
      </c>
      <c r="B2637" s="2">
        <v>9</v>
      </c>
      <c r="D2637" s="2" t="s">
        <v>745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746</v>
      </c>
      <c r="J2637" s="2" t="s">
        <v>747</v>
      </c>
      <c r="K2637" s="2">
        <v>962372760</v>
      </c>
      <c r="L2637" s="2" t="s">
        <v>202</v>
      </c>
      <c r="P2637" s="2" t="s">
        <v>115</v>
      </c>
      <c r="Q2637" s="2" t="s">
        <v>1131</v>
      </c>
      <c r="R2637" s="2" t="s">
        <v>1132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9"/>
        <v>1</v>
      </c>
      <c r="AF2637" s="2">
        <f t="shared" si="301"/>
        <v>0</v>
      </c>
      <c r="AJ2637" s="2">
        <f t="shared" si="302"/>
        <v>0</v>
      </c>
      <c r="AK2637" s="2">
        <f t="shared" si="303"/>
        <v>9.82</v>
      </c>
      <c r="AL2637" s="5">
        <f t="shared" si="300"/>
        <v>1</v>
      </c>
    </row>
    <row r="2638" spans="1:38" hidden="1" x14ac:dyDescent="0.2">
      <c r="A2638" s="2">
        <v>2025</v>
      </c>
      <c r="B2638" s="2">
        <v>9</v>
      </c>
      <c r="D2638" s="2" t="s">
        <v>745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746</v>
      </c>
      <c r="J2638" s="2" t="s">
        <v>747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9"/>
        <v>0.6</v>
      </c>
      <c r="Z2638" s="2" t="s">
        <v>118</v>
      </c>
      <c r="AA2638" s="2" t="s">
        <v>191</v>
      </c>
      <c r="AB2638" s="2" t="s">
        <v>190</v>
      </c>
      <c r="AC2638" s="2" t="s">
        <v>40</v>
      </c>
      <c r="AF2638" s="2">
        <f t="shared" si="301"/>
        <v>0</v>
      </c>
      <c r="AJ2638" s="2">
        <f t="shared" si="302"/>
        <v>0</v>
      </c>
      <c r="AK2638" s="2">
        <f t="shared" si="303"/>
        <v>30</v>
      </c>
      <c r="AL2638" s="5">
        <f t="shared" si="300"/>
        <v>0.6</v>
      </c>
    </row>
    <row r="2639" spans="1:38" hidden="1" x14ac:dyDescent="0.2">
      <c r="A2639" s="2">
        <v>2025</v>
      </c>
      <c r="B2639" s="2">
        <v>9</v>
      </c>
      <c r="D2639" s="2" t="s">
        <v>745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746</v>
      </c>
      <c r="J2639" s="2" t="s">
        <v>747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9"/>
        <v>0.5</v>
      </c>
      <c r="Z2639" s="2" t="s">
        <v>118</v>
      </c>
      <c r="AA2639" s="2" t="s">
        <v>191</v>
      </c>
      <c r="AB2639" s="2" t="s">
        <v>191</v>
      </c>
      <c r="AC2639" s="2" t="s">
        <v>40</v>
      </c>
      <c r="AF2639" s="2">
        <f t="shared" si="301"/>
        <v>0</v>
      </c>
      <c r="AJ2639" s="2">
        <f t="shared" si="302"/>
        <v>0</v>
      </c>
      <c r="AK2639" s="2">
        <f t="shared" si="303"/>
        <v>50</v>
      </c>
      <c r="AL2639" s="5">
        <f t="shared" si="300"/>
        <v>0.5</v>
      </c>
    </row>
    <row r="2640" spans="1:38" hidden="1" x14ac:dyDescent="0.2">
      <c r="A2640" s="2">
        <v>2025</v>
      </c>
      <c r="B2640" s="2">
        <v>9</v>
      </c>
      <c r="D2640" s="2" t="s">
        <v>745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746</v>
      </c>
      <c r="J2640" s="2" t="s">
        <v>747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9"/>
        <v>1</v>
      </c>
      <c r="Z2640" s="2" t="s">
        <v>120</v>
      </c>
      <c r="AA2640" s="2" t="s">
        <v>3385</v>
      </c>
      <c r="AF2640" s="2">
        <f t="shared" si="301"/>
        <v>0</v>
      </c>
      <c r="AJ2640" s="2">
        <f t="shared" si="302"/>
        <v>0</v>
      </c>
      <c r="AK2640" s="2">
        <f t="shared" si="303"/>
        <v>278.01</v>
      </c>
      <c r="AL2640" s="5">
        <f t="shared" si="300"/>
        <v>1</v>
      </c>
    </row>
    <row r="2641" spans="1:38" hidden="1" x14ac:dyDescent="0.2">
      <c r="A2641" s="2">
        <v>2025</v>
      </c>
      <c r="B2641" s="2">
        <v>9</v>
      </c>
      <c r="D2641" s="2" t="s">
        <v>750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751</v>
      </c>
      <c r="K2641" s="2">
        <v>969042927</v>
      </c>
      <c r="L2641" s="2" t="s">
        <v>572</v>
      </c>
      <c r="P2641" s="2" t="s">
        <v>73</v>
      </c>
      <c r="Q2641" s="2" t="s">
        <v>1077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9"/>
        <v>0.40911111111111115</v>
      </c>
      <c r="Z2641" s="2" t="s">
        <v>3231</v>
      </c>
      <c r="AA2641" s="2" t="s">
        <v>76</v>
      </c>
      <c r="AB2641" s="2" t="s">
        <v>77</v>
      </c>
      <c r="AC2641" s="2" t="s">
        <v>78</v>
      </c>
      <c r="AF2641" s="2">
        <f t="shared" si="301"/>
        <v>0</v>
      </c>
      <c r="AG2641" s="2">
        <f>144.14+15.4</f>
        <v>159.54</v>
      </c>
      <c r="AH2641" s="2">
        <v>280</v>
      </c>
      <c r="AJ2641" s="2">
        <f t="shared" si="302"/>
        <v>0</v>
      </c>
      <c r="AK2641" s="2">
        <f t="shared" si="303"/>
        <v>110.46000000000001</v>
      </c>
      <c r="AL2641" s="5">
        <f t="shared" si="300"/>
        <v>0.40911111111111115</v>
      </c>
    </row>
    <row r="2642" spans="1:38" hidden="1" x14ac:dyDescent="0.2">
      <c r="A2642" s="2">
        <v>2025</v>
      </c>
      <c r="B2642" s="2">
        <v>9</v>
      </c>
      <c r="D2642" s="2" t="s">
        <v>750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751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9"/>
        <v>0</v>
      </c>
      <c r="Z2642" s="2" t="s">
        <v>3231</v>
      </c>
      <c r="AA2642" s="2" t="s">
        <v>97</v>
      </c>
      <c r="AB2642" s="2" t="s">
        <v>77</v>
      </c>
      <c r="AC2642" s="2" t="s">
        <v>94</v>
      </c>
      <c r="AF2642" s="2">
        <f t="shared" si="301"/>
        <v>0</v>
      </c>
      <c r="AJ2642" s="2">
        <f t="shared" si="302"/>
        <v>0</v>
      </c>
      <c r="AK2642" s="2">
        <f t="shared" si="303"/>
        <v>0</v>
      </c>
      <c r="AL2642" s="5">
        <f t="shared" si="300"/>
        <v>0</v>
      </c>
    </row>
    <row r="2643" spans="1:38" hidden="1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2233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9"/>
        <v>0.24285714285714285</v>
      </c>
      <c r="Z2643" s="2" t="s">
        <v>3231</v>
      </c>
      <c r="AA2643" s="2" t="s">
        <v>46</v>
      </c>
      <c r="AB2643" s="2" t="s">
        <v>57</v>
      </c>
      <c r="AC2643" s="2" t="s">
        <v>58</v>
      </c>
      <c r="AF2643" s="2">
        <f t="shared" si="301"/>
        <v>0</v>
      </c>
      <c r="AG2643" s="2">
        <v>10.6</v>
      </c>
      <c r="AH2643" s="2">
        <v>18</v>
      </c>
      <c r="AJ2643" s="2">
        <f t="shared" si="302"/>
        <v>0</v>
      </c>
      <c r="AK2643" s="2">
        <f t="shared" si="303"/>
        <v>34</v>
      </c>
      <c r="AL2643" s="5">
        <f t="shared" si="300"/>
        <v>0.24285714285714285</v>
      </c>
    </row>
    <row r="2644" spans="1:38" hidden="1" x14ac:dyDescent="0.2">
      <c r="A2644" s="2">
        <v>2025</v>
      </c>
      <c r="B2644" s="2">
        <v>9</v>
      </c>
      <c r="D2644" s="2" t="s">
        <v>2234</v>
      </c>
      <c r="P2644" s="2" t="s">
        <v>115</v>
      </c>
      <c r="Q2644" s="2" t="s">
        <v>1293</v>
      </c>
      <c r="R2644" s="2" t="s">
        <v>1294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9"/>
        <v>1</v>
      </c>
      <c r="AF2644" s="2">
        <f t="shared" si="301"/>
        <v>0</v>
      </c>
      <c r="AJ2644" s="2">
        <f t="shared" si="302"/>
        <v>0</v>
      </c>
      <c r="AK2644" s="2">
        <f t="shared" si="303"/>
        <v>900</v>
      </c>
      <c r="AL2644" s="5">
        <f t="shared" si="300"/>
        <v>1</v>
      </c>
    </row>
    <row r="2645" spans="1:38" hidden="1" x14ac:dyDescent="0.2">
      <c r="A2645" s="2">
        <v>2025</v>
      </c>
      <c r="B2645" s="2">
        <v>9</v>
      </c>
      <c r="D2645" s="2" t="s">
        <v>2235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9"/>
        <v>1</v>
      </c>
      <c r="Z2645" s="2" t="s">
        <v>120</v>
      </c>
      <c r="AA2645" s="2" t="s">
        <v>3385</v>
      </c>
      <c r="AF2645" s="2">
        <f t="shared" si="301"/>
        <v>0</v>
      </c>
      <c r="AJ2645" s="2">
        <f t="shared" si="302"/>
        <v>0</v>
      </c>
      <c r="AK2645" s="2">
        <f t="shared" si="303"/>
        <v>100.94</v>
      </c>
      <c r="AL2645" s="5">
        <f t="shared" si="300"/>
        <v>1</v>
      </c>
    </row>
    <row r="2646" spans="1:38" hidden="1" x14ac:dyDescent="0.2">
      <c r="A2646" s="2">
        <v>2025</v>
      </c>
      <c r="B2646" s="2">
        <v>9</v>
      </c>
      <c r="D2646" s="2" t="s">
        <v>998</v>
      </c>
      <c r="P2646" s="2" t="s">
        <v>73</v>
      </c>
      <c r="Q2646" s="2" t="s">
        <v>665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9"/>
        <v>0.40402380952380951</v>
      </c>
      <c r="Z2646" s="2" t="s">
        <v>3231</v>
      </c>
      <c r="AA2646" s="2" t="s">
        <v>76</v>
      </c>
      <c r="AB2646" s="2" t="s">
        <v>77</v>
      </c>
      <c r="AC2646" s="2" t="s">
        <v>78</v>
      </c>
      <c r="AF2646" s="2">
        <f t="shared" si="301"/>
        <v>0</v>
      </c>
      <c r="AJ2646" s="2">
        <f t="shared" si="302"/>
        <v>0</v>
      </c>
      <c r="AK2646" s="2">
        <f t="shared" si="303"/>
        <v>84.844999999999999</v>
      </c>
      <c r="AL2646" s="5">
        <f t="shared" si="300"/>
        <v>0.40402380952380951</v>
      </c>
    </row>
    <row r="2647" spans="1:38" hidden="1" x14ac:dyDescent="0.2">
      <c r="A2647" s="2">
        <v>2025</v>
      </c>
      <c r="B2647" s="2">
        <v>9</v>
      </c>
      <c r="D2647" s="2" t="s">
        <v>998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9"/>
        <v>0</v>
      </c>
      <c r="Z2647" s="2" t="s">
        <v>3231</v>
      </c>
      <c r="AA2647" s="2" t="s">
        <v>97</v>
      </c>
      <c r="AB2647" s="2" t="s">
        <v>77</v>
      </c>
      <c r="AC2647" s="2" t="s">
        <v>94</v>
      </c>
      <c r="AF2647" s="2">
        <f t="shared" si="301"/>
        <v>0</v>
      </c>
      <c r="AJ2647" s="2">
        <f t="shared" si="302"/>
        <v>0</v>
      </c>
      <c r="AK2647" s="2">
        <f t="shared" si="303"/>
        <v>0</v>
      </c>
      <c r="AL2647" s="5">
        <f t="shared" si="300"/>
        <v>0</v>
      </c>
    </row>
    <row r="2648" spans="1:38" hidden="1" x14ac:dyDescent="0.2">
      <c r="A2648" s="2">
        <v>2025</v>
      </c>
      <c r="B2648" s="2">
        <v>9</v>
      </c>
      <c r="D2648" s="2" t="s">
        <v>1699</v>
      </c>
      <c r="P2648" s="2" t="s">
        <v>283</v>
      </c>
      <c r="Q2648" s="2" t="s">
        <v>1254</v>
      </c>
      <c r="R2648" s="2" t="s">
        <v>1255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9"/>
        <v>1</v>
      </c>
      <c r="Z2648" s="2" t="s">
        <v>105</v>
      </c>
      <c r="AF2648" s="2">
        <f t="shared" si="301"/>
        <v>0</v>
      </c>
      <c r="AJ2648" s="2">
        <f t="shared" si="302"/>
        <v>0</v>
      </c>
      <c r="AK2648" s="2">
        <f t="shared" si="303"/>
        <v>2840</v>
      </c>
      <c r="AL2648" s="5">
        <f t="shared" si="300"/>
        <v>1</v>
      </c>
    </row>
    <row r="2649" spans="1:38" hidden="1" x14ac:dyDescent="0.2">
      <c r="A2649" s="2">
        <v>2025</v>
      </c>
      <c r="B2649" s="2">
        <v>9</v>
      </c>
      <c r="D2649" s="2" t="s">
        <v>2135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9"/>
        <v>1</v>
      </c>
      <c r="Z2649" s="2" t="s">
        <v>118</v>
      </c>
      <c r="AA2649" s="2" t="s">
        <v>318</v>
      </c>
      <c r="AF2649" s="2">
        <f t="shared" si="301"/>
        <v>0</v>
      </c>
      <c r="AJ2649" s="2">
        <f t="shared" si="302"/>
        <v>0</v>
      </c>
      <c r="AK2649" s="2">
        <f t="shared" si="303"/>
        <v>975</v>
      </c>
      <c r="AL2649" s="5">
        <f t="shared" si="300"/>
        <v>1</v>
      </c>
    </row>
    <row r="2650" spans="1:38" hidden="1" x14ac:dyDescent="0.2">
      <c r="A2650" s="2">
        <v>2025</v>
      </c>
      <c r="B2650" s="2">
        <v>9</v>
      </c>
      <c r="D2650" s="2" t="s">
        <v>2135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9"/>
        <v>#DIV/0!</v>
      </c>
      <c r="Z2650" s="2" t="s">
        <v>118</v>
      </c>
      <c r="AA2650" s="2" t="s">
        <v>318</v>
      </c>
      <c r="AF2650" s="2">
        <f t="shared" si="301"/>
        <v>0</v>
      </c>
      <c r="AJ2650" s="2">
        <f t="shared" si="302"/>
        <v>0</v>
      </c>
      <c r="AK2650" s="2">
        <f t="shared" si="303"/>
        <v>0</v>
      </c>
      <c r="AL2650" s="5" t="e">
        <f t="shared" si="300"/>
        <v>#DIV/0!</v>
      </c>
    </row>
    <row r="2651" spans="1:38" hidden="1" x14ac:dyDescent="0.2">
      <c r="A2651" s="2">
        <v>2025</v>
      </c>
      <c r="B2651" s="2">
        <v>9</v>
      </c>
      <c r="D2651" s="2" t="s">
        <v>1792</v>
      </c>
      <c r="P2651" s="2" t="s">
        <v>115</v>
      </c>
      <c r="Q2651" s="2" t="s">
        <v>835</v>
      </c>
      <c r="R2651" s="2" t="s">
        <v>836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01"/>
        <v>0</v>
      </c>
      <c r="AJ2651" s="2">
        <f t="shared" si="302"/>
        <v>0</v>
      </c>
      <c r="AK2651" s="2">
        <f t="shared" si="303"/>
        <v>0</v>
      </c>
      <c r="AL2651" s="5" t="e">
        <f t="shared" si="300"/>
        <v>#DIV/0!</v>
      </c>
    </row>
    <row r="2652" spans="1:38" hidden="1" x14ac:dyDescent="0.2">
      <c r="A2652" s="2">
        <v>2025</v>
      </c>
      <c r="B2652" s="2">
        <v>9</v>
      </c>
      <c r="D2652" s="2" t="s">
        <v>1792</v>
      </c>
      <c r="P2652" s="2" t="s">
        <v>115</v>
      </c>
      <c r="Q2652" s="2" t="s">
        <v>837</v>
      </c>
      <c r="R2652" s="2" t="s">
        <v>838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9"/>
        <v>1</v>
      </c>
      <c r="Z2652" s="2" t="s">
        <v>105</v>
      </c>
      <c r="AF2652" s="2">
        <f t="shared" si="301"/>
        <v>0</v>
      </c>
      <c r="AJ2652" s="2">
        <f t="shared" si="302"/>
        <v>0</v>
      </c>
      <c r="AK2652" s="2">
        <f t="shared" si="303"/>
        <v>15990</v>
      </c>
      <c r="AL2652" s="5">
        <f t="shared" si="300"/>
        <v>1</v>
      </c>
    </row>
    <row r="2653" spans="1:38" hidden="1" x14ac:dyDescent="0.2">
      <c r="A2653" s="2">
        <v>2025</v>
      </c>
      <c r="B2653" s="2">
        <v>9</v>
      </c>
      <c r="D2653" s="2" t="s">
        <v>1792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304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301"/>
        <v>0</v>
      </c>
      <c r="AJ2653" s="2">
        <f t="shared" si="302"/>
        <v>0</v>
      </c>
      <c r="AK2653" s="2">
        <f t="shared" si="303"/>
        <v>-26659.4</v>
      </c>
      <c r="AL2653" s="5">
        <f t="shared" ref="AL2653:AL2716" si="305">(T2653-W2653)/T2653</f>
        <v>1.6672545340838025</v>
      </c>
    </row>
    <row r="2654" spans="1:38" hidden="1" x14ac:dyDescent="0.2">
      <c r="A2654" s="2">
        <v>2025</v>
      </c>
      <c r="B2654" s="2">
        <v>9</v>
      </c>
      <c r="C2654" s="2" t="s">
        <v>3446</v>
      </c>
      <c r="D2654" s="2" t="s">
        <v>1891</v>
      </c>
      <c r="E2654" s="2" t="s">
        <v>38</v>
      </c>
      <c r="F2654" s="2" t="s">
        <v>39</v>
      </c>
      <c r="L2654" s="2" t="s">
        <v>462</v>
      </c>
      <c r="M2654" s="2" t="s">
        <v>81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04"/>
        <v>0.62926666666666664</v>
      </c>
      <c r="Z2654" s="2" t="s">
        <v>3231</v>
      </c>
      <c r="AA2654" s="2" t="s">
        <v>46</v>
      </c>
      <c r="AB2654" s="2" t="s">
        <v>61</v>
      </c>
      <c r="AC2654" s="2" t="s">
        <v>58</v>
      </c>
      <c r="AF2654" s="2">
        <f t="shared" si="301"/>
        <v>0</v>
      </c>
      <c r="AG2654" s="2">
        <v>1.1122000000000001</v>
      </c>
      <c r="AH2654" s="2">
        <v>3</v>
      </c>
      <c r="AJ2654" s="2">
        <f t="shared" si="302"/>
        <v>0</v>
      </c>
      <c r="AK2654" s="2">
        <f t="shared" si="303"/>
        <v>15.102399999999999</v>
      </c>
      <c r="AL2654" s="5">
        <f t="shared" si="305"/>
        <v>0.62926666666666664</v>
      </c>
    </row>
    <row r="2655" spans="1:38" hidden="1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04"/>
        <v>0.4</v>
      </c>
      <c r="Z2655" s="2" t="s">
        <v>3231</v>
      </c>
      <c r="AA2655" s="2" t="s">
        <v>46</v>
      </c>
      <c r="AB2655" s="2" t="s">
        <v>61</v>
      </c>
      <c r="AC2655" s="2" t="s">
        <v>3336</v>
      </c>
      <c r="AF2655" s="2">
        <f t="shared" si="301"/>
        <v>0</v>
      </c>
      <c r="AJ2655" s="2">
        <f t="shared" si="302"/>
        <v>0</v>
      </c>
      <c r="AK2655" s="2">
        <f t="shared" si="303"/>
        <v>116</v>
      </c>
      <c r="AL2655" s="5">
        <f t="shared" si="305"/>
        <v>0.4</v>
      </c>
    </row>
    <row r="2656" spans="1:38" hidden="1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04"/>
        <v>0.40000000000000008</v>
      </c>
      <c r="Z2656" s="2" t="s">
        <v>3231</v>
      </c>
      <c r="AA2656" s="2" t="s">
        <v>46</v>
      </c>
      <c r="AB2656" s="2" t="s">
        <v>61</v>
      </c>
      <c r="AC2656" s="2" t="s">
        <v>3336</v>
      </c>
      <c r="AF2656" s="2">
        <f t="shared" si="301"/>
        <v>0</v>
      </c>
      <c r="AJ2656" s="2">
        <f t="shared" si="302"/>
        <v>0</v>
      </c>
      <c r="AK2656" s="2">
        <f t="shared" si="303"/>
        <v>127.60000000000002</v>
      </c>
      <c r="AL2656" s="5">
        <f t="shared" si="305"/>
        <v>0.40000000000000008</v>
      </c>
    </row>
    <row r="2657" spans="1:38" hidden="1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2480</v>
      </c>
      <c r="J2657" s="2" t="s">
        <v>3127</v>
      </c>
      <c r="K2657" s="2">
        <v>965864665</v>
      </c>
      <c r="L2657" s="2" t="s">
        <v>345</v>
      </c>
      <c r="M2657" s="2" t="s">
        <v>81</v>
      </c>
      <c r="O2657" s="2" t="s">
        <v>3129</v>
      </c>
      <c r="P2657" s="2" t="s">
        <v>73</v>
      </c>
      <c r="Q2657" s="2" t="s">
        <v>728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04"/>
        <v>0.47829629629629622</v>
      </c>
      <c r="Z2657" s="2" t="s">
        <v>3231</v>
      </c>
      <c r="AA2657" s="2" t="s">
        <v>76</v>
      </c>
      <c r="AB2657" s="2" t="s">
        <v>77</v>
      </c>
      <c r="AC2657" s="2" t="s">
        <v>78</v>
      </c>
      <c r="AF2657" s="2">
        <f t="shared" si="301"/>
        <v>0</v>
      </c>
      <c r="AG2657" s="2">
        <f>132.55+8.31</f>
        <v>140.86000000000001</v>
      </c>
      <c r="AH2657" s="2">
        <v>250</v>
      </c>
      <c r="AJ2657" s="2">
        <f t="shared" si="302"/>
        <v>0</v>
      </c>
      <c r="AK2657" s="2">
        <f t="shared" si="303"/>
        <v>129.13999999999999</v>
      </c>
      <c r="AL2657" s="5">
        <f t="shared" si="305"/>
        <v>0.47829629629629622</v>
      </c>
    </row>
    <row r="2658" spans="1:38" hidden="1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2480</v>
      </c>
      <c r="J2658" s="2" t="s">
        <v>3127</v>
      </c>
      <c r="K2658" s="2">
        <v>965864665</v>
      </c>
      <c r="L2658" s="2" t="s">
        <v>345</v>
      </c>
      <c r="M2658" s="2" t="s">
        <v>81</v>
      </c>
      <c r="O2658" s="2" t="s">
        <v>3129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04"/>
        <v>0</v>
      </c>
      <c r="Z2658" s="2" t="s">
        <v>3231</v>
      </c>
      <c r="AA2658" s="2" t="s">
        <v>97</v>
      </c>
      <c r="AB2658" s="2" t="s">
        <v>77</v>
      </c>
      <c r="AC2658" s="2" t="s">
        <v>94</v>
      </c>
      <c r="AF2658" s="2">
        <f t="shared" si="301"/>
        <v>0</v>
      </c>
      <c r="AJ2658" s="2">
        <f t="shared" si="302"/>
        <v>0</v>
      </c>
      <c r="AK2658" s="2">
        <f t="shared" si="303"/>
        <v>0</v>
      </c>
      <c r="AL2658" s="5">
        <f t="shared" si="305"/>
        <v>0</v>
      </c>
    </row>
    <row r="2659" spans="1:38" hidden="1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3133</v>
      </c>
      <c r="K2659" s="2">
        <v>962555043</v>
      </c>
      <c r="L2659" s="2" t="s">
        <v>345</v>
      </c>
      <c r="M2659" s="2" t="s">
        <v>40</v>
      </c>
      <c r="O2659" s="2" t="s">
        <v>3135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04"/>
        <v>1</v>
      </c>
      <c r="Z2659" s="2" t="s">
        <v>118</v>
      </c>
      <c r="AA2659" s="2" t="s">
        <v>318</v>
      </c>
      <c r="AF2659" s="2">
        <f t="shared" si="301"/>
        <v>0</v>
      </c>
      <c r="AJ2659" s="2">
        <f t="shared" si="302"/>
        <v>0</v>
      </c>
      <c r="AK2659" s="2">
        <f t="shared" si="303"/>
        <v>-975</v>
      </c>
      <c r="AL2659" s="5">
        <f t="shared" si="305"/>
        <v>1</v>
      </c>
    </row>
    <row r="2660" spans="1:38" hidden="1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3133</v>
      </c>
      <c r="K2660" s="2">
        <v>962555043</v>
      </c>
      <c r="L2660" s="2" t="s">
        <v>345</v>
      </c>
      <c r="M2660" s="2" t="s">
        <v>40</v>
      </c>
      <c r="O2660" s="2" t="s">
        <v>3135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04"/>
        <v>#DIV/0!</v>
      </c>
      <c r="Z2660" s="2" t="s">
        <v>118</v>
      </c>
      <c r="AA2660" s="2" t="s">
        <v>318</v>
      </c>
      <c r="AF2660" s="2">
        <f t="shared" si="301"/>
        <v>0</v>
      </c>
      <c r="AJ2660" s="2">
        <f t="shared" si="302"/>
        <v>0</v>
      </c>
      <c r="AK2660" s="2">
        <f t="shared" si="303"/>
        <v>0</v>
      </c>
      <c r="AL2660" s="5" t="e">
        <f t="shared" si="305"/>
        <v>#DIV/0!</v>
      </c>
    </row>
    <row r="2661" spans="1:38" hidden="1" x14ac:dyDescent="0.2">
      <c r="A2661" s="2">
        <v>2025</v>
      </c>
      <c r="B2661" s="2">
        <v>9</v>
      </c>
      <c r="D2661" s="2" t="s">
        <v>789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790</v>
      </c>
      <c r="J2661" s="2" t="s">
        <v>791</v>
      </c>
      <c r="K2661" s="2">
        <v>912216027</v>
      </c>
      <c r="L2661" s="2" t="s">
        <v>294</v>
      </c>
      <c r="M2661" s="2" t="s">
        <v>40</v>
      </c>
      <c r="O2661" s="2" t="s">
        <v>2236</v>
      </c>
      <c r="P2661" s="2" t="s">
        <v>115</v>
      </c>
      <c r="Q2661" s="2" t="s">
        <v>2229</v>
      </c>
      <c r="R2661" s="2" t="s">
        <v>2230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04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301"/>
        <v>0</v>
      </c>
      <c r="AG2661" s="2">
        <v>5.35</v>
      </c>
      <c r="AJ2661" s="2">
        <f t="shared" si="302"/>
        <v>0</v>
      </c>
      <c r="AK2661" s="2">
        <f t="shared" si="303"/>
        <v>4.2900000000000009</v>
      </c>
      <c r="AL2661" s="5">
        <f t="shared" si="305"/>
        <v>0.44502074688796689</v>
      </c>
    </row>
    <row r="2662" spans="1:38" hidden="1" x14ac:dyDescent="0.2">
      <c r="A2662" s="2">
        <v>2025</v>
      </c>
      <c r="B2662" s="2">
        <v>9</v>
      </c>
      <c r="D2662" s="2" t="s">
        <v>789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790</v>
      </c>
      <c r="J2662" s="2" t="s">
        <v>791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304"/>
        <v>1</v>
      </c>
      <c r="Z2662" s="2" t="s">
        <v>170</v>
      </c>
      <c r="AA2662" s="2" t="s">
        <v>170</v>
      </c>
      <c r="AF2662" s="2">
        <f t="shared" si="301"/>
        <v>0</v>
      </c>
      <c r="AJ2662" s="2">
        <f t="shared" si="302"/>
        <v>0</v>
      </c>
      <c r="AK2662" s="2">
        <f t="shared" si="303"/>
        <v>8</v>
      </c>
      <c r="AL2662" s="5">
        <f t="shared" si="305"/>
        <v>1</v>
      </c>
    </row>
    <row r="2663" spans="1:38" hidden="1" x14ac:dyDescent="0.2">
      <c r="A2663" s="2">
        <v>2025</v>
      </c>
      <c r="B2663" s="2">
        <v>9</v>
      </c>
      <c r="D2663" s="2" t="s">
        <v>1017</v>
      </c>
      <c r="E2663" s="2" t="s">
        <v>109</v>
      </c>
      <c r="F2663" s="2" t="s">
        <v>478</v>
      </c>
      <c r="G2663" s="2">
        <v>503815284</v>
      </c>
      <c r="H2663" s="2" t="s">
        <v>40</v>
      </c>
      <c r="I2663" s="2" t="s">
        <v>157</v>
      </c>
      <c r="J2663" s="2" t="s">
        <v>2542</v>
      </c>
      <c r="L2663" s="2" t="s">
        <v>100</v>
      </c>
      <c r="M2663" s="2" t="s">
        <v>81</v>
      </c>
      <c r="P2663" s="2" t="s">
        <v>43</v>
      </c>
      <c r="Q2663" s="2" t="s">
        <v>2237</v>
      </c>
      <c r="R2663" s="2" t="s">
        <v>2238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304"/>
        <v>1</v>
      </c>
      <c r="Z2663" s="2" t="s">
        <v>3231</v>
      </c>
      <c r="AA2663" s="2" t="s">
        <v>46</v>
      </c>
      <c r="AB2663" s="2" t="s">
        <v>47</v>
      </c>
      <c r="AC2663" s="2" t="s">
        <v>58</v>
      </c>
      <c r="AF2663" s="2">
        <f t="shared" si="301"/>
        <v>0</v>
      </c>
      <c r="AJ2663" s="2">
        <f t="shared" si="302"/>
        <v>0</v>
      </c>
      <c r="AK2663" s="2">
        <f t="shared" si="303"/>
        <v>37.17</v>
      </c>
      <c r="AL2663" s="5">
        <f t="shared" si="305"/>
        <v>1</v>
      </c>
    </row>
    <row r="2664" spans="1:38" hidden="1" x14ac:dyDescent="0.2">
      <c r="A2664" s="2">
        <v>2025</v>
      </c>
      <c r="B2664" s="2">
        <v>9</v>
      </c>
      <c r="D2664" s="2" t="s">
        <v>1017</v>
      </c>
      <c r="E2664" s="2" t="s">
        <v>109</v>
      </c>
      <c r="F2664" s="2" t="s">
        <v>478</v>
      </c>
      <c r="G2664" s="2">
        <v>503815284</v>
      </c>
      <c r="H2664" s="2" t="s">
        <v>40</v>
      </c>
      <c r="I2664" s="2" t="s">
        <v>157</v>
      </c>
      <c r="J2664" s="2" t="s">
        <v>2542</v>
      </c>
      <c r="L2664" s="2" t="s">
        <v>100</v>
      </c>
      <c r="M2664" s="2" t="s">
        <v>81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04"/>
        <v>0.52105128205128204</v>
      </c>
      <c r="Z2664" s="2" t="s">
        <v>3231</v>
      </c>
      <c r="AA2664" s="2" t="s">
        <v>46</v>
      </c>
      <c r="AB2664" s="2" t="s">
        <v>47</v>
      </c>
      <c r="AC2664" s="2" t="s">
        <v>48</v>
      </c>
      <c r="AF2664" s="2">
        <f t="shared" si="301"/>
        <v>0</v>
      </c>
      <c r="AG2664" s="2">
        <v>3.7357999999999998</v>
      </c>
      <c r="AH2664" s="2">
        <v>9</v>
      </c>
      <c r="AJ2664" s="2">
        <f t="shared" si="302"/>
        <v>0</v>
      </c>
      <c r="AK2664" s="2">
        <f t="shared" si="303"/>
        <v>16.256799999999998</v>
      </c>
      <c r="AL2664" s="5">
        <f t="shared" si="305"/>
        <v>0.52105128205128204</v>
      </c>
    </row>
    <row r="2665" spans="1:38" hidden="1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2239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04"/>
        <v>0.32327790228597042</v>
      </c>
      <c r="Z2665" s="2" t="s">
        <v>3231</v>
      </c>
      <c r="AA2665" s="2" t="s">
        <v>76</v>
      </c>
      <c r="AB2665" s="2" t="s">
        <v>77</v>
      </c>
      <c r="AC2665" s="2" t="s">
        <v>78</v>
      </c>
      <c r="AF2665" s="2">
        <f t="shared" si="301"/>
        <v>0</v>
      </c>
      <c r="AJ2665" s="2">
        <f t="shared" si="302"/>
        <v>0</v>
      </c>
      <c r="AK2665" s="2">
        <f t="shared" si="303"/>
        <v>144.2466</v>
      </c>
      <c r="AL2665" s="5">
        <f t="shared" si="305"/>
        <v>0.32327790228597042</v>
      </c>
    </row>
    <row r="2666" spans="1:38" hidden="1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2239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04"/>
        <v>0</v>
      </c>
      <c r="Z2666" s="2" t="s">
        <v>3231</v>
      </c>
      <c r="AA2666" s="2" t="s">
        <v>97</v>
      </c>
      <c r="AB2666" s="2" t="s">
        <v>77</v>
      </c>
      <c r="AC2666" s="2" t="s">
        <v>94</v>
      </c>
      <c r="AF2666" s="2">
        <f t="shared" si="301"/>
        <v>0</v>
      </c>
      <c r="AJ2666" s="2">
        <f t="shared" si="302"/>
        <v>0</v>
      </c>
      <c r="AK2666" s="2">
        <f t="shared" si="303"/>
        <v>0</v>
      </c>
      <c r="AL2666" s="5">
        <f t="shared" si="305"/>
        <v>0</v>
      </c>
    </row>
    <row r="2667" spans="1:38" hidden="1" x14ac:dyDescent="0.2">
      <c r="A2667" s="2">
        <v>2025</v>
      </c>
      <c r="B2667" s="2">
        <v>9</v>
      </c>
      <c r="D2667" s="2" t="s">
        <v>1799</v>
      </c>
      <c r="P2667" s="2" t="s">
        <v>3234</v>
      </c>
      <c r="Q2667" s="2" t="s">
        <v>1790</v>
      </c>
      <c r="R2667" s="2" t="s">
        <v>1791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04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3234</v>
      </c>
      <c r="AF2667" s="2">
        <f t="shared" si="301"/>
        <v>0</v>
      </c>
      <c r="AJ2667" s="2">
        <f t="shared" si="302"/>
        <v>0</v>
      </c>
      <c r="AK2667" s="2">
        <f t="shared" si="303"/>
        <v>-2836.96</v>
      </c>
      <c r="AL2667" s="5">
        <f t="shared" si="305"/>
        <v>1.5760888888888889</v>
      </c>
    </row>
    <row r="2668" spans="1:38" hidden="1" x14ac:dyDescent="0.2">
      <c r="A2668" s="2">
        <v>2025</v>
      </c>
      <c r="B2668" s="2">
        <v>9</v>
      </c>
      <c r="D2668" s="2" t="s">
        <v>2240</v>
      </c>
      <c r="P2668" s="2" t="s">
        <v>3234</v>
      </c>
      <c r="Q2668" s="2" t="s">
        <v>1790</v>
      </c>
      <c r="R2668" s="2" t="s">
        <v>1791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04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3234</v>
      </c>
      <c r="AF2668" s="2">
        <f t="shared" si="301"/>
        <v>0</v>
      </c>
      <c r="AJ2668" s="2">
        <f t="shared" si="302"/>
        <v>0</v>
      </c>
      <c r="AK2668" s="2">
        <f t="shared" si="303"/>
        <v>763.04</v>
      </c>
      <c r="AL2668" s="5">
        <f t="shared" si="305"/>
        <v>0.42391111111111107</v>
      </c>
    </row>
    <row r="2669" spans="1:38" hidden="1" x14ac:dyDescent="0.2">
      <c r="A2669" s="2">
        <v>2025</v>
      </c>
      <c r="B2669" s="2">
        <v>9</v>
      </c>
      <c r="D2669" s="2" t="s">
        <v>817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04"/>
        <v>0.42161904761904767</v>
      </c>
      <c r="Z2669" s="2" t="s">
        <v>3231</v>
      </c>
      <c r="AA2669" s="2" t="s">
        <v>76</v>
      </c>
      <c r="AB2669" s="2" t="s">
        <v>77</v>
      </c>
      <c r="AC2669" s="2" t="s">
        <v>78</v>
      </c>
      <c r="AF2669" s="2">
        <f t="shared" si="301"/>
        <v>0</v>
      </c>
      <c r="AG2669" s="2">
        <v>121.46</v>
      </c>
      <c r="AH2669" s="2">
        <v>210</v>
      </c>
      <c r="AJ2669" s="2">
        <f t="shared" si="302"/>
        <v>0</v>
      </c>
      <c r="AK2669" s="2">
        <f t="shared" si="303"/>
        <v>88.54</v>
      </c>
      <c r="AL2669" s="5">
        <f t="shared" si="305"/>
        <v>0.42161904761904767</v>
      </c>
    </row>
    <row r="2670" spans="1:38" hidden="1" x14ac:dyDescent="0.2">
      <c r="A2670" s="2">
        <v>2025</v>
      </c>
      <c r="B2670" s="2">
        <v>9</v>
      </c>
      <c r="D2670" s="2" t="s">
        <v>817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04"/>
        <v>0</v>
      </c>
      <c r="Z2670" s="2" t="s">
        <v>3231</v>
      </c>
      <c r="AA2670" s="2" t="s">
        <v>97</v>
      </c>
      <c r="AB2670" s="2" t="s">
        <v>77</v>
      </c>
      <c r="AC2670" s="2" t="s">
        <v>94</v>
      </c>
      <c r="AF2670" s="2">
        <f t="shared" si="301"/>
        <v>0</v>
      </c>
      <c r="AJ2670" s="2">
        <f t="shared" si="302"/>
        <v>0</v>
      </c>
      <c r="AK2670" s="2">
        <f t="shared" si="303"/>
        <v>0</v>
      </c>
      <c r="AL2670" s="5">
        <f t="shared" si="305"/>
        <v>0</v>
      </c>
    </row>
    <row r="2671" spans="1:38" hidden="1" x14ac:dyDescent="0.2">
      <c r="A2671" s="2">
        <v>2025</v>
      </c>
      <c r="B2671" s="2">
        <v>9</v>
      </c>
      <c r="D2671" s="2" t="s">
        <v>2241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04"/>
        <v>0.4003181818181818</v>
      </c>
      <c r="Z2671" s="2" t="s">
        <v>3231</v>
      </c>
      <c r="AA2671" s="2" t="s">
        <v>76</v>
      </c>
      <c r="AB2671" s="2" t="s">
        <v>77</v>
      </c>
      <c r="AC2671" s="2" t="s">
        <v>78</v>
      </c>
      <c r="AF2671" s="2">
        <f t="shared" si="301"/>
        <v>0</v>
      </c>
      <c r="AG2671" s="2">
        <v>131.93</v>
      </c>
      <c r="AH2671" s="2">
        <v>220</v>
      </c>
      <c r="AJ2671" s="2">
        <f t="shared" si="302"/>
        <v>0</v>
      </c>
      <c r="AK2671" s="2">
        <f t="shared" si="303"/>
        <v>88.07</v>
      </c>
      <c r="AL2671" s="5">
        <f t="shared" si="305"/>
        <v>0.4003181818181818</v>
      </c>
    </row>
    <row r="2672" spans="1:38" hidden="1" x14ac:dyDescent="0.2">
      <c r="A2672" s="2">
        <v>2025</v>
      </c>
      <c r="B2672" s="2">
        <v>9</v>
      </c>
      <c r="D2672" s="2" t="s">
        <v>2241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04"/>
        <v>0</v>
      </c>
      <c r="Z2672" s="2" t="s">
        <v>3231</v>
      </c>
      <c r="AA2672" s="2" t="s">
        <v>97</v>
      </c>
      <c r="AB2672" s="2" t="s">
        <v>77</v>
      </c>
      <c r="AC2672" s="2" t="s">
        <v>94</v>
      </c>
      <c r="AF2672" s="2">
        <f t="shared" si="301"/>
        <v>0</v>
      </c>
      <c r="AJ2672" s="2">
        <f t="shared" si="302"/>
        <v>0</v>
      </c>
      <c r="AK2672" s="2">
        <f t="shared" si="303"/>
        <v>0</v>
      </c>
      <c r="AL2672" s="5">
        <f t="shared" si="305"/>
        <v>0</v>
      </c>
    </row>
    <row r="2673" spans="1:38" hidden="1" x14ac:dyDescent="0.2">
      <c r="A2673" s="2">
        <v>2025</v>
      </c>
      <c r="B2673" s="2">
        <v>9</v>
      </c>
      <c r="D2673" s="2" t="s">
        <v>1568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04"/>
        <v>0.44069999999999998</v>
      </c>
      <c r="Z2673" s="2" t="s">
        <v>3231</v>
      </c>
      <c r="AA2673" s="2" t="s">
        <v>76</v>
      </c>
      <c r="AB2673" s="2" t="s">
        <v>77</v>
      </c>
      <c r="AC2673" s="2" t="s">
        <v>78</v>
      </c>
      <c r="AF2673" s="2">
        <f t="shared" si="301"/>
        <v>0</v>
      </c>
      <c r="AG2673" s="2">
        <v>117.453</v>
      </c>
      <c r="AH2673" s="2">
        <v>220</v>
      </c>
      <c r="AJ2673" s="2">
        <f t="shared" si="302"/>
        <v>0</v>
      </c>
      <c r="AK2673" s="2">
        <f t="shared" si="303"/>
        <v>92.546999999999997</v>
      </c>
      <c r="AL2673" s="5">
        <f t="shared" si="305"/>
        <v>0.44069999999999998</v>
      </c>
    </row>
    <row r="2674" spans="1:38" hidden="1" x14ac:dyDescent="0.2">
      <c r="A2674" s="2">
        <v>2025</v>
      </c>
      <c r="B2674" s="2">
        <v>9</v>
      </c>
      <c r="D2674" s="2" t="s">
        <v>1568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04"/>
        <v>0</v>
      </c>
      <c r="Z2674" s="2" t="s">
        <v>3231</v>
      </c>
      <c r="AA2674" s="2" t="s">
        <v>97</v>
      </c>
      <c r="AB2674" s="2" t="s">
        <v>77</v>
      </c>
      <c r="AC2674" s="2" t="s">
        <v>94</v>
      </c>
      <c r="AF2674" s="2">
        <f t="shared" si="301"/>
        <v>0</v>
      </c>
      <c r="AJ2674" s="2">
        <f t="shared" si="302"/>
        <v>0</v>
      </c>
      <c r="AK2674" s="2">
        <f t="shared" si="303"/>
        <v>0</v>
      </c>
      <c r="AL2674" s="5">
        <f t="shared" si="305"/>
        <v>0</v>
      </c>
    </row>
    <row r="2675" spans="1:38" hidden="1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04"/>
        <v>1</v>
      </c>
      <c r="Z2675" s="2" t="s">
        <v>118</v>
      </c>
      <c r="AF2675" s="2">
        <f t="shared" si="301"/>
        <v>0</v>
      </c>
      <c r="AJ2675" s="2">
        <f t="shared" si="302"/>
        <v>0</v>
      </c>
      <c r="AK2675" s="2">
        <f t="shared" si="303"/>
        <v>257.64999999999998</v>
      </c>
      <c r="AL2675" s="5">
        <f t="shared" si="305"/>
        <v>1</v>
      </c>
    </row>
    <row r="2676" spans="1:38" hidden="1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1110</v>
      </c>
      <c r="Q2676" s="2" t="s">
        <v>1111</v>
      </c>
      <c r="R2676" s="2" t="s">
        <v>1112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04"/>
        <v>0.15384528301886793</v>
      </c>
      <c r="Z2676" s="2" t="s">
        <v>105</v>
      </c>
      <c r="AA2676" s="2" t="s">
        <v>1113</v>
      </c>
      <c r="AB2676" s="2" t="s">
        <v>1114</v>
      </c>
      <c r="AC2676" s="2" t="s">
        <v>1110</v>
      </c>
      <c r="AF2676" s="2">
        <f t="shared" si="301"/>
        <v>0</v>
      </c>
      <c r="AG2676" s="2">
        <v>2242.31</v>
      </c>
      <c r="AJ2676" s="2">
        <f t="shared" si="302"/>
        <v>0</v>
      </c>
      <c r="AK2676" s="2">
        <f t="shared" si="303"/>
        <v>407.69000000000005</v>
      </c>
      <c r="AL2676" s="5">
        <f t="shared" si="305"/>
        <v>0.15384528301886793</v>
      </c>
    </row>
    <row r="2677" spans="1:38" hidden="1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04"/>
        <v>0.6</v>
      </c>
      <c r="Z2677" s="2" t="s">
        <v>118</v>
      </c>
      <c r="AA2677" s="2" t="s">
        <v>191</v>
      </c>
      <c r="AB2677" s="2" t="s">
        <v>190</v>
      </c>
      <c r="AC2677" s="2" t="s">
        <v>40</v>
      </c>
      <c r="AF2677" s="2">
        <f t="shared" si="301"/>
        <v>0</v>
      </c>
      <c r="AJ2677" s="2">
        <f t="shared" si="302"/>
        <v>0</v>
      </c>
      <c r="AK2677" s="2">
        <f t="shared" si="303"/>
        <v>132.75</v>
      </c>
      <c r="AL2677" s="5">
        <f t="shared" si="305"/>
        <v>0.6</v>
      </c>
    </row>
    <row r="2678" spans="1:38" hidden="1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04"/>
        <v>0.5</v>
      </c>
      <c r="Z2678" s="2" t="s">
        <v>118</v>
      </c>
      <c r="AA2678" s="2" t="s">
        <v>191</v>
      </c>
      <c r="AB2678" s="2" t="s">
        <v>191</v>
      </c>
      <c r="AC2678" s="2" t="s">
        <v>40</v>
      </c>
      <c r="AF2678" s="2">
        <f t="shared" si="301"/>
        <v>0</v>
      </c>
      <c r="AJ2678" s="2">
        <f t="shared" si="302"/>
        <v>0</v>
      </c>
      <c r="AK2678" s="2">
        <f t="shared" si="303"/>
        <v>101.25</v>
      </c>
      <c r="AL2678" s="5">
        <f t="shared" si="305"/>
        <v>0.5</v>
      </c>
    </row>
    <row r="2679" spans="1:38" hidden="1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04"/>
        <v>1</v>
      </c>
      <c r="Z2679" s="2" t="s">
        <v>120</v>
      </c>
      <c r="AA2679" s="2" t="s">
        <v>3385</v>
      </c>
      <c r="AF2679" s="2">
        <f t="shared" si="301"/>
        <v>0</v>
      </c>
      <c r="AJ2679" s="2">
        <f t="shared" si="302"/>
        <v>0</v>
      </c>
      <c r="AK2679" s="2">
        <f t="shared" si="303"/>
        <v>75</v>
      </c>
      <c r="AL2679" s="5">
        <f t="shared" si="305"/>
        <v>1</v>
      </c>
    </row>
    <row r="2680" spans="1:38" hidden="1" x14ac:dyDescent="0.2">
      <c r="A2680" s="2">
        <v>2025</v>
      </c>
      <c r="B2680" s="2">
        <v>9</v>
      </c>
      <c r="D2680" s="2" t="s">
        <v>1569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04"/>
        <v>0.5</v>
      </c>
      <c r="Z2680" s="2" t="s">
        <v>118</v>
      </c>
      <c r="AA2680" s="2" t="s">
        <v>191</v>
      </c>
      <c r="AB2680" s="2" t="s">
        <v>191</v>
      </c>
      <c r="AC2680" s="2" t="s">
        <v>40</v>
      </c>
      <c r="AF2680" s="2">
        <f t="shared" si="301"/>
        <v>0</v>
      </c>
      <c r="AJ2680" s="2">
        <f t="shared" si="302"/>
        <v>0</v>
      </c>
      <c r="AK2680" s="2">
        <f t="shared" si="303"/>
        <v>25</v>
      </c>
      <c r="AL2680" s="5">
        <f t="shared" si="305"/>
        <v>0.5</v>
      </c>
    </row>
    <row r="2681" spans="1:38" hidden="1" x14ac:dyDescent="0.2">
      <c r="A2681" s="2">
        <v>2025</v>
      </c>
      <c r="B2681" s="2">
        <v>9</v>
      </c>
      <c r="D2681" s="2" t="s">
        <v>1569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04"/>
        <v>1</v>
      </c>
      <c r="Z2681" s="2" t="s">
        <v>120</v>
      </c>
      <c r="AA2681" s="2" t="s">
        <v>3385</v>
      </c>
      <c r="AF2681" s="2">
        <f t="shared" si="301"/>
        <v>0</v>
      </c>
      <c r="AJ2681" s="2">
        <f t="shared" si="302"/>
        <v>0</v>
      </c>
      <c r="AK2681" s="2">
        <f t="shared" si="303"/>
        <v>178.91</v>
      </c>
      <c r="AL2681" s="5">
        <f t="shared" si="305"/>
        <v>1</v>
      </c>
    </row>
    <row r="2682" spans="1:38" hidden="1" x14ac:dyDescent="0.2">
      <c r="A2682" s="2">
        <v>2025</v>
      </c>
      <c r="B2682" s="2">
        <v>9</v>
      </c>
      <c r="D2682" s="2" t="s">
        <v>1028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1029</v>
      </c>
      <c r="J2682" s="2" t="s">
        <v>1030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04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301"/>
        <v>0</v>
      </c>
      <c r="AJ2682" s="2">
        <f t="shared" si="302"/>
        <v>0</v>
      </c>
      <c r="AK2682" s="2">
        <f t="shared" si="303"/>
        <v>278</v>
      </c>
      <c r="AL2682" s="5">
        <f t="shared" si="305"/>
        <v>0.4</v>
      </c>
    </row>
    <row r="2683" spans="1:38" hidden="1" x14ac:dyDescent="0.2">
      <c r="A2683" s="2">
        <v>2025</v>
      </c>
      <c r="B2683" s="2">
        <v>9</v>
      </c>
      <c r="D2683" s="2" t="s">
        <v>834</v>
      </c>
      <c r="P2683" s="2" t="s">
        <v>115</v>
      </c>
      <c r="Q2683" s="2" t="s">
        <v>1334</v>
      </c>
      <c r="R2683" s="2" t="s">
        <v>1335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04"/>
        <v>1</v>
      </c>
      <c r="AF2683" s="2">
        <f t="shared" si="301"/>
        <v>0</v>
      </c>
      <c r="AJ2683" s="2">
        <f t="shared" si="302"/>
        <v>0</v>
      </c>
      <c r="AK2683" s="2">
        <f t="shared" si="303"/>
        <v>65.510000000000005</v>
      </c>
      <c r="AL2683" s="5">
        <f t="shared" si="305"/>
        <v>1</v>
      </c>
    </row>
    <row r="2684" spans="1:38" hidden="1" x14ac:dyDescent="0.2">
      <c r="A2684" s="2">
        <v>2025</v>
      </c>
      <c r="B2684" s="2">
        <v>9</v>
      </c>
      <c r="D2684" s="2" t="s">
        <v>834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304"/>
        <v>0.59999999999999987</v>
      </c>
      <c r="Z2684" s="2" t="s">
        <v>118</v>
      </c>
      <c r="AA2684" s="2" t="s">
        <v>191</v>
      </c>
      <c r="AB2684" s="2" t="s">
        <v>190</v>
      </c>
      <c r="AC2684" s="2" t="s">
        <v>40</v>
      </c>
      <c r="AF2684" s="2">
        <f t="shared" si="301"/>
        <v>0</v>
      </c>
      <c r="AJ2684" s="2">
        <f t="shared" si="302"/>
        <v>0</v>
      </c>
      <c r="AK2684" s="2">
        <f t="shared" si="303"/>
        <v>42.599999999999994</v>
      </c>
      <c r="AL2684" s="5">
        <f t="shared" si="305"/>
        <v>0.59999999999999987</v>
      </c>
    </row>
    <row r="2685" spans="1:38" hidden="1" x14ac:dyDescent="0.2">
      <c r="A2685" s="2">
        <v>2025</v>
      </c>
      <c r="B2685" s="2">
        <v>9</v>
      </c>
      <c r="D2685" s="2" t="s">
        <v>834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04"/>
        <v>0.5</v>
      </c>
      <c r="Z2685" s="2" t="s">
        <v>118</v>
      </c>
      <c r="AA2685" s="2" t="s">
        <v>191</v>
      </c>
      <c r="AB2685" s="2" t="s">
        <v>191</v>
      </c>
      <c r="AC2685" s="2" t="s">
        <v>40</v>
      </c>
      <c r="AF2685" s="2">
        <f t="shared" si="301"/>
        <v>0</v>
      </c>
      <c r="AJ2685" s="2">
        <f t="shared" si="302"/>
        <v>0</v>
      </c>
      <c r="AK2685" s="2">
        <f t="shared" si="303"/>
        <v>25</v>
      </c>
      <c r="AL2685" s="5">
        <f t="shared" si="305"/>
        <v>0.5</v>
      </c>
    </row>
    <row r="2686" spans="1:38" hidden="1" x14ac:dyDescent="0.2">
      <c r="A2686" s="2">
        <v>2025</v>
      </c>
      <c r="B2686" s="2">
        <v>9</v>
      </c>
      <c r="D2686" s="2" t="s">
        <v>834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04"/>
        <v>1</v>
      </c>
      <c r="Z2686" s="2" t="s">
        <v>120</v>
      </c>
      <c r="AA2686" s="2" t="s">
        <v>3385</v>
      </c>
      <c r="AF2686" s="2">
        <f t="shared" si="301"/>
        <v>0</v>
      </c>
      <c r="AJ2686" s="2">
        <f t="shared" si="302"/>
        <v>0</v>
      </c>
      <c r="AK2686" s="2">
        <f t="shared" si="303"/>
        <v>99.75</v>
      </c>
      <c r="AL2686" s="5">
        <f t="shared" si="305"/>
        <v>1</v>
      </c>
    </row>
    <row r="2687" spans="1:38" hidden="1" x14ac:dyDescent="0.2">
      <c r="A2687" s="2">
        <v>2025</v>
      </c>
      <c r="B2687" s="2">
        <v>9</v>
      </c>
      <c r="D2687" s="2" t="s">
        <v>2242</v>
      </c>
      <c r="P2687" s="2" t="s">
        <v>115</v>
      </c>
      <c r="Q2687" s="2" t="s">
        <v>824</v>
      </c>
      <c r="R2687" s="2" t="s">
        <v>825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04"/>
        <v>1</v>
      </c>
      <c r="AF2687" s="2">
        <f t="shared" si="301"/>
        <v>0</v>
      </c>
      <c r="AJ2687" s="2">
        <f t="shared" si="302"/>
        <v>0</v>
      </c>
      <c r="AK2687" s="2">
        <f t="shared" si="303"/>
        <v>234.11</v>
      </c>
      <c r="AL2687" s="5">
        <f t="shared" si="305"/>
        <v>1</v>
      </c>
    </row>
    <row r="2688" spans="1:38" hidden="1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04"/>
        <v>0.4</v>
      </c>
      <c r="Z2688" s="2" t="s">
        <v>3231</v>
      </c>
      <c r="AA2688" s="2" t="s">
        <v>46</v>
      </c>
      <c r="AB2688" s="2" t="s">
        <v>61</v>
      </c>
      <c r="AC2688" s="2" t="s">
        <v>3336</v>
      </c>
      <c r="AF2688" s="2">
        <f t="shared" si="301"/>
        <v>0</v>
      </c>
      <c r="AJ2688" s="2">
        <f t="shared" si="302"/>
        <v>0</v>
      </c>
      <c r="AK2688" s="2">
        <f t="shared" si="303"/>
        <v>92.800000000000011</v>
      </c>
      <c r="AL2688" s="5">
        <f t="shared" si="305"/>
        <v>0.4</v>
      </c>
    </row>
    <row r="2689" spans="1:38" hidden="1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304"/>
        <v>1</v>
      </c>
      <c r="Z2689" s="2" t="s">
        <v>3231</v>
      </c>
      <c r="AA2689" s="2" t="s">
        <v>46</v>
      </c>
      <c r="AB2689" s="2" t="s">
        <v>57</v>
      </c>
      <c r="AC2689" s="2" t="s">
        <v>58</v>
      </c>
      <c r="AF2689" s="2">
        <f t="shared" si="301"/>
        <v>0</v>
      </c>
      <c r="AJ2689" s="2">
        <f t="shared" si="302"/>
        <v>0</v>
      </c>
      <c r="AK2689" s="2">
        <f t="shared" si="303"/>
        <v>28.8</v>
      </c>
      <c r="AL2689" s="5">
        <f t="shared" si="305"/>
        <v>1</v>
      </c>
    </row>
    <row r="2690" spans="1:38" hidden="1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304"/>
        <v>1</v>
      </c>
      <c r="Z2690" s="2" t="s">
        <v>3231</v>
      </c>
      <c r="AA2690" s="2" t="s">
        <v>46</v>
      </c>
      <c r="AB2690" s="2" t="s">
        <v>57</v>
      </c>
      <c r="AC2690" s="2" t="s">
        <v>58</v>
      </c>
      <c r="AF2690" s="2">
        <f t="shared" si="301"/>
        <v>0</v>
      </c>
      <c r="AJ2690" s="2">
        <f t="shared" si="302"/>
        <v>0</v>
      </c>
      <c r="AK2690" s="2">
        <f t="shared" si="303"/>
        <v>24</v>
      </c>
      <c r="AL2690" s="5">
        <f t="shared" si="305"/>
        <v>1</v>
      </c>
    </row>
    <row r="2691" spans="1:38" hidden="1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304"/>
        <v>1</v>
      </c>
      <c r="Z2691" s="2" t="s">
        <v>3231</v>
      </c>
      <c r="AA2691" s="2" t="s">
        <v>46</v>
      </c>
      <c r="AB2691" s="2" t="s">
        <v>57</v>
      </c>
      <c r="AC2691" s="2" t="s">
        <v>58</v>
      </c>
      <c r="AF2691" s="2">
        <f t="shared" ref="AF2691:AF2754" si="306">AJ2691</f>
        <v>0</v>
      </c>
      <c r="AJ2691" s="2">
        <f t="shared" ref="AJ2691:AJ2754" si="307">AI2691*T2691</f>
        <v>0</v>
      </c>
      <c r="AK2691" s="2">
        <f t="shared" ref="AK2691:AK2754" si="308">T2691-W2691</f>
        <v>16.8</v>
      </c>
      <c r="AL2691" s="5">
        <f t="shared" si="305"/>
        <v>1</v>
      </c>
    </row>
    <row r="2692" spans="1:38" hidden="1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04"/>
        <v>0.25454545454545452</v>
      </c>
      <c r="Z2692" s="2" t="s">
        <v>3231</v>
      </c>
      <c r="AA2692" s="2" t="s">
        <v>46</v>
      </c>
      <c r="AB2692" s="2" t="s">
        <v>61</v>
      </c>
      <c r="AC2692" s="2" t="s">
        <v>58</v>
      </c>
      <c r="AF2692" s="2">
        <f t="shared" si="306"/>
        <v>0</v>
      </c>
      <c r="AG2692" s="2">
        <v>8.1999999999999993</v>
      </c>
      <c r="AH2692" s="2">
        <v>13</v>
      </c>
      <c r="AJ2692" s="2">
        <f t="shared" si="307"/>
        <v>0</v>
      </c>
      <c r="AK2692" s="2">
        <f t="shared" si="308"/>
        <v>28</v>
      </c>
      <c r="AL2692" s="5">
        <f t="shared" si="305"/>
        <v>0.25454545454545452</v>
      </c>
    </row>
    <row r="2693" spans="1:38" hidden="1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04"/>
        <v>0.46722222222222221</v>
      </c>
      <c r="Z2693" s="2" t="s">
        <v>3231</v>
      </c>
      <c r="AA2693" s="2" t="s">
        <v>46</v>
      </c>
      <c r="AB2693" s="2" t="s">
        <v>61</v>
      </c>
      <c r="AC2693" s="2" t="s">
        <v>58</v>
      </c>
      <c r="AF2693" s="2">
        <f t="shared" si="306"/>
        <v>0</v>
      </c>
      <c r="AJ2693" s="2">
        <f t="shared" si="307"/>
        <v>0</v>
      </c>
      <c r="AK2693" s="2">
        <f t="shared" si="308"/>
        <v>8.41</v>
      </c>
      <c r="AL2693" s="5">
        <f t="shared" si="305"/>
        <v>0.46722222222222221</v>
      </c>
    </row>
    <row r="2694" spans="1:38" hidden="1" x14ac:dyDescent="0.2">
      <c r="A2694" s="2">
        <v>2025</v>
      </c>
      <c r="B2694" s="2">
        <v>9</v>
      </c>
      <c r="D2694" s="2" t="s">
        <v>1577</v>
      </c>
      <c r="E2694" s="2" t="s">
        <v>753</v>
      </c>
      <c r="F2694" s="2" t="s">
        <v>39</v>
      </c>
      <c r="L2694" s="2" t="s">
        <v>462</v>
      </c>
      <c r="M2694" s="2" t="s">
        <v>110</v>
      </c>
      <c r="P2694" s="2" t="s">
        <v>283</v>
      </c>
      <c r="Q2694" s="2" t="s">
        <v>2243</v>
      </c>
      <c r="R2694" s="2" t="s">
        <v>2244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04"/>
        <v>1</v>
      </c>
      <c r="Z2694" s="2" t="s">
        <v>105</v>
      </c>
      <c r="AA2694" s="2" t="s">
        <v>1578</v>
      </c>
      <c r="AB2694" s="2" t="s">
        <v>389</v>
      </c>
      <c r="AC2694" s="2" t="s">
        <v>1329</v>
      </c>
      <c r="AF2694" s="2">
        <f t="shared" si="306"/>
        <v>0</v>
      </c>
      <c r="AJ2694" s="2">
        <f t="shared" si="307"/>
        <v>0</v>
      </c>
      <c r="AK2694" s="2">
        <f t="shared" si="308"/>
        <v>160</v>
      </c>
      <c r="AL2694" s="5">
        <f t="shared" si="305"/>
        <v>1</v>
      </c>
    </row>
    <row r="2695" spans="1:38" hidden="1" x14ac:dyDescent="0.2">
      <c r="A2695" s="2">
        <v>2025</v>
      </c>
      <c r="B2695" s="2">
        <v>9</v>
      </c>
      <c r="C2695" s="2" t="s">
        <v>3446</v>
      </c>
      <c r="D2695" s="2" t="s">
        <v>3307</v>
      </c>
      <c r="E2695" s="2" t="s">
        <v>109</v>
      </c>
      <c r="F2695" s="2" t="s">
        <v>39</v>
      </c>
      <c r="L2695" s="2" t="s">
        <v>462</v>
      </c>
      <c r="M2695" s="2" t="s">
        <v>1174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04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6"/>
        <v>0</v>
      </c>
      <c r="AJ2695" s="2">
        <f t="shared" si="307"/>
        <v>0</v>
      </c>
      <c r="AK2695" s="2">
        <f t="shared" si="308"/>
        <v>4330.6000000000004</v>
      </c>
      <c r="AL2695" s="5">
        <f t="shared" si="305"/>
        <v>0.28870666666666667</v>
      </c>
    </row>
    <row r="2696" spans="1:38" hidden="1" x14ac:dyDescent="0.2">
      <c r="A2696" s="2">
        <v>2025</v>
      </c>
      <c r="B2696" s="2">
        <v>9</v>
      </c>
      <c r="C2696" s="2" t="s">
        <v>3416</v>
      </c>
      <c r="D2696" s="2" t="s">
        <v>3464</v>
      </c>
      <c r="E2696" s="2" t="s">
        <v>38</v>
      </c>
      <c r="F2696" s="2" t="s">
        <v>39</v>
      </c>
      <c r="L2696" s="2" t="s">
        <v>100</v>
      </c>
      <c r="M2696" s="2" t="s">
        <v>40</v>
      </c>
      <c r="P2696" s="2" t="s">
        <v>1196</v>
      </c>
      <c r="Q2696" s="2" t="s">
        <v>2245</v>
      </c>
      <c r="R2696" s="2" t="s">
        <v>2246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04"/>
        <v>1</v>
      </c>
      <c r="Z2696" s="2" t="s">
        <v>105</v>
      </c>
      <c r="AA2696" s="2" t="s">
        <v>1201</v>
      </c>
      <c r="AB2696" s="2" t="s">
        <v>120</v>
      </c>
      <c r="AC2696" s="2" t="s">
        <v>1196</v>
      </c>
      <c r="AF2696" s="2">
        <f t="shared" si="306"/>
        <v>0</v>
      </c>
      <c r="AJ2696" s="2">
        <f t="shared" si="307"/>
        <v>0</v>
      </c>
      <c r="AK2696" s="2">
        <f t="shared" si="308"/>
        <v>2400</v>
      </c>
      <c r="AL2696" s="5">
        <f t="shared" si="305"/>
        <v>1</v>
      </c>
    </row>
    <row r="2697" spans="1:38" hidden="1" x14ac:dyDescent="0.2">
      <c r="A2697" s="2">
        <v>2025</v>
      </c>
      <c r="B2697" s="2">
        <v>9</v>
      </c>
      <c r="D2697" s="2" t="s">
        <v>841</v>
      </c>
      <c r="E2697" s="2" t="s">
        <v>109</v>
      </c>
      <c r="F2697" s="2" t="s">
        <v>842</v>
      </c>
      <c r="G2697" s="2">
        <v>504981285</v>
      </c>
      <c r="H2697" s="2" t="s">
        <v>291</v>
      </c>
      <c r="I2697" s="2" t="s">
        <v>843</v>
      </c>
      <c r="J2697" s="2" t="s">
        <v>844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04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6"/>
        <v>0</v>
      </c>
      <c r="AJ2697" s="2">
        <f t="shared" si="307"/>
        <v>0</v>
      </c>
      <c r="AK2697" s="2">
        <f t="shared" si="308"/>
        <v>57.15</v>
      </c>
      <c r="AL2697" s="5">
        <f t="shared" si="305"/>
        <v>1</v>
      </c>
    </row>
    <row r="2698" spans="1:38" hidden="1" x14ac:dyDescent="0.2">
      <c r="A2698" s="2">
        <v>2025</v>
      </c>
      <c r="B2698" s="2">
        <v>9</v>
      </c>
      <c r="D2698" s="2" t="s">
        <v>2247</v>
      </c>
      <c r="P2698" s="2" t="s">
        <v>73</v>
      </c>
      <c r="Q2698" s="2" t="s">
        <v>1392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04"/>
        <v>0.4797142857142857</v>
      </c>
      <c r="Z2698" s="2" t="s">
        <v>3231</v>
      </c>
      <c r="AA2698" s="2" t="s">
        <v>76</v>
      </c>
      <c r="AB2698" s="2" t="s">
        <v>77</v>
      </c>
      <c r="AC2698" s="2" t="s">
        <v>78</v>
      </c>
      <c r="AF2698" s="2">
        <f t="shared" si="306"/>
        <v>0</v>
      </c>
      <c r="AJ2698" s="2">
        <f t="shared" si="307"/>
        <v>0</v>
      </c>
      <c r="AK2698" s="2">
        <f t="shared" si="308"/>
        <v>100.74</v>
      </c>
      <c r="AL2698" s="5">
        <f t="shared" si="305"/>
        <v>0.4797142857142857</v>
      </c>
    </row>
    <row r="2699" spans="1:38" hidden="1" x14ac:dyDescent="0.2">
      <c r="A2699" s="2">
        <v>2025</v>
      </c>
      <c r="B2699" s="2">
        <v>9</v>
      </c>
      <c r="D2699" s="2" t="s">
        <v>2247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04"/>
        <v>0</v>
      </c>
      <c r="Z2699" s="2" t="s">
        <v>3231</v>
      </c>
      <c r="AA2699" s="2" t="s">
        <v>97</v>
      </c>
      <c r="AB2699" s="2" t="s">
        <v>77</v>
      </c>
      <c r="AC2699" s="2" t="s">
        <v>94</v>
      </c>
      <c r="AF2699" s="2">
        <f t="shared" si="306"/>
        <v>0</v>
      </c>
      <c r="AJ2699" s="2">
        <f t="shared" si="307"/>
        <v>0</v>
      </c>
      <c r="AK2699" s="2">
        <f t="shared" si="308"/>
        <v>0</v>
      </c>
      <c r="AL2699" s="5">
        <f t="shared" si="305"/>
        <v>0</v>
      </c>
    </row>
    <row r="2700" spans="1:38" hidden="1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3152</v>
      </c>
      <c r="P2700" s="2" t="s">
        <v>1040</v>
      </c>
      <c r="Q2700" s="2" t="s">
        <v>1041</v>
      </c>
      <c r="R2700" s="2" t="s">
        <v>1042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04"/>
        <v>0.26017220172201722</v>
      </c>
      <c r="Z2700" s="2" t="s">
        <v>3231</v>
      </c>
      <c r="AA2700" s="2" t="s">
        <v>1043</v>
      </c>
      <c r="AB2700" s="2" t="s">
        <v>1044</v>
      </c>
      <c r="AC2700" s="2" t="s">
        <v>1040</v>
      </c>
      <c r="AF2700" s="2">
        <f t="shared" si="306"/>
        <v>0</v>
      </c>
      <c r="AG2700" s="2">
        <v>150.37</v>
      </c>
      <c r="AJ2700" s="2">
        <f t="shared" si="307"/>
        <v>0</v>
      </c>
      <c r="AK2700" s="2">
        <f t="shared" si="308"/>
        <v>52.879999999999995</v>
      </c>
      <c r="AL2700" s="5">
        <f t="shared" si="305"/>
        <v>0.26017220172201722</v>
      </c>
    </row>
    <row r="2701" spans="1:38" hidden="1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04"/>
        <v>0.23333333333333334</v>
      </c>
      <c r="Z2701" s="2" t="s">
        <v>170</v>
      </c>
      <c r="AA2701" s="2" t="s">
        <v>170</v>
      </c>
      <c r="AF2701" s="2">
        <f t="shared" si="306"/>
        <v>0</v>
      </c>
      <c r="AJ2701" s="2">
        <f t="shared" si="307"/>
        <v>0</v>
      </c>
      <c r="AK2701" s="2">
        <f t="shared" si="308"/>
        <v>7</v>
      </c>
      <c r="AL2701" s="5">
        <f t="shared" si="305"/>
        <v>0.23333333333333334</v>
      </c>
    </row>
    <row r="2702" spans="1:38" hidden="1" x14ac:dyDescent="0.2">
      <c r="A2702" s="2">
        <v>2025</v>
      </c>
      <c r="B2702" s="2">
        <v>9</v>
      </c>
      <c r="D2702" s="2" t="s">
        <v>2248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04"/>
        <v>0.4575909090909091</v>
      </c>
      <c r="Z2702" s="2" t="s">
        <v>3231</v>
      </c>
      <c r="AA2702" s="2" t="s">
        <v>76</v>
      </c>
      <c r="AB2702" s="2" t="s">
        <v>77</v>
      </c>
      <c r="AC2702" s="2" t="s">
        <v>78</v>
      </c>
      <c r="AF2702" s="2">
        <f t="shared" si="306"/>
        <v>0</v>
      </c>
      <c r="AG2702" s="2">
        <v>119.33</v>
      </c>
      <c r="AH2702" s="2">
        <v>220</v>
      </c>
      <c r="AJ2702" s="2">
        <f t="shared" si="307"/>
        <v>0</v>
      </c>
      <c r="AK2702" s="2">
        <f t="shared" si="308"/>
        <v>100.67</v>
      </c>
      <c r="AL2702" s="5">
        <f t="shared" si="305"/>
        <v>0.4575909090909091</v>
      </c>
    </row>
    <row r="2703" spans="1:38" hidden="1" x14ac:dyDescent="0.2">
      <c r="A2703" s="2">
        <v>2025</v>
      </c>
      <c r="B2703" s="2">
        <v>9</v>
      </c>
      <c r="D2703" s="2" t="s">
        <v>2248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04"/>
        <v>0</v>
      </c>
      <c r="Z2703" s="2" t="s">
        <v>3231</v>
      </c>
      <c r="AA2703" s="2" t="s">
        <v>97</v>
      </c>
      <c r="AB2703" s="2" t="s">
        <v>77</v>
      </c>
      <c r="AC2703" s="2" t="s">
        <v>94</v>
      </c>
      <c r="AF2703" s="2">
        <f t="shared" si="306"/>
        <v>0</v>
      </c>
      <c r="AJ2703" s="2">
        <f t="shared" si="307"/>
        <v>0</v>
      </c>
      <c r="AK2703" s="2">
        <f t="shared" si="308"/>
        <v>0</v>
      </c>
      <c r="AL2703" s="5">
        <f t="shared" si="305"/>
        <v>0</v>
      </c>
    </row>
    <row r="2704" spans="1:38" hidden="1" x14ac:dyDescent="0.2">
      <c r="A2704" s="2">
        <v>2025</v>
      </c>
      <c r="B2704" s="2">
        <v>9</v>
      </c>
      <c r="D2704" s="2" t="s">
        <v>1257</v>
      </c>
      <c r="G2704" s="2">
        <v>513777377</v>
      </c>
      <c r="M2704" s="2" t="s">
        <v>81</v>
      </c>
      <c r="O2704" s="2" t="s">
        <v>3170</v>
      </c>
      <c r="P2704" s="2" t="s">
        <v>1040</v>
      </c>
      <c r="Q2704" s="2" t="s">
        <v>2249</v>
      </c>
      <c r="R2704" s="2" t="s">
        <v>2250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04"/>
        <v>0.36376085476953862</v>
      </c>
      <c r="Z2704" s="2" t="s">
        <v>3231</v>
      </c>
      <c r="AA2704" s="2" t="s">
        <v>1043</v>
      </c>
      <c r="AB2704" s="2" t="s">
        <v>2251</v>
      </c>
      <c r="AC2704" s="2" t="s">
        <v>1040</v>
      </c>
      <c r="AF2704" s="2">
        <f t="shared" si="306"/>
        <v>0</v>
      </c>
      <c r="AJ2704" s="2">
        <f t="shared" si="307"/>
        <v>0</v>
      </c>
      <c r="AK2704" s="2">
        <f t="shared" si="308"/>
        <v>443.61</v>
      </c>
      <c r="AL2704" s="5">
        <f t="shared" si="305"/>
        <v>0.36376085476953862</v>
      </c>
    </row>
    <row r="2705" spans="1:38" hidden="1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04"/>
        <v>1</v>
      </c>
      <c r="Z2705" s="2" t="s">
        <v>120</v>
      </c>
      <c r="AA2705" s="2" t="s">
        <v>493</v>
      </c>
      <c r="AF2705" s="2">
        <f t="shared" si="306"/>
        <v>0</v>
      </c>
      <c r="AJ2705" s="2">
        <f t="shared" si="307"/>
        <v>0</v>
      </c>
      <c r="AK2705" s="2">
        <f t="shared" si="308"/>
        <v>664.04</v>
      </c>
      <c r="AL2705" s="5">
        <f t="shared" si="305"/>
        <v>1</v>
      </c>
    </row>
    <row r="2706" spans="1:38" hidden="1" x14ac:dyDescent="0.2">
      <c r="A2706" s="2">
        <v>2025</v>
      </c>
      <c r="B2706" s="2">
        <v>9</v>
      </c>
      <c r="D2706" s="2" t="s">
        <v>2252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04"/>
        <v>0.44777500000000003</v>
      </c>
      <c r="Z2706" s="2" t="s">
        <v>3231</v>
      </c>
      <c r="AA2706" s="2" t="s">
        <v>46</v>
      </c>
      <c r="AB2706" s="2" t="s">
        <v>47</v>
      </c>
      <c r="AC2706" s="2" t="s">
        <v>48</v>
      </c>
      <c r="AF2706" s="2">
        <f t="shared" si="306"/>
        <v>0</v>
      </c>
      <c r="AG2706" s="2">
        <v>6.6266999999999996</v>
      </c>
      <c r="AH2706" s="2">
        <v>12</v>
      </c>
      <c r="AJ2706" s="2">
        <f t="shared" si="307"/>
        <v>0</v>
      </c>
      <c r="AK2706" s="2">
        <f t="shared" si="308"/>
        <v>5.3733000000000004</v>
      </c>
      <c r="AL2706" s="5">
        <f t="shared" si="305"/>
        <v>0.44777500000000003</v>
      </c>
    </row>
    <row r="2707" spans="1:38" hidden="1" x14ac:dyDescent="0.2">
      <c r="A2707" s="2">
        <v>2025</v>
      </c>
      <c r="B2707" s="2">
        <v>9</v>
      </c>
      <c r="D2707" s="2" t="s">
        <v>2252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04"/>
        <v>0.52105128205128204</v>
      </c>
      <c r="Z2707" s="2" t="s">
        <v>3231</v>
      </c>
      <c r="AA2707" s="2" t="s">
        <v>46</v>
      </c>
      <c r="AB2707" s="2" t="s">
        <v>47</v>
      </c>
      <c r="AC2707" s="2" t="s">
        <v>48</v>
      </c>
      <c r="AF2707" s="2">
        <f t="shared" si="306"/>
        <v>0</v>
      </c>
      <c r="AG2707" s="2">
        <v>3.7357999999999998</v>
      </c>
      <c r="AH2707" s="2">
        <v>9</v>
      </c>
      <c r="AJ2707" s="2">
        <f t="shared" si="307"/>
        <v>0</v>
      </c>
      <c r="AK2707" s="2">
        <f t="shared" si="308"/>
        <v>4.0641999999999996</v>
      </c>
      <c r="AL2707" s="5">
        <f t="shared" si="305"/>
        <v>0.52105128205128204</v>
      </c>
    </row>
    <row r="2708" spans="1:38" hidden="1" x14ac:dyDescent="0.2">
      <c r="A2708" s="2">
        <v>2025</v>
      </c>
      <c r="B2708" s="2">
        <v>9</v>
      </c>
      <c r="D2708" s="2" t="s">
        <v>2253</v>
      </c>
      <c r="P2708" s="2" t="s">
        <v>115</v>
      </c>
      <c r="Q2708" s="2" t="s">
        <v>780</v>
      </c>
      <c r="R2708" s="2" t="s">
        <v>781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04"/>
        <v>1</v>
      </c>
      <c r="Z2708" s="2" t="s">
        <v>118</v>
      </c>
      <c r="AF2708" s="2">
        <f t="shared" si="306"/>
        <v>0</v>
      </c>
      <c r="AJ2708" s="2">
        <f t="shared" si="307"/>
        <v>0</v>
      </c>
      <c r="AK2708" s="2">
        <f t="shared" si="308"/>
        <v>65.72</v>
      </c>
      <c r="AL2708" s="5">
        <f t="shared" si="305"/>
        <v>1</v>
      </c>
    </row>
    <row r="2709" spans="1:38" hidden="1" x14ac:dyDescent="0.2">
      <c r="A2709" s="2">
        <v>2025</v>
      </c>
      <c r="B2709" s="2">
        <v>9</v>
      </c>
      <c r="D2709" s="2" t="s">
        <v>2253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04"/>
        <v>0.5</v>
      </c>
      <c r="Z2709" s="2" t="s">
        <v>118</v>
      </c>
      <c r="AA2709" s="2" t="s">
        <v>191</v>
      </c>
      <c r="AB2709" s="2" t="s">
        <v>191</v>
      </c>
      <c r="AC2709" s="2" t="s">
        <v>40</v>
      </c>
      <c r="AF2709" s="2">
        <f t="shared" si="306"/>
        <v>0</v>
      </c>
      <c r="AJ2709" s="2">
        <f t="shared" si="307"/>
        <v>0</v>
      </c>
      <c r="AK2709" s="2">
        <f t="shared" si="308"/>
        <v>22.5</v>
      </c>
      <c r="AL2709" s="5">
        <f t="shared" si="305"/>
        <v>0.5</v>
      </c>
    </row>
    <row r="2710" spans="1:38" hidden="1" x14ac:dyDescent="0.2">
      <c r="A2710" s="2">
        <v>2025</v>
      </c>
      <c r="B2710" s="2">
        <v>9</v>
      </c>
      <c r="D2710" s="2" t="s">
        <v>2253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04"/>
        <v>1</v>
      </c>
      <c r="Z2710" s="2" t="s">
        <v>120</v>
      </c>
      <c r="AA2710" s="2" t="s">
        <v>3385</v>
      </c>
      <c r="AF2710" s="2">
        <f t="shared" si="306"/>
        <v>0</v>
      </c>
      <c r="AJ2710" s="2">
        <f t="shared" si="307"/>
        <v>0</v>
      </c>
      <c r="AK2710" s="2">
        <f t="shared" si="308"/>
        <v>418.99</v>
      </c>
      <c r="AL2710" s="5">
        <f t="shared" si="305"/>
        <v>1</v>
      </c>
    </row>
    <row r="2711" spans="1:38" hidden="1" x14ac:dyDescent="0.2">
      <c r="A2711" s="2">
        <v>2025</v>
      </c>
      <c r="B2711" s="2">
        <v>9</v>
      </c>
      <c r="D2711" s="2" t="s">
        <v>1399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3221</v>
      </c>
      <c r="J2711" s="2" t="s">
        <v>3220</v>
      </c>
      <c r="K2711" s="2">
        <v>913814877</v>
      </c>
      <c r="L2711" s="2" t="s">
        <v>202</v>
      </c>
      <c r="M2711" s="2" t="s">
        <v>81</v>
      </c>
      <c r="O2711" s="2" t="s">
        <v>3214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04"/>
        <v>0.41111111111111115</v>
      </c>
      <c r="Z2711" s="2" t="s">
        <v>3231</v>
      </c>
      <c r="AA2711" s="2" t="s">
        <v>46</v>
      </c>
      <c r="AB2711" s="2" t="s">
        <v>57</v>
      </c>
      <c r="AC2711" s="2" t="s">
        <v>58</v>
      </c>
      <c r="AF2711" s="2">
        <f t="shared" si="306"/>
        <v>0</v>
      </c>
      <c r="AG2711" s="2">
        <v>10.6</v>
      </c>
      <c r="AH2711" s="2">
        <v>18</v>
      </c>
      <c r="AJ2711" s="2">
        <f t="shared" si="307"/>
        <v>0</v>
      </c>
      <c r="AK2711" s="2">
        <f t="shared" si="308"/>
        <v>22.200000000000003</v>
      </c>
      <c r="AL2711" s="5">
        <f t="shared" si="305"/>
        <v>0.41111111111111115</v>
      </c>
    </row>
    <row r="2712" spans="1:38" hidden="1" x14ac:dyDescent="0.2">
      <c r="A2712" s="2">
        <v>2025</v>
      </c>
      <c r="B2712" s="2">
        <v>9</v>
      </c>
      <c r="D2712" s="2" t="s">
        <v>1399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3221</v>
      </c>
      <c r="J2712" s="2" t="s">
        <v>3220</v>
      </c>
      <c r="K2712" s="2">
        <v>913814877</v>
      </c>
      <c r="L2712" s="2" t="s">
        <v>202</v>
      </c>
      <c r="M2712" s="2" t="s">
        <v>81</v>
      </c>
      <c r="O2712" s="2" t="s">
        <v>3214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304"/>
        <v>1</v>
      </c>
      <c r="Z2712" s="2" t="s">
        <v>170</v>
      </c>
      <c r="AA2712" s="2" t="s">
        <v>170</v>
      </c>
      <c r="AF2712" s="2">
        <f t="shared" si="306"/>
        <v>0</v>
      </c>
      <c r="AJ2712" s="2">
        <f t="shared" si="307"/>
        <v>0</v>
      </c>
      <c r="AK2712" s="2">
        <f t="shared" si="308"/>
        <v>8.5</v>
      </c>
      <c r="AL2712" s="5">
        <f t="shared" si="305"/>
        <v>1</v>
      </c>
    </row>
    <row r="2713" spans="1:38" hidden="1" x14ac:dyDescent="0.2">
      <c r="A2713" s="2">
        <v>2025</v>
      </c>
      <c r="B2713" s="2">
        <v>9</v>
      </c>
      <c r="D2713" s="2" t="s">
        <v>852</v>
      </c>
      <c r="P2713" s="2" t="s">
        <v>73</v>
      </c>
      <c r="Q2713" s="2" t="s">
        <v>2254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04"/>
        <v>0.45448148148148149</v>
      </c>
      <c r="Z2713" s="2" t="s">
        <v>3231</v>
      </c>
      <c r="AA2713" s="2" t="s">
        <v>76</v>
      </c>
      <c r="AB2713" s="2" t="s">
        <v>77</v>
      </c>
      <c r="AC2713" s="2" t="s">
        <v>78</v>
      </c>
      <c r="AF2713" s="2">
        <f t="shared" si="306"/>
        <v>0</v>
      </c>
      <c r="AJ2713" s="2">
        <f t="shared" si="307"/>
        <v>0</v>
      </c>
      <c r="AK2713" s="2">
        <f t="shared" si="308"/>
        <v>122.71000000000001</v>
      </c>
      <c r="AL2713" s="5">
        <f t="shared" si="305"/>
        <v>0.45448148148148149</v>
      </c>
    </row>
    <row r="2714" spans="1:38" hidden="1" x14ac:dyDescent="0.2">
      <c r="A2714" s="2">
        <v>2025</v>
      </c>
      <c r="B2714" s="2">
        <v>9</v>
      </c>
      <c r="D2714" s="2" t="s">
        <v>852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04"/>
        <v>0</v>
      </c>
      <c r="Z2714" s="2" t="s">
        <v>3231</v>
      </c>
      <c r="AA2714" s="2" t="s">
        <v>97</v>
      </c>
      <c r="AB2714" s="2" t="s">
        <v>77</v>
      </c>
      <c r="AC2714" s="2" t="s">
        <v>94</v>
      </c>
      <c r="AF2714" s="2">
        <f t="shared" si="306"/>
        <v>0</v>
      </c>
      <c r="AJ2714" s="2">
        <f t="shared" si="307"/>
        <v>0</v>
      </c>
      <c r="AK2714" s="2">
        <f t="shared" si="308"/>
        <v>0</v>
      </c>
      <c r="AL2714" s="5">
        <f t="shared" si="305"/>
        <v>0</v>
      </c>
    </row>
    <row r="2715" spans="1:38" hidden="1" x14ac:dyDescent="0.2">
      <c r="A2715" s="2">
        <v>2025</v>
      </c>
      <c r="B2715" s="2">
        <v>9</v>
      </c>
      <c r="D2715" s="2" t="s">
        <v>855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856</v>
      </c>
      <c r="J2715" s="2" t="s">
        <v>857</v>
      </c>
      <c r="K2715" s="2">
        <v>917665950</v>
      </c>
      <c r="L2715" s="2" t="s">
        <v>100</v>
      </c>
      <c r="M2715" s="2" t="s">
        <v>41</v>
      </c>
      <c r="O2715" s="2" t="s">
        <v>2255</v>
      </c>
      <c r="P2715" s="2" t="s">
        <v>283</v>
      </c>
      <c r="Q2715" s="2" t="s">
        <v>2256</v>
      </c>
      <c r="R2715" s="2" t="s">
        <v>2257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04"/>
        <v>0.34111111111111114</v>
      </c>
      <c r="Z2715" s="2" t="s">
        <v>3231</v>
      </c>
      <c r="AA2715" s="2" t="s">
        <v>72</v>
      </c>
      <c r="AB2715" s="2" t="s">
        <v>120</v>
      </c>
      <c r="AC2715" s="2" t="s">
        <v>120</v>
      </c>
      <c r="AF2715" s="2">
        <f t="shared" si="306"/>
        <v>0</v>
      </c>
      <c r="AG2715" s="2">
        <v>5.93</v>
      </c>
      <c r="AJ2715" s="2">
        <f t="shared" si="307"/>
        <v>0</v>
      </c>
      <c r="AK2715" s="2">
        <f t="shared" si="308"/>
        <v>3.0700000000000003</v>
      </c>
      <c r="AL2715" s="5">
        <f t="shared" si="305"/>
        <v>0.34111111111111114</v>
      </c>
    </row>
    <row r="2716" spans="1:38" hidden="1" x14ac:dyDescent="0.2">
      <c r="A2716" s="2">
        <v>2025</v>
      </c>
      <c r="B2716" s="2">
        <v>9</v>
      </c>
      <c r="D2716" s="2" t="s">
        <v>855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856</v>
      </c>
      <c r="J2716" s="2" t="s">
        <v>857</v>
      </c>
      <c r="K2716" s="2">
        <v>917665950</v>
      </c>
      <c r="L2716" s="2" t="s">
        <v>100</v>
      </c>
      <c r="M2716" s="2" t="s">
        <v>41</v>
      </c>
      <c r="O2716" s="2" t="s">
        <v>2255</v>
      </c>
      <c r="P2716" s="2" t="s">
        <v>43</v>
      </c>
      <c r="Q2716" s="2" t="s">
        <v>859</v>
      </c>
      <c r="R2716" s="2" t="s">
        <v>860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si="304"/>
        <v>0.53037634408602152</v>
      </c>
      <c r="Z2716" s="2" t="s">
        <v>3231</v>
      </c>
      <c r="AA2716" s="2" t="s">
        <v>46</v>
      </c>
      <c r="AB2716" s="2" t="s">
        <v>47</v>
      </c>
      <c r="AC2716" s="2" t="s">
        <v>48</v>
      </c>
      <c r="AF2716" s="2">
        <f t="shared" si="306"/>
        <v>0</v>
      </c>
      <c r="AJ2716" s="2">
        <f t="shared" si="307"/>
        <v>0</v>
      </c>
      <c r="AK2716" s="2">
        <f t="shared" si="308"/>
        <v>9.865000000000002</v>
      </c>
      <c r="AL2716" s="5">
        <f t="shared" si="305"/>
        <v>0.53037634408602152</v>
      </c>
    </row>
    <row r="2717" spans="1:38" hidden="1" x14ac:dyDescent="0.2">
      <c r="A2717" s="2">
        <v>2025</v>
      </c>
      <c r="B2717" s="2">
        <v>9</v>
      </c>
      <c r="D2717" s="2" t="s">
        <v>855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856</v>
      </c>
      <c r="J2717" s="2" t="s">
        <v>857</v>
      </c>
      <c r="K2717" s="2">
        <v>917665950</v>
      </c>
      <c r="L2717" s="2" t="s">
        <v>100</v>
      </c>
      <c r="M2717" s="2" t="s">
        <v>41</v>
      </c>
      <c r="O2717" s="2" t="s">
        <v>2255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9">(T2717-W2717)/T2717</f>
        <v>0.44777500000000003</v>
      </c>
      <c r="Z2717" s="2" t="s">
        <v>3231</v>
      </c>
      <c r="AA2717" s="2" t="s">
        <v>46</v>
      </c>
      <c r="AB2717" s="2" t="s">
        <v>47</v>
      </c>
      <c r="AC2717" s="2" t="s">
        <v>48</v>
      </c>
      <c r="AF2717" s="2">
        <f t="shared" si="306"/>
        <v>0</v>
      </c>
      <c r="AG2717" s="2">
        <v>6.6266999999999996</v>
      </c>
      <c r="AH2717" s="2">
        <v>12</v>
      </c>
      <c r="AJ2717" s="2">
        <f t="shared" si="307"/>
        <v>0</v>
      </c>
      <c r="AK2717" s="2">
        <f t="shared" si="308"/>
        <v>10.746600000000001</v>
      </c>
      <c r="AL2717" s="5">
        <f t="shared" ref="AL2717:AL2773" si="310">(T2717-W2717)/T2717</f>
        <v>0.44777500000000003</v>
      </c>
    </row>
    <row r="2718" spans="1:38" hidden="1" x14ac:dyDescent="0.2">
      <c r="A2718" s="2">
        <v>2025</v>
      </c>
      <c r="B2718" s="2">
        <v>9</v>
      </c>
      <c r="D2718" s="2" t="s">
        <v>855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856</v>
      </c>
      <c r="J2718" s="2" t="s">
        <v>857</v>
      </c>
      <c r="K2718" s="2">
        <v>917665950</v>
      </c>
      <c r="L2718" s="2" t="s">
        <v>100</v>
      </c>
      <c r="M2718" s="2" t="s">
        <v>41</v>
      </c>
      <c r="O2718" s="2" t="s">
        <v>2255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09"/>
        <v>0.24999999999999994</v>
      </c>
      <c r="Z2718" s="2" t="s">
        <v>3231</v>
      </c>
      <c r="AA2718" s="2" t="s">
        <v>46</v>
      </c>
      <c r="AB2718" s="2" t="s">
        <v>47</v>
      </c>
      <c r="AC2718" s="2" t="s">
        <v>48</v>
      </c>
      <c r="AF2718" s="2">
        <f t="shared" si="306"/>
        <v>0</v>
      </c>
      <c r="AG2718" s="2">
        <v>10.2346</v>
      </c>
      <c r="AH2718" s="2">
        <v>18</v>
      </c>
      <c r="AJ2718" s="2">
        <f t="shared" si="307"/>
        <v>0</v>
      </c>
      <c r="AK2718" s="2">
        <f t="shared" si="308"/>
        <v>4.7999999999999989</v>
      </c>
      <c r="AL2718" s="5">
        <f t="shared" si="310"/>
        <v>0.24999999999999994</v>
      </c>
    </row>
    <row r="2719" spans="1:38" hidden="1" x14ac:dyDescent="0.2">
      <c r="A2719" s="2">
        <v>2025</v>
      </c>
      <c r="B2719" s="2">
        <v>9</v>
      </c>
      <c r="D2719" s="2" t="s">
        <v>1055</v>
      </c>
      <c r="E2719" s="2" t="s">
        <v>184</v>
      </c>
      <c r="F2719" s="2" t="s">
        <v>1056</v>
      </c>
      <c r="G2719" s="2">
        <v>500199523</v>
      </c>
      <c r="H2719" s="2" t="s">
        <v>291</v>
      </c>
      <c r="I2719" s="2" t="s">
        <v>294</v>
      </c>
      <c r="J2719" s="2" t="s">
        <v>1057</v>
      </c>
      <c r="L2719" s="2" t="s">
        <v>294</v>
      </c>
      <c r="M2719" s="2" t="s">
        <v>81</v>
      </c>
      <c r="O2719" s="2" t="s">
        <v>2258</v>
      </c>
      <c r="P2719" s="2" t="s">
        <v>73</v>
      </c>
      <c r="Q2719" s="2" t="s">
        <v>1450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9"/>
        <v>0.44201375000000004</v>
      </c>
      <c r="Z2719" s="2" t="s">
        <v>3231</v>
      </c>
      <c r="AA2719" s="2" t="s">
        <v>76</v>
      </c>
      <c r="AB2719" s="2" t="s">
        <v>77</v>
      </c>
      <c r="AC2719" s="2" t="s">
        <v>78</v>
      </c>
      <c r="AF2719" s="2">
        <f t="shared" si="306"/>
        <v>0</v>
      </c>
      <c r="AG2719" s="2">
        <v>133.91669999999999</v>
      </c>
      <c r="AJ2719" s="2">
        <f t="shared" si="307"/>
        <v>0</v>
      </c>
      <c r="AK2719" s="2">
        <f t="shared" si="308"/>
        <v>106.08330000000001</v>
      </c>
      <c r="AL2719" s="5">
        <f t="shared" si="310"/>
        <v>0.44201375000000004</v>
      </c>
    </row>
    <row r="2720" spans="1:38" hidden="1" x14ac:dyDescent="0.2">
      <c r="A2720" s="2">
        <v>2025</v>
      </c>
      <c r="B2720" s="2">
        <v>9</v>
      </c>
      <c r="D2720" s="2" t="s">
        <v>1055</v>
      </c>
      <c r="E2720" s="2" t="s">
        <v>184</v>
      </c>
      <c r="F2720" s="2" t="s">
        <v>1056</v>
      </c>
      <c r="G2720" s="2">
        <v>500199523</v>
      </c>
      <c r="H2720" s="2" t="s">
        <v>291</v>
      </c>
      <c r="I2720" s="2" t="s">
        <v>294</v>
      </c>
      <c r="J2720" s="2" t="s">
        <v>1057</v>
      </c>
      <c r="L2720" s="2" t="s">
        <v>294</v>
      </c>
      <c r="M2720" s="2" t="s">
        <v>81</v>
      </c>
      <c r="O2720" s="2" t="s">
        <v>2259</v>
      </c>
      <c r="P2720" s="2" t="s">
        <v>73</v>
      </c>
      <c r="Q2720" s="2" t="s">
        <v>2260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9"/>
        <v>0.4851428571428571</v>
      </c>
      <c r="Z2720" s="2" t="s">
        <v>3231</v>
      </c>
      <c r="AA2720" s="2" t="s">
        <v>76</v>
      </c>
      <c r="AB2720" s="2" t="s">
        <v>77</v>
      </c>
      <c r="AC2720" s="2" t="s">
        <v>78</v>
      </c>
      <c r="AF2720" s="2">
        <f t="shared" si="306"/>
        <v>0</v>
      </c>
      <c r="AG2720" s="2">
        <v>108.12</v>
      </c>
      <c r="AJ2720" s="2">
        <f t="shared" si="307"/>
        <v>0</v>
      </c>
      <c r="AK2720" s="2">
        <f t="shared" si="308"/>
        <v>101.88</v>
      </c>
      <c r="AL2720" s="5">
        <f t="shared" si="310"/>
        <v>0.4851428571428571</v>
      </c>
    </row>
    <row r="2721" spans="1:38" hidden="1" x14ac:dyDescent="0.2">
      <c r="A2721" s="2">
        <v>2025</v>
      </c>
      <c r="B2721" s="2">
        <v>9</v>
      </c>
      <c r="D2721" s="2" t="s">
        <v>1055</v>
      </c>
      <c r="E2721" s="2" t="s">
        <v>184</v>
      </c>
      <c r="F2721" s="2" t="s">
        <v>1056</v>
      </c>
      <c r="G2721" s="2">
        <v>500199523</v>
      </c>
      <c r="H2721" s="2" t="s">
        <v>291</v>
      </c>
      <c r="I2721" s="2" t="s">
        <v>294</v>
      </c>
      <c r="J2721" s="2" t="s">
        <v>1057</v>
      </c>
      <c r="L2721" s="2" t="s">
        <v>294</v>
      </c>
      <c r="M2721" s="2" t="s">
        <v>81</v>
      </c>
      <c r="O2721" s="2" t="s">
        <v>2261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9"/>
        <v>0</v>
      </c>
      <c r="Z2721" s="2" t="s">
        <v>3231</v>
      </c>
      <c r="AA2721" s="2" t="s">
        <v>97</v>
      </c>
      <c r="AB2721" s="2" t="s">
        <v>77</v>
      </c>
      <c r="AC2721" s="2" t="s">
        <v>94</v>
      </c>
      <c r="AF2721" s="2">
        <f t="shared" si="306"/>
        <v>0</v>
      </c>
      <c r="AJ2721" s="2">
        <f t="shared" si="307"/>
        <v>0</v>
      </c>
      <c r="AK2721" s="2">
        <f t="shared" si="308"/>
        <v>0</v>
      </c>
      <c r="AL2721" s="5">
        <f t="shared" si="310"/>
        <v>0</v>
      </c>
    </row>
    <row r="2722" spans="1:38" hidden="1" x14ac:dyDescent="0.2">
      <c r="A2722" s="2">
        <v>2025</v>
      </c>
      <c r="B2722" s="2">
        <v>9</v>
      </c>
      <c r="D2722" s="2" t="s">
        <v>2262</v>
      </c>
      <c r="P2722" s="2" t="s">
        <v>115</v>
      </c>
      <c r="Q2722" s="16" t="s">
        <v>710</v>
      </c>
      <c r="R2722" s="2" t="s">
        <v>711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09"/>
        <v>0.30489134078212288</v>
      </c>
      <c r="Z2722" s="2" t="s">
        <v>105</v>
      </c>
      <c r="AA2722" s="2" t="s">
        <v>579</v>
      </c>
      <c r="AB2722" s="2" t="s">
        <v>702</v>
      </c>
      <c r="AC2722" s="2" t="s">
        <v>115</v>
      </c>
      <c r="AF2722" s="2">
        <f t="shared" si="306"/>
        <v>0</v>
      </c>
      <c r="AJ2722" s="2">
        <f t="shared" si="307"/>
        <v>0</v>
      </c>
      <c r="AK2722" s="2">
        <f t="shared" si="308"/>
        <v>545.75549999999998</v>
      </c>
      <c r="AL2722" s="5">
        <f t="shared" si="310"/>
        <v>0.30489134078212288</v>
      </c>
    </row>
    <row r="2723" spans="1:38" hidden="1" x14ac:dyDescent="0.2">
      <c r="A2723" s="2">
        <v>2025</v>
      </c>
      <c r="B2723" s="2">
        <v>9</v>
      </c>
      <c r="D2723" s="2" t="s">
        <v>2263</v>
      </c>
      <c r="P2723" s="2" t="s">
        <v>283</v>
      </c>
      <c r="Q2723" s="2" t="s">
        <v>999</v>
      </c>
      <c r="R2723" s="2" t="s">
        <v>1000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9"/>
        <v>1</v>
      </c>
      <c r="Z2723" s="2" t="s">
        <v>3231</v>
      </c>
      <c r="AF2723" s="2">
        <f t="shared" si="306"/>
        <v>0</v>
      </c>
      <c r="AJ2723" s="2">
        <f t="shared" si="307"/>
        <v>0</v>
      </c>
      <c r="AK2723" s="2">
        <f t="shared" si="308"/>
        <v>119</v>
      </c>
      <c r="AL2723" s="5">
        <f t="shared" si="310"/>
        <v>1</v>
      </c>
    </row>
    <row r="2724" spans="1:38" hidden="1" x14ac:dyDescent="0.2">
      <c r="A2724" s="2">
        <v>2025</v>
      </c>
      <c r="B2724" s="2">
        <v>9</v>
      </c>
      <c r="D2724" s="2" t="s">
        <v>2263</v>
      </c>
      <c r="P2724" s="2" t="s">
        <v>283</v>
      </c>
      <c r="Q2724" s="2" t="s">
        <v>2237</v>
      </c>
      <c r="R2724" s="2" t="s">
        <v>2238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9"/>
        <v>1</v>
      </c>
      <c r="Z2724" s="2" t="s">
        <v>3231</v>
      </c>
      <c r="AF2724" s="2">
        <f t="shared" si="306"/>
        <v>0</v>
      </c>
      <c r="AJ2724" s="2">
        <f t="shared" si="307"/>
        <v>0</v>
      </c>
      <c r="AK2724" s="2">
        <f t="shared" si="308"/>
        <v>12.39</v>
      </c>
      <c r="AL2724" s="5">
        <f t="shared" si="310"/>
        <v>1</v>
      </c>
    </row>
    <row r="2725" spans="1:38" hidden="1" x14ac:dyDescent="0.2">
      <c r="A2725" s="2">
        <v>2025</v>
      </c>
      <c r="B2725" s="2">
        <v>9</v>
      </c>
      <c r="D2725" s="2" t="s">
        <v>2263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2264</v>
      </c>
      <c r="J2725" s="2" t="s">
        <v>2265</v>
      </c>
      <c r="L2725" s="2" t="s">
        <v>419</v>
      </c>
      <c r="M2725" s="2" t="s">
        <v>41</v>
      </c>
      <c r="O2725" s="2" t="s">
        <v>2266</v>
      </c>
      <c r="P2725" s="2" t="s">
        <v>43</v>
      </c>
      <c r="Q2725" s="2" t="s">
        <v>1106</v>
      </c>
      <c r="R2725" s="2" t="s">
        <v>1107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9"/>
        <v>0.4623655913978495</v>
      </c>
      <c r="Z2725" s="2" t="s">
        <v>3231</v>
      </c>
      <c r="AA2725" s="2" t="s">
        <v>46</v>
      </c>
      <c r="AB2725" s="2" t="s">
        <v>47</v>
      </c>
      <c r="AC2725" s="2" t="s">
        <v>48</v>
      </c>
      <c r="AF2725" s="2">
        <f t="shared" si="306"/>
        <v>0</v>
      </c>
      <c r="AG2725" s="2">
        <v>10</v>
      </c>
      <c r="AH2725" s="2">
        <v>21</v>
      </c>
      <c r="AJ2725" s="2">
        <f t="shared" si="307"/>
        <v>0</v>
      </c>
      <c r="AK2725" s="2">
        <f t="shared" si="308"/>
        <v>8.6000000000000014</v>
      </c>
      <c r="AL2725" s="5">
        <f t="shared" si="310"/>
        <v>0.4623655913978495</v>
      </c>
    </row>
    <row r="2726" spans="1:38" hidden="1" x14ac:dyDescent="0.2">
      <c r="A2726" s="2">
        <v>2025</v>
      </c>
      <c r="B2726" s="2">
        <v>9</v>
      </c>
      <c r="D2726" s="2" t="s">
        <v>2263</v>
      </c>
      <c r="M2726" s="2" t="s">
        <v>41</v>
      </c>
      <c r="O2726" s="2" t="s">
        <v>2266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9"/>
        <v>0.42634408602150542</v>
      </c>
      <c r="Z2726" s="2" t="s">
        <v>3231</v>
      </c>
      <c r="AA2726" s="2" t="s">
        <v>46</v>
      </c>
      <c r="AB2726" s="2" t="s">
        <v>47</v>
      </c>
      <c r="AC2726" s="2" t="s">
        <v>48</v>
      </c>
      <c r="AF2726" s="2">
        <f t="shared" si="306"/>
        <v>0</v>
      </c>
      <c r="AG2726" s="2">
        <v>10.67</v>
      </c>
      <c r="AH2726" s="2">
        <v>21</v>
      </c>
      <c r="AJ2726" s="2">
        <f t="shared" si="307"/>
        <v>0</v>
      </c>
      <c r="AK2726" s="2">
        <f t="shared" si="308"/>
        <v>7.9300000000000015</v>
      </c>
      <c r="AL2726" s="5">
        <f t="shared" si="310"/>
        <v>0.42634408602150542</v>
      </c>
    </row>
    <row r="2727" spans="1:38" hidden="1" x14ac:dyDescent="0.2">
      <c r="A2727" s="2">
        <v>2025</v>
      </c>
      <c r="B2727" s="2">
        <v>9</v>
      </c>
      <c r="D2727" s="2" t="s">
        <v>2263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9"/>
        <v>0.49025384615384621</v>
      </c>
      <c r="Z2727" s="2" t="s">
        <v>3231</v>
      </c>
      <c r="AA2727" s="2" t="s">
        <v>46</v>
      </c>
      <c r="AB2727" s="2" t="s">
        <v>47</v>
      </c>
      <c r="AC2727" s="2" t="s">
        <v>48</v>
      </c>
      <c r="AF2727" s="2">
        <f t="shared" si="306"/>
        <v>0</v>
      </c>
      <c r="AG2727" s="2">
        <v>6.6266999999999996</v>
      </c>
      <c r="AH2727" s="2">
        <v>12</v>
      </c>
      <c r="AJ2727" s="2">
        <f t="shared" si="307"/>
        <v>0</v>
      </c>
      <c r="AK2727" s="2">
        <f t="shared" si="308"/>
        <v>6.3733000000000004</v>
      </c>
      <c r="AL2727" s="5">
        <f t="shared" si="310"/>
        <v>0.49025384615384621</v>
      </c>
    </row>
    <row r="2728" spans="1:38" hidden="1" x14ac:dyDescent="0.2">
      <c r="A2728" s="2">
        <v>2025</v>
      </c>
      <c r="B2728" s="2">
        <v>9</v>
      </c>
      <c r="D2728" s="2" t="s">
        <v>2263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9"/>
        <v>0.41111111111111115</v>
      </c>
      <c r="Z2728" s="2" t="s">
        <v>3231</v>
      </c>
      <c r="AA2728" s="2" t="s">
        <v>46</v>
      </c>
      <c r="AB2728" s="2" t="s">
        <v>57</v>
      </c>
      <c r="AC2728" s="2" t="s">
        <v>58</v>
      </c>
      <c r="AF2728" s="2">
        <f t="shared" si="306"/>
        <v>0</v>
      </c>
      <c r="AG2728" s="2">
        <v>10.6</v>
      </c>
      <c r="AH2728" s="2">
        <v>18</v>
      </c>
      <c r="AJ2728" s="2">
        <f t="shared" si="307"/>
        <v>0</v>
      </c>
      <c r="AK2728" s="2">
        <f t="shared" si="308"/>
        <v>7.4</v>
      </c>
      <c r="AL2728" s="5">
        <f t="shared" si="310"/>
        <v>0.41111111111111115</v>
      </c>
    </row>
    <row r="2729" spans="1:38" hidden="1" x14ac:dyDescent="0.2">
      <c r="A2729" s="2">
        <v>2025</v>
      </c>
      <c r="B2729" s="2">
        <v>9</v>
      </c>
      <c r="D2729" s="2" t="s">
        <v>2263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9"/>
        <v>0.36923076923076914</v>
      </c>
      <c r="Z2729" s="2" t="s">
        <v>3231</v>
      </c>
      <c r="AA2729" s="2" t="s">
        <v>46</v>
      </c>
      <c r="AB2729" s="2" t="s">
        <v>61</v>
      </c>
      <c r="AC2729" s="2" t="s">
        <v>58</v>
      </c>
      <c r="AF2729" s="2">
        <f t="shared" si="306"/>
        <v>0</v>
      </c>
      <c r="AG2729" s="2">
        <v>8.1999999999999993</v>
      </c>
      <c r="AH2729" s="2">
        <v>13</v>
      </c>
      <c r="AJ2729" s="2">
        <f t="shared" si="307"/>
        <v>0</v>
      </c>
      <c r="AK2729" s="2">
        <f t="shared" si="308"/>
        <v>4.7999999999999989</v>
      </c>
      <c r="AL2729" s="5">
        <f t="shared" si="310"/>
        <v>0.36923076923076914</v>
      </c>
    </row>
    <row r="2730" spans="1:38" hidden="1" x14ac:dyDescent="0.2">
      <c r="A2730" s="2">
        <v>2025</v>
      </c>
      <c r="B2730" s="2">
        <v>9</v>
      </c>
      <c r="D2730" s="2" t="s">
        <v>1073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1558</v>
      </c>
      <c r="J2730" s="2" t="s">
        <v>1828</v>
      </c>
      <c r="L2730" s="2" t="s">
        <v>178</v>
      </c>
      <c r="P2730" s="2" t="s">
        <v>283</v>
      </c>
      <c r="Q2730" s="2" t="s">
        <v>1540</v>
      </c>
      <c r="R2730" s="2" t="s">
        <v>1541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09"/>
        <v>0.29992072480181192</v>
      </c>
      <c r="Z2730" s="2" t="s">
        <v>3231</v>
      </c>
      <c r="AA2730" s="2" t="s">
        <v>156</v>
      </c>
      <c r="AB2730" s="2" t="s">
        <v>3408</v>
      </c>
      <c r="AC2730" s="2" t="s">
        <v>1329</v>
      </c>
      <c r="AF2730" s="2">
        <f t="shared" si="306"/>
        <v>0</v>
      </c>
      <c r="AJ2730" s="2">
        <f t="shared" si="307"/>
        <v>0</v>
      </c>
      <c r="AK2730" s="2">
        <f t="shared" si="308"/>
        <v>15.889799999999994</v>
      </c>
      <c r="AL2730" s="5">
        <f t="shared" si="310"/>
        <v>0.29992072480181192</v>
      </c>
    </row>
    <row r="2731" spans="1:38" hidden="1" x14ac:dyDescent="0.2">
      <c r="A2731" s="2">
        <v>2025</v>
      </c>
      <c r="B2731" s="2">
        <v>9</v>
      </c>
      <c r="D2731" s="2" t="s">
        <v>1073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1558</v>
      </c>
      <c r="J2731" s="2" t="s">
        <v>1828</v>
      </c>
      <c r="L2731" s="2" t="s">
        <v>178</v>
      </c>
      <c r="P2731" s="2" t="s">
        <v>283</v>
      </c>
      <c r="Q2731" s="2" t="s">
        <v>2267</v>
      </c>
      <c r="R2731" s="2" t="s">
        <v>2268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09"/>
        <v>0.30000000000000004</v>
      </c>
      <c r="Z2731" s="2" t="s">
        <v>3231</v>
      </c>
      <c r="AA2731" s="2" t="s">
        <v>156</v>
      </c>
      <c r="AB2731" s="2" t="s">
        <v>3408</v>
      </c>
      <c r="AC2731" s="2" t="s">
        <v>1329</v>
      </c>
      <c r="AF2731" s="2">
        <f t="shared" si="306"/>
        <v>0</v>
      </c>
      <c r="AJ2731" s="2">
        <f t="shared" si="307"/>
        <v>0</v>
      </c>
      <c r="AK2731" s="2">
        <f t="shared" si="308"/>
        <v>12.600000000000001</v>
      </c>
      <c r="AL2731" s="5">
        <f t="shared" si="310"/>
        <v>0.30000000000000004</v>
      </c>
    </row>
    <row r="2732" spans="1:38" hidden="1" x14ac:dyDescent="0.2">
      <c r="A2732" s="2">
        <v>2025</v>
      </c>
      <c r="B2732" s="2">
        <v>9</v>
      </c>
      <c r="D2732" s="2" t="s">
        <v>1073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1558</v>
      </c>
      <c r="J2732" s="2" t="s">
        <v>1828</v>
      </c>
      <c r="L2732" s="2" t="s">
        <v>178</v>
      </c>
      <c r="P2732" s="2" t="s">
        <v>283</v>
      </c>
      <c r="Q2732" s="2" t="s">
        <v>1785</v>
      </c>
      <c r="R2732" s="2" t="s">
        <v>1786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9"/>
        <v>1</v>
      </c>
      <c r="Z2732" s="2" t="s">
        <v>3231</v>
      </c>
      <c r="AF2732" s="2">
        <f t="shared" si="306"/>
        <v>0</v>
      </c>
      <c r="AJ2732" s="2">
        <f t="shared" si="307"/>
        <v>0</v>
      </c>
      <c r="AK2732" s="2">
        <f t="shared" si="308"/>
        <v>59.95</v>
      </c>
      <c r="AL2732" s="5">
        <f t="shared" si="310"/>
        <v>1</v>
      </c>
    </row>
    <row r="2733" spans="1:38" hidden="1" x14ac:dyDescent="0.2">
      <c r="A2733" s="2">
        <v>2025</v>
      </c>
      <c r="B2733" s="2">
        <v>9</v>
      </c>
      <c r="D2733" s="2" t="s">
        <v>1073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1558</v>
      </c>
      <c r="J2733" s="2" t="s">
        <v>1828</v>
      </c>
      <c r="L2733" s="2" t="s">
        <v>178</v>
      </c>
      <c r="P2733" s="2" t="s">
        <v>283</v>
      </c>
      <c r="Q2733" s="2" t="s">
        <v>1787</v>
      </c>
      <c r="R2733" s="2" t="s">
        <v>1786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9"/>
        <v>1</v>
      </c>
      <c r="Z2733" s="2" t="s">
        <v>3231</v>
      </c>
      <c r="AF2733" s="2">
        <f t="shared" si="306"/>
        <v>0</v>
      </c>
      <c r="AJ2733" s="2">
        <f t="shared" si="307"/>
        <v>0</v>
      </c>
      <c r="AK2733" s="2">
        <f t="shared" si="308"/>
        <v>59.95</v>
      </c>
      <c r="AL2733" s="5">
        <f t="shared" si="310"/>
        <v>1</v>
      </c>
    </row>
    <row r="2734" spans="1:38" hidden="1" x14ac:dyDescent="0.2">
      <c r="A2734" s="2">
        <v>2025</v>
      </c>
      <c r="B2734" s="2">
        <v>9</v>
      </c>
      <c r="D2734" s="2" t="s">
        <v>2053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9"/>
        <v>0.60000000000000009</v>
      </c>
      <c r="Z2734" s="2" t="s">
        <v>118</v>
      </c>
      <c r="AA2734" s="2" t="s">
        <v>191</v>
      </c>
      <c r="AB2734" s="2" t="s">
        <v>190</v>
      </c>
      <c r="AC2734" s="2" t="s">
        <v>40</v>
      </c>
      <c r="AF2734" s="2">
        <f t="shared" si="306"/>
        <v>0</v>
      </c>
      <c r="AJ2734" s="2">
        <f t="shared" si="307"/>
        <v>0</v>
      </c>
      <c r="AK2734" s="2">
        <f t="shared" si="308"/>
        <v>68.400000000000006</v>
      </c>
      <c r="AL2734" s="5">
        <f t="shared" si="310"/>
        <v>0.60000000000000009</v>
      </c>
    </row>
    <row r="2735" spans="1:38" hidden="1" x14ac:dyDescent="0.2">
      <c r="A2735" s="2">
        <v>2025</v>
      </c>
      <c r="B2735" s="2">
        <v>9</v>
      </c>
      <c r="D2735" s="2" t="s">
        <v>2053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9"/>
        <v>0.5</v>
      </c>
      <c r="Z2735" s="2" t="s">
        <v>118</v>
      </c>
      <c r="AA2735" s="2" t="s">
        <v>191</v>
      </c>
      <c r="AB2735" s="2" t="s">
        <v>191</v>
      </c>
      <c r="AC2735" s="2" t="s">
        <v>40</v>
      </c>
      <c r="AF2735" s="2">
        <f t="shared" si="306"/>
        <v>0</v>
      </c>
      <c r="AJ2735" s="2">
        <f t="shared" si="307"/>
        <v>0</v>
      </c>
      <c r="AK2735" s="2">
        <f t="shared" si="308"/>
        <v>100</v>
      </c>
      <c r="AL2735" s="5">
        <f t="shared" si="310"/>
        <v>0.5</v>
      </c>
    </row>
    <row r="2736" spans="1:38" hidden="1" x14ac:dyDescent="0.2">
      <c r="A2736" s="2">
        <v>2025</v>
      </c>
      <c r="B2736" s="2">
        <v>9</v>
      </c>
      <c r="D2736" s="2" t="s">
        <v>2053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9"/>
        <v>1</v>
      </c>
      <c r="Z2736" s="2" t="s">
        <v>120</v>
      </c>
      <c r="AA2736" s="2" t="s">
        <v>3385</v>
      </c>
      <c r="AF2736" s="2">
        <f t="shared" si="306"/>
        <v>0</v>
      </c>
      <c r="AJ2736" s="2">
        <f t="shared" si="307"/>
        <v>0</v>
      </c>
      <c r="AK2736" s="2">
        <f t="shared" si="308"/>
        <v>220.11</v>
      </c>
      <c r="AL2736" s="5">
        <f t="shared" si="310"/>
        <v>1</v>
      </c>
    </row>
    <row r="2737" spans="1:38" hidden="1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9"/>
        <v>0.44067336539835233</v>
      </c>
      <c r="Z2737" s="2" t="s">
        <v>3231</v>
      </c>
      <c r="AA2737" s="2" t="s">
        <v>76</v>
      </c>
      <c r="AB2737" s="2" t="s">
        <v>77</v>
      </c>
      <c r="AC2737" s="2" t="s">
        <v>78</v>
      </c>
      <c r="AF2737" s="2">
        <f t="shared" si="306"/>
        <v>0</v>
      </c>
      <c r="AG2737" s="2">
        <v>117.453</v>
      </c>
      <c r="AH2737" s="2">
        <v>220</v>
      </c>
      <c r="AJ2737" s="2">
        <f t="shared" si="307"/>
        <v>0</v>
      </c>
      <c r="AK2737" s="2">
        <f t="shared" si="308"/>
        <v>92.537000000000006</v>
      </c>
      <c r="AL2737" s="5">
        <f t="shared" si="310"/>
        <v>0.44067336539835233</v>
      </c>
    </row>
    <row r="2738" spans="1:38" hidden="1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9"/>
        <v>0</v>
      </c>
      <c r="Z2738" s="2" t="s">
        <v>3231</v>
      </c>
      <c r="AA2738" s="2" t="s">
        <v>97</v>
      </c>
      <c r="AB2738" s="2" t="s">
        <v>77</v>
      </c>
      <c r="AC2738" s="2" t="s">
        <v>94</v>
      </c>
      <c r="AF2738" s="2">
        <f t="shared" si="306"/>
        <v>0</v>
      </c>
      <c r="AJ2738" s="2">
        <f t="shared" si="307"/>
        <v>0</v>
      </c>
      <c r="AK2738" s="2">
        <f t="shared" si="308"/>
        <v>0</v>
      </c>
      <c r="AL2738" s="5">
        <f t="shared" si="310"/>
        <v>0</v>
      </c>
    </row>
    <row r="2739" spans="1:38" hidden="1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2269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9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6"/>
        <v>0</v>
      </c>
      <c r="AG2739" s="2">
        <v>5.33</v>
      </c>
      <c r="AJ2739" s="2">
        <f t="shared" si="307"/>
        <v>0</v>
      </c>
      <c r="AK2739" s="2">
        <f t="shared" si="308"/>
        <v>13.829999999999998</v>
      </c>
      <c r="AL2739" s="5">
        <f t="shared" si="310"/>
        <v>0.56472029399754997</v>
      </c>
    </row>
    <row r="2740" spans="1:38" hidden="1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2270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9"/>
        <v>0.4575909090909091</v>
      </c>
      <c r="Z2740" s="2" t="s">
        <v>3231</v>
      </c>
      <c r="AA2740" s="2" t="s">
        <v>76</v>
      </c>
      <c r="AB2740" s="2" t="s">
        <v>77</v>
      </c>
      <c r="AC2740" s="2" t="s">
        <v>78</v>
      </c>
      <c r="AF2740" s="2">
        <f t="shared" si="306"/>
        <v>0</v>
      </c>
      <c r="AG2740" s="2">
        <v>119.33</v>
      </c>
      <c r="AH2740" s="2">
        <v>220</v>
      </c>
      <c r="AJ2740" s="2">
        <f t="shared" si="307"/>
        <v>0</v>
      </c>
      <c r="AK2740" s="2">
        <f t="shared" si="308"/>
        <v>100.67</v>
      </c>
      <c r="AL2740" s="5">
        <f t="shared" si="310"/>
        <v>0.4575909090909091</v>
      </c>
    </row>
    <row r="2741" spans="1:38" hidden="1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2270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9"/>
        <v>0</v>
      </c>
      <c r="Z2741" s="2" t="s">
        <v>3231</v>
      </c>
      <c r="AA2741" s="2" t="s">
        <v>97</v>
      </c>
      <c r="AB2741" s="2" t="s">
        <v>77</v>
      </c>
      <c r="AC2741" s="2" t="s">
        <v>94</v>
      </c>
      <c r="AF2741" s="2">
        <f t="shared" si="306"/>
        <v>0</v>
      </c>
      <c r="AG2741" s="2">
        <v>1.1399999999999999</v>
      </c>
      <c r="AH2741" s="2">
        <v>1.1399999999999999</v>
      </c>
      <c r="AJ2741" s="2">
        <f t="shared" si="307"/>
        <v>0</v>
      </c>
      <c r="AK2741" s="2">
        <f t="shared" si="308"/>
        <v>0</v>
      </c>
      <c r="AL2741" s="5">
        <f t="shared" si="310"/>
        <v>0</v>
      </c>
    </row>
    <row r="2742" spans="1:38" hidden="1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730</v>
      </c>
      <c r="R2742" s="2" t="s">
        <v>731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9"/>
        <v>1</v>
      </c>
      <c r="AF2742" s="2">
        <f t="shared" si="306"/>
        <v>0</v>
      </c>
      <c r="AJ2742" s="2">
        <f t="shared" si="307"/>
        <v>0</v>
      </c>
      <c r="AK2742" s="2">
        <f t="shared" si="308"/>
        <v>44.98</v>
      </c>
      <c r="AL2742" s="5">
        <f t="shared" si="310"/>
        <v>1</v>
      </c>
    </row>
    <row r="2743" spans="1:38" hidden="1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2271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9"/>
        <v>0.59999999999999987</v>
      </c>
      <c r="Z2743" s="2" t="s">
        <v>118</v>
      </c>
      <c r="AA2743" s="2" t="s">
        <v>191</v>
      </c>
      <c r="AB2743" s="2" t="s">
        <v>190</v>
      </c>
      <c r="AC2743" s="2" t="s">
        <v>40</v>
      </c>
      <c r="AF2743" s="2">
        <f t="shared" si="306"/>
        <v>0</v>
      </c>
      <c r="AJ2743" s="2">
        <f t="shared" si="307"/>
        <v>0</v>
      </c>
      <c r="AK2743" s="2">
        <f t="shared" si="308"/>
        <v>64.199999999999989</v>
      </c>
      <c r="AL2743" s="5">
        <f t="shared" si="310"/>
        <v>0.59999999999999987</v>
      </c>
    </row>
    <row r="2744" spans="1:38" hidden="1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2271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9"/>
        <v>0.5</v>
      </c>
      <c r="Z2744" s="2" t="s">
        <v>118</v>
      </c>
      <c r="AA2744" s="2" t="s">
        <v>191</v>
      </c>
      <c r="AB2744" s="2" t="s">
        <v>191</v>
      </c>
      <c r="AC2744" s="2" t="s">
        <v>40</v>
      </c>
      <c r="AF2744" s="2">
        <f t="shared" si="306"/>
        <v>0</v>
      </c>
      <c r="AJ2744" s="2">
        <f t="shared" si="307"/>
        <v>0</v>
      </c>
      <c r="AK2744" s="2">
        <f t="shared" si="308"/>
        <v>25</v>
      </c>
      <c r="AL2744" s="5">
        <f t="shared" si="310"/>
        <v>0.5</v>
      </c>
    </row>
    <row r="2745" spans="1:38" hidden="1" x14ac:dyDescent="0.2">
      <c r="A2745" s="2">
        <v>2025</v>
      </c>
      <c r="B2745" s="2">
        <v>9</v>
      </c>
      <c r="D2745" s="2" t="s">
        <v>1090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1091</v>
      </c>
      <c r="J2745" s="2" t="s">
        <v>1092</v>
      </c>
      <c r="K2745" s="2">
        <v>917523997</v>
      </c>
      <c r="L2745" s="2" t="s">
        <v>113</v>
      </c>
      <c r="M2745" s="2" t="s">
        <v>40</v>
      </c>
      <c r="O2745" s="2" t="s">
        <v>2272</v>
      </c>
      <c r="P2745" s="2" t="s">
        <v>115</v>
      </c>
      <c r="Q2745" s="2" t="s">
        <v>2273</v>
      </c>
      <c r="R2745" s="2" t="s">
        <v>2274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9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6"/>
        <v>0</v>
      </c>
      <c r="AJ2745" s="2">
        <f t="shared" si="307"/>
        <v>0</v>
      </c>
      <c r="AK2745" s="2">
        <f t="shared" si="308"/>
        <v>123.57</v>
      </c>
      <c r="AL2745" s="5">
        <f t="shared" si="310"/>
        <v>1</v>
      </c>
    </row>
    <row r="2746" spans="1:38" hidden="1" x14ac:dyDescent="0.2">
      <c r="A2746" s="2">
        <v>2025</v>
      </c>
      <c r="B2746" s="2">
        <v>9</v>
      </c>
      <c r="D2746" s="2" t="s">
        <v>1090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1091</v>
      </c>
      <c r="J2746" s="2" t="s">
        <v>1092</v>
      </c>
      <c r="K2746" s="2">
        <v>917523997</v>
      </c>
      <c r="L2746" s="2" t="s">
        <v>113</v>
      </c>
      <c r="M2746" s="2" t="s">
        <v>40</v>
      </c>
      <c r="O2746" s="2" t="s">
        <v>2275</v>
      </c>
      <c r="P2746" s="2" t="s">
        <v>283</v>
      </c>
      <c r="Q2746" s="2" t="s">
        <v>799</v>
      </c>
      <c r="R2746" s="2" t="s">
        <v>800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3231</v>
      </c>
      <c r="AF2746" s="2">
        <f t="shared" si="306"/>
        <v>0</v>
      </c>
      <c r="AJ2746" s="2">
        <f t="shared" si="307"/>
        <v>0</v>
      </c>
      <c r="AK2746" s="2">
        <f t="shared" si="308"/>
        <v>0</v>
      </c>
      <c r="AL2746" s="5" t="e">
        <f t="shared" si="310"/>
        <v>#DIV/0!</v>
      </c>
    </row>
    <row r="2747" spans="1:38" hidden="1" x14ac:dyDescent="0.2">
      <c r="A2747" s="2">
        <v>2025</v>
      </c>
      <c r="B2747" s="2">
        <v>9</v>
      </c>
      <c r="D2747" s="2" t="s">
        <v>1090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1091</v>
      </c>
      <c r="J2747" s="2" t="s">
        <v>1092</v>
      </c>
      <c r="K2747" s="2">
        <v>917523997</v>
      </c>
      <c r="L2747" s="2" t="s">
        <v>113</v>
      </c>
      <c r="M2747" s="2" t="s">
        <v>40</v>
      </c>
      <c r="O2747" s="2" t="s">
        <v>2275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11">(T2747-W2747)/T2747</f>
        <v>0.25</v>
      </c>
      <c r="Z2747" s="2" t="s">
        <v>3231</v>
      </c>
      <c r="AA2747" s="2" t="s">
        <v>72</v>
      </c>
      <c r="AB2747" s="2" t="s">
        <v>120</v>
      </c>
      <c r="AC2747" s="2" t="s">
        <v>120</v>
      </c>
      <c r="AF2747" s="2">
        <f t="shared" si="306"/>
        <v>0</v>
      </c>
      <c r="AJ2747" s="2">
        <f t="shared" si="307"/>
        <v>0</v>
      </c>
      <c r="AK2747" s="2">
        <f t="shared" si="308"/>
        <v>199.5</v>
      </c>
      <c r="AL2747" s="5">
        <f t="shared" si="310"/>
        <v>0.25</v>
      </c>
    </row>
    <row r="2748" spans="1:38" hidden="1" x14ac:dyDescent="0.2">
      <c r="A2748" s="2">
        <v>2025</v>
      </c>
      <c r="B2748" s="2">
        <v>9</v>
      </c>
      <c r="D2748" s="2" t="s">
        <v>2276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11"/>
        <v>0.6</v>
      </c>
      <c r="Z2748" s="2" t="s">
        <v>118</v>
      </c>
      <c r="AA2748" s="2" t="s">
        <v>191</v>
      </c>
      <c r="AB2748" s="2" t="s">
        <v>190</v>
      </c>
      <c r="AC2748" s="2" t="s">
        <v>40</v>
      </c>
      <c r="AF2748" s="2">
        <f t="shared" si="306"/>
        <v>0</v>
      </c>
      <c r="AJ2748" s="2">
        <f t="shared" si="307"/>
        <v>0</v>
      </c>
      <c r="AK2748" s="2">
        <f t="shared" si="308"/>
        <v>61.199999999999996</v>
      </c>
      <c r="AL2748" s="5">
        <f t="shared" si="310"/>
        <v>0.6</v>
      </c>
    </row>
    <row r="2749" spans="1:38" hidden="1" x14ac:dyDescent="0.2">
      <c r="A2749" s="2">
        <v>2025</v>
      </c>
      <c r="B2749" s="2">
        <v>9</v>
      </c>
      <c r="D2749" s="2" t="s">
        <v>2276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11"/>
        <v>0.5</v>
      </c>
      <c r="Z2749" s="2" t="s">
        <v>118</v>
      </c>
      <c r="AA2749" s="2" t="s">
        <v>191</v>
      </c>
      <c r="AB2749" s="2" t="s">
        <v>191</v>
      </c>
      <c r="AC2749" s="2" t="s">
        <v>40</v>
      </c>
      <c r="AF2749" s="2">
        <f t="shared" si="306"/>
        <v>0</v>
      </c>
      <c r="AJ2749" s="2">
        <f t="shared" si="307"/>
        <v>0</v>
      </c>
      <c r="AK2749" s="2">
        <f t="shared" si="308"/>
        <v>22.5</v>
      </c>
      <c r="AL2749" s="5">
        <f t="shared" si="310"/>
        <v>0.5</v>
      </c>
    </row>
    <row r="2750" spans="1:38" hidden="1" x14ac:dyDescent="0.2">
      <c r="A2750" s="2">
        <v>2025</v>
      </c>
      <c r="B2750" s="2">
        <v>9</v>
      </c>
      <c r="D2750" s="2" t="s">
        <v>2276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11"/>
        <v>1</v>
      </c>
      <c r="Z2750" s="2" t="s">
        <v>120</v>
      </c>
      <c r="AA2750" s="2" t="s">
        <v>3385</v>
      </c>
      <c r="AF2750" s="2">
        <f t="shared" si="306"/>
        <v>0</v>
      </c>
      <c r="AJ2750" s="2">
        <f t="shared" si="307"/>
        <v>0</v>
      </c>
      <c r="AK2750" s="2">
        <f t="shared" si="308"/>
        <v>99.75</v>
      </c>
      <c r="AL2750" s="5">
        <f t="shared" si="310"/>
        <v>1</v>
      </c>
    </row>
    <row r="2751" spans="1:38" hidden="1" x14ac:dyDescent="0.2">
      <c r="A2751" s="2">
        <v>2025</v>
      </c>
      <c r="B2751" s="2">
        <v>9</v>
      </c>
      <c r="D2751" s="2" t="s">
        <v>1292</v>
      </c>
      <c r="P2751" s="2" t="s">
        <v>115</v>
      </c>
      <c r="Q2751" s="2" t="s">
        <v>2277</v>
      </c>
      <c r="R2751" s="2" t="s">
        <v>2278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11"/>
        <v>1</v>
      </c>
      <c r="AF2751" s="2">
        <f t="shared" si="306"/>
        <v>0</v>
      </c>
      <c r="AJ2751" s="2">
        <f t="shared" si="307"/>
        <v>0</v>
      </c>
      <c r="AK2751" s="2">
        <f t="shared" si="308"/>
        <v>23.62</v>
      </c>
      <c r="AL2751" s="5">
        <f t="shared" si="310"/>
        <v>1</v>
      </c>
    </row>
    <row r="2752" spans="1:38" hidden="1" x14ac:dyDescent="0.2">
      <c r="A2752" s="2">
        <v>2025</v>
      </c>
      <c r="B2752" s="2">
        <v>9</v>
      </c>
      <c r="D2752" s="2" t="s">
        <v>1292</v>
      </c>
      <c r="P2752" s="2" t="s">
        <v>115</v>
      </c>
      <c r="Q2752" s="2" t="s">
        <v>1693</v>
      </c>
      <c r="R2752" s="2" t="s">
        <v>1694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11"/>
        <v>1</v>
      </c>
      <c r="AF2752" s="2">
        <f t="shared" si="306"/>
        <v>0</v>
      </c>
      <c r="AJ2752" s="2">
        <f t="shared" si="307"/>
        <v>0</v>
      </c>
      <c r="AK2752" s="2">
        <f t="shared" si="308"/>
        <v>63.16</v>
      </c>
      <c r="AL2752" s="5">
        <f t="shared" si="310"/>
        <v>1</v>
      </c>
    </row>
    <row r="2753" spans="1:38" hidden="1" x14ac:dyDescent="0.2">
      <c r="A2753" s="2">
        <v>2025</v>
      </c>
      <c r="B2753" s="2">
        <v>9</v>
      </c>
      <c r="D2753" s="2" t="s">
        <v>1292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11"/>
        <v>0.42232441471571902</v>
      </c>
      <c r="Z2753" s="2" t="s">
        <v>3231</v>
      </c>
      <c r="AA2753" s="2" t="s">
        <v>76</v>
      </c>
      <c r="AB2753" s="2" t="s">
        <v>77</v>
      </c>
      <c r="AC2753" s="2" t="s">
        <v>78</v>
      </c>
      <c r="AF2753" s="2">
        <f t="shared" si="306"/>
        <v>0</v>
      </c>
      <c r="AG2753" s="2">
        <v>117.453</v>
      </c>
      <c r="AH2753" s="2">
        <v>220</v>
      </c>
      <c r="AJ2753" s="2">
        <f t="shared" si="307"/>
        <v>0</v>
      </c>
      <c r="AK2753" s="2">
        <f t="shared" si="308"/>
        <v>85.86699999999999</v>
      </c>
      <c r="AL2753" s="5">
        <f t="shared" si="310"/>
        <v>0.42232441471571902</v>
      </c>
    </row>
    <row r="2754" spans="1:38" hidden="1" x14ac:dyDescent="0.2">
      <c r="A2754" s="2">
        <v>2025</v>
      </c>
      <c r="B2754" s="2">
        <v>9</v>
      </c>
      <c r="D2754" s="2" t="s">
        <v>1292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B2754" s="2" t="s">
        <v>190</v>
      </c>
      <c r="AC2754" s="2" t="s">
        <v>40</v>
      </c>
      <c r="AF2754" s="2">
        <f t="shared" si="306"/>
        <v>0</v>
      </c>
      <c r="AJ2754" s="2">
        <f t="shared" si="307"/>
        <v>0</v>
      </c>
      <c r="AK2754" s="2">
        <f t="shared" si="308"/>
        <v>0</v>
      </c>
      <c r="AL2754" s="5" t="e">
        <f t="shared" si="310"/>
        <v>#DIV/0!</v>
      </c>
    </row>
    <row r="2755" spans="1:38" hidden="1" x14ac:dyDescent="0.2">
      <c r="A2755" s="2">
        <v>2025</v>
      </c>
      <c r="B2755" s="2">
        <v>9</v>
      </c>
      <c r="D2755" s="2" t="s">
        <v>1292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11"/>
        <v>0.5</v>
      </c>
      <c r="Z2755" s="2" t="s">
        <v>118</v>
      </c>
      <c r="AA2755" s="2" t="s">
        <v>191</v>
      </c>
      <c r="AB2755" s="2" t="s">
        <v>191</v>
      </c>
      <c r="AC2755" s="2" t="s">
        <v>40</v>
      </c>
      <c r="AF2755" s="2">
        <f t="shared" ref="AF2755:AF2818" si="312">AJ2755</f>
        <v>0</v>
      </c>
      <c r="AJ2755" s="2">
        <f t="shared" ref="AJ2755:AJ2818" si="313">AI2755*T2755</f>
        <v>0</v>
      </c>
      <c r="AK2755" s="2">
        <f t="shared" ref="AK2755:AK2818" si="314">T2755-W2755</f>
        <v>22.5</v>
      </c>
      <c r="AL2755" s="5">
        <f t="shared" si="310"/>
        <v>0.5</v>
      </c>
    </row>
    <row r="2756" spans="1:38" hidden="1" x14ac:dyDescent="0.2">
      <c r="A2756" s="2">
        <v>2025</v>
      </c>
      <c r="B2756" s="2">
        <v>9</v>
      </c>
      <c r="D2756" s="2" t="s">
        <v>1292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11"/>
        <v>0</v>
      </c>
      <c r="Z2756" s="2" t="s">
        <v>3231</v>
      </c>
      <c r="AA2756" s="2" t="s">
        <v>97</v>
      </c>
      <c r="AB2756" s="2" t="s">
        <v>77</v>
      </c>
      <c r="AC2756" s="2" t="s">
        <v>94</v>
      </c>
      <c r="AF2756" s="2">
        <f t="shared" si="312"/>
        <v>0</v>
      </c>
      <c r="AJ2756" s="2">
        <f t="shared" si="313"/>
        <v>0</v>
      </c>
      <c r="AK2756" s="2">
        <f t="shared" si="314"/>
        <v>0</v>
      </c>
      <c r="AL2756" s="5">
        <f t="shared" si="310"/>
        <v>0</v>
      </c>
    </row>
    <row r="2757" spans="1:38" hidden="1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2279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11"/>
        <v>0.36923076923076914</v>
      </c>
      <c r="Z2757" s="2" t="s">
        <v>3231</v>
      </c>
      <c r="AA2757" s="2" t="s">
        <v>46</v>
      </c>
      <c r="AB2757" s="2" t="s">
        <v>61</v>
      </c>
      <c r="AC2757" s="2" t="s">
        <v>58</v>
      </c>
      <c r="AF2757" s="2">
        <f t="shared" si="312"/>
        <v>0</v>
      </c>
      <c r="AG2757" s="2">
        <v>8.1999999999999993</v>
      </c>
      <c r="AH2757" s="2">
        <v>13</v>
      </c>
      <c r="AJ2757" s="2">
        <f t="shared" si="313"/>
        <v>0</v>
      </c>
      <c r="AK2757" s="2">
        <f t="shared" si="314"/>
        <v>4.7999999999999989</v>
      </c>
      <c r="AL2757" s="5">
        <f t="shared" si="310"/>
        <v>0.36923076923076914</v>
      </c>
    </row>
    <row r="2758" spans="1:38" hidden="1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2279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11"/>
        <v>1</v>
      </c>
      <c r="Z2758" s="2" t="s">
        <v>170</v>
      </c>
      <c r="AA2758" s="2" t="s">
        <v>170</v>
      </c>
      <c r="AF2758" s="2">
        <f t="shared" si="312"/>
        <v>0</v>
      </c>
      <c r="AJ2758" s="2">
        <f t="shared" si="313"/>
        <v>0</v>
      </c>
      <c r="AK2758" s="2">
        <f t="shared" si="314"/>
        <v>8</v>
      </c>
      <c r="AL2758" s="5">
        <f t="shared" si="310"/>
        <v>1</v>
      </c>
    </row>
    <row r="2759" spans="1:38" hidden="1" x14ac:dyDescent="0.2">
      <c r="A2759" s="2">
        <v>2025</v>
      </c>
      <c r="B2759" s="2">
        <v>9</v>
      </c>
      <c r="D2759" s="2" t="s">
        <v>1947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11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12"/>
        <v>0</v>
      </c>
      <c r="AJ2759" s="2">
        <f t="shared" si="313"/>
        <v>0</v>
      </c>
      <c r="AK2759" s="2">
        <f t="shared" si="314"/>
        <v>5320.6</v>
      </c>
      <c r="AL2759" s="5">
        <f t="shared" si="310"/>
        <v>0.33274546591619764</v>
      </c>
    </row>
    <row r="2760" spans="1:38" hidden="1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11"/>
        <v>0.24285714285714285</v>
      </c>
      <c r="Z2760" s="2" t="s">
        <v>3231</v>
      </c>
      <c r="AA2760" s="2" t="s">
        <v>46</v>
      </c>
      <c r="AB2760" s="2" t="s">
        <v>57</v>
      </c>
      <c r="AC2760" s="2" t="s">
        <v>58</v>
      </c>
      <c r="AF2760" s="2">
        <f t="shared" si="312"/>
        <v>0</v>
      </c>
      <c r="AG2760" s="2">
        <v>10.6</v>
      </c>
      <c r="AH2760" s="2">
        <v>18</v>
      </c>
      <c r="AJ2760" s="2">
        <f t="shared" si="313"/>
        <v>0</v>
      </c>
      <c r="AK2760" s="2">
        <f t="shared" si="314"/>
        <v>34</v>
      </c>
      <c r="AL2760" s="5">
        <f t="shared" si="310"/>
        <v>0.24285714285714285</v>
      </c>
    </row>
    <row r="2761" spans="1:38" hidden="1" x14ac:dyDescent="0.2">
      <c r="A2761" s="2">
        <v>2025</v>
      </c>
      <c r="B2761" s="2">
        <v>9</v>
      </c>
      <c r="D2761" s="2" t="s">
        <v>2280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11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12"/>
        <v>0</v>
      </c>
      <c r="AJ2761" s="2">
        <f t="shared" si="313"/>
        <v>0</v>
      </c>
      <c r="AK2761" s="2">
        <f t="shared" si="314"/>
        <v>4330.6000000000004</v>
      </c>
      <c r="AL2761" s="5">
        <f t="shared" si="310"/>
        <v>0.28870666666666667</v>
      </c>
    </row>
    <row r="2762" spans="1:38" hidden="1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2281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11"/>
        <v>0.42634408602150542</v>
      </c>
      <c r="Z2762" s="2" t="s">
        <v>3231</v>
      </c>
      <c r="AA2762" s="2" t="s">
        <v>46</v>
      </c>
      <c r="AB2762" s="2" t="s">
        <v>47</v>
      </c>
      <c r="AC2762" s="2" t="s">
        <v>48</v>
      </c>
      <c r="AF2762" s="2">
        <f t="shared" si="312"/>
        <v>0</v>
      </c>
      <c r="AG2762" s="2">
        <v>10.67</v>
      </c>
      <c r="AH2762" s="2">
        <v>21</v>
      </c>
      <c r="AJ2762" s="2">
        <f t="shared" si="313"/>
        <v>0</v>
      </c>
      <c r="AK2762" s="2">
        <f t="shared" si="314"/>
        <v>7.9300000000000015</v>
      </c>
      <c r="AL2762" s="5">
        <f t="shared" si="310"/>
        <v>0.42634408602150542</v>
      </c>
    </row>
    <row r="2763" spans="1:38" hidden="1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11"/>
        <v>0.62349999999999994</v>
      </c>
      <c r="Z2763" s="2" t="s">
        <v>3231</v>
      </c>
      <c r="AA2763" s="2" t="s">
        <v>46</v>
      </c>
      <c r="AB2763" s="2" t="s">
        <v>47</v>
      </c>
      <c r="AC2763" s="2" t="s">
        <v>48</v>
      </c>
      <c r="AF2763" s="2">
        <f t="shared" si="312"/>
        <v>0</v>
      </c>
      <c r="AJ2763" s="2">
        <f t="shared" si="313"/>
        <v>0</v>
      </c>
      <c r="AK2763" s="2">
        <f t="shared" si="314"/>
        <v>18.704999999999998</v>
      </c>
      <c r="AL2763" s="5">
        <f t="shared" si="310"/>
        <v>0.62349999999999994</v>
      </c>
    </row>
    <row r="2764" spans="1:38" hidden="1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11"/>
        <v>0.21904761904761905</v>
      </c>
      <c r="Z2764" s="2" t="s">
        <v>3231</v>
      </c>
      <c r="AA2764" s="2" t="s">
        <v>46</v>
      </c>
      <c r="AB2764" s="2" t="s">
        <v>61</v>
      </c>
      <c r="AC2764" s="2" t="s">
        <v>58</v>
      </c>
      <c r="AF2764" s="2">
        <f t="shared" si="312"/>
        <v>0</v>
      </c>
      <c r="AG2764" s="2">
        <v>8.1999999999999993</v>
      </c>
      <c r="AH2764" s="2">
        <v>13</v>
      </c>
      <c r="AJ2764" s="2">
        <f t="shared" si="313"/>
        <v>0</v>
      </c>
      <c r="AK2764" s="2">
        <f t="shared" si="314"/>
        <v>23</v>
      </c>
      <c r="AL2764" s="5">
        <f t="shared" si="310"/>
        <v>0.21904761904761905</v>
      </c>
    </row>
    <row r="2765" spans="1:38" hidden="1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1924</v>
      </c>
      <c r="R2765" s="2" t="s">
        <v>1925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11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12"/>
        <v>0</v>
      </c>
      <c r="AJ2765" s="2">
        <f t="shared" si="313"/>
        <v>0</v>
      </c>
      <c r="AK2765" s="2">
        <f t="shared" si="314"/>
        <v>4416.41</v>
      </c>
      <c r="AL2765" s="5">
        <f t="shared" si="310"/>
        <v>0.18026163265306122</v>
      </c>
    </row>
    <row r="2766" spans="1:38" hidden="1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1027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11"/>
        <v>0.40058823529411769</v>
      </c>
      <c r="Z2766" s="2" t="s">
        <v>3231</v>
      </c>
      <c r="AA2766" s="2" t="s">
        <v>76</v>
      </c>
      <c r="AB2766" s="2" t="s">
        <v>77</v>
      </c>
      <c r="AC2766" s="2" t="s">
        <v>78</v>
      </c>
      <c r="AF2766" s="2">
        <f t="shared" si="312"/>
        <v>0</v>
      </c>
      <c r="AJ2766" s="2">
        <f t="shared" si="313"/>
        <v>0</v>
      </c>
      <c r="AK2766" s="2">
        <f t="shared" si="314"/>
        <v>102.15</v>
      </c>
      <c r="AL2766" s="5">
        <f t="shared" si="310"/>
        <v>0.40058823529411769</v>
      </c>
    </row>
    <row r="2767" spans="1:38" hidden="1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11"/>
        <v>0</v>
      </c>
      <c r="Z2767" s="2" t="s">
        <v>3231</v>
      </c>
      <c r="AA2767" s="2" t="s">
        <v>97</v>
      </c>
      <c r="AB2767" s="2" t="s">
        <v>77</v>
      </c>
      <c r="AC2767" s="2" t="s">
        <v>94</v>
      </c>
      <c r="AF2767" s="2">
        <f t="shared" si="312"/>
        <v>0</v>
      </c>
      <c r="AJ2767" s="2">
        <f t="shared" si="313"/>
        <v>0</v>
      </c>
      <c r="AK2767" s="2">
        <f t="shared" si="314"/>
        <v>0</v>
      </c>
      <c r="AL2767" s="5">
        <f t="shared" si="310"/>
        <v>0</v>
      </c>
    </row>
    <row r="2768" spans="1:38" hidden="1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11"/>
        <v>0.44777500000000003</v>
      </c>
      <c r="Z2768" s="2" t="s">
        <v>3231</v>
      </c>
      <c r="AA2768" s="2" t="s">
        <v>46</v>
      </c>
      <c r="AB2768" s="2" t="s">
        <v>47</v>
      </c>
      <c r="AC2768" s="2" t="s">
        <v>48</v>
      </c>
      <c r="AF2768" s="2">
        <f t="shared" si="312"/>
        <v>0</v>
      </c>
      <c r="AG2768" s="2">
        <v>6.6266999999999996</v>
      </c>
      <c r="AH2768" s="2">
        <v>12</v>
      </c>
      <c r="AJ2768" s="2">
        <f t="shared" si="313"/>
        <v>0</v>
      </c>
      <c r="AK2768" s="2">
        <f t="shared" si="314"/>
        <v>16.119900000000001</v>
      </c>
      <c r="AL2768" s="5">
        <f t="shared" si="310"/>
        <v>0.44777500000000003</v>
      </c>
    </row>
    <row r="2769" spans="1:38" hidden="1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11"/>
        <v>0.62349999999999994</v>
      </c>
      <c r="Z2769" s="2" t="s">
        <v>3231</v>
      </c>
      <c r="AA2769" s="2" t="s">
        <v>46</v>
      </c>
      <c r="AB2769" s="2" t="s">
        <v>47</v>
      </c>
      <c r="AC2769" s="2" t="s">
        <v>48</v>
      </c>
      <c r="AF2769" s="2">
        <f t="shared" si="312"/>
        <v>0</v>
      </c>
      <c r="AJ2769" s="2">
        <f t="shared" si="313"/>
        <v>0</v>
      </c>
      <c r="AK2769" s="2">
        <f t="shared" si="314"/>
        <v>18.704999999999998</v>
      </c>
      <c r="AL2769" s="5">
        <f t="shared" si="310"/>
        <v>0.62349999999999994</v>
      </c>
    </row>
    <row r="2770" spans="1:38" hidden="1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11"/>
        <v>0.44819791666666664</v>
      </c>
      <c r="Z2770" s="2" t="s">
        <v>3231</v>
      </c>
      <c r="AA2770" s="2" t="s">
        <v>46</v>
      </c>
      <c r="AB2770" s="2" t="s">
        <v>47</v>
      </c>
      <c r="AC2770" s="2" t="s">
        <v>48</v>
      </c>
      <c r="AF2770" s="2">
        <f t="shared" si="312"/>
        <v>0</v>
      </c>
      <c r="AG2770" s="2">
        <v>5.2972999999999999</v>
      </c>
      <c r="AH2770" s="2">
        <v>10.8</v>
      </c>
      <c r="AJ2770" s="2">
        <f t="shared" si="313"/>
        <v>0</v>
      </c>
      <c r="AK2770" s="2">
        <f t="shared" si="314"/>
        <v>4.3026999999999997</v>
      </c>
      <c r="AL2770" s="5">
        <f t="shared" si="310"/>
        <v>0.44819791666666664</v>
      </c>
    </row>
    <row r="2771" spans="1:38" hidden="1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2282</v>
      </c>
      <c r="R2771" s="2" t="s">
        <v>2283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11"/>
        <v>1</v>
      </c>
      <c r="Z2771" s="2" t="s">
        <v>3231</v>
      </c>
      <c r="AA2771" s="2" t="s">
        <v>88</v>
      </c>
      <c r="AB2771" s="2" t="s">
        <v>120</v>
      </c>
      <c r="AC2771" s="2" t="s">
        <v>167</v>
      </c>
      <c r="AF2771" s="2">
        <f t="shared" si="312"/>
        <v>0</v>
      </c>
      <c r="AJ2771" s="2">
        <f t="shared" si="313"/>
        <v>0</v>
      </c>
      <c r="AK2771" s="2">
        <f t="shared" si="314"/>
        <v>6.52</v>
      </c>
      <c r="AL2771" s="5">
        <f t="shared" si="310"/>
        <v>1</v>
      </c>
    </row>
    <row r="2772" spans="1:38" hidden="1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1048</v>
      </c>
      <c r="R2772" s="2" t="s">
        <v>1049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11"/>
        <v>1</v>
      </c>
      <c r="Z2772" s="2" t="s">
        <v>3231</v>
      </c>
      <c r="AA2772" s="2" t="s">
        <v>88</v>
      </c>
      <c r="AB2772" s="2" t="s">
        <v>120</v>
      </c>
      <c r="AC2772" s="2" t="s">
        <v>167</v>
      </c>
      <c r="AF2772" s="2">
        <f t="shared" si="312"/>
        <v>0</v>
      </c>
      <c r="AJ2772" s="2">
        <f t="shared" si="313"/>
        <v>0</v>
      </c>
      <c r="AK2772" s="2">
        <f t="shared" si="314"/>
        <v>3</v>
      </c>
      <c r="AL2772" s="5">
        <f t="shared" si="310"/>
        <v>1</v>
      </c>
    </row>
    <row r="2773" spans="1:38" hidden="1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2071</v>
      </c>
      <c r="R2773" s="2" t="s">
        <v>2072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11"/>
        <v>1</v>
      </c>
      <c r="Z2773" s="2" t="s">
        <v>3231</v>
      </c>
      <c r="AA2773" s="2" t="s">
        <v>88</v>
      </c>
      <c r="AB2773" s="2" t="s">
        <v>91</v>
      </c>
      <c r="AC2773" s="2" t="s">
        <v>85</v>
      </c>
      <c r="AF2773" s="2">
        <f t="shared" si="312"/>
        <v>0</v>
      </c>
      <c r="AJ2773" s="2">
        <f t="shared" si="313"/>
        <v>0</v>
      </c>
      <c r="AK2773" s="2">
        <f t="shared" si="314"/>
        <v>8.4</v>
      </c>
      <c r="AL2773" s="5">
        <f t="shared" si="310"/>
        <v>1</v>
      </c>
    </row>
    <row r="2774" spans="1:38" hidden="1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2284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 t="shared" ref="X2774:X2784" si="315">IF(T2774=0,IF(W2774&gt;0,-100%,0%),(T2774-W2774)/T2774)</f>
        <v>-1</v>
      </c>
      <c r="Z2774" s="2" t="s">
        <v>3231</v>
      </c>
      <c r="AA2774" s="2" t="s">
        <v>46</v>
      </c>
      <c r="AB2774" s="2" t="s">
        <v>57</v>
      </c>
      <c r="AC2774" s="2" t="s">
        <v>58</v>
      </c>
      <c r="AF2774" s="2">
        <f t="shared" si="312"/>
        <v>0</v>
      </c>
      <c r="AJ2774" s="2">
        <f t="shared" si="313"/>
        <v>0</v>
      </c>
      <c r="AK2774" s="2">
        <f t="shared" si="314"/>
        <v>-7.915</v>
      </c>
      <c r="AL2774" s="18">
        <f t="shared" ref="AL2774:AL2784" si="316">IF(T2774=0,IF(W2774&gt;0,-100%,0%),(T2774-W2774)/T2774)</f>
        <v>-1</v>
      </c>
    </row>
    <row r="2775" spans="1:38" hidden="1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2284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 t="shared" si="315"/>
        <v>-1</v>
      </c>
      <c r="Z2775" s="2" t="s">
        <v>3231</v>
      </c>
      <c r="AA2775" s="2" t="s">
        <v>46</v>
      </c>
      <c r="AB2775" s="2" t="s">
        <v>57</v>
      </c>
      <c r="AC2775" s="2" t="s">
        <v>58</v>
      </c>
      <c r="AF2775" s="2">
        <f t="shared" si="312"/>
        <v>0</v>
      </c>
      <c r="AJ2775" s="2">
        <f t="shared" si="313"/>
        <v>0</v>
      </c>
      <c r="AK2775" s="2">
        <f t="shared" si="314"/>
        <v>-12.4434</v>
      </c>
      <c r="AL2775" s="18">
        <f t="shared" si="316"/>
        <v>-1</v>
      </c>
    </row>
    <row r="2776" spans="1:38" hidden="1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2284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5"/>
        <v>0</v>
      </c>
      <c r="Z2776" s="2" t="s">
        <v>3231</v>
      </c>
      <c r="AA2776" s="2" t="s">
        <v>46</v>
      </c>
      <c r="AB2776" s="2" t="s">
        <v>57</v>
      </c>
      <c r="AC2776" s="2" t="s">
        <v>58</v>
      </c>
      <c r="AF2776" s="2">
        <f t="shared" si="312"/>
        <v>0</v>
      </c>
      <c r="AJ2776" s="2">
        <f t="shared" si="313"/>
        <v>0</v>
      </c>
      <c r="AK2776" s="2">
        <f t="shared" si="314"/>
        <v>0</v>
      </c>
      <c r="AL2776" s="5">
        <f t="shared" si="316"/>
        <v>0</v>
      </c>
    </row>
    <row r="2777" spans="1:38" hidden="1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2284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5"/>
        <v>-1</v>
      </c>
      <c r="Z2777" s="2" t="s">
        <v>3231</v>
      </c>
      <c r="AA2777" s="2" t="s">
        <v>46</v>
      </c>
      <c r="AB2777" s="2" t="s">
        <v>57</v>
      </c>
      <c r="AC2777" s="2" t="s">
        <v>58</v>
      </c>
      <c r="AF2777" s="2">
        <f t="shared" si="312"/>
        <v>0</v>
      </c>
      <c r="AG2777" s="2">
        <v>5.9066999999999998</v>
      </c>
      <c r="AH2777" s="2">
        <v>12.6</v>
      </c>
      <c r="AJ2777" s="2">
        <f t="shared" si="313"/>
        <v>0</v>
      </c>
      <c r="AK2777" s="2">
        <f t="shared" si="314"/>
        <v>-5.9066999999999998</v>
      </c>
      <c r="AL2777" s="5">
        <f t="shared" si="316"/>
        <v>-1</v>
      </c>
    </row>
    <row r="2778" spans="1:38" hidden="1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2284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3231</v>
      </c>
      <c r="AA2778" s="2" t="s">
        <v>46</v>
      </c>
      <c r="AB2778" s="2" t="s">
        <v>57</v>
      </c>
      <c r="AC2778" s="2" t="s">
        <v>58</v>
      </c>
      <c r="AF2778" s="2">
        <f t="shared" si="312"/>
        <v>0</v>
      </c>
      <c r="AJ2778" s="2">
        <f t="shared" si="313"/>
        <v>0</v>
      </c>
      <c r="AK2778" s="2">
        <f t="shared" si="314"/>
        <v>-9.0749999999999993</v>
      </c>
      <c r="AL2778" s="18">
        <v>-1</v>
      </c>
    </row>
    <row r="2779" spans="1:38" hidden="1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2284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5"/>
        <v>0</v>
      </c>
      <c r="Z2779" s="2" t="s">
        <v>3231</v>
      </c>
      <c r="AA2779" s="2" t="s">
        <v>46</v>
      </c>
      <c r="AB2779" s="2" t="s">
        <v>57</v>
      </c>
      <c r="AC2779" s="2" t="s">
        <v>58</v>
      </c>
      <c r="AF2779" s="2">
        <f t="shared" si="312"/>
        <v>0</v>
      </c>
      <c r="AJ2779" s="2">
        <f t="shared" si="313"/>
        <v>0</v>
      </c>
      <c r="AK2779" s="2">
        <f t="shared" si="314"/>
        <v>0</v>
      </c>
      <c r="AL2779" s="5">
        <f t="shared" si="316"/>
        <v>0</v>
      </c>
    </row>
    <row r="2780" spans="1:38" hidden="1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2284</v>
      </c>
      <c r="P2780" s="2" t="s">
        <v>43</v>
      </c>
      <c r="Q2780" s="2" t="s">
        <v>670</v>
      </c>
      <c r="R2780" s="2" t="s">
        <v>671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5"/>
        <v>0</v>
      </c>
      <c r="Z2780" s="2" t="s">
        <v>3231</v>
      </c>
      <c r="AA2780" s="2" t="s">
        <v>46</v>
      </c>
      <c r="AB2780" s="2" t="s">
        <v>57</v>
      </c>
      <c r="AC2780" s="2" t="s">
        <v>58</v>
      </c>
      <c r="AF2780" s="2">
        <f t="shared" si="312"/>
        <v>0</v>
      </c>
      <c r="AG2780" s="2">
        <v>29.27</v>
      </c>
      <c r="AH2780" s="2">
        <v>60</v>
      </c>
      <c r="AJ2780" s="2">
        <f t="shared" si="313"/>
        <v>0</v>
      </c>
      <c r="AK2780" s="2">
        <f t="shared" si="314"/>
        <v>0</v>
      </c>
      <c r="AL2780" s="5">
        <f t="shared" si="316"/>
        <v>0</v>
      </c>
    </row>
    <row r="2781" spans="1:38" hidden="1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2284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5"/>
        <v>-1</v>
      </c>
      <c r="Z2781" s="2" t="s">
        <v>3231</v>
      </c>
      <c r="AA2781" s="2" t="s">
        <v>46</v>
      </c>
      <c r="AB2781" s="2" t="s">
        <v>61</v>
      </c>
      <c r="AC2781" s="2" t="s">
        <v>58</v>
      </c>
      <c r="AF2781" s="2">
        <f t="shared" si="312"/>
        <v>0</v>
      </c>
      <c r="AG2781" s="2">
        <v>8.1999999999999993</v>
      </c>
      <c r="AH2781" s="2">
        <v>13</v>
      </c>
      <c r="AJ2781" s="2">
        <f t="shared" si="313"/>
        <v>0</v>
      </c>
      <c r="AK2781" s="2">
        <f t="shared" si="314"/>
        <v>-8.2000000000000011</v>
      </c>
      <c r="AL2781" s="5">
        <f t="shared" si="316"/>
        <v>-1</v>
      </c>
    </row>
    <row r="2782" spans="1:38" hidden="1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2284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5"/>
        <v>-1</v>
      </c>
      <c r="Z2782" s="2" t="s">
        <v>3231</v>
      </c>
      <c r="AA2782" s="2" t="s">
        <v>46</v>
      </c>
      <c r="AB2782" s="2" t="s">
        <v>61</v>
      </c>
      <c r="AC2782" s="2" t="s">
        <v>58</v>
      </c>
      <c r="AF2782" s="2">
        <f t="shared" si="312"/>
        <v>0</v>
      </c>
      <c r="AJ2782" s="2">
        <f t="shared" si="313"/>
        <v>0</v>
      </c>
      <c r="AK2782" s="2">
        <f t="shared" si="314"/>
        <v>-9.1399999999999988</v>
      </c>
      <c r="AL2782" s="19">
        <f t="shared" si="316"/>
        <v>-1</v>
      </c>
    </row>
    <row r="2783" spans="1:38" hidden="1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2284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5"/>
        <v>-1</v>
      </c>
      <c r="Z2783" s="2" t="s">
        <v>3231</v>
      </c>
      <c r="AA2783" s="2" t="s">
        <v>46</v>
      </c>
      <c r="AB2783" s="2" t="s">
        <v>68</v>
      </c>
      <c r="AC2783" s="2" t="s">
        <v>58</v>
      </c>
      <c r="AF2783" s="2">
        <f t="shared" si="312"/>
        <v>0</v>
      </c>
      <c r="AG2783" s="2">
        <v>15.020300000000001</v>
      </c>
      <c r="AH2783" s="2">
        <v>27.6</v>
      </c>
      <c r="AJ2783" s="2">
        <f t="shared" si="313"/>
        <v>0</v>
      </c>
      <c r="AK2783" s="2">
        <f t="shared" si="314"/>
        <v>-45.060900000000004</v>
      </c>
      <c r="AL2783" s="5">
        <f t="shared" si="316"/>
        <v>-1</v>
      </c>
    </row>
    <row r="2784" spans="1:38" hidden="1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2284</v>
      </c>
      <c r="P2784" s="2" t="s">
        <v>43</v>
      </c>
      <c r="Q2784" s="2" t="s">
        <v>1433</v>
      </c>
      <c r="R2784" s="2" t="s">
        <v>1434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5"/>
        <v>0</v>
      </c>
      <c r="Z2784" s="2" t="s">
        <v>3231</v>
      </c>
      <c r="AA2784" s="2" t="s">
        <v>46</v>
      </c>
      <c r="AB2784" s="2" t="s">
        <v>61</v>
      </c>
      <c r="AC2784" s="2" t="s">
        <v>58</v>
      </c>
      <c r="AF2784" s="2">
        <f t="shared" si="312"/>
        <v>0</v>
      </c>
      <c r="AJ2784" s="2">
        <f t="shared" si="313"/>
        <v>0</v>
      </c>
      <c r="AK2784" s="2">
        <f t="shared" si="314"/>
        <v>0</v>
      </c>
      <c r="AL2784" s="5">
        <f t="shared" si="316"/>
        <v>0</v>
      </c>
    </row>
    <row r="2785" spans="1:38" hidden="1" x14ac:dyDescent="0.2">
      <c r="A2785" s="2">
        <v>2025</v>
      </c>
      <c r="B2785" s="2">
        <v>9</v>
      </c>
      <c r="D2785" s="2" t="s">
        <v>1297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1298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7">(T2785-W2785)/T2785</f>
        <v>0.3549081129538324</v>
      </c>
      <c r="Z2785" s="2" t="s">
        <v>3231</v>
      </c>
      <c r="AA2785" s="2" t="s">
        <v>76</v>
      </c>
      <c r="AB2785" s="2" t="s">
        <v>77</v>
      </c>
      <c r="AC2785" s="2" t="s">
        <v>78</v>
      </c>
      <c r="AF2785" s="2">
        <f t="shared" si="312"/>
        <v>0</v>
      </c>
      <c r="AJ2785" s="2">
        <f t="shared" si="313"/>
        <v>0</v>
      </c>
      <c r="AK2785" s="2">
        <f t="shared" si="314"/>
        <v>79.180000000000007</v>
      </c>
      <c r="AL2785" s="5">
        <f t="shared" ref="AL2785:AL2828" si="318">(T2785-W2785)/T2785</f>
        <v>0.3549081129538324</v>
      </c>
    </row>
    <row r="2786" spans="1:38" hidden="1" x14ac:dyDescent="0.2">
      <c r="A2786" s="2">
        <v>2025</v>
      </c>
      <c r="B2786" s="2">
        <v>9</v>
      </c>
      <c r="D2786" s="2" t="s">
        <v>1297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1298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7"/>
        <v>0</v>
      </c>
      <c r="Z2786" s="2" t="s">
        <v>3231</v>
      </c>
      <c r="AA2786" s="2" t="s">
        <v>97</v>
      </c>
      <c r="AB2786" s="2" t="s">
        <v>77</v>
      </c>
      <c r="AC2786" s="2" t="s">
        <v>94</v>
      </c>
      <c r="AF2786" s="2">
        <f t="shared" si="312"/>
        <v>0</v>
      </c>
      <c r="AJ2786" s="2">
        <f t="shared" si="313"/>
        <v>0</v>
      </c>
      <c r="AK2786" s="2">
        <f t="shared" si="314"/>
        <v>0</v>
      </c>
      <c r="AL2786" s="5">
        <f t="shared" si="318"/>
        <v>0</v>
      </c>
    </row>
    <row r="2787" spans="1:38" hidden="1" x14ac:dyDescent="0.2">
      <c r="A2787" s="2">
        <v>2025</v>
      </c>
      <c r="B2787" s="2">
        <v>9</v>
      </c>
      <c r="D2787" s="2" t="s">
        <v>1437</v>
      </c>
      <c r="P2787" s="2" t="s">
        <v>115</v>
      </c>
      <c r="Q2787" s="2" t="s">
        <v>2285</v>
      </c>
      <c r="R2787" s="2" t="s">
        <v>2286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7"/>
        <v>1</v>
      </c>
      <c r="AF2787" s="2">
        <f t="shared" si="312"/>
        <v>0</v>
      </c>
      <c r="AJ2787" s="2">
        <f t="shared" si="313"/>
        <v>0</v>
      </c>
      <c r="AK2787" s="2">
        <f t="shared" si="314"/>
        <v>234.52</v>
      </c>
      <c r="AL2787" s="5">
        <f t="shared" si="318"/>
        <v>1</v>
      </c>
    </row>
    <row r="2788" spans="1:38" hidden="1" x14ac:dyDescent="0.2">
      <c r="A2788" s="2">
        <v>2025</v>
      </c>
      <c r="B2788" s="2">
        <v>9</v>
      </c>
      <c r="D2788" s="2" t="s">
        <v>618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619</v>
      </c>
      <c r="J2788" s="2" t="s">
        <v>620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7"/>
        <v>0.25</v>
      </c>
      <c r="Z2788" s="2" t="s">
        <v>3231</v>
      </c>
      <c r="AA2788" s="2" t="s">
        <v>72</v>
      </c>
      <c r="AB2788" s="2" t="s">
        <v>120</v>
      </c>
      <c r="AC2788" s="2" t="s">
        <v>120</v>
      </c>
      <c r="AF2788" s="2">
        <f t="shared" si="312"/>
        <v>0</v>
      </c>
      <c r="AJ2788" s="2">
        <f t="shared" si="313"/>
        <v>0</v>
      </c>
      <c r="AK2788" s="2">
        <f t="shared" si="314"/>
        <v>99.75</v>
      </c>
      <c r="AL2788" s="5">
        <f t="shared" si="318"/>
        <v>0.25</v>
      </c>
    </row>
    <row r="2789" spans="1:38" hidden="1" x14ac:dyDescent="0.2">
      <c r="A2789" s="2">
        <v>2025</v>
      </c>
      <c r="B2789" s="2">
        <v>9</v>
      </c>
      <c r="D2789" s="2" t="s">
        <v>618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619</v>
      </c>
      <c r="J2789" s="2" t="s">
        <v>620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7"/>
        <v>0.4</v>
      </c>
      <c r="Z2789" s="2" t="s">
        <v>3231</v>
      </c>
      <c r="AA2789" s="2" t="s">
        <v>46</v>
      </c>
      <c r="AB2789" s="2" t="s">
        <v>61</v>
      </c>
      <c r="AC2789" s="2" t="s">
        <v>3336</v>
      </c>
      <c r="AF2789" s="2">
        <f t="shared" si="312"/>
        <v>0</v>
      </c>
      <c r="AJ2789" s="2">
        <f t="shared" si="313"/>
        <v>0</v>
      </c>
      <c r="AK2789" s="2">
        <f t="shared" si="314"/>
        <v>23.200000000000003</v>
      </c>
      <c r="AL2789" s="5">
        <f t="shared" si="318"/>
        <v>0.4</v>
      </c>
    </row>
    <row r="2790" spans="1:38" hidden="1" x14ac:dyDescent="0.2">
      <c r="A2790" s="2">
        <v>2025</v>
      </c>
      <c r="B2790" s="2">
        <v>9</v>
      </c>
      <c r="D2790" s="2" t="s">
        <v>618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619</v>
      </c>
      <c r="J2790" s="2" t="s">
        <v>620</v>
      </c>
      <c r="L2790" s="2" t="s">
        <v>419</v>
      </c>
      <c r="P2790" s="2" t="s">
        <v>43</v>
      </c>
      <c r="Q2790" s="2" t="s">
        <v>1365</v>
      </c>
      <c r="R2790" s="2" t="s">
        <v>1366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17"/>
        <v>0.6542553191489362</v>
      </c>
      <c r="Z2790" s="2" t="s">
        <v>3231</v>
      </c>
      <c r="AA2790" s="2" t="s">
        <v>46</v>
      </c>
      <c r="AB2790" s="2" t="s">
        <v>47</v>
      </c>
      <c r="AC2790" s="2" t="s">
        <v>48</v>
      </c>
      <c r="AF2790" s="2">
        <f t="shared" si="312"/>
        <v>0</v>
      </c>
      <c r="AJ2790" s="2">
        <f t="shared" si="313"/>
        <v>0</v>
      </c>
      <c r="AK2790" s="2">
        <f t="shared" si="314"/>
        <v>55.349999999999994</v>
      </c>
      <c r="AL2790" s="5">
        <f t="shared" si="318"/>
        <v>0.6542553191489362</v>
      </c>
    </row>
    <row r="2791" spans="1:38" hidden="1" x14ac:dyDescent="0.2">
      <c r="A2791" s="2">
        <v>2025</v>
      </c>
      <c r="B2791" s="2">
        <v>9</v>
      </c>
      <c r="D2791" s="2" t="s">
        <v>618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619</v>
      </c>
      <c r="J2791" s="2" t="s">
        <v>620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17"/>
        <v>0.62350000000000005</v>
      </c>
      <c r="Z2791" s="2" t="s">
        <v>3231</v>
      </c>
      <c r="AA2791" s="2" t="s">
        <v>46</v>
      </c>
      <c r="AB2791" s="2" t="s">
        <v>47</v>
      </c>
      <c r="AC2791" s="2" t="s">
        <v>48</v>
      </c>
      <c r="AF2791" s="2">
        <f t="shared" si="312"/>
        <v>0</v>
      </c>
      <c r="AJ2791" s="2">
        <f t="shared" si="313"/>
        <v>0</v>
      </c>
      <c r="AK2791" s="2">
        <f t="shared" si="314"/>
        <v>56.115000000000002</v>
      </c>
      <c r="AL2791" s="5">
        <f t="shared" si="318"/>
        <v>0.62350000000000005</v>
      </c>
    </row>
    <row r="2792" spans="1:38" hidden="1" x14ac:dyDescent="0.2">
      <c r="A2792" s="2">
        <v>2025</v>
      </c>
      <c r="B2792" s="2">
        <v>9</v>
      </c>
      <c r="D2792" s="2" t="s">
        <v>618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619</v>
      </c>
      <c r="J2792" s="2" t="s">
        <v>620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7"/>
        <v>1</v>
      </c>
      <c r="Z2792" s="2" t="s">
        <v>3231</v>
      </c>
      <c r="AA2792" s="2" t="s">
        <v>46</v>
      </c>
      <c r="AB2792" s="2" t="s">
        <v>57</v>
      </c>
      <c r="AC2792" s="2" t="s">
        <v>58</v>
      </c>
      <c r="AF2792" s="2">
        <f t="shared" si="312"/>
        <v>0</v>
      </c>
      <c r="AJ2792" s="2">
        <f t="shared" si="313"/>
        <v>0</v>
      </c>
      <c r="AK2792" s="2">
        <f t="shared" si="314"/>
        <v>19.8</v>
      </c>
      <c r="AL2792" s="5">
        <f t="shared" si="318"/>
        <v>1</v>
      </c>
    </row>
    <row r="2793" spans="1:38" hidden="1" x14ac:dyDescent="0.2">
      <c r="A2793" s="2">
        <v>2025</v>
      </c>
      <c r="B2793" s="2">
        <v>9</v>
      </c>
      <c r="D2793" s="2" t="s">
        <v>618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619</v>
      </c>
      <c r="J2793" s="2" t="s">
        <v>620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7"/>
        <v>1</v>
      </c>
      <c r="Z2793" s="2" t="s">
        <v>3231</v>
      </c>
      <c r="AA2793" s="2" t="s">
        <v>46</v>
      </c>
      <c r="AB2793" s="2" t="s">
        <v>57</v>
      </c>
      <c r="AC2793" s="2" t="s">
        <v>58</v>
      </c>
      <c r="AF2793" s="2">
        <f t="shared" si="312"/>
        <v>0</v>
      </c>
      <c r="AJ2793" s="2">
        <f t="shared" si="313"/>
        <v>0</v>
      </c>
      <c r="AK2793" s="2">
        <f t="shared" si="314"/>
        <v>24</v>
      </c>
      <c r="AL2793" s="5">
        <f t="shared" si="318"/>
        <v>1</v>
      </c>
    </row>
    <row r="2794" spans="1:38" hidden="1" x14ac:dyDescent="0.2">
      <c r="A2794" s="2">
        <v>2025</v>
      </c>
      <c r="B2794" s="2">
        <v>9</v>
      </c>
      <c r="D2794" s="2" t="s">
        <v>618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619</v>
      </c>
      <c r="J2794" s="2" t="s">
        <v>620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7"/>
        <v>1</v>
      </c>
      <c r="Z2794" s="2" t="s">
        <v>3231</v>
      </c>
      <c r="AA2794" s="2" t="s">
        <v>46</v>
      </c>
      <c r="AB2794" s="2" t="s">
        <v>57</v>
      </c>
      <c r="AC2794" s="2" t="s">
        <v>58</v>
      </c>
      <c r="AF2794" s="2">
        <f t="shared" si="312"/>
        <v>0</v>
      </c>
      <c r="AJ2794" s="2">
        <f t="shared" si="313"/>
        <v>0</v>
      </c>
      <c r="AK2794" s="2">
        <f t="shared" si="314"/>
        <v>28.8</v>
      </c>
      <c r="AL2794" s="5">
        <f t="shared" si="318"/>
        <v>1</v>
      </c>
    </row>
    <row r="2795" spans="1:38" hidden="1" x14ac:dyDescent="0.2">
      <c r="A2795" s="2">
        <v>2025</v>
      </c>
      <c r="B2795" s="2">
        <v>9</v>
      </c>
      <c r="D2795" s="2" t="s">
        <v>618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619</v>
      </c>
      <c r="J2795" s="2" t="s">
        <v>620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7"/>
        <v>1</v>
      </c>
      <c r="Z2795" s="2" t="s">
        <v>3231</v>
      </c>
      <c r="AA2795" s="2" t="s">
        <v>46</v>
      </c>
      <c r="AB2795" s="2" t="s">
        <v>57</v>
      </c>
      <c r="AC2795" s="2" t="s">
        <v>58</v>
      </c>
      <c r="AF2795" s="2">
        <f t="shared" si="312"/>
        <v>0</v>
      </c>
      <c r="AJ2795" s="2">
        <f t="shared" si="313"/>
        <v>0</v>
      </c>
      <c r="AK2795" s="2">
        <f t="shared" si="314"/>
        <v>16.8</v>
      </c>
      <c r="AL2795" s="5">
        <f t="shared" si="318"/>
        <v>1</v>
      </c>
    </row>
    <row r="2796" spans="1:38" hidden="1" x14ac:dyDescent="0.2">
      <c r="A2796" s="2">
        <v>2025</v>
      </c>
      <c r="B2796" s="2">
        <v>9</v>
      </c>
      <c r="D2796" s="2" t="s">
        <v>618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619</v>
      </c>
      <c r="J2796" s="2" t="s">
        <v>620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7"/>
        <v>0.29692307692307701</v>
      </c>
      <c r="Z2796" s="2" t="s">
        <v>3231</v>
      </c>
      <c r="AA2796" s="2" t="s">
        <v>46</v>
      </c>
      <c r="AB2796" s="2" t="s">
        <v>61</v>
      </c>
      <c r="AC2796" s="2" t="s">
        <v>58</v>
      </c>
      <c r="AF2796" s="2">
        <f t="shared" si="312"/>
        <v>0</v>
      </c>
      <c r="AG2796" s="2">
        <v>9.14</v>
      </c>
      <c r="AH2796" s="2">
        <v>16</v>
      </c>
      <c r="AJ2796" s="2">
        <f t="shared" si="313"/>
        <v>0</v>
      </c>
      <c r="AK2796" s="2">
        <f t="shared" si="314"/>
        <v>3.8600000000000012</v>
      </c>
      <c r="AL2796" s="5">
        <f t="shared" si="318"/>
        <v>0.29692307692307701</v>
      </c>
    </row>
    <row r="2797" spans="1:38" hidden="1" x14ac:dyDescent="0.2">
      <c r="A2797" s="2">
        <v>2025</v>
      </c>
      <c r="B2797" s="2">
        <v>9</v>
      </c>
      <c r="D2797" s="2" t="s">
        <v>618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619</v>
      </c>
      <c r="J2797" s="2" t="s">
        <v>620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7"/>
        <v>0.3166666666666666</v>
      </c>
      <c r="Z2797" s="2" t="s">
        <v>3231</v>
      </c>
      <c r="AA2797" s="2" t="s">
        <v>46</v>
      </c>
      <c r="AB2797" s="2" t="s">
        <v>61</v>
      </c>
      <c r="AC2797" s="2" t="s">
        <v>58</v>
      </c>
      <c r="AF2797" s="2">
        <f t="shared" si="312"/>
        <v>0</v>
      </c>
      <c r="AG2797" s="2">
        <v>8.1999999999999993</v>
      </c>
      <c r="AH2797" s="2">
        <v>13</v>
      </c>
      <c r="AJ2797" s="2">
        <f t="shared" si="313"/>
        <v>0</v>
      </c>
      <c r="AK2797" s="2">
        <f t="shared" si="314"/>
        <v>3.7999999999999989</v>
      </c>
      <c r="AL2797" s="5">
        <f t="shared" si="318"/>
        <v>0.3166666666666666</v>
      </c>
    </row>
    <row r="2798" spans="1:38" hidden="1" x14ac:dyDescent="0.2">
      <c r="A2798" s="2">
        <v>2025</v>
      </c>
      <c r="B2798" s="2">
        <v>9</v>
      </c>
      <c r="D2798" s="2" t="s">
        <v>618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619</v>
      </c>
      <c r="J2798" s="2" t="s">
        <v>620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7"/>
        <v>0.31725909090909088</v>
      </c>
      <c r="Z2798" s="2" t="s">
        <v>3231</v>
      </c>
      <c r="AA2798" s="2" t="s">
        <v>46</v>
      </c>
      <c r="AB2798" s="2" t="s">
        <v>68</v>
      </c>
      <c r="AC2798" s="2" t="s">
        <v>58</v>
      </c>
      <c r="AF2798" s="2">
        <f t="shared" si="312"/>
        <v>0</v>
      </c>
      <c r="AG2798" s="2">
        <v>15.020300000000001</v>
      </c>
      <c r="AH2798" s="2">
        <v>27.6</v>
      </c>
      <c r="AJ2798" s="2">
        <f t="shared" si="313"/>
        <v>0</v>
      </c>
      <c r="AK2798" s="2">
        <f t="shared" si="314"/>
        <v>6.9796999999999993</v>
      </c>
      <c r="AL2798" s="5">
        <f t="shared" si="318"/>
        <v>0.31725909090909088</v>
      </c>
    </row>
    <row r="2799" spans="1:38" hidden="1" x14ac:dyDescent="0.2">
      <c r="A2799" s="2">
        <v>2025</v>
      </c>
      <c r="B2799" s="2">
        <v>9</v>
      </c>
      <c r="D2799" s="2" t="s">
        <v>625</v>
      </c>
      <c r="E2799" s="2" t="s">
        <v>38</v>
      </c>
      <c r="F2799" s="2" t="s">
        <v>39</v>
      </c>
      <c r="G2799" s="2" t="s">
        <v>626</v>
      </c>
      <c r="H2799" s="2" t="s">
        <v>40</v>
      </c>
      <c r="I2799" s="2" t="s">
        <v>627</v>
      </c>
      <c r="J2799" s="2" t="s">
        <v>628</v>
      </c>
      <c r="L2799" s="2" t="s">
        <v>627</v>
      </c>
      <c r="M2799" s="2" t="s">
        <v>40</v>
      </c>
      <c r="P2799" s="2" t="s">
        <v>115</v>
      </c>
      <c r="Q2799" s="2" t="s">
        <v>906</v>
      </c>
      <c r="R2799" s="2" t="s">
        <v>907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317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12"/>
        <v>0</v>
      </c>
      <c r="AJ2799" s="2">
        <f t="shared" si="313"/>
        <v>0</v>
      </c>
      <c r="AK2799" s="2">
        <f t="shared" si="314"/>
        <v>361.48979999999983</v>
      </c>
      <c r="AL2799" s="5">
        <f t="shared" si="318"/>
        <v>0.25874296757569243</v>
      </c>
    </row>
    <row r="2800" spans="1:38" hidden="1" x14ac:dyDescent="0.2">
      <c r="A2800" s="2">
        <v>2025</v>
      </c>
      <c r="B2800" s="2">
        <v>9</v>
      </c>
      <c r="D2800" s="2" t="s">
        <v>2287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7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12"/>
        <v>0</v>
      </c>
      <c r="AJ2800" s="2">
        <f t="shared" si="313"/>
        <v>0</v>
      </c>
      <c r="AK2800" s="2">
        <f t="shared" si="314"/>
        <v>25.908000000000001</v>
      </c>
      <c r="AL2800" s="5">
        <f t="shared" si="318"/>
        <v>0.52927477017364655</v>
      </c>
    </row>
    <row r="2801" spans="1:38" hidden="1" x14ac:dyDescent="0.2">
      <c r="A2801" s="2">
        <v>2025</v>
      </c>
      <c r="B2801" s="2">
        <v>9</v>
      </c>
      <c r="D2801" s="2" t="s">
        <v>2287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7"/>
        <v>1</v>
      </c>
      <c r="Z2801" s="2" t="s">
        <v>170</v>
      </c>
      <c r="AA2801" s="2" t="s">
        <v>170</v>
      </c>
      <c r="AF2801" s="2">
        <f t="shared" si="312"/>
        <v>0</v>
      </c>
      <c r="AJ2801" s="2">
        <f t="shared" si="313"/>
        <v>0</v>
      </c>
      <c r="AK2801" s="2">
        <f t="shared" si="314"/>
        <v>5</v>
      </c>
      <c r="AL2801" s="5">
        <f t="shared" si="318"/>
        <v>1</v>
      </c>
    </row>
    <row r="2802" spans="1:38" hidden="1" x14ac:dyDescent="0.2">
      <c r="A2802" s="2">
        <v>2025</v>
      </c>
      <c r="B2802" s="2">
        <v>9</v>
      </c>
      <c r="D2802" s="2" t="s">
        <v>652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653</v>
      </c>
      <c r="J2802" s="2" t="s">
        <v>654</v>
      </c>
      <c r="L2802" s="2" t="s">
        <v>419</v>
      </c>
      <c r="M2802" s="2" t="s">
        <v>41</v>
      </c>
      <c r="O2802" s="2" t="s">
        <v>2288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7"/>
        <v>0.48117391304347829</v>
      </c>
      <c r="Z2802" s="2" t="s">
        <v>3231</v>
      </c>
      <c r="AA2802" s="2" t="s">
        <v>76</v>
      </c>
      <c r="AB2802" s="2" t="s">
        <v>77</v>
      </c>
      <c r="AC2802" s="2" t="s">
        <v>78</v>
      </c>
      <c r="AF2802" s="2">
        <f t="shared" si="312"/>
        <v>0</v>
      </c>
      <c r="AG2802" s="2">
        <v>119.33</v>
      </c>
      <c r="AH2802" s="2">
        <v>220</v>
      </c>
      <c r="AJ2802" s="2">
        <f t="shared" si="313"/>
        <v>0</v>
      </c>
      <c r="AK2802" s="2">
        <f t="shared" si="314"/>
        <v>110.67</v>
      </c>
      <c r="AL2802" s="5">
        <f t="shared" si="318"/>
        <v>0.48117391304347829</v>
      </c>
    </row>
    <row r="2803" spans="1:38" hidden="1" x14ac:dyDescent="0.2">
      <c r="A2803" s="2">
        <v>2025</v>
      </c>
      <c r="B2803" s="2">
        <v>9</v>
      </c>
      <c r="D2803" s="2" t="s">
        <v>652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653</v>
      </c>
      <c r="J2803" s="2" t="s">
        <v>654</v>
      </c>
      <c r="L2803" s="2" t="s">
        <v>419</v>
      </c>
      <c r="M2803" s="2" t="s">
        <v>41</v>
      </c>
      <c r="O2803" s="2" t="s">
        <v>2288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7"/>
        <v>0</v>
      </c>
      <c r="Z2803" s="2" t="s">
        <v>3231</v>
      </c>
      <c r="AA2803" s="2" t="s">
        <v>97</v>
      </c>
      <c r="AB2803" s="2" t="s">
        <v>77</v>
      </c>
      <c r="AC2803" s="2" t="s">
        <v>94</v>
      </c>
      <c r="AF2803" s="2">
        <f t="shared" si="312"/>
        <v>0</v>
      </c>
      <c r="AG2803" s="2">
        <v>1.1399999999999999</v>
      </c>
      <c r="AH2803" s="2">
        <v>1.1399999999999999</v>
      </c>
      <c r="AJ2803" s="2">
        <f t="shared" si="313"/>
        <v>0</v>
      </c>
      <c r="AK2803" s="2">
        <f t="shared" si="314"/>
        <v>0</v>
      </c>
      <c r="AL2803" s="5">
        <f t="shared" si="318"/>
        <v>0</v>
      </c>
    </row>
    <row r="2804" spans="1:38" hidden="1" x14ac:dyDescent="0.2">
      <c r="A2804" s="2">
        <v>2025</v>
      </c>
      <c r="B2804" s="2">
        <v>9</v>
      </c>
      <c r="D2804" s="2" t="s">
        <v>1441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7"/>
        <v>0.6</v>
      </c>
      <c r="Z2804" s="2" t="s">
        <v>118</v>
      </c>
      <c r="AA2804" s="2" t="s">
        <v>191</v>
      </c>
      <c r="AB2804" s="2" t="s">
        <v>190</v>
      </c>
      <c r="AC2804" s="2" t="s">
        <v>40</v>
      </c>
      <c r="AF2804" s="2">
        <f t="shared" si="312"/>
        <v>0</v>
      </c>
      <c r="AJ2804" s="2">
        <f t="shared" si="313"/>
        <v>0</v>
      </c>
      <c r="AK2804" s="2">
        <f t="shared" si="314"/>
        <v>47.4</v>
      </c>
      <c r="AL2804" s="5">
        <f t="shared" si="318"/>
        <v>0.6</v>
      </c>
    </row>
    <row r="2805" spans="1:38" hidden="1" x14ac:dyDescent="0.2">
      <c r="A2805" s="2">
        <v>2025</v>
      </c>
      <c r="B2805" s="2">
        <v>9</v>
      </c>
      <c r="D2805" s="2" t="s">
        <v>1441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7"/>
        <v>0.5</v>
      </c>
      <c r="Z2805" s="2" t="s">
        <v>118</v>
      </c>
      <c r="AA2805" s="2" t="s">
        <v>191</v>
      </c>
      <c r="AB2805" s="2" t="s">
        <v>191</v>
      </c>
      <c r="AC2805" s="2" t="s">
        <v>40</v>
      </c>
      <c r="AF2805" s="2">
        <f t="shared" si="312"/>
        <v>0</v>
      </c>
      <c r="AJ2805" s="2">
        <f t="shared" si="313"/>
        <v>0</v>
      </c>
      <c r="AK2805" s="2">
        <f t="shared" si="314"/>
        <v>25</v>
      </c>
      <c r="AL2805" s="5">
        <f t="shared" si="318"/>
        <v>0.5</v>
      </c>
    </row>
    <row r="2806" spans="1:38" hidden="1" x14ac:dyDescent="0.2">
      <c r="A2806" s="2">
        <v>2025</v>
      </c>
      <c r="B2806" s="2">
        <v>9</v>
      </c>
      <c r="D2806" s="2" t="s">
        <v>2195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7"/>
        <v>0.46612272727272724</v>
      </c>
      <c r="Z2806" s="2" t="s">
        <v>3231</v>
      </c>
      <c r="AA2806" s="2" t="s">
        <v>76</v>
      </c>
      <c r="AB2806" s="2" t="s">
        <v>77</v>
      </c>
      <c r="AC2806" s="2" t="s">
        <v>78</v>
      </c>
      <c r="AF2806" s="2">
        <f t="shared" si="312"/>
        <v>0</v>
      </c>
      <c r="AG2806" s="2">
        <v>117.453</v>
      </c>
      <c r="AH2806" s="2">
        <v>220</v>
      </c>
      <c r="AJ2806" s="2">
        <f t="shared" si="313"/>
        <v>0</v>
      </c>
      <c r="AK2806" s="2">
        <f t="shared" si="314"/>
        <v>102.547</v>
      </c>
      <c r="AL2806" s="5">
        <f t="shared" si="318"/>
        <v>0.46612272727272724</v>
      </c>
    </row>
    <row r="2807" spans="1:38" hidden="1" x14ac:dyDescent="0.2">
      <c r="A2807" s="2">
        <v>2025</v>
      </c>
      <c r="B2807" s="2">
        <v>9</v>
      </c>
      <c r="D2807" s="2" t="s">
        <v>2195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7"/>
        <v>0</v>
      </c>
      <c r="Z2807" s="2" t="s">
        <v>3231</v>
      </c>
      <c r="AA2807" s="2" t="s">
        <v>97</v>
      </c>
      <c r="AB2807" s="2" t="s">
        <v>77</v>
      </c>
      <c r="AC2807" s="2" t="s">
        <v>94</v>
      </c>
      <c r="AF2807" s="2">
        <f t="shared" si="312"/>
        <v>0</v>
      </c>
      <c r="AJ2807" s="2">
        <f t="shared" si="313"/>
        <v>0</v>
      </c>
      <c r="AK2807" s="2">
        <f t="shared" si="314"/>
        <v>0</v>
      </c>
      <c r="AL2807" s="5">
        <f t="shared" si="318"/>
        <v>0</v>
      </c>
    </row>
    <row r="2808" spans="1:38" hidden="1" x14ac:dyDescent="0.2">
      <c r="A2808" s="2">
        <v>2025</v>
      </c>
      <c r="B2808" s="2">
        <v>9</v>
      </c>
      <c r="D2808" s="2" t="s">
        <v>1314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1315</v>
      </c>
      <c r="L2808" s="2" t="s">
        <v>178</v>
      </c>
      <c r="M2808" s="2" t="s">
        <v>41</v>
      </c>
      <c r="O2808" s="2" t="s">
        <v>2289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7"/>
        <v>0.25</v>
      </c>
      <c r="Z2808" s="2" t="s">
        <v>3231</v>
      </c>
      <c r="AA2808" s="2" t="s">
        <v>72</v>
      </c>
      <c r="AB2808" s="2" t="s">
        <v>120</v>
      </c>
      <c r="AC2808" s="2" t="s">
        <v>120</v>
      </c>
      <c r="AF2808" s="2">
        <f t="shared" si="312"/>
        <v>0</v>
      </c>
      <c r="AG2808" s="2">
        <v>299.25</v>
      </c>
      <c r="AH2808" s="2">
        <v>399</v>
      </c>
      <c r="AJ2808" s="2">
        <f t="shared" si="313"/>
        <v>0</v>
      </c>
      <c r="AK2808" s="2">
        <f t="shared" si="314"/>
        <v>99.75</v>
      </c>
      <c r="AL2808" s="5">
        <f t="shared" si="318"/>
        <v>0.25</v>
      </c>
    </row>
    <row r="2809" spans="1:38" hidden="1" x14ac:dyDescent="0.2">
      <c r="A2809" s="2">
        <v>2025</v>
      </c>
      <c r="B2809" s="2">
        <v>9</v>
      </c>
      <c r="D2809" s="2" t="s">
        <v>675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7"/>
        <v>0.6</v>
      </c>
      <c r="Z2809" s="2" t="s">
        <v>118</v>
      </c>
      <c r="AA2809" s="2" t="s">
        <v>191</v>
      </c>
      <c r="AB2809" s="2" t="s">
        <v>190</v>
      </c>
      <c r="AC2809" s="2" t="s">
        <v>40</v>
      </c>
      <c r="AF2809" s="2">
        <f t="shared" si="312"/>
        <v>0</v>
      </c>
      <c r="AJ2809" s="2">
        <f t="shared" si="313"/>
        <v>0</v>
      </c>
      <c r="AK2809" s="2">
        <f t="shared" si="314"/>
        <v>31.2</v>
      </c>
      <c r="AL2809" s="5">
        <f t="shared" si="318"/>
        <v>0.6</v>
      </c>
    </row>
    <row r="2810" spans="1:38" hidden="1" x14ac:dyDescent="0.2">
      <c r="A2810" s="2">
        <v>2025</v>
      </c>
      <c r="B2810" s="2">
        <v>9</v>
      </c>
      <c r="D2810" s="2" t="s">
        <v>675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7"/>
        <v>0.5</v>
      </c>
      <c r="Z2810" s="2" t="s">
        <v>118</v>
      </c>
      <c r="AA2810" s="2" t="s">
        <v>191</v>
      </c>
      <c r="AB2810" s="2" t="s">
        <v>191</v>
      </c>
      <c r="AC2810" s="2" t="s">
        <v>40</v>
      </c>
      <c r="AF2810" s="2">
        <f t="shared" si="312"/>
        <v>0</v>
      </c>
      <c r="AJ2810" s="2">
        <f t="shared" si="313"/>
        <v>0</v>
      </c>
      <c r="AK2810" s="2">
        <f t="shared" si="314"/>
        <v>25</v>
      </c>
      <c r="AL2810" s="5">
        <f t="shared" si="318"/>
        <v>0.5</v>
      </c>
    </row>
    <row r="2811" spans="1:38" hidden="1" x14ac:dyDescent="0.2">
      <c r="A2811" s="2">
        <v>2025</v>
      </c>
      <c r="B2811" s="2">
        <v>9</v>
      </c>
      <c r="D2811" s="2" t="s">
        <v>2290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7"/>
        <v>0.60000000000000009</v>
      </c>
      <c r="Z2811" s="2" t="s">
        <v>118</v>
      </c>
      <c r="AA2811" s="2" t="s">
        <v>191</v>
      </c>
      <c r="AB2811" s="2" t="s">
        <v>190</v>
      </c>
      <c r="AC2811" s="2" t="s">
        <v>40</v>
      </c>
      <c r="AF2811" s="2">
        <f t="shared" si="312"/>
        <v>0</v>
      </c>
      <c r="AJ2811" s="2">
        <f t="shared" si="313"/>
        <v>0</v>
      </c>
      <c r="AK2811" s="2">
        <f t="shared" si="314"/>
        <v>83.4</v>
      </c>
      <c r="AL2811" s="5">
        <f t="shared" si="318"/>
        <v>0.60000000000000009</v>
      </c>
    </row>
    <row r="2812" spans="1:38" hidden="1" x14ac:dyDescent="0.2">
      <c r="A2812" s="2">
        <v>2025</v>
      </c>
      <c r="B2812" s="2">
        <v>9</v>
      </c>
      <c r="D2812" s="2" t="s">
        <v>2290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7"/>
        <v>0.5</v>
      </c>
      <c r="Z2812" s="2" t="s">
        <v>118</v>
      </c>
      <c r="AA2812" s="2" t="s">
        <v>191</v>
      </c>
      <c r="AB2812" s="2" t="s">
        <v>191</v>
      </c>
      <c r="AC2812" s="2" t="s">
        <v>40</v>
      </c>
      <c r="AF2812" s="2">
        <f t="shared" si="312"/>
        <v>0</v>
      </c>
      <c r="AJ2812" s="2">
        <f t="shared" si="313"/>
        <v>0</v>
      </c>
      <c r="AK2812" s="2">
        <f t="shared" si="314"/>
        <v>25</v>
      </c>
      <c r="AL2812" s="5">
        <f t="shared" si="318"/>
        <v>0.5</v>
      </c>
    </row>
    <row r="2813" spans="1:38" hidden="1" x14ac:dyDescent="0.2">
      <c r="A2813" s="2">
        <v>2025</v>
      </c>
      <c r="B2813" s="2">
        <v>9</v>
      </c>
      <c r="D2813" s="2" t="s">
        <v>930</v>
      </c>
      <c r="E2813" s="2" t="s">
        <v>38</v>
      </c>
      <c r="F2813" s="2" t="s">
        <v>39</v>
      </c>
      <c r="G2813" s="2" t="s">
        <v>931</v>
      </c>
      <c r="H2813" s="2" t="s">
        <v>41</v>
      </c>
      <c r="I2813" s="2" t="s">
        <v>627</v>
      </c>
      <c r="J2813" s="2" t="s">
        <v>932</v>
      </c>
      <c r="L2813" s="2" t="s">
        <v>627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V2813" s="2">
        <f t="shared" ref="V2813:V2818" si="319">T2813</f>
        <v>26.4</v>
      </c>
      <c r="W2813" s="2">
        <f>7.2217*S2813</f>
        <v>14.4434</v>
      </c>
      <c r="X2813" s="5">
        <f t="shared" si="317"/>
        <v>0.45290151515151511</v>
      </c>
      <c r="Z2813" s="2" t="s">
        <v>3231</v>
      </c>
      <c r="AA2813" s="2" t="s">
        <v>46</v>
      </c>
      <c r="AB2813" s="2" t="s">
        <v>57</v>
      </c>
      <c r="AC2813" s="2" t="s">
        <v>58</v>
      </c>
      <c r="AF2813" s="2">
        <f t="shared" si="312"/>
        <v>0</v>
      </c>
      <c r="AG2813" s="2">
        <v>7.2217000000000002</v>
      </c>
      <c r="AH2813" s="2">
        <v>14.4</v>
      </c>
      <c r="AJ2813" s="2">
        <f t="shared" si="313"/>
        <v>0</v>
      </c>
      <c r="AK2813" s="2">
        <f t="shared" si="314"/>
        <v>11.956599999999998</v>
      </c>
      <c r="AL2813" s="5">
        <f t="shared" si="318"/>
        <v>0.45290151515151511</v>
      </c>
    </row>
    <row r="2814" spans="1:38" hidden="1" x14ac:dyDescent="0.2">
      <c r="A2814" s="2">
        <v>2025</v>
      </c>
      <c r="B2814" s="2">
        <v>9</v>
      </c>
      <c r="D2814" s="2" t="s">
        <v>930</v>
      </c>
      <c r="E2814" s="2" t="s">
        <v>38</v>
      </c>
      <c r="F2814" s="2" t="s">
        <v>39</v>
      </c>
      <c r="G2814" s="2" t="s">
        <v>931</v>
      </c>
      <c r="H2814" s="2" t="s">
        <v>41</v>
      </c>
      <c r="I2814" s="2" t="s">
        <v>627</v>
      </c>
      <c r="J2814" s="2" t="s">
        <v>932</v>
      </c>
      <c r="L2814" s="2" t="s">
        <v>627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V2814" s="2">
        <f t="shared" si="319"/>
        <v>19.8</v>
      </c>
      <c r="X2814" s="5">
        <f t="shared" si="317"/>
        <v>1</v>
      </c>
      <c r="Z2814" s="2" t="s">
        <v>3231</v>
      </c>
      <c r="AA2814" s="2" t="s">
        <v>46</v>
      </c>
      <c r="AB2814" s="2" t="s">
        <v>57</v>
      </c>
      <c r="AC2814" s="2" t="s">
        <v>58</v>
      </c>
      <c r="AF2814" s="2">
        <f t="shared" si="312"/>
        <v>0</v>
      </c>
      <c r="AJ2814" s="2">
        <f t="shared" si="313"/>
        <v>0</v>
      </c>
      <c r="AK2814" s="2">
        <f t="shared" si="314"/>
        <v>19.8</v>
      </c>
      <c r="AL2814" s="5">
        <f t="shared" si="318"/>
        <v>1</v>
      </c>
    </row>
    <row r="2815" spans="1:38" hidden="1" x14ac:dyDescent="0.2">
      <c r="A2815" s="2">
        <v>2025</v>
      </c>
      <c r="B2815" s="2">
        <v>9</v>
      </c>
      <c r="D2815" s="2" t="s">
        <v>930</v>
      </c>
      <c r="E2815" s="2" t="s">
        <v>38</v>
      </c>
      <c r="F2815" s="2" t="s">
        <v>39</v>
      </c>
      <c r="G2815" s="2" t="s">
        <v>931</v>
      </c>
      <c r="H2815" s="2" t="s">
        <v>41</v>
      </c>
      <c r="I2815" s="2" t="s">
        <v>627</v>
      </c>
      <c r="J2815" s="2" t="s">
        <v>932</v>
      </c>
      <c r="L2815" s="2" t="s">
        <v>627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V2815" s="2">
        <f t="shared" si="319"/>
        <v>24</v>
      </c>
      <c r="X2815" s="5">
        <f t="shared" si="317"/>
        <v>1</v>
      </c>
      <c r="Z2815" s="2" t="s">
        <v>3231</v>
      </c>
      <c r="AA2815" s="2" t="s">
        <v>46</v>
      </c>
      <c r="AB2815" s="2" t="s">
        <v>57</v>
      </c>
      <c r="AC2815" s="2" t="s">
        <v>58</v>
      </c>
      <c r="AF2815" s="2">
        <f t="shared" si="312"/>
        <v>0</v>
      </c>
      <c r="AJ2815" s="2">
        <f t="shared" si="313"/>
        <v>0</v>
      </c>
      <c r="AK2815" s="2">
        <f t="shared" si="314"/>
        <v>24</v>
      </c>
      <c r="AL2815" s="5">
        <f t="shared" si="318"/>
        <v>1</v>
      </c>
    </row>
    <row r="2816" spans="1:38" hidden="1" x14ac:dyDescent="0.2">
      <c r="A2816" s="2">
        <v>2025</v>
      </c>
      <c r="B2816" s="2">
        <v>9</v>
      </c>
      <c r="D2816" s="2" t="s">
        <v>930</v>
      </c>
      <c r="E2816" s="2" t="s">
        <v>38</v>
      </c>
      <c r="F2816" s="2" t="s">
        <v>39</v>
      </c>
      <c r="G2816" s="2" t="s">
        <v>931</v>
      </c>
      <c r="H2816" s="2" t="s">
        <v>41</v>
      </c>
      <c r="I2816" s="2" t="s">
        <v>627</v>
      </c>
      <c r="J2816" s="2" t="s">
        <v>932</v>
      </c>
      <c r="L2816" s="2" t="s">
        <v>627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V2816" s="2">
        <f t="shared" si="319"/>
        <v>210</v>
      </c>
      <c r="W2816" s="2">
        <f>0.082*S2816</f>
        <v>164</v>
      </c>
      <c r="X2816" s="5">
        <f t="shared" si="317"/>
        <v>0.21904761904761905</v>
      </c>
      <c r="Z2816" s="2" t="s">
        <v>3231</v>
      </c>
      <c r="AA2816" s="2" t="s">
        <v>46</v>
      </c>
      <c r="AB2816" s="2" t="s">
        <v>61</v>
      </c>
      <c r="AC2816" s="2" t="s">
        <v>58</v>
      </c>
      <c r="AF2816" s="2">
        <f t="shared" si="312"/>
        <v>0</v>
      </c>
      <c r="AG2816" s="2">
        <v>8.1999999999999993</v>
      </c>
      <c r="AH2816" s="2">
        <v>13</v>
      </c>
      <c r="AJ2816" s="2">
        <f t="shared" si="313"/>
        <v>0</v>
      </c>
      <c r="AK2816" s="2">
        <f t="shared" si="314"/>
        <v>46</v>
      </c>
      <c r="AL2816" s="5">
        <f t="shared" si="318"/>
        <v>0.21904761904761905</v>
      </c>
    </row>
    <row r="2817" spans="1:38" hidden="1" x14ac:dyDescent="0.2">
      <c r="A2817" s="2">
        <v>2025</v>
      </c>
      <c r="B2817" s="2">
        <v>9</v>
      </c>
      <c r="D2817" s="2" t="s">
        <v>930</v>
      </c>
      <c r="E2817" s="2" t="s">
        <v>38</v>
      </c>
      <c r="F2817" s="2" t="s">
        <v>39</v>
      </c>
      <c r="G2817" s="2" t="s">
        <v>931</v>
      </c>
      <c r="H2817" s="2" t="s">
        <v>41</v>
      </c>
      <c r="I2817" s="2" t="s">
        <v>627</v>
      </c>
      <c r="J2817" s="2" t="s">
        <v>932</v>
      </c>
      <c r="L2817" s="2" t="s">
        <v>627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V2817" s="2">
        <f t="shared" si="319"/>
        <v>57.5</v>
      </c>
      <c r="W2817" s="2">
        <f>0.0914*S2817</f>
        <v>45.699999999999996</v>
      </c>
      <c r="X2817" s="5">
        <f t="shared" si="317"/>
        <v>0.20521739130434791</v>
      </c>
      <c r="Z2817" s="2" t="s">
        <v>3231</v>
      </c>
      <c r="AA2817" s="2" t="s">
        <v>46</v>
      </c>
      <c r="AB2817" s="2" t="s">
        <v>61</v>
      </c>
      <c r="AC2817" s="2" t="s">
        <v>58</v>
      </c>
      <c r="AF2817" s="2">
        <f t="shared" si="312"/>
        <v>0</v>
      </c>
      <c r="AJ2817" s="2">
        <f t="shared" si="313"/>
        <v>0</v>
      </c>
      <c r="AK2817" s="2">
        <f t="shared" si="314"/>
        <v>11.800000000000004</v>
      </c>
      <c r="AL2817" s="5">
        <f t="shared" si="318"/>
        <v>0.20521739130434791</v>
      </c>
    </row>
    <row r="2818" spans="1:38" hidden="1" x14ac:dyDescent="0.2">
      <c r="A2818" s="2">
        <v>2025</v>
      </c>
      <c r="B2818" s="2">
        <v>9</v>
      </c>
      <c r="D2818" s="2" t="s">
        <v>930</v>
      </c>
      <c r="E2818" s="2" t="s">
        <v>38</v>
      </c>
      <c r="F2818" s="2" t="s">
        <v>39</v>
      </c>
      <c r="G2818" s="2" t="s">
        <v>931</v>
      </c>
      <c r="H2818" s="2" t="s">
        <v>41</v>
      </c>
      <c r="I2818" s="2" t="s">
        <v>627</v>
      </c>
      <c r="J2818" s="2" t="s">
        <v>932</v>
      </c>
      <c r="L2818" s="2" t="s">
        <v>627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V2818" s="2">
        <f t="shared" si="319"/>
        <v>44</v>
      </c>
      <c r="W2818" s="2">
        <f>15.0203*S2818</f>
        <v>30.040600000000001</v>
      </c>
      <c r="X2818" s="5">
        <f t="shared" si="317"/>
        <v>0.31725909090909088</v>
      </c>
      <c r="Z2818" s="2" t="s">
        <v>3231</v>
      </c>
      <c r="AA2818" s="2" t="s">
        <v>46</v>
      </c>
      <c r="AB2818" s="2" t="s">
        <v>68</v>
      </c>
      <c r="AC2818" s="2" t="s">
        <v>58</v>
      </c>
      <c r="AF2818" s="2">
        <f t="shared" si="312"/>
        <v>0</v>
      </c>
      <c r="AG2818" s="2">
        <v>15.020300000000001</v>
      </c>
      <c r="AH2818" s="2">
        <v>27.6</v>
      </c>
      <c r="AJ2818" s="2">
        <f t="shared" si="313"/>
        <v>0</v>
      </c>
      <c r="AK2818" s="2">
        <f t="shared" si="314"/>
        <v>13.959399999999999</v>
      </c>
      <c r="AL2818" s="5">
        <f t="shared" si="318"/>
        <v>0.31725909090909088</v>
      </c>
    </row>
    <row r="2819" spans="1:38" hidden="1" x14ac:dyDescent="0.2">
      <c r="A2819" s="2">
        <v>2026</v>
      </c>
      <c r="B2819" s="2">
        <v>2</v>
      </c>
      <c r="D2819" s="2" t="s">
        <v>2291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2292</v>
      </c>
      <c r="L2819" s="2" t="s">
        <v>202</v>
      </c>
      <c r="M2819" s="2" t="s">
        <v>40</v>
      </c>
      <c r="O2819" s="2" t="s">
        <v>2293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7"/>
        <v>0.6</v>
      </c>
      <c r="Z2819" s="2" t="s">
        <v>118</v>
      </c>
      <c r="AA2819" s="2" t="s">
        <v>191</v>
      </c>
      <c r="AB2819" s="2" t="s">
        <v>190</v>
      </c>
      <c r="AC2819" s="2" t="s">
        <v>40</v>
      </c>
      <c r="AF2819" s="2">
        <f t="shared" ref="AF2819:AF2882" si="320">AJ2819</f>
        <v>0</v>
      </c>
      <c r="AJ2819" s="2">
        <f t="shared" ref="AJ2819:AJ2882" si="321">AI2819*T2819</f>
        <v>0</v>
      </c>
      <c r="AK2819" s="2">
        <f t="shared" ref="AK2819:AK2882" si="322">T2819-W2819</f>
        <v>30</v>
      </c>
      <c r="AL2819" s="5">
        <f t="shared" si="318"/>
        <v>0.6</v>
      </c>
    </row>
    <row r="2820" spans="1:38" hidden="1" x14ac:dyDescent="0.2">
      <c r="A2820" s="2">
        <v>2026</v>
      </c>
      <c r="B2820" s="2">
        <v>2</v>
      </c>
      <c r="D2820" s="2" t="s">
        <v>2291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2292</v>
      </c>
      <c r="L2820" s="2" t="s">
        <v>202</v>
      </c>
      <c r="M2820" s="2" t="s">
        <v>40</v>
      </c>
      <c r="O2820" s="2" t="s">
        <v>2293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7"/>
        <v>0.5</v>
      </c>
      <c r="Z2820" s="2" t="s">
        <v>118</v>
      </c>
      <c r="AA2820" s="2" t="s">
        <v>191</v>
      </c>
      <c r="AB2820" s="2" t="s">
        <v>191</v>
      </c>
      <c r="AC2820" s="2" t="s">
        <v>40</v>
      </c>
      <c r="AF2820" s="2">
        <f t="shared" si="320"/>
        <v>0</v>
      </c>
      <c r="AG2820" s="2">
        <f>W2820</f>
        <v>25</v>
      </c>
      <c r="AJ2820" s="2">
        <f t="shared" si="321"/>
        <v>0</v>
      </c>
      <c r="AK2820" s="2">
        <f t="shared" si="322"/>
        <v>25</v>
      </c>
      <c r="AL2820" s="5">
        <f t="shared" si="318"/>
        <v>0.5</v>
      </c>
    </row>
    <row r="2821" spans="1:38" hidden="1" x14ac:dyDescent="0.2">
      <c r="A2821" s="2">
        <v>2026</v>
      </c>
      <c r="B2821" s="2">
        <v>2</v>
      </c>
      <c r="D2821" s="2" t="s">
        <v>2294</v>
      </c>
      <c r="E2821" s="2" t="s">
        <v>38</v>
      </c>
      <c r="G2821" s="2">
        <v>509800696</v>
      </c>
      <c r="H2821" s="2" t="s">
        <v>291</v>
      </c>
      <c r="I2821" s="2" t="s">
        <v>2295</v>
      </c>
      <c r="J2821" s="2" t="s">
        <v>2296</v>
      </c>
      <c r="K2821" s="2">
        <v>930444437</v>
      </c>
      <c r="L2821" s="2" t="s">
        <v>2295</v>
      </c>
      <c r="M2821" s="2" t="s">
        <v>40</v>
      </c>
      <c r="O2821" s="2" t="s">
        <v>2297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7"/>
        <v>0.6</v>
      </c>
      <c r="Z2821" s="2" t="s">
        <v>118</v>
      </c>
      <c r="AA2821" s="2" t="s">
        <v>191</v>
      </c>
      <c r="AB2821" s="2" t="s">
        <v>190</v>
      </c>
      <c r="AC2821" s="2" t="s">
        <v>40</v>
      </c>
      <c r="AF2821" s="2">
        <f t="shared" si="320"/>
        <v>0</v>
      </c>
      <c r="AJ2821" s="2">
        <f t="shared" si="321"/>
        <v>0</v>
      </c>
      <c r="AK2821" s="2">
        <f t="shared" si="322"/>
        <v>242.39999999999998</v>
      </c>
      <c r="AL2821" s="5">
        <f t="shared" si="318"/>
        <v>0.6</v>
      </c>
    </row>
    <row r="2822" spans="1:38" hidden="1" x14ac:dyDescent="0.2">
      <c r="A2822" s="2">
        <v>2026</v>
      </c>
      <c r="B2822" s="2">
        <v>2</v>
      </c>
      <c r="D2822" s="2" t="s">
        <v>2294</v>
      </c>
      <c r="E2822" s="2" t="s">
        <v>38</v>
      </c>
      <c r="G2822" s="2">
        <v>509800696</v>
      </c>
      <c r="H2822" s="2" t="s">
        <v>291</v>
      </c>
      <c r="I2822" s="2" t="s">
        <v>2295</v>
      </c>
      <c r="J2822" s="2" t="s">
        <v>2296</v>
      </c>
      <c r="K2822" s="2">
        <v>930444437</v>
      </c>
      <c r="L2822" s="2" t="s">
        <v>2295</v>
      </c>
      <c r="M2822" s="2" t="s">
        <v>40</v>
      </c>
      <c r="O2822" s="2" t="s">
        <v>2297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7"/>
        <v>0.5</v>
      </c>
      <c r="Z2822" s="2" t="s">
        <v>118</v>
      </c>
      <c r="AA2822" s="2" t="s">
        <v>191</v>
      </c>
      <c r="AB2822" s="2" t="s">
        <v>191</v>
      </c>
      <c r="AC2822" s="2" t="s">
        <v>40</v>
      </c>
      <c r="AF2822" s="2">
        <f t="shared" si="320"/>
        <v>0</v>
      </c>
      <c r="AG2822" s="2">
        <f>W2822</f>
        <v>165</v>
      </c>
      <c r="AJ2822" s="2">
        <f t="shared" si="321"/>
        <v>0</v>
      </c>
      <c r="AK2822" s="2">
        <f t="shared" si="322"/>
        <v>165</v>
      </c>
      <c r="AL2822" s="5">
        <f t="shared" si="318"/>
        <v>0.5</v>
      </c>
    </row>
    <row r="2823" spans="1:38" hidden="1" x14ac:dyDescent="0.2">
      <c r="A2823" s="2">
        <v>2026</v>
      </c>
      <c r="B2823" s="2">
        <v>1</v>
      </c>
      <c r="D2823" s="2" t="s">
        <v>1126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2298</v>
      </c>
      <c r="J2823" s="2" t="s">
        <v>2299</v>
      </c>
      <c r="K2823" s="2">
        <v>965790183</v>
      </c>
      <c r="L2823" s="2" t="s">
        <v>178</v>
      </c>
      <c r="M2823" s="2" t="s">
        <v>40</v>
      </c>
      <c r="O2823" s="2" t="s">
        <v>2300</v>
      </c>
      <c r="P2823" s="2" t="s">
        <v>115</v>
      </c>
      <c r="Q2823" s="2" t="s">
        <v>2301</v>
      </c>
      <c r="R2823" s="2" t="s">
        <v>2302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7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20"/>
        <v>0</v>
      </c>
      <c r="AG2823" s="2">
        <v>136.38999999999999</v>
      </c>
      <c r="AH2823" s="2">
        <v>282.11399999999998</v>
      </c>
      <c r="AJ2823" s="2">
        <f t="shared" si="321"/>
        <v>0</v>
      </c>
      <c r="AK2823" s="2">
        <f t="shared" si="322"/>
        <v>60.320000000000022</v>
      </c>
      <c r="AL2823" s="5">
        <f t="shared" si="318"/>
        <v>0.3066442987138428</v>
      </c>
    </row>
    <row r="2824" spans="1:38" hidden="1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2303</v>
      </c>
      <c r="P2824" s="2" t="s">
        <v>115</v>
      </c>
      <c r="Q2824" s="2" t="s">
        <v>1376</v>
      </c>
      <c r="R2824" s="2" t="s">
        <v>1377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7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20"/>
        <v>0</v>
      </c>
      <c r="AG2824" s="2">
        <v>27.86</v>
      </c>
      <c r="AJ2824" s="2">
        <f t="shared" si="321"/>
        <v>0</v>
      </c>
      <c r="AK2824" s="2">
        <f t="shared" si="322"/>
        <v>30.880000000000003</v>
      </c>
      <c r="AL2824" s="5">
        <f t="shared" si="318"/>
        <v>0.52570650323459311</v>
      </c>
    </row>
    <row r="2825" spans="1:38" hidden="1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2303</v>
      </c>
      <c r="P2825" s="2" t="s">
        <v>115</v>
      </c>
      <c r="Q2825" s="2" t="s">
        <v>2231</v>
      </c>
      <c r="R2825" s="2" t="s">
        <v>2232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7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20"/>
        <v>0</v>
      </c>
      <c r="AG2825" s="2">
        <v>28.372499999999999</v>
      </c>
      <c r="AJ2825" s="2">
        <f t="shared" si="321"/>
        <v>0</v>
      </c>
      <c r="AK2825" s="2">
        <f t="shared" si="322"/>
        <v>30.37</v>
      </c>
      <c r="AL2825" s="5">
        <f t="shared" si="318"/>
        <v>0.51702417432754511</v>
      </c>
    </row>
    <row r="2826" spans="1:38" hidden="1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2304</v>
      </c>
      <c r="P2826" s="2" t="s">
        <v>115</v>
      </c>
      <c r="Q2826" s="2" t="s">
        <v>629</v>
      </c>
      <c r="R2826" s="2" t="s">
        <v>630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7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20"/>
        <v>0</v>
      </c>
      <c r="AG2826" s="2">
        <v>12.938599999999999</v>
      </c>
      <c r="AJ2826" s="2">
        <f t="shared" si="321"/>
        <v>0</v>
      </c>
      <c r="AK2826" s="2">
        <f t="shared" si="322"/>
        <v>13.8514</v>
      </c>
      <c r="AL2826" s="5">
        <f t="shared" si="318"/>
        <v>0.51703620754012691</v>
      </c>
    </row>
    <row r="2827" spans="1:38" hidden="1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2305</v>
      </c>
      <c r="P2827" s="2" t="s">
        <v>115</v>
      </c>
      <c r="Q2827" s="2" t="s">
        <v>1518</v>
      </c>
      <c r="R2827" s="2" t="s">
        <v>1519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7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20"/>
        <v>0</v>
      </c>
      <c r="AG2827" s="2">
        <v>11.246700000000001</v>
      </c>
      <c r="AJ2827" s="2">
        <f t="shared" si="321"/>
        <v>0</v>
      </c>
      <c r="AK2827" s="2">
        <f t="shared" si="322"/>
        <v>12.543299999999999</v>
      </c>
      <c r="AL2827" s="5">
        <f t="shared" si="318"/>
        <v>0.52725094577553588</v>
      </c>
    </row>
    <row r="2828" spans="1:38" hidden="1" x14ac:dyDescent="0.2">
      <c r="A2828" s="2">
        <v>2026</v>
      </c>
      <c r="B2828" s="2">
        <v>1</v>
      </c>
      <c r="D2828" s="2" t="s">
        <v>1664</v>
      </c>
      <c r="G2828" s="2">
        <v>510222340</v>
      </c>
      <c r="I2828" s="2" t="s">
        <v>2306</v>
      </c>
      <c r="L2828" s="2" t="s">
        <v>345</v>
      </c>
      <c r="M2828" s="2" t="s">
        <v>40</v>
      </c>
      <c r="O2828" s="2" t="s">
        <v>2307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7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20"/>
        <v>0</v>
      </c>
      <c r="AG2828" s="2">
        <v>386</v>
      </c>
      <c r="AJ2828" s="2">
        <f t="shared" si="321"/>
        <v>0</v>
      </c>
      <c r="AK2828" s="2">
        <f t="shared" si="322"/>
        <v>759.15000000000009</v>
      </c>
      <c r="AL2828" s="5">
        <f t="shared" si="318"/>
        <v>0.66292625420250628</v>
      </c>
    </row>
    <row r="2829" spans="1:38" hidden="1" x14ac:dyDescent="0.2">
      <c r="A2829" s="2">
        <v>2026</v>
      </c>
      <c r="B2829" s="2">
        <v>1</v>
      </c>
      <c r="D2829" s="2" t="s">
        <v>776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777</v>
      </c>
      <c r="J2829" s="2" t="s">
        <v>778</v>
      </c>
      <c r="L2829" s="2" t="s">
        <v>340</v>
      </c>
      <c r="M2829" s="2" t="s">
        <v>40</v>
      </c>
      <c r="O2829" s="2" t="s">
        <v>2308</v>
      </c>
      <c r="P2829" s="2" t="s">
        <v>115</v>
      </c>
      <c r="Q2829" s="2" t="s">
        <v>2309</v>
      </c>
      <c r="R2829" s="2" t="s">
        <v>2310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20"/>
        <v>0</v>
      </c>
      <c r="AG2829" s="2">
        <v>11.182499999999999</v>
      </c>
      <c r="AJ2829" s="2">
        <f t="shared" si="321"/>
        <v>0</v>
      </c>
      <c r="AK2829" s="2">
        <f t="shared" si="322"/>
        <v>-44.73</v>
      </c>
    </row>
    <row r="2830" spans="1:38" hidden="1" x14ac:dyDescent="0.2">
      <c r="A2830" s="2">
        <v>2026</v>
      </c>
      <c r="B2830" s="2">
        <v>1</v>
      </c>
      <c r="D2830" s="2" t="s">
        <v>776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777</v>
      </c>
      <c r="J2830" s="2" t="s">
        <v>778</v>
      </c>
      <c r="L2830" s="2" t="s">
        <v>340</v>
      </c>
      <c r="M2830" s="2" t="s">
        <v>40</v>
      </c>
      <c r="O2830" s="2" t="s">
        <v>2308</v>
      </c>
      <c r="P2830" s="2" t="s">
        <v>115</v>
      </c>
      <c r="Q2830" s="2" t="s">
        <v>673</v>
      </c>
      <c r="R2830" s="2" t="s">
        <v>674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20"/>
        <v>0</v>
      </c>
      <c r="AJ2830" s="2">
        <f t="shared" si="321"/>
        <v>0</v>
      </c>
      <c r="AK2830" s="2">
        <f t="shared" si="322"/>
        <v>-5.2342000000000004</v>
      </c>
    </row>
    <row r="2831" spans="1:38" hidden="1" x14ac:dyDescent="0.2">
      <c r="A2831" s="2">
        <v>2026</v>
      </c>
      <c r="B2831" s="2">
        <v>1</v>
      </c>
      <c r="D2831" s="2" t="s">
        <v>1586</v>
      </c>
      <c r="G2831" s="2">
        <v>504855395</v>
      </c>
      <c r="M2831" s="2" t="s">
        <v>40</v>
      </c>
      <c r="O2831" s="2" t="s">
        <v>2311</v>
      </c>
      <c r="P2831" s="2" t="s">
        <v>115</v>
      </c>
      <c r="Q2831" s="2" t="s">
        <v>2312</v>
      </c>
      <c r="R2831" s="2" t="s">
        <v>2313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23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20"/>
        <v>0</v>
      </c>
      <c r="AG2831" s="2">
        <v>6.2991999999999999</v>
      </c>
      <c r="AJ2831" s="2">
        <f t="shared" si="321"/>
        <v>0</v>
      </c>
      <c r="AK2831" s="2">
        <f t="shared" si="322"/>
        <v>14.0816</v>
      </c>
      <c r="AL2831" s="5">
        <f t="shared" ref="AL2831:AL2862" si="324">(T2831-W2831)/T2831</f>
        <v>0.52779610194902549</v>
      </c>
    </row>
    <row r="2832" spans="1:38" hidden="1" x14ac:dyDescent="0.2">
      <c r="A2832" s="2">
        <v>2026</v>
      </c>
      <c r="B2832" s="2">
        <v>1</v>
      </c>
      <c r="D2832" s="2" t="s">
        <v>1586</v>
      </c>
      <c r="M2832" s="2" t="s">
        <v>40</v>
      </c>
      <c r="O2832" s="2" t="s">
        <v>2311</v>
      </c>
      <c r="P2832" s="2" t="s">
        <v>115</v>
      </c>
      <c r="Q2832" s="2" t="s">
        <v>2314</v>
      </c>
      <c r="R2832" s="2" t="s">
        <v>2315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23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20"/>
        <v>0</v>
      </c>
      <c r="AG2832" s="2">
        <v>6.3601999999999999</v>
      </c>
      <c r="AJ2832" s="2">
        <f t="shared" si="321"/>
        <v>0</v>
      </c>
      <c r="AK2832" s="2">
        <f t="shared" si="322"/>
        <v>7.1597999999999997</v>
      </c>
      <c r="AL2832" s="5">
        <f t="shared" si="324"/>
        <v>0.52957100591715978</v>
      </c>
    </row>
    <row r="2833" spans="1:38" hidden="1" x14ac:dyDescent="0.2">
      <c r="A2833" s="2">
        <v>2026</v>
      </c>
      <c r="B2833" s="2">
        <v>1</v>
      </c>
      <c r="D2833" s="2" t="s">
        <v>2316</v>
      </c>
      <c r="E2833" s="2" t="s">
        <v>38</v>
      </c>
      <c r="G2833" s="2">
        <v>169582760</v>
      </c>
      <c r="H2833" s="2" t="s">
        <v>291</v>
      </c>
      <c r="I2833" s="2" t="s">
        <v>2317</v>
      </c>
      <c r="J2833" s="2" t="s">
        <v>2318</v>
      </c>
      <c r="L2833" s="2" t="s">
        <v>2295</v>
      </c>
      <c r="M2833" s="2" t="s">
        <v>40</v>
      </c>
      <c r="O2833" s="2" t="s">
        <v>2319</v>
      </c>
      <c r="P2833" s="2" t="s">
        <v>115</v>
      </c>
      <c r="Q2833" s="2" t="s">
        <v>780</v>
      </c>
      <c r="R2833" s="2" t="s">
        <v>781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23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20"/>
        <v>0</v>
      </c>
      <c r="AG2833" s="2">
        <v>35.931699999999999</v>
      </c>
      <c r="AJ2833" s="2">
        <f t="shared" si="321"/>
        <v>0</v>
      </c>
      <c r="AK2833" s="2">
        <f t="shared" si="322"/>
        <v>81.476600000000005</v>
      </c>
      <c r="AL2833" s="5">
        <f t="shared" si="324"/>
        <v>0.53134602843354639</v>
      </c>
    </row>
    <row r="2834" spans="1:38" hidden="1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2305</v>
      </c>
      <c r="P2834" s="2" t="s">
        <v>115</v>
      </c>
      <c r="Q2834" s="2" t="s">
        <v>780</v>
      </c>
      <c r="R2834" s="2" t="s">
        <v>781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23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20"/>
        <v>0</v>
      </c>
      <c r="AG2834" s="2">
        <v>35.931699999999999</v>
      </c>
      <c r="AJ2834" s="2">
        <f t="shared" si="321"/>
        <v>0</v>
      </c>
      <c r="AK2834" s="2">
        <f t="shared" si="322"/>
        <v>40.738300000000002</v>
      </c>
      <c r="AL2834" s="5">
        <f t="shared" si="324"/>
        <v>0.53134602843354639</v>
      </c>
    </row>
    <row r="2835" spans="1:38" hidden="1" x14ac:dyDescent="0.2">
      <c r="A2835" s="2">
        <v>2026</v>
      </c>
      <c r="B2835" s="2">
        <v>1</v>
      </c>
      <c r="D2835" s="2" t="s">
        <v>975</v>
      </c>
      <c r="M2835" s="2" t="s">
        <v>40</v>
      </c>
      <c r="O2835" s="2" t="s">
        <v>2320</v>
      </c>
      <c r="P2835" s="2" t="s">
        <v>115</v>
      </c>
      <c r="Q2835" s="2" t="s">
        <v>2321</v>
      </c>
      <c r="R2835" s="2" t="s">
        <v>2322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23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20"/>
        <v>0</v>
      </c>
      <c r="AG2835" s="2">
        <v>34.743400000000001</v>
      </c>
      <c r="AJ2835" s="2">
        <f t="shared" si="321"/>
        <v>0</v>
      </c>
      <c r="AK2835" s="2">
        <f t="shared" si="322"/>
        <v>38.686600000000006</v>
      </c>
      <c r="AL2835" s="5">
        <f t="shared" si="324"/>
        <v>0.5268500612828545</v>
      </c>
    </row>
    <row r="2836" spans="1:38" hidden="1" x14ac:dyDescent="0.2">
      <c r="A2836" s="2">
        <v>2026</v>
      </c>
      <c r="B2836" s="2">
        <v>1</v>
      </c>
      <c r="D2836" s="2" t="s">
        <v>2323</v>
      </c>
      <c r="M2836" s="2" t="s">
        <v>40</v>
      </c>
      <c r="O2836" s="2" t="s">
        <v>2324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25">23.042*S2836</f>
        <v>46.084000000000003</v>
      </c>
      <c r="X2836" s="5">
        <f t="shared" si="323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20"/>
        <v>0</v>
      </c>
      <c r="AG2836" s="2">
        <v>22.2</v>
      </c>
      <c r="AJ2836" s="2">
        <f t="shared" si="321"/>
        <v>0</v>
      </c>
      <c r="AK2836" s="2">
        <f t="shared" si="322"/>
        <v>51.816000000000003</v>
      </c>
      <c r="AL2836" s="5">
        <f t="shared" si="324"/>
        <v>0.52927477017364655</v>
      </c>
    </row>
    <row r="2837" spans="1:38" hidden="1" x14ac:dyDescent="0.2">
      <c r="A2837" s="2">
        <v>2026</v>
      </c>
      <c r="B2837" s="2">
        <v>1</v>
      </c>
      <c r="D2837" s="2" t="s">
        <v>1292</v>
      </c>
      <c r="I2837" s="2" t="s">
        <v>2325</v>
      </c>
      <c r="M2837" s="2" t="s">
        <v>40</v>
      </c>
      <c r="O2837" s="2" t="s">
        <v>2326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25"/>
        <v>46.084000000000003</v>
      </c>
      <c r="X2837" s="5">
        <f t="shared" si="323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20"/>
        <v>0</v>
      </c>
      <c r="AG2837" s="2">
        <v>22.2</v>
      </c>
      <c r="AJ2837" s="2">
        <f t="shared" si="321"/>
        <v>0</v>
      </c>
      <c r="AK2837" s="2">
        <f t="shared" si="322"/>
        <v>51.816000000000003</v>
      </c>
      <c r="AL2837" s="5">
        <f t="shared" si="324"/>
        <v>0.52927477017364655</v>
      </c>
    </row>
    <row r="2838" spans="1:38" hidden="1" x14ac:dyDescent="0.2">
      <c r="A2838" s="2">
        <v>2026</v>
      </c>
      <c r="B2838" s="2">
        <v>1</v>
      </c>
      <c r="D2838" s="2" t="s">
        <v>1881</v>
      </c>
      <c r="M2838" s="2" t="s">
        <v>40</v>
      </c>
      <c r="O2838" s="2" t="s">
        <v>2327</v>
      </c>
      <c r="P2838" s="2" t="s">
        <v>115</v>
      </c>
      <c r="Q2838" s="2" t="s">
        <v>1415</v>
      </c>
      <c r="R2838" s="2" t="s">
        <v>1416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23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20"/>
        <v>0</v>
      </c>
      <c r="AG2838" s="2">
        <v>102.39</v>
      </c>
      <c r="AJ2838" s="2">
        <f t="shared" si="321"/>
        <v>0</v>
      </c>
      <c r="AK2838" s="2">
        <f t="shared" si="322"/>
        <v>113.55</v>
      </c>
      <c r="AL2838" s="5">
        <f t="shared" si="324"/>
        <v>0.52584051125312581</v>
      </c>
    </row>
    <row r="2839" spans="1:38" hidden="1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2328</v>
      </c>
      <c r="P2839" s="2" t="s">
        <v>115</v>
      </c>
      <c r="Q2839" s="2" t="s">
        <v>647</v>
      </c>
      <c r="R2839" s="2" t="s">
        <v>648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23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20"/>
        <v>0</v>
      </c>
      <c r="AG2839" s="2">
        <v>30.22</v>
      </c>
      <c r="AJ2839" s="2">
        <f t="shared" si="321"/>
        <v>0</v>
      </c>
      <c r="AK2839" s="2">
        <f t="shared" si="322"/>
        <v>33.24</v>
      </c>
      <c r="AL2839" s="5">
        <f t="shared" si="324"/>
        <v>0.52379451623069651</v>
      </c>
    </row>
    <row r="2840" spans="1:38" hidden="1" x14ac:dyDescent="0.2">
      <c r="A2840" s="2">
        <v>2026</v>
      </c>
      <c r="B2840" s="2">
        <v>1</v>
      </c>
      <c r="D2840" s="2" t="s">
        <v>2235</v>
      </c>
      <c r="M2840" s="2" t="s">
        <v>40</v>
      </c>
      <c r="O2840" s="2" t="s">
        <v>2329</v>
      </c>
      <c r="P2840" s="2" t="s">
        <v>115</v>
      </c>
      <c r="Q2840" s="2" t="s">
        <v>906</v>
      </c>
      <c r="R2840" s="2" t="s">
        <v>907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23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20"/>
        <v>0</v>
      </c>
      <c r="AG2840" s="2">
        <v>342.22</v>
      </c>
      <c r="AJ2840" s="2">
        <f t="shared" si="321"/>
        <v>0</v>
      </c>
      <c r="AK2840" s="2">
        <f t="shared" si="322"/>
        <v>354.09659999999997</v>
      </c>
      <c r="AL2840" s="5">
        <f t="shared" si="324"/>
        <v>0.50635864435864431</v>
      </c>
    </row>
    <row r="2841" spans="1:38" hidden="1" x14ac:dyDescent="0.2">
      <c r="A2841" s="2">
        <v>2026</v>
      </c>
      <c r="B2841" s="2">
        <v>1</v>
      </c>
      <c r="D2841" s="2" t="s">
        <v>1010</v>
      </c>
      <c r="E2841" s="2" t="s">
        <v>109</v>
      </c>
      <c r="F2841" s="2" t="s">
        <v>39</v>
      </c>
      <c r="L2841" s="2" t="s">
        <v>419</v>
      </c>
      <c r="M2841" s="2" t="s">
        <v>40</v>
      </c>
      <c r="O2841" s="2" t="s">
        <v>2330</v>
      </c>
      <c r="P2841" s="2" t="s">
        <v>115</v>
      </c>
      <c r="Q2841" s="2" t="s">
        <v>906</v>
      </c>
      <c r="R2841" s="2" t="s">
        <v>907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23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20"/>
        <v>0</v>
      </c>
      <c r="AG2841" s="2">
        <v>342.22</v>
      </c>
      <c r="AJ2841" s="2">
        <f t="shared" si="321"/>
        <v>0</v>
      </c>
      <c r="AK2841" s="2">
        <f t="shared" si="322"/>
        <v>354.09659999999997</v>
      </c>
      <c r="AL2841" s="5">
        <f t="shared" si="324"/>
        <v>0.50635864435864431</v>
      </c>
    </row>
    <row r="2842" spans="1:38" hidden="1" x14ac:dyDescent="0.2">
      <c r="A2842" s="2">
        <v>2026</v>
      </c>
      <c r="B2842" s="2">
        <v>1</v>
      </c>
      <c r="D2842" s="2" t="s">
        <v>2331</v>
      </c>
      <c r="I2842" s="2" t="s">
        <v>805</v>
      </c>
      <c r="L2842" s="2" t="s">
        <v>100</v>
      </c>
      <c r="M2842" s="2" t="s">
        <v>40</v>
      </c>
      <c r="O2842" s="2" t="s">
        <v>2332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23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20"/>
        <v>0</v>
      </c>
      <c r="AG2842" s="2">
        <v>343.38569999999999</v>
      </c>
      <c r="AJ2842" s="2">
        <f t="shared" si="321"/>
        <v>0</v>
      </c>
      <c r="AK2842" s="2">
        <f t="shared" si="322"/>
        <v>355.72999999999996</v>
      </c>
      <c r="AL2842" s="5">
        <f t="shared" si="324"/>
        <v>0.50869440869440863</v>
      </c>
    </row>
    <row r="2843" spans="1:38" hidden="1" x14ac:dyDescent="0.2">
      <c r="A2843" s="2">
        <v>2026</v>
      </c>
      <c r="B2843" s="2">
        <v>1</v>
      </c>
      <c r="D2843" s="2" t="s">
        <v>1292</v>
      </c>
      <c r="M2843" s="2" t="s">
        <v>40</v>
      </c>
      <c r="O2843" s="2" t="s">
        <v>2333</v>
      </c>
      <c r="P2843" s="2" t="s">
        <v>115</v>
      </c>
      <c r="Q2843" s="2" t="s">
        <v>2334</v>
      </c>
      <c r="R2843" s="2" t="s">
        <v>2335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23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20"/>
        <v>0</v>
      </c>
      <c r="AG2843" s="2">
        <v>21.6</v>
      </c>
      <c r="AJ2843" s="2">
        <f t="shared" si="321"/>
        <v>0</v>
      </c>
      <c r="AK2843" s="2">
        <f t="shared" si="322"/>
        <v>20.36</v>
      </c>
      <c r="AL2843" s="5">
        <f t="shared" si="324"/>
        <v>0.48522402287893229</v>
      </c>
    </row>
    <row r="2844" spans="1:38" hidden="1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2336</v>
      </c>
      <c r="P2844" s="2" t="s">
        <v>115</v>
      </c>
      <c r="Q2844" s="2" t="s">
        <v>1659</v>
      </c>
      <c r="R2844" s="2" t="s">
        <v>1660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23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20"/>
        <v>0</v>
      </c>
      <c r="AG2844" s="2">
        <v>565.755</v>
      </c>
      <c r="AJ2844" s="2">
        <f t="shared" si="321"/>
        <v>0</v>
      </c>
      <c r="AK2844" s="2">
        <f t="shared" si="322"/>
        <v>2069.8145000000004</v>
      </c>
      <c r="AL2844" s="5">
        <f t="shared" si="324"/>
        <v>0.7853384656829453</v>
      </c>
    </row>
    <row r="2845" spans="1:38" hidden="1" x14ac:dyDescent="0.2">
      <c r="A2845" s="2">
        <v>2026</v>
      </c>
      <c r="B2845" s="2">
        <v>1</v>
      </c>
      <c r="D2845" s="2" t="s">
        <v>1881</v>
      </c>
      <c r="M2845" s="2" t="s">
        <v>40</v>
      </c>
      <c r="O2845" s="2" t="s">
        <v>2327</v>
      </c>
      <c r="P2845" s="2" t="s">
        <v>115</v>
      </c>
      <c r="Q2845" s="2" t="s">
        <v>794</v>
      </c>
      <c r="R2845" s="2" t="s">
        <v>795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23"/>
        <v>0.52584528070923831</v>
      </c>
      <c r="Z2845" s="2" t="s">
        <v>118</v>
      </c>
      <c r="AF2845" s="2">
        <f t="shared" si="320"/>
        <v>0</v>
      </c>
      <c r="AG2845" s="2">
        <v>255.65</v>
      </c>
      <c r="AJ2845" s="2">
        <f t="shared" si="321"/>
        <v>0</v>
      </c>
      <c r="AK2845" s="2">
        <f t="shared" si="322"/>
        <v>283.52</v>
      </c>
      <c r="AL2845" s="5">
        <f t="shared" si="324"/>
        <v>0.52584528070923831</v>
      </c>
    </row>
    <row r="2846" spans="1:38" hidden="1" x14ac:dyDescent="0.2">
      <c r="A2846" s="2">
        <v>2026</v>
      </c>
      <c r="B2846" s="2">
        <v>1</v>
      </c>
      <c r="D2846" s="2" t="s">
        <v>2337</v>
      </c>
      <c r="P2846" s="2" t="s">
        <v>115</v>
      </c>
      <c r="Q2846" s="2" t="s">
        <v>980</v>
      </c>
      <c r="R2846" s="2" t="s">
        <v>981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23"/>
        <v>1</v>
      </c>
      <c r="Z2846" s="2" t="s">
        <v>118</v>
      </c>
      <c r="AF2846" s="2">
        <f t="shared" si="320"/>
        <v>0</v>
      </c>
      <c r="AJ2846" s="2">
        <f t="shared" si="321"/>
        <v>0</v>
      </c>
      <c r="AK2846" s="2">
        <f t="shared" si="322"/>
        <v>79.819999999999993</v>
      </c>
      <c r="AL2846" s="5">
        <f t="shared" si="324"/>
        <v>1</v>
      </c>
    </row>
    <row r="2847" spans="1:38" hidden="1" x14ac:dyDescent="0.2">
      <c r="A2847" s="2">
        <v>2026</v>
      </c>
      <c r="B2847" s="2">
        <v>1</v>
      </c>
      <c r="D2847" s="2" t="s">
        <v>2338</v>
      </c>
      <c r="M2847" s="2" t="s">
        <v>41</v>
      </c>
      <c r="P2847" s="2" t="s">
        <v>115</v>
      </c>
      <c r="Q2847" s="2" t="s">
        <v>2339</v>
      </c>
      <c r="R2847" s="2" t="s">
        <v>2340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23"/>
        <v>1</v>
      </c>
      <c r="Z2847" s="2" t="s">
        <v>118</v>
      </c>
      <c r="AF2847" s="2">
        <f t="shared" si="320"/>
        <v>0</v>
      </c>
      <c r="AJ2847" s="2">
        <f t="shared" si="321"/>
        <v>0</v>
      </c>
      <c r="AK2847" s="2">
        <f t="shared" si="322"/>
        <v>422.5</v>
      </c>
      <c r="AL2847" s="5">
        <f t="shared" si="324"/>
        <v>1</v>
      </c>
    </row>
    <row r="2848" spans="1:38" hidden="1" x14ac:dyDescent="0.2">
      <c r="A2848" s="2">
        <v>2026</v>
      </c>
      <c r="B2848" s="2">
        <v>1</v>
      </c>
      <c r="D2848" s="2" t="s">
        <v>1626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1627</v>
      </c>
      <c r="J2848" s="2" t="s">
        <v>1628</v>
      </c>
      <c r="L2848" s="2" t="s">
        <v>294</v>
      </c>
      <c r="M2848" s="2" t="s">
        <v>40</v>
      </c>
      <c r="O2848" s="2" t="s">
        <v>2341</v>
      </c>
      <c r="P2848" s="2" t="s">
        <v>115</v>
      </c>
      <c r="Q2848" s="2" t="s">
        <v>1473</v>
      </c>
      <c r="R2848" s="2" t="s">
        <v>1474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23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20"/>
        <v>0</v>
      </c>
      <c r="AG2848" s="2">
        <v>343.38</v>
      </c>
      <c r="AH2848" s="2">
        <v>986.58</v>
      </c>
      <c r="AJ2848" s="2">
        <f t="shared" si="321"/>
        <v>0</v>
      </c>
      <c r="AK2848" s="2">
        <f t="shared" si="322"/>
        <v>248.57000000000005</v>
      </c>
      <c r="AL2848" s="5">
        <f t="shared" si="324"/>
        <v>0.41991722273840704</v>
      </c>
    </row>
    <row r="2849" spans="1:38" hidden="1" x14ac:dyDescent="0.2">
      <c r="A2849" s="2">
        <v>2026</v>
      </c>
      <c r="B2849" s="2">
        <v>1</v>
      </c>
      <c r="D2849" s="2" t="s">
        <v>2342</v>
      </c>
      <c r="M2849" s="2" t="s">
        <v>40</v>
      </c>
      <c r="P2849" s="2" t="s">
        <v>115</v>
      </c>
      <c r="Q2849" s="2" t="s">
        <v>1473</v>
      </c>
      <c r="R2849" s="2" t="s">
        <v>1474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23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20"/>
        <v>0</v>
      </c>
      <c r="AG2849" s="2">
        <v>343.38</v>
      </c>
      <c r="AH2849" s="2">
        <v>986.58</v>
      </c>
      <c r="AJ2849" s="2">
        <f t="shared" si="321"/>
        <v>0</v>
      </c>
      <c r="AK2849" s="2">
        <f t="shared" si="322"/>
        <v>347.23</v>
      </c>
      <c r="AL2849" s="5">
        <f t="shared" si="324"/>
        <v>0.50278739085735802</v>
      </c>
    </row>
    <row r="2850" spans="1:38" hidden="1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1473</v>
      </c>
      <c r="R2850" s="2" t="s">
        <v>1474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20"/>
        <v>0</v>
      </c>
      <c r="AG2850" s="2">
        <v>343.38</v>
      </c>
      <c r="AH2850" s="2">
        <v>986.58</v>
      </c>
      <c r="AJ2850" s="2">
        <f t="shared" si="321"/>
        <v>0</v>
      </c>
      <c r="AK2850" s="2">
        <v>0</v>
      </c>
      <c r="AL2850" s="5">
        <v>0</v>
      </c>
    </row>
    <row r="2851" spans="1:38" hidden="1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2343</v>
      </c>
      <c r="R2851" s="2" t="s">
        <v>2344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6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20"/>
        <v>0</v>
      </c>
      <c r="AJ2851" s="2">
        <f t="shared" si="321"/>
        <v>0</v>
      </c>
      <c r="AK2851" s="2">
        <f t="shared" si="322"/>
        <v>1601.8500000000001</v>
      </c>
      <c r="AL2851" s="5">
        <f t="shared" si="324"/>
        <v>0.56827373350361854</v>
      </c>
    </row>
    <row r="2852" spans="1:38" hidden="1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2345</v>
      </c>
      <c r="R2852" s="2" t="s">
        <v>2346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6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20"/>
        <v>0</v>
      </c>
      <c r="AJ2852" s="2">
        <f t="shared" si="321"/>
        <v>0</v>
      </c>
      <c r="AK2852" s="2">
        <f t="shared" si="322"/>
        <v>558.98</v>
      </c>
      <c r="AL2852" s="5">
        <f t="shared" si="324"/>
        <v>0.33877575757575756</v>
      </c>
    </row>
    <row r="2853" spans="1:38" hidden="1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1185</v>
      </c>
      <c r="R2853" s="2" t="s">
        <v>1186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6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20"/>
        <v>0</v>
      </c>
      <c r="AG2853" s="2">
        <v>7437.5950000000003</v>
      </c>
      <c r="AJ2853" s="2">
        <f t="shared" si="321"/>
        <v>0</v>
      </c>
      <c r="AK2853" s="2">
        <f t="shared" si="322"/>
        <v>692.48499999999967</v>
      </c>
      <c r="AL2853" s="5">
        <f t="shared" si="324"/>
        <v>8.5175668628106938E-2</v>
      </c>
    </row>
    <row r="2854" spans="1:38" hidden="1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2347</v>
      </c>
      <c r="P2854" s="2" t="s">
        <v>115</v>
      </c>
      <c r="Q2854" s="2" t="s">
        <v>837</v>
      </c>
      <c r="R2854" s="2" t="s">
        <v>838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6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20"/>
        <v>0</v>
      </c>
      <c r="AJ2854" s="2">
        <f t="shared" si="321"/>
        <v>0</v>
      </c>
      <c r="AK2854" s="2">
        <f t="shared" si="322"/>
        <v>4400.1200000000008</v>
      </c>
      <c r="AL2854" s="5">
        <f t="shared" si="324"/>
        <v>0.31451894210150111</v>
      </c>
    </row>
    <row r="2855" spans="1:38" hidden="1" x14ac:dyDescent="0.2">
      <c r="A2855" s="2">
        <v>2026</v>
      </c>
      <c r="B2855" s="2">
        <v>1</v>
      </c>
      <c r="C2855" s="2" t="s">
        <v>3331</v>
      </c>
      <c r="D2855" s="2" t="s">
        <v>3332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2347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6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20"/>
        <v>0</v>
      </c>
      <c r="AG2855" s="2">
        <v>10669.4</v>
      </c>
      <c r="AJ2855" s="2">
        <f t="shared" si="321"/>
        <v>0</v>
      </c>
      <c r="AK2855" s="2">
        <f t="shared" si="322"/>
        <v>3336.2000000000007</v>
      </c>
      <c r="AL2855" s="5">
        <f t="shared" si="324"/>
        <v>0.23820471811275495</v>
      </c>
    </row>
    <row r="2856" spans="1:38" hidden="1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2348</v>
      </c>
      <c r="P2856" s="2" t="s">
        <v>115</v>
      </c>
      <c r="Q2856" s="2" t="s">
        <v>957</v>
      </c>
      <c r="R2856" s="2" t="s">
        <v>958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6"/>
        <v>0.19140875000000004</v>
      </c>
      <c r="Z2856" s="2" t="s">
        <v>105</v>
      </c>
      <c r="AA2856" s="2" t="s">
        <v>617</v>
      </c>
      <c r="AB2856" s="2" t="s">
        <v>959</v>
      </c>
      <c r="AC2856" s="2" t="s">
        <v>115</v>
      </c>
      <c r="AF2856" s="2">
        <f t="shared" si="320"/>
        <v>0</v>
      </c>
      <c r="AG2856" s="2">
        <v>6468.73</v>
      </c>
      <c r="AJ2856" s="2">
        <f t="shared" si="321"/>
        <v>0</v>
      </c>
      <c r="AK2856" s="2">
        <f t="shared" si="322"/>
        <v>1531.2700000000004</v>
      </c>
      <c r="AL2856" s="5">
        <f t="shared" si="324"/>
        <v>0.19140875000000004</v>
      </c>
    </row>
    <row r="2857" spans="1:38" hidden="1" x14ac:dyDescent="0.2">
      <c r="A2857" s="2">
        <v>2026</v>
      </c>
      <c r="B2857" s="2">
        <v>1</v>
      </c>
      <c r="D2857" s="2" t="s">
        <v>2323</v>
      </c>
      <c r="P2857" s="2" t="s">
        <v>115</v>
      </c>
      <c r="Q2857" s="2" t="s">
        <v>957</v>
      </c>
      <c r="R2857" s="2" t="s">
        <v>958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6"/>
        <v>0.27561814109742444</v>
      </c>
      <c r="Z2857" s="2" t="s">
        <v>105</v>
      </c>
      <c r="AA2857" s="2" t="s">
        <v>617</v>
      </c>
      <c r="AB2857" s="2" t="s">
        <v>959</v>
      </c>
      <c r="AC2857" s="2" t="s">
        <v>115</v>
      </c>
      <c r="AF2857" s="2">
        <f t="shared" si="320"/>
        <v>0</v>
      </c>
      <c r="AG2857" s="2">
        <f>6193.4+275.33</f>
        <v>6468.73</v>
      </c>
      <c r="AJ2857" s="2">
        <f t="shared" si="321"/>
        <v>0</v>
      </c>
      <c r="AK2857" s="2">
        <f t="shared" si="322"/>
        <v>2461.2700000000004</v>
      </c>
      <c r="AL2857" s="5">
        <f t="shared" si="324"/>
        <v>0.27561814109742444</v>
      </c>
    </row>
    <row r="2858" spans="1:38" hidden="1" x14ac:dyDescent="0.2">
      <c r="A2858" s="2">
        <v>2026</v>
      </c>
      <c r="B2858" s="2">
        <v>1</v>
      </c>
      <c r="D2858" s="2" t="s">
        <v>1126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2298</v>
      </c>
      <c r="J2858" s="2" t="s">
        <v>2299</v>
      </c>
      <c r="K2858" s="2">
        <v>965790183</v>
      </c>
      <c r="L2858" s="2" t="s">
        <v>178</v>
      </c>
      <c r="M2858" s="2" t="s">
        <v>41</v>
      </c>
      <c r="O2858" s="2" t="s">
        <v>2349</v>
      </c>
      <c r="P2858" s="2" t="s">
        <v>115</v>
      </c>
      <c r="Q2858" s="2" t="s">
        <v>957</v>
      </c>
      <c r="R2858" s="2" t="s">
        <v>958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6"/>
        <v>0.31908105263157899</v>
      </c>
      <c r="Z2858" s="2" t="s">
        <v>105</v>
      </c>
      <c r="AA2858" s="2" t="s">
        <v>617</v>
      </c>
      <c r="AB2858" s="2" t="s">
        <v>959</v>
      </c>
      <c r="AC2858" s="2" t="s">
        <v>115</v>
      </c>
      <c r="AF2858" s="2">
        <f t="shared" si="320"/>
        <v>0</v>
      </c>
      <c r="AG2858" s="2">
        <f>6193.4+275.33</f>
        <v>6468.73</v>
      </c>
      <c r="AJ2858" s="2">
        <f t="shared" si="321"/>
        <v>0</v>
      </c>
      <c r="AK2858" s="2">
        <f t="shared" si="322"/>
        <v>3031.2700000000004</v>
      </c>
      <c r="AL2858" s="5">
        <f t="shared" si="324"/>
        <v>0.31908105263157899</v>
      </c>
    </row>
    <row r="2859" spans="1:38" hidden="1" x14ac:dyDescent="0.2">
      <c r="A2859" s="2">
        <v>2026</v>
      </c>
      <c r="B2859" s="2">
        <v>1</v>
      </c>
      <c r="D2859" s="2" t="s">
        <v>975</v>
      </c>
      <c r="M2859" s="2" t="s">
        <v>3305</v>
      </c>
      <c r="P2859" s="2" t="s">
        <v>2350</v>
      </c>
      <c r="Q2859" s="2" t="s">
        <v>2351</v>
      </c>
      <c r="R2859" s="2" t="s">
        <v>2352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6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2350</v>
      </c>
      <c r="AF2859" s="2">
        <f t="shared" si="320"/>
        <v>0</v>
      </c>
      <c r="AG2859" s="2">
        <v>203</v>
      </c>
      <c r="AJ2859" s="2">
        <f t="shared" si="321"/>
        <v>0</v>
      </c>
      <c r="AK2859" s="2">
        <f t="shared" si="322"/>
        <v>897</v>
      </c>
      <c r="AL2859" s="5">
        <f t="shared" si="324"/>
        <v>0.81545454545454543</v>
      </c>
    </row>
    <row r="2860" spans="1:38" hidden="1" x14ac:dyDescent="0.2">
      <c r="A2860" s="2">
        <v>2026</v>
      </c>
      <c r="B2860" s="2">
        <v>1</v>
      </c>
      <c r="D2860" s="2" t="s">
        <v>1557</v>
      </c>
      <c r="E2860" s="2" t="s">
        <v>109</v>
      </c>
      <c r="F2860" s="2" t="s">
        <v>718</v>
      </c>
      <c r="G2860" s="2">
        <v>500975914</v>
      </c>
      <c r="H2860" s="2" t="s">
        <v>41</v>
      </c>
      <c r="I2860" s="2" t="s">
        <v>1558</v>
      </c>
      <c r="J2860" s="2" t="s">
        <v>1559</v>
      </c>
      <c r="L2860" s="2" t="s">
        <v>100</v>
      </c>
      <c r="M2860" s="2" t="s">
        <v>41</v>
      </c>
      <c r="P2860" s="2" t="s">
        <v>2353</v>
      </c>
      <c r="Q2860" s="2" t="s">
        <v>2354</v>
      </c>
      <c r="R2860" s="2" t="s">
        <v>2355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6"/>
        <v>0.36584745762711868</v>
      </c>
      <c r="Z2860" s="2" t="s">
        <v>105</v>
      </c>
      <c r="AA2860" s="2" t="s">
        <v>72</v>
      </c>
      <c r="AB2860" s="2" t="s">
        <v>2353</v>
      </c>
      <c r="AC2860" s="2" t="s">
        <v>2353</v>
      </c>
      <c r="AF2860" s="2">
        <f t="shared" si="320"/>
        <v>0</v>
      </c>
      <c r="AG2860" s="2">
        <v>374.15</v>
      </c>
      <c r="AH2860" s="2">
        <v>662.51</v>
      </c>
      <c r="AJ2860" s="2">
        <f t="shared" si="321"/>
        <v>0</v>
      </c>
      <c r="AK2860" s="2">
        <f t="shared" si="322"/>
        <v>215.85000000000002</v>
      </c>
      <c r="AL2860" s="5">
        <f t="shared" si="324"/>
        <v>0.36584745762711868</v>
      </c>
    </row>
    <row r="2861" spans="1:38" hidden="1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2356</v>
      </c>
      <c r="P2861" s="2" t="s">
        <v>283</v>
      </c>
      <c r="Q2861" s="2" t="s">
        <v>1514</v>
      </c>
      <c r="R2861" s="2" t="s">
        <v>1515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6"/>
        <v>0.4499999999999999</v>
      </c>
      <c r="Z2861" s="2" t="s">
        <v>3231</v>
      </c>
      <c r="AA2861" s="2" t="s">
        <v>72</v>
      </c>
      <c r="AB2861" s="2" t="s">
        <v>1604</v>
      </c>
      <c r="AC2861" s="2" t="s">
        <v>1604</v>
      </c>
      <c r="AF2861" s="2">
        <f t="shared" si="320"/>
        <v>0</v>
      </c>
      <c r="AG2861" s="2">
        <v>27.445</v>
      </c>
      <c r="AJ2861" s="2">
        <f t="shared" si="321"/>
        <v>0</v>
      </c>
      <c r="AK2861" s="2">
        <f t="shared" si="322"/>
        <v>67.364999999999981</v>
      </c>
      <c r="AL2861" s="5">
        <f t="shared" si="324"/>
        <v>0.4499999999999999</v>
      </c>
    </row>
    <row r="2862" spans="1:38" hidden="1" x14ac:dyDescent="0.2">
      <c r="A2862" s="2">
        <v>2026</v>
      </c>
      <c r="B2862" s="2">
        <v>1</v>
      </c>
      <c r="D2862" s="2" t="s">
        <v>2357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2358</v>
      </c>
      <c r="P2862" s="2" t="s">
        <v>283</v>
      </c>
      <c r="Q2862" s="2" t="s">
        <v>2359</v>
      </c>
      <c r="R2862" s="2" t="s">
        <v>2360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6"/>
        <v>0.45833333333333331</v>
      </c>
      <c r="Z2862" s="2" t="s">
        <v>3231</v>
      </c>
      <c r="AA2862" s="2" t="s">
        <v>72</v>
      </c>
      <c r="AB2862" s="2" t="s">
        <v>1604</v>
      </c>
      <c r="AC2862" s="2" t="s">
        <v>1604</v>
      </c>
      <c r="AF2862" s="2">
        <f t="shared" si="320"/>
        <v>0</v>
      </c>
      <c r="AG2862" s="2">
        <v>6.5</v>
      </c>
      <c r="AH2862" s="2">
        <v>10</v>
      </c>
      <c r="AJ2862" s="2">
        <f t="shared" si="321"/>
        <v>0</v>
      </c>
      <c r="AK2862" s="2">
        <f t="shared" si="322"/>
        <v>5.5</v>
      </c>
      <c r="AL2862" s="5">
        <f t="shared" si="324"/>
        <v>0.45833333333333331</v>
      </c>
    </row>
    <row r="2863" spans="1:38" hidden="1" x14ac:dyDescent="0.2">
      <c r="A2863" s="2">
        <v>2026</v>
      </c>
      <c r="B2863" s="2">
        <v>1</v>
      </c>
      <c r="D2863" s="2" t="s">
        <v>2361</v>
      </c>
      <c r="E2863" s="2" t="s">
        <v>753</v>
      </c>
      <c r="G2863" s="2">
        <v>191221937</v>
      </c>
      <c r="H2863" s="2" t="s">
        <v>110</v>
      </c>
      <c r="I2863" s="2" t="s">
        <v>2362</v>
      </c>
      <c r="J2863" s="2" t="s">
        <v>2363</v>
      </c>
      <c r="L2863" s="2" t="s">
        <v>134</v>
      </c>
      <c r="M2863" s="2" t="s">
        <v>110</v>
      </c>
      <c r="P2863" s="2" t="s">
        <v>283</v>
      </c>
      <c r="Q2863" s="2" t="s">
        <v>1551</v>
      </c>
      <c r="R2863" s="2" t="s">
        <v>1552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6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20"/>
        <v>0</v>
      </c>
      <c r="AG2863" s="2">
        <v>297</v>
      </c>
      <c r="AH2863" s="2">
        <v>595</v>
      </c>
      <c r="AJ2863" s="2">
        <f t="shared" si="321"/>
        <v>0</v>
      </c>
      <c r="AK2863" s="2">
        <f t="shared" si="322"/>
        <v>298</v>
      </c>
      <c r="AL2863" s="5">
        <f t="shared" ref="AL2863:AL2894" si="327">(T2863-W2863)/T2863</f>
        <v>0.50084033613445378</v>
      </c>
    </row>
    <row r="2864" spans="1:38" hidden="1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6"/>
        <v>0.274505</v>
      </c>
      <c r="Z2864" s="2" t="s">
        <v>3231</v>
      </c>
      <c r="AA2864" s="2" t="s">
        <v>46</v>
      </c>
      <c r="AB2864" s="2" t="s">
        <v>61</v>
      </c>
      <c r="AC2864" s="2" t="s">
        <v>3336</v>
      </c>
      <c r="AF2864" s="2">
        <f t="shared" si="320"/>
        <v>0</v>
      </c>
      <c r="AJ2864" s="2">
        <f t="shared" si="321"/>
        <v>0</v>
      </c>
      <c r="AK2864" s="2">
        <f t="shared" si="322"/>
        <v>21.9604</v>
      </c>
      <c r="AL2864" s="5">
        <f t="shared" si="327"/>
        <v>0.274505</v>
      </c>
    </row>
    <row r="2865" spans="1:38" hidden="1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6"/>
        <v>0.27450500000000005</v>
      </c>
      <c r="Z2865" s="2" t="s">
        <v>3231</v>
      </c>
      <c r="AA2865" s="2" t="s">
        <v>46</v>
      </c>
      <c r="AB2865" s="2" t="s">
        <v>61</v>
      </c>
      <c r="AC2865" s="2" t="s">
        <v>3336</v>
      </c>
      <c r="AF2865" s="2">
        <f t="shared" si="320"/>
        <v>0</v>
      </c>
      <c r="AJ2865" s="2">
        <f t="shared" si="321"/>
        <v>0</v>
      </c>
      <c r="AK2865" s="2">
        <f t="shared" si="322"/>
        <v>109.80200000000002</v>
      </c>
      <c r="AL2865" s="5">
        <f t="shared" si="327"/>
        <v>0.27450500000000005</v>
      </c>
    </row>
    <row r="2866" spans="1:38" hidden="1" x14ac:dyDescent="0.2">
      <c r="A2866" s="2">
        <v>2026</v>
      </c>
      <c r="B2866" s="2">
        <v>1</v>
      </c>
      <c r="D2866" s="2" t="s">
        <v>1557</v>
      </c>
      <c r="E2866" s="2" t="s">
        <v>109</v>
      </c>
      <c r="F2866" s="2" t="s">
        <v>718</v>
      </c>
      <c r="G2866" s="2">
        <v>500975914</v>
      </c>
      <c r="H2866" s="2" t="s">
        <v>41</v>
      </c>
      <c r="I2866" s="2" t="s">
        <v>1558</v>
      </c>
      <c r="J2866" s="2" t="s">
        <v>1559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6"/>
        <v>0.27450500000000005</v>
      </c>
      <c r="Z2866" s="2" t="s">
        <v>3231</v>
      </c>
      <c r="AA2866" s="2" t="s">
        <v>46</v>
      </c>
      <c r="AB2866" s="2" t="s">
        <v>61</v>
      </c>
      <c r="AC2866" s="2" t="s">
        <v>3336</v>
      </c>
      <c r="AF2866" s="2">
        <f t="shared" si="320"/>
        <v>0</v>
      </c>
      <c r="AJ2866" s="2">
        <f t="shared" si="321"/>
        <v>0</v>
      </c>
      <c r="AK2866" s="2">
        <f t="shared" si="322"/>
        <v>109.80200000000002</v>
      </c>
      <c r="AL2866" s="5">
        <f t="shared" si="327"/>
        <v>0.27450500000000005</v>
      </c>
    </row>
    <row r="2867" spans="1:38" hidden="1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6"/>
        <v>0.27450500000000005</v>
      </c>
      <c r="Z2867" s="2" t="s">
        <v>3231</v>
      </c>
      <c r="AA2867" s="2" t="s">
        <v>46</v>
      </c>
      <c r="AB2867" s="2" t="s">
        <v>61</v>
      </c>
      <c r="AC2867" s="2" t="s">
        <v>3336</v>
      </c>
      <c r="AF2867" s="2">
        <f t="shared" si="320"/>
        <v>0</v>
      </c>
      <c r="AJ2867" s="2">
        <f t="shared" si="321"/>
        <v>0</v>
      </c>
      <c r="AK2867" s="2">
        <f t="shared" si="322"/>
        <v>109.80200000000002</v>
      </c>
      <c r="AL2867" s="5">
        <f t="shared" si="327"/>
        <v>0.27450500000000005</v>
      </c>
    </row>
    <row r="2868" spans="1:38" hidden="1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2364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6"/>
        <v>0.42321428571428571</v>
      </c>
      <c r="Z2868" s="2" t="s">
        <v>3231</v>
      </c>
      <c r="AA2868" s="2" t="s">
        <v>46</v>
      </c>
      <c r="AB2868" s="2" t="s">
        <v>47</v>
      </c>
      <c r="AC2868" s="2" t="s">
        <v>48</v>
      </c>
      <c r="AF2868" s="2">
        <f t="shared" si="320"/>
        <v>0</v>
      </c>
      <c r="AG2868" s="2">
        <v>14.535</v>
      </c>
      <c r="AH2868" s="2">
        <v>25.2</v>
      </c>
      <c r="AJ2868" s="2">
        <f t="shared" si="321"/>
        <v>0</v>
      </c>
      <c r="AK2868" s="2">
        <f t="shared" si="322"/>
        <v>10.664999999999999</v>
      </c>
      <c r="AL2868" s="5">
        <f t="shared" si="327"/>
        <v>0.42321428571428571</v>
      </c>
    </row>
    <row r="2869" spans="1:38" hidden="1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1103</v>
      </c>
      <c r="J2869" s="2" t="s">
        <v>1104</v>
      </c>
      <c r="L2869" s="2" t="s">
        <v>178</v>
      </c>
      <c r="M2869" s="2" t="s">
        <v>41</v>
      </c>
      <c r="O2869" s="2" t="s">
        <v>2365</v>
      </c>
      <c r="P2869" s="2" t="s">
        <v>43</v>
      </c>
      <c r="Q2869" s="2" t="s">
        <v>1106</v>
      </c>
      <c r="R2869" s="2" t="s">
        <v>1107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6"/>
        <v>0.4623655913978495</v>
      </c>
      <c r="Z2869" s="2" t="s">
        <v>3231</v>
      </c>
      <c r="AA2869" s="2" t="s">
        <v>46</v>
      </c>
      <c r="AB2869" s="2" t="s">
        <v>47</v>
      </c>
      <c r="AC2869" s="2" t="s">
        <v>48</v>
      </c>
      <c r="AF2869" s="2">
        <f t="shared" si="320"/>
        <v>0</v>
      </c>
      <c r="AG2869" s="2">
        <v>10</v>
      </c>
      <c r="AH2869" s="2">
        <v>21</v>
      </c>
      <c r="AJ2869" s="2">
        <f t="shared" si="321"/>
        <v>0</v>
      </c>
      <c r="AK2869" s="2">
        <f t="shared" si="322"/>
        <v>8.6000000000000014</v>
      </c>
      <c r="AL2869" s="5">
        <f t="shared" si="327"/>
        <v>0.4623655913978495</v>
      </c>
    </row>
    <row r="2870" spans="1:38" hidden="1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2366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6"/>
        <v>-0.32857142857142868</v>
      </c>
      <c r="Z2870" s="2" t="s">
        <v>3231</v>
      </c>
      <c r="AA2870" s="2" t="s">
        <v>46</v>
      </c>
      <c r="AB2870" s="2" t="s">
        <v>47</v>
      </c>
      <c r="AC2870" s="2" t="s">
        <v>48</v>
      </c>
      <c r="AF2870" s="2">
        <f t="shared" si="320"/>
        <v>0</v>
      </c>
      <c r="AG2870" s="2">
        <v>9.3000000000000007</v>
      </c>
      <c r="AH2870" s="2">
        <v>21</v>
      </c>
      <c r="AJ2870" s="2">
        <f t="shared" si="321"/>
        <v>0</v>
      </c>
      <c r="AK2870" s="2">
        <f t="shared" si="322"/>
        <v>-2.3000000000000007</v>
      </c>
      <c r="AL2870" s="5">
        <f t="shared" si="327"/>
        <v>-0.32857142857142868</v>
      </c>
    </row>
    <row r="2871" spans="1:38" hidden="1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2367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6"/>
        <v>0.5</v>
      </c>
      <c r="Z2871" s="2" t="s">
        <v>3231</v>
      </c>
      <c r="AA2871" s="2" t="s">
        <v>46</v>
      </c>
      <c r="AB2871" s="2" t="s">
        <v>47</v>
      </c>
      <c r="AC2871" s="2" t="s">
        <v>48</v>
      </c>
      <c r="AF2871" s="2">
        <f t="shared" si="320"/>
        <v>0</v>
      </c>
      <c r="AG2871" s="2">
        <v>9.3000000000000007</v>
      </c>
      <c r="AH2871" s="2">
        <v>21</v>
      </c>
      <c r="AJ2871" s="2">
        <f t="shared" si="321"/>
        <v>0</v>
      </c>
      <c r="AK2871" s="2">
        <f t="shared" si="322"/>
        <v>9.3000000000000007</v>
      </c>
      <c r="AL2871" s="5">
        <f t="shared" si="327"/>
        <v>0.5</v>
      </c>
    </row>
    <row r="2872" spans="1:38" hidden="1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6"/>
        <v>0.44777500000000003</v>
      </c>
      <c r="Z2872" s="2" t="s">
        <v>3231</v>
      </c>
      <c r="AA2872" s="2" t="s">
        <v>46</v>
      </c>
      <c r="AB2872" s="2" t="s">
        <v>47</v>
      </c>
      <c r="AC2872" s="2" t="s">
        <v>48</v>
      </c>
      <c r="AF2872" s="2">
        <f t="shared" si="320"/>
        <v>0</v>
      </c>
      <c r="AG2872" s="2">
        <v>6.6266999999999996</v>
      </c>
      <c r="AH2872" s="2">
        <v>12</v>
      </c>
      <c r="AJ2872" s="2">
        <f t="shared" si="321"/>
        <v>0</v>
      </c>
      <c r="AK2872" s="2">
        <f t="shared" si="322"/>
        <v>5.3733000000000004</v>
      </c>
      <c r="AL2872" s="5">
        <f t="shared" si="327"/>
        <v>0.44777500000000003</v>
      </c>
    </row>
    <row r="2873" spans="1:38" hidden="1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6"/>
        <v>0.49025384615384621</v>
      </c>
      <c r="Z2873" s="2" t="s">
        <v>3231</v>
      </c>
      <c r="AA2873" s="2" t="s">
        <v>46</v>
      </c>
      <c r="AB2873" s="2" t="s">
        <v>47</v>
      </c>
      <c r="AC2873" s="2" t="s">
        <v>48</v>
      </c>
      <c r="AF2873" s="2">
        <f t="shared" si="320"/>
        <v>0</v>
      </c>
      <c r="AG2873" s="2">
        <v>6.6266999999999996</v>
      </c>
      <c r="AH2873" s="2">
        <v>12</v>
      </c>
      <c r="AJ2873" s="2">
        <f t="shared" si="321"/>
        <v>0</v>
      </c>
      <c r="AK2873" s="2">
        <f t="shared" si="322"/>
        <v>25.493200000000002</v>
      </c>
      <c r="AL2873" s="5">
        <f t="shared" si="327"/>
        <v>0.49025384615384621</v>
      </c>
    </row>
    <row r="2874" spans="1:38" hidden="1" x14ac:dyDescent="0.2">
      <c r="A2874" s="2">
        <v>2026</v>
      </c>
      <c r="B2874" s="2">
        <v>1</v>
      </c>
      <c r="D2874" s="2" t="s">
        <v>2368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2369</v>
      </c>
      <c r="J2874" s="2" t="s">
        <v>2370</v>
      </c>
      <c r="K2874" s="2">
        <v>963062174</v>
      </c>
      <c r="L2874" s="2" t="s">
        <v>419</v>
      </c>
      <c r="M2874" s="2" t="s">
        <v>41</v>
      </c>
      <c r="O2874" s="2" t="s">
        <v>2371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6"/>
        <v>0.49025384615384621</v>
      </c>
      <c r="Z2874" s="2" t="s">
        <v>3231</v>
      </c>
      <c r="AA2874" s="2" t="s">
        <v>46</v>
      </c>
      <c r="AB2874" s="2" t="s">
        <v>47</v>
      </c>
      <c r="AC2874" s="2" t="s">
        <v>48</v>
      </c>
      <c r="AF2874" s="2">
        <f t="shared" si="320"/>
        <v>0</v>
      </c>
      <c r="AG2874" s="2">
        <v>6.6266999999999996</v>
      </c>
      <c r="AH2874" s="2">
        <v>12</v>
      </c>
      <c r="AJ2874" s="2">
        <f t="shared" si="321"/>
        <v>0</v>
      </c>
      <c r="AK2874" s="2">
        <f t="shared" si="322"/>
        <v>12.746600000000001</v>
      </c>
      <c r="AL2874" s="5">
        <f t="shared" si="327"/>
        <v>0.49025384615384621</v>
      </c>
    </row>
    <row r="2875" spans="1:38" hidden="1" x14ac:dyDescent="0.2">
      <c r="A2875" s="2">
        <v>2026</v>
      </c>
      <c r="B2875" s="2">
        <v>1</v>
      </c>
      <c r="D2875" s="2" t="s">
        <v>618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619</v>
      </c>
      <c r="J2875" s="2" t="s">
        <v>620</v>
      </c>
      <c r="L2875" s="2" t="s">
        <v>419</v>
      </c>
      <c r="M2875" s="2" t="s">
        <v>41</v>
      </c>
      <c r="P2875" s="2" t="s">
        <v>43</v>
      </c>
      <c r="Q2875" s="2" t="s">
        <v>1365</v>
      </c>
      <c r="R2875" s="2" t="s">
        <v>1366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26"/>
        <v>0.6542553191489362</v>
      </c>
      <c r="Z2875" s="2" t="s">
        <v>3231</v>
      </c>
      <c r="AA2875" s="2" t="s">
        <v>46</v>
      </c>
      <c r="AB2875" s="2" t="s">
        <v>47</v>
      </c>
      <c r="AC2875" s="2" t="s">
        <v>48</v>
      </c>
      <c r="AF2875" s="2">
        <f t="shared" si="320"/>
        <v>0</v>
      </c>
      <c r="AJ2875" s="2">
        <f t="shared" si="321"/>
        <v>0</v>
      </c>
      <c r="AK2875" s="2">
        <f t="shared" si="322"/>
        <v>36.9</v>
      </c>
      <c r="AL2875" s="5">
        <f t="shared" si="327"/>
        <v>0.6542553191489362</v>
      </c>
    </row>
    <row r="2876" spans="1:38" hidden="1" x14ac:dyDescent="0.2">
      <c r="A2876" s="2">
        <v>2026</v>
      </c>
      <c r="B2876" s="2">
        <v>1</v>
      </c>
      <c r="D2876" s="2" t="s">
        <v>618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619</v>
      </c>
      <c r="J2876" s="2" t="s">
        <v>620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26"/>
        <v>0.62349999999999994</v>
      </c>
      <c r="Z2876" s="2" t="s">
        <v>3231</v>
      </c>
      <c r="AA2876" s="2" t="s">
        <v>46</v>
      </c>
      <c r="AB2876" s="2" t="s">
        <v>47</v>
      </c>
      <c r="AC2876" s="2" t="s">
        <v>48</v>
      </c>
      <c r="AF2876" s="2">
        <f t="shared" si="320"/>
        <v>0</v>
      </c>
      <c r="AJ2876" s="2">
        <f t="shared" si="321"/>
        <v>0</v>
      </c>
      <c r="AK2876" s="2">
        <f t="shared" si="322"/>
        <v>37.409999999999997</v>
      </c>
      <c r="AL2876" s="5">
        <f t="shared" si="327"/>
        <v>0.62349999999999994</v>
      </c>
    </row>
    <row r="2877" spans="1:38" hidden="1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6"/>
        <v>0.16982222222222226</v>
      </c>
      <c r="Z2877" s="2" t="s">
        <v>3231</v>
      </c>
      <c r="AA2877" s="2" t="s">
        <v>46</v>
      </c>
      <c r="AB2877" s="2" t="s">
        <v>47</v>
      </c>
      <c r="AC2877" s="2" t="s">
        <v>48</v>
      </c>
      <c r="AF2877" s="2">
        <f t="shared" si="320"/>
        <v>0</v>
      </c>
      <c r="AG2877" s="2">
        <v>3.7357999999999998</v>
      </c>
      <c r="AH2877" s="2">
        <v>9</v>
      </c>
      <c r="AJ2877" s="2">
        <f t="shared" si="321"/>
        <v>0</v>
      </c>
      <c r="AK2877" s="2">
        <f t="shared" si="322"/>
        <v>0.76420000000000021</v>
      </c>
      <c r="AL2877" s="5">
        <f t="shared" si="327"/>
        <v>0.16982222222222226</v>
      </c>
    </row>
    <row r="2878" spans="1:38" hidden="1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26"/>
        <v>0.42327586206896545</v>
      </c>
      <c r="Z2878" s="2" t="s">
        <v>3231</v>
      </c>
      <c r="AA2878" s="2" t="s">
        <v>46</v>
      </c>
      <c r="AB2878" s="2" t="s">
        <v>57</v>
      </c>
      <c r="AC2878" s="2" t="s">
        <v>58</v>
      </c>
      <c r="AF2878" s="2">
        <f t="shared" si="320"/>
        <v>0</v>
      </c>
      <c r="AJ2878" s="2">
        <f t="shared" si="321"/>
        <v>0</v>
      </c>
      <c r="AK2878" s="2">
        <f t="shared" si="322"/>
        <v>7.3649999999999984</v>
      </c>
      <c r="AL2878" s="5">
        <f t="shared" si="327"/>
        <v>0.42327586206896545</v>
      </c>
    </row>
    <row r="2879" spans="1:38" hidden="1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26"/>
        <v>0.40745714285714285</v>
      </c>
      <c r="Z2879" s="2" t="s">
        <v>3231</v>
      </c>
      <c r="AA2879" s="2" t="s">
        <v>46</v>
      </c>
      <c r="AB2879" s="2" t="s">
        <v>57</v>
      </c>
      <c r="AC2879" s="2" t="s">
        <v>58</v>
      </c>
      <c r="AF2879" s="2">
        <f t="shared" si="320"/>
        <v>0</v>
      </c>
      <c r="AJ2879" s="2">
        <f t="shared" si="321"/>
        <v>0</v>
      </c>
      <c r="AK2879" s="2">
        <f t="shared" si="322"/>
        <v>8.5565999999999995</v>
      </c>
      <c r="AL2879" s="5">
        <f t="shared" si="327"/>
        <v>0.40745714285714285</v>
      </c>
    </row>
    <row r="2880" spans="1:38" hidden="1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6"/>
        <v>1</v>
      </c>
      <c r="Z2880" s="2" t="s">
        <v>3231</v>
      </c>
      <c r="AA2880" s="2" t="s">
        <v>46</v>
      </c>
      <c r="AB2880" s="2" t="s">
        <v>57</v>
      </c>
      <c r="AC2880" s="2" t="s">
        <v>58</v>
      </c>
      <c r="AF2880" s="2">
        <f t="shared" si="320"/>
        <v>0</v>
      </c>
      <c r="AJ2880" s="2">
        <f t="shared" si="321"/>
        <v>0</v>
      </c>
      <c r="AK2880" s="2">
        <f t="shared" si="322"/>
        <v>12</v>
      </c>
      <c r="AL2880" s="5">
        <f t="shared" si="327"/>
        <v>1</v>
      </c>
    </row>
    <row r="2881" spans="1:38" hidden="1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6"/>
        <v>0.53121428571428575</v>
      </c>
      <c r="Z2881" s="2" t="s">
        <v>3231</v>
      </c>
      <c r="AA2881" s="2" t="s">
        <v>46</v>
      </c>
      <c r="AB2881" s="2" t="s">
        <v>57</v>
      </c>
      <c r="AC2881" s="2" t="s">
        <v>58</v>
      </c>
      <c r="AF2881" s="2">
        <f t="shared" si="320"/>
        <v>0</v>
      </c>
      <c r="AG2881" s="2">
        <v>5.9066999999999998</v>
      </c>
      <c r="AH2881" s="2">
        <v>12.6</v>
      </c>
      <c r="AJ2881" s="2">
        <f t="shared" si="321"/>
        <v>0</v>
      </c>
      <c r="AK2881" s="2">
        <f t="shared" si="322"/>
        <v>13.3866</v>
      </c>
      <c r="AL2881" s="5">
        <f t="shared" si="327"/>
        <v>0.53121428571428575</v>
      </c>
    </row>
    <row r="2882" spans="1:38" hidden="1" x14ac:dyDescent="0.2">
      <c r="A2882" s="2">
        <v>2026</v>
      </c>
      <c r="B2882" s="2">
        <v>1</v>
      </c>
      <c r="D2882" s="2" t="s">
        <v>766</v>
      </c>
      <c r="E2882" s="2" t="s">
        <v>38</v>
      </c>
      <c r="G2882" s="2">
        <v>513686231</v>
      </c>
      <c r="H2882" s="2" t="s">
        <v>291</v>
      </c>
      <c r="I2882" s="2" t="s">
        <v>767</v>
      </c>
      <c r="J2882" s="2" t="s">
        <v>768</v>
      </c>
      <c r="L2882" s="2" t="s">
        <v>481</v>
      </c>
      <c r="M2882" s="2" t="s">
        <v>81</v>
      </c>
      <c r="O2882" s="2" t="s">
        <v>2372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6"/>
        <v>0.47912698412698418</v>
      </c>
      <c r="Z2882" s="2" t="s">
        <v>3231</v>
      </c>
      <c r="AA2882" s="2" t="s">
        <v>46</v>
      </c>
      <c r="AB2882" s="2" t="s">
        <v>57</v>
      </c>
      <c r="AC2882" s="2" t="s">
        <v>58</v>
      </c>
      <c r="AF2882" s="2">
        <f t="shared" si="320"/>
        <v>0</v>
      </c>
      <c r="AG2882" s="2">
        <v>5.9066999999999998</v>
      </c>
      <c r="AH2882" s="2">
        <v>12.6</v>
      </c>
      <c r="AJ2882" s="2">
        <f t="shared" si="321"/>
        <v>0</v>
      </c>
      <c r="AK2882" s="2">
        <f t="shared" si="322"/>
        <v>27.166500000000003</v>
      </c>
      <c r="AL2882" s="5">
        <f t="shared" si="327"/>
        <v>0.47912698412698418</v>
      </c>
    </row>
    <row r="2883" spans="1:38" hidden="1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8">(T2883-W2883)/T2883</f>
        <v>0.53121428571428575</v>
      </c>
      <c r="Z2883" s="2" t="s">
        <v>3231</v>
      </c>
      <c r="AA2883" s="2" t="s">
        <v>46</v>
      </c>
      <c r="AB2883" s="2" t="s">
        <v>57</v>
      </c>
      <c r="AC2883" s="2" t="s">
        <v>58</v>
      </c>
      <c r="AF2883" s="2">
        <f t="shared" ref="AF2883:AF2946" si="329">AJ2883</f>
        <v>0</v>
      </c>
      <c r="AG2883" s="2">
        <v>5.9066999999999998</v>
      </c>
      <c r="AH2883" s="2">
        <v>12.6</v>
      </c>
      <c r="AJ2883" s="2">
        <f t="shared" ref="AJ2883:AJ2946" si="330">AI2883*T2883</f>
        <v>0</v>
      </c>
      <c r="AK2883" s="2">
        <f t="shared" ref="AK2883:AK2946" si="331">T2883-W2883</f>
        <v>13.3866</v>
      </c>
      <c r="AL2883" s="5">
        <f t="shared" si="327"/>
        <v>0.53121428571428575</v>
      </c>
    </row>
    <row r="2884" spans="1:38" hidden="1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8"/>
        <v>0.49849305555555556</v>
      </c>
      <c r="Z2884" s="2" t="s">
        <v>3231</v>
      </c>
      <c r="AA2884" s="2" t="s">
        <v>46</v>
      </c>
      <c r="AB2884" s="2" t="s">
        <v>57</v>
      </c>
      <c r="AC2884" s="2" t="s">
        <v>58</v>
      </c>
      <c r="AF2884" s="2">
        <f t="shared" si="329"/>
        <v>0</v>
      </c>
      <c r="AG2884" s="2">
        <v>7.2217000000000002</v>
      </c>
      <c r="AH2884" s="2">
        <v>14.4</v>
      </c>
      <c r="AJ2884" s="2">
        <f t="shared" si="330"/>
        <v>0</v>
      </c>
      <c r="AK2884" s="2">
        <f t="shared" si="331"/>
        <v>14.3566</v>
      </c>
      <c r="AL2884" s="5">
        <f t="shared" si="327"/>
        <v>0.49849305555555556</v>
      </c>
    </row>
    <row r="2885" spans="1:38" hidden="1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8"/>
        <v>0.49849305555555556</v>
      </c>
      <c r="Z2885" s="2" t="s">
        <v>3231</v>
      </c>
      <c r="AA2885" s="2" t="s">
        <v>46</v>
      </c>
      <c r="AB2885" s="2" t="s">
        <v>57</v>
      </c>
      <c r="AC2885" s="2" t="s">
        <v>58</v>
      </c>
      <c r="AF2885" s="2">
        <f t="shared" si="329"/>
        <v>0</v>
      </c>
      <c r="AG2885" s="2">
        <v>7.2217000000000002</v>
      </c>
      <c r="AH2885" s="2">
        <v>14.4</v>
      </c>
      <c r="AJ2885" s="2">
        <f t="shared" si="330"/>
        <v>0</v>
      </c>
      <c r="AK2885" s="2">
        <f t="shared" si="331"/>
        <v>14.3566</v>
      </c>
      <c r="AL2885" s="5">
        <f t="shared" si="327"/>
        <v>0.49849305555555556</v>
      </c>
    </row>
    <row r="2886" spans="1:38" hidden="1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 t="shared" ref="W2886:W2888" si="332">9.075*S2886</f>
        <v>18.149999999999999</v>
      </c>
      <c r="X2886" s="5">
        <f t="shared" si="328"/>
        <v>0.47844827586206895</v>
      </c>
      <c r="Z2886" s="2" t="s">
        <v>3231</v>
      </c>
      <c r="AA2886" s="2" t="s">
        <v>46</v>
      </c>
      <c r="AB2886" s="2" t="s">
        <v>57</v>
      </c>
      <c r="AC2886" s="2" t="s">
        <v>58</v>
      </c>
      <c r="AF2886" s="2">
        <f t="shared" si="329"/>
        <v>0</v>
      </c>
      <c r="AJ2886" s="2">
        <f t="shared" si="330"/>
        <v>0</v>
      </c>
      <c r="AK2886" s="2">
        <f t="shared" si="331"/>
        <v>16.649999999999999</v>
      </c>
      <c r="AL2886" s="5">
        <f t="shared" si="327"/>
        <v>0.47844827586206895</v>
      </c>
    </row>
    <row r="2887" spans="1:38" hidden="1" x14ac:dyDescent="0.2">
      <c r="A2887" s="2">
        <v>2026</v>
      </c>
      <c r="B2887" s="2">
        <v>1</v>
      </c>
      <c r="D2887" s="2" t="s">
        <v>766</v>
      </c>
      <c r="E2887" s="2" t="s">
        <v>38</v>
      </c>
      <c r="G2887" s="2">
        <v>513686231</v>
      </c>
      <c r="H2887" s="2" t="s">
        <v>291</v>
      </c>
      <c r="I2887" s="2" t="s">
        <v>767</v>
      </c>
      <c r="J2887" s="2" t="s">
        <v>768</v>
      </c>
      <c r="L2887" s="2" t="s">
        <v>481</v>
      </c>
      <c r="M2887" s="2" t="s">
        <v>81</v>
      </c>
      <c r="O2887" s="2" t="s">
        <v>2372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 t="shared" si="332"/>
        <v>90.75</v>
      </c>
      <c r="X2887" s="5">
        <f t="shared" si="328"/>
        <v>0.48554421768707484</v>
      </c>
      <c r="Z2887" s="2" t="s">
        <v>3231</v>
      </c>
      <c r="AA2887" s="2" t="s">
        <v>46</v>
      </c>
      <c r="AB2887" s="2" t="s">
        <v>57</v>
      </c>
      <c r="AC2887" s="2" t="s">
        <v>58</v>
      </c>
      <c r="AF2887" s="2">
        <f t="shared" si="329"/>
        <v>0</v>
      </c>
      <c r="AG2887" s="2">
        <v>9.0749999999999993</v>
      </c>
      <c r="AJ2887" s="2">
        <f t="shared" si="330"/>
        <v>0</v>
      </c>
      <c r="AK2887" s="2">
        <f t="shared" si="331"/>
        <v>85.65</v>
      </c>
      <c r="AL2887" s="5">
        <f t="shared" si="327"/>
        <v>0.48554421768707484</v>
      </c>
    </row>
    <row r="2888" spans="1:38" hidden="1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 t="shared" si="332"/>
        <v>18.149999999999999</v>
      </c>
      <c r="X2888" s="5">
        <f t="shared" si="328"/>
        <v>0.47844827586206895</v>
      </c>
      <c r="Z2888" s="2" t="s">
        <v>3231</v>
      </c>
      <c r="AA2888" s="2" t="s">
        <v>46</v>
      </c>
      <c r="AB2888" s="2" t="s">
        <v>57</v>
      </c>
      <c r="AC2888" s="2" t="s">
        <v>58</v>
      </c>
      <c r="AF2888" s="2">
        <f t="shared" si="329"/>
        <v>0</v>
      </c>
      <c r="AJ2888" s="2">
        <f t="shared" si="330"/>
        <v>0</v>
      </c>
      <c r="AK2888" s="2">
        <f t="shared" si="331"/>
        <v>16.649999999999999</v>
      </c>
      <c r="AL2888" s="5">
        <f t="shared" si="327"/>
        <v>0.47844827586206895</v>
      </c>
    </row>
    <row r="2889" spans="1:38" hidden="1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8"/>
        <v>1</v>
      </c>
      <c r="Z2889" s="2" t="s">
        <v>3231</v>
      </c>
      <c r="AA2889" s="2" t="s">
        <v>46</v>
      </c>
      <c r="AB2889" s="2" t="s">
        <v>57</v>
      </c>
      <c r="AC2889" s="2" t="s">
        <v>58</v>
      </c>
      <c r="AF2889" s="2">
        <f t="shared" si="329"/>
        <v>0</v>
      </c>
      <c r="AJ2889" s="2">
        <f t="shared" si="330"/>
        <v>0</v>
      </c>
      <c r="AK2889" s="2">
        <f t="shared" si="331"/>
        <v>42</v>
      </c>
      <c r="AL2889" s="5">
        <f t="shared" si="327"/>
        <v>1</v>
      </c>
    </row>
    <row r="2890" spans="1:38" hidden="1" x14ac:dyDescent="0.2">
      <c r="A2890" s="2">
        <v>2026</v>
      </c>
      <c r="B2890" s="2">
        <v>1</v>
      </c>
      <c r="D2890" s="2" t="s">
        <v>766</v>
      </c>
      <c r="E2890" s="2" t="s">
        <v>38</v>
      </c>
      <c r="G2890" s="2">
        <v>513686231</v>
      </c>
      <c r="H2890" s="2" t="s">
        <v>291</v>
      </c>
      <c r="I2890" s="2" t="s">
        <v>767</v>
      </c>
      <c r="J2890" s="2" t="s">
        <v>768</v>
      </c>
      <c r="L2890" s="2" t="s">
        <v>481</v>
      </c>
      <c r="M2890" s="2" t="s">
        <v>81</v>
      </c>
      <c r="O2890" s="2" t="s">
        <v>2372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8"/>
        <v>0.48580074487895719</v>
      </c>
      <c r="Z2890" s="2" t="s">
        <v>3231</v>
      </c>
      <c r="AA2890" s="2" t="s">
        <v>46</v>
      </c>
      <c r="AB2890" s="2" t="s">
        <v>57</v>
      </c>
      <c r="AC2890" s="2" t="s">
        <v>58</v>
      </c>
      <c r="AF2890" s="2">
        <f t="shared" si="329"/>
        <v>0</v>
      </c>
      <c r="AG2890" s="2">
        <v>11.045</v>
      </c>
      <c r="AJ2890" s="2">
        <f t="shared" si="330"/>
        <v>0</v>
      </c>
      <c r="AK2890" s="2">
        <f t="shared" si="331"/>
        <v>41.74</v>
      </c>
      <c r="AL2890" s="5">
        <f t="shared" si="327"/>
        <v>0.48580074487895719</v>
      </c>
    </row>
    <row r="2891" spans="1:38" hidden="1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8"/>
        <v>1</v>
      </c>
      <c r="Z2891" s="2" t="s">
        <v>3231</v>
      </c>
      <c r="AA2891" s="2" t="s">
        <v>46</v>
      </c>
      <c r="AB2891" s="2" t="s">
        <v>57</v>
      </c>
      <c r="AC2891" s="2" t="s">
        <v>58</v>
      </c>
      <c r="AF2891" s="2">
        <f t="shared" si="329"/>
        <v>0</v>
      </c>
      <c r="AJ2891" s="2">
        <f t="shared" si="330"/>
        <v>0</v>
      </c>
      <c r="AK2891" s="2">
        <f t="shared" si="331"/>
        <v>21</v>
      </c>
      <c r="AL2891" s="5">
        <f t="shared" si="327"/>
        <v>1</v>
      </c>
    </row>
    <row r="2892" spans="1:38" hidden="1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8"/>
        <v>1</v>
      </c>
      <c r="Z2892" s="2" t="s">
        <v>3231</v>
      </c>
      <c r="AA2892" s="2" t="s">
        <v>46</v>
      </c>
      <c r="AB2892" s="2" t="s">
        <v>57</v>
      </c>
      <c r="AC2892" s="2" t="s">
        <v>58</v>
      </c>
      <c r="AF2892" s="2">
        <f t="shared" si="329"/>
        <v>0</v>
      </c>
      <c r="AJ2892" s="2">
        <f t="shared" si="330"/>
        <v>0</v>
      </c>
      <c r="AK2892" s="2">
        <f t="shared" si="331"/>
        <v>50.4</v>
      </c>
      <c r="AL2892" s="5">
        <f t="shared" si="327"/>
        <v>1</v>
      </c>
    </row>
    <row r="2893" spans="1:38" hidden="1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8"/>
        <v>1</v>
      </c>
      <c r="Z2893" s="2" t="s">
        <v>3231</v>
      </c>
      <c r="AA2893" s="2" t="s">
        <v>46</v>
      </c>
      <c r="AB2893" s="2" t="s">
        <v>57</v>
      </c>
      <c r="AC2893" s="2" t="s">
        <v>58</v>
      </c>
      <c r="AF2893" s="2">
        <f t="shared" si="329"/>
        <v>0</v>
      </c>
      <c r="AJ2893" s="2">
        <f t="shared" si="330"/>
        <v>0</v>
      </c>
      <c r="AK2893" s="2">
        <f t="shared" si="331"/>
        <v>60</v>
      </c>
      <c r="AL2893" s="5">
        <f t="shared" si="327"/>
        <v>1</v>
      </c>
    </row>
    <row r="2894" spans="1:38" hidden="1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33">10.6*S2894</f>
        <v>127.19999999999999</v>
      </c>
      <c r="X2894" s="5">
        <f t="shared" si="328"/>
        <v>9.7872340425532001E-2</v>
      </c>
      <c r="Z2894" s="2" t="s">
        <v>3231</v>
      </c>
      <c r="AA2894" s="2" t="s">
        <v>46</v>
      </c>
      <c r="AB2894" s="2" t="s">
        <v>57</v>
      </c>
      <c r="AC2894" s="2" t="s">
        <v>58</v>
      </c>
      <c r="AF2894" s="2">
        <f t="shared" si="329"/>
        <v>0</v>
      </c>
      <c r="AG2894" s="2">
        <v>10.6</v>
      </c>
      <c r="AH2894" s="2">
        <v>18</v>
      </c>
      <c r="AJ2894" s="2">
        <f t="shared" si="330"/>
        <v>0</v>
      </c>
      <c r="AK2894" s="2">
        <f t="shared" si="331"/>
        <v>13.800000000000011</v>
      </c>
      <c r="AL2894" s="5">
        <f t="shared" si="327"/>
        <v>9.7872340425532001E-2</v>
      </c>
    </row>
    <row r="2895" spans="1:38" hidden="1" x14ac:dyDescent="0.2">
      <c r="A2895" s="2">
        <v>2026</v>
      </c>
      <c r="B2895" s="2">
        <v>1</v>
      </c>
      <c r="D2895" s="2" t="s">
        <v>941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33"/>
        <v>21.2</v>
      </c>
      <c r="X2895" s="5">
        <f t="shared" si="328"/>
        <v>0.41111111111111115</v>
      </c>
      <c r="Z2895" s="2" t="s">
        <v>3231</v>
      </c>
      <c r="AA2895" s="2" t="s">
        <v>46</v>
      </c>
      <c r="AB2895" s="2" t="s">
        <v>57</v>
      </c>
      <c r="AC2895" s="2" t="s">
        <v>58</v>
      </c>
      <c r="AF2895" s="2">
        <f t="shared" si="329"/>
        <v>0</v>
      </c>
      <c r="AG2895" s="2">
        <v>10.6</v>
      </c>
      <c r="AH2895" s="2">
        <v>18</v>
      </c>
      <c r="AJ2895" s="2">
        <f t="shared" si="330"/>
        <v>0</v>
      </c>
      <c r="AK2895" s="2">
        <f t="shared" si="331"/>
        <v>14.8</v>
      </c>
      <c r="AL2895" s="5">
        <f t="shared" ref="AL2895:AL2926" si="334">(T2895-W2895)/T2895</f>
        <v>0.41111111111111115</v>
      </c>
    </row>
    <row r="2896" spans="1:38" hidden="1" x14ac:dyDescent="0.2">
      <c r="A2896" s="2">
        <v>2026</v>
      </c>
      <c r="B2896" s="2">
        <v>1</v>
      </c>
      <c r="D2896" s="2" t="s">
        <v>694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696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33"/>
        <v>21.2</v>
      </c>
      <c r="X2896" s="5">
        <f t="shared" si="328"/>
        <v>0.41111111111111115</v>
      </c>
      <c r="Z2896" s="2" t="s">
        <v>3231</v>
      </c>
      <c r="AA2896" s="2" t="s">
        <v>46</v>
      </c>
      <c r="AB2896" s="2" t="s">
        <v>57</v>
      </c>
      <c r="AC2896" s="2" t="s">
        <v>58</v>
      </c>
      <c r="AF2896" s="2">
        <f t="shared" si="329"/>
        <v>0</v>
      </c>
      <c r="AG2896" s="2">
        <v>10.6</v>
      </c>
      <c r="AH2896" s="2">
        <v>18</v>
      </c>
      <c r="AJ2896" s="2">
        <f t="shared" si="330"/>
        <v>0</v>
      </c>
      <c r="AK2896" s="2">
        <f t="shared" si="331"/>
        <v>14.8</v>
      </c>
      <c r="AL2896" s="5">
        <f t="shared" si="334"/>
        <v>0.41111111111111115</v>
      </c>
    </row>
    <row r="2897" spans="1:38" hidden="1" x14ac:dyDescent="0.2">
      <c r="A2897" s="2">
        <v>2026</v>
      </c>
      <c r="B2897" s="2">
        <v>1</v>
      </c>
      <c r="D2897" s="2" t="s">
        <v>2218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33"/>
        <v>21.2</v>
      </c>
      <c r="X2897" s="5">
        <f t="shared" si="328"/>
        <v>0.41111111111111115</v>
      </c>
      <c r="Z2897" s="2" t="s">
        <v>3231</v>
      </c>
      <c r="AA2897" s="2" t="s">
        <v>46</v>
      </c>
      <c r="AB2897" s="2" t="s">
        <v>57</v>
      </c>
      <c r="AC2897" s="2" t="s">
        <v>58</v>
      </c>
      <c r="AF2897" s="2">
        <f t="shared" si="329"/>
        <v>0</v>
      </c>
      <c r="AG2897" s="2">
        <v>10.6</v>
      </c>
      <c r="AH2897" s="2">
        <v>18</v>
      </c>
      <c r="AJ2897" s="2">
        <f t="shared" si="330"/>
        <v>0</v>
      </c>
      <c r="AK2897" s="2">
        <f t="shared" si="331"/>
        <v>14.8</v>
      </c>
      <c r="AL2897" s="5">
        <f t="shared" si="334"/>
        <v>0.41111111111111115</v>
      </c>
    </row>
    <row r="2898" spans="1:38" hidden="1" x14ac:dyDescent="0.2">
      <c r="A2898" s="2">
        <v>2026</v>
      </c>
      <c r="B2898" s="2">
        <v>1</v>
      </c>
      <c r="D2898" s="2" t="s">
        <v>1180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1181</v>
      </c>
      <c r="J2898" s="2" t="s">
        <v>1182</v>
      </c>
      <c r="L2898" s="2" t="s">
        <v>462</v>
      </c>
      <c r="M2898" s="2" t="s">
        <v>41</v>
      </c>
      <c r="O2898" s="2" t="s">
        <v>2373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33"/>
        <v>31.799999999999997</v>
      </c>
      <c r="X2898" s="5">
        <f t="shared" si="328"/>
        <v>0.41111111111111115</v>
      </c>
      <c r="Z2898" s="2" t="s">
        <v>3231</v>
      </c>
      <c r="AA2898" s="2" t="s">
        <v>46</v>
      </c>
      <c r="AB2898" s="2" t="s">
        <v>57</v>
      </c>
      <c r="AC2898" s="2" t="s">
        <v>58</v>
      </c>
      <c r="AF2898" s="2">
        <f t="shared" si="329"/>
        <v>0</v>
      </c>
      <c r="AG2898" s="2">
        <v>10.6</v>
      </c>
      <c r="AH2898" s="2">
        <v>18</v>
      </c>
      <c r="AJ2898" s="2">
        <f t="shared" si="330"/>
        <v>0</v>
      </c>
      <c r="AK2898" s="2">
        <f t="shared" si="331"/>
        <v>22.200000000000003</v>
      </c>
      <c r="AL2898" s="5">
        <f t="shared" si="334"/>
        <v>0.41111111111111115</v>
      </c>
    </row>
    <row r="2899" spans="1:38" hidden="1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33"/>
        <v>53</v>
      </c>
      <c r="X2899" s="5">
        <f t="shared" si="328"/>
        <v>0.41111111111111109</v>
      </c>
      <c r="Z2899" s="2" t="s">
        <v>3231</v>
      </c>
      <c r="AA2899" s="2" t="s">
        <v>46</v>
      </c>
      <c r="AB2899" s="2" t="s">
        <v>57</v>
      </c>
      <c r="AC2899" s="2" t="s">
        <v>58</v>
      </c>
      <c r="AF2899" s="2">
        <f t="shared" si="329"/>
        <v>0</v>
      </c>
      <c r="AG2899" s="2">
        <v>10.6</v>
      </c>
      <c r="AH2899" s="2">
        <v>18</v>
      </c>
      <c r="AJ2899" s="2">
        <f t="shared" si="330"/>
        <v>0</v>
      </c>
      <c r="AK2899" s="2">
        <f t="shared" si="331"/>
        <v>37</v>
      </c>
      <c r="AL2899" s="5">
        <f t="shared" si="334"/>
        <v>0.41111111111111109</v>
      </c>
    </row>
    <row r="2900" spans="1:38" hidden="1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33"/>
        <v>42.4</v>
      </c>
      <c r="X2900" s="5">
        <f t="shared" si="328"/>
        <v>0.41111111111111115</v>
      </c>
      <c r="Z2900" s="2" t="s">
        <v>3231</v>
      </c>
      <c r="AA2900" s="2" t="s">
        <v>46</v>
      </c>
      <c r="AB2900" s="2" t="s">
        <v>57</v>
      </c>
      <c r="AC2900" s="2" t="s">
        <v>58</v>
      </c>
      <c r="AF2900" s="2">
        <f t="shared" si="329"/>
        <v>0</v>
      </c>
      <c r="AG2900" s="2">
        <v>10.6</v>
      </c>
      <c r="AH2900" s="2">
        <v>18</v>
      </c>
      <c r="AJ2900" s="2">
        <f t="shared" si="330"/>
        <v>0</v>
      </c>
      <c r="AK2900" s="2">
        <f t="shared" si="331"/>
        <v>29.6</v>
      </c>
      <c r="AL2900" s="5">
        <f t="shared" si="334"/>
        <v>0.41111111111111115</v>
      </c>
    </row>
    <row r="2901" spans="1:38" hidden="1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33"/>
        <v>10.6</v>
      </c>
      <c r="X2901" s="5">
        <f t="shared" si="328"/>
        <v>0.41111111111111115</v>
      </c>
      <c r="Z2901" s="2" t="s">
        <v>3231</v>
      </c>
      <c r="AA2901" s="2" t="s">
        <v>46</v>
      </c>
      <c r="AB2901" s="2" t="s">
        <v>57</v>
      </c>
      <c r="AC2901" s="2" t="s">
        <v>58</v>
      </c>
      <c r="AF2901" s="2">
        <f t="shared" si="329"/>
        <v>0</v>
      </c>
      <c r="AG2901" s="2">
        <v>10.6</v>
      </c>
      <c r="AH2901" s="2">
        <v>18</v>
      </c>
      <c r="AJ2901" s="2">
        <f t="shared" si="330"/>
        <v>0</v>
      </c>
      <c r="AK2901" s="2">
        <f t="shared" si="331"/>
        <v>7.4</v>
      </c>
      <c r="AL2901" s="5">
        <f t="shared" si="334"/>
        <v>0.41111111111111115</v>
      </c>
    </row>
    <row r="2902" spans="1:38" hidden="1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33"/>
        <v>10.6</v>
      </c>
      <c r="X2902" s="5">
        <f t="shared" si="328"/>
        <v>0.41111111111111115</v>
      </c>
      <c r="Z2902" s="2" t="s">
        <v>3231</v>
      </c>
      <c r="AA2902" s="2" t="s">
        <v>46</v>
      </c>
      <c r="AB2902" s="2" t="s">
        <v>57</v>
      </c>
      <c r="AC2902" s="2" t="s">
        <v>58</v>
      </c>
      <c r="AF2902" s="2">
        <f t="shared" si="329"/>
        <v>0</v>
      </c>
      <c r="AG2902" s="2">
        <v>10.6</v>
      </c>
      <c r="AH2902" s="2">
        <v>18</v>
      </c>
      <c r="AJ2902" s="2">
        <f t="shared" si="330"/>
        <v>0</v>
      </c>
      <c r="AK2902" s="2">
        <f t="shared" si="331"/>
        <v>7.4</v>
      </c>
      <c r="AL2902" s="5">
        <f t="shared" si="334"/>
        <v>0.41111111111111115</v>
      </c>
    </row>
    <row r="2903" spans="1:38" hidden="1" x14ac:dyDescent="0.2">
      <c r="A2903" s="2">
        <v>2026</v>
      </c>
      <c r="B2903" s="2">
        <v>1</v>
      </c>
      <c r="D2903" s="2" t="s">
        <v>845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846</v>
      </c>
      <c r="L2903" s="2" t="s">
        <v>419</v>
      </c>
      <c r="M2903" s="2" t="s">
        <v>41</v>
      </c>
      <c r="O2903" s="2" t="s">
        <v>2374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33"/>
        <v>21.2</v>
      </c>
      <c r="X2903" s="5">
        <f t="shared" si="328"/>
        <v>0.41111111111111115</v>
      </c>
      <c r="Z2903" s="2" t="s">
        <v>3231</v>
      </c>
      <c r="AA2903" s="2" t="s">
        <v>46</v>
      </c>
      <c r="AB2903" s="2" t="s">
        <v>57</v>
      </c>
      <c r="AC2903" s="2" t="s">
        <v>58</v>
      </c>
      <c r="AF2903" s="2">
        <f t="shared" si="329"/>
        <v>0</v>
      </c>
      <c r="AG2903" s="2">
        <v>10.6</v>
      </c>
      <c r="AH2903" s="2">
        <v>18</v>
      </c>
      <c r="AJ2903" s="2">
        <f t="shared" si="330"/>
        <v>0</v>
      </c>
      <c r="AK2903" s="2">
        <f t="shared" si="331"/>
        <v>14.8</v>
      </c>
      <c r="AL2903" s="5">
        <f t="shared" si="334"/>
        <v>0.41111111111111115</v>
      </c>
    </row>
    <row r="2904" spans="1:38" hidden="1" x14ac:dyDescent="0.2">
      <c r="A2904" s="2">
        <v>2026</v>
      </c>
      <c r="B2904" s="2">
        <v>1</v>
      </c>
      <c r="D2904" s="2" t="s">
        <v>1045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33"/>
        <v>106</v>
      </c>
      <c r="X2904" s="5">
        <f t="shared" si="328"/>
        <v>0.29333333333333333</v>
      </c>
      <c r="Z2904" s="2" t="s">
        <v>3231</v>
      </c>
      <c r="AA2904" s="2" t="s">
        <v>46</v>
      </c>
      <c r="AB2904" s="2" t="s">
        <v>57</v>
      </c>
      <c r="AC2904" s="2" t="s">
        <v>58</v>
      </c>
      <c r="AF2904" s="2">
        <f t="shared" si="329"/>
        <v>0</v>
      </c>
      <c r="AG2904" s="2">
        <v>10.6</v>
      </c>
      <c r="AH2904" s="2">
        <v>18</v>
      </c>
      <c r="AJ2904" s="2">
        <f t="shared" si="330"/>
        <v>0</v>
      </c>
      <c r="AK2904" s="2">
        <f t="shared" si="331"/>
        <v>44</v>
      </c>
      <c r="AL2904" s="5">
        <f t="shared" si="334"/>
        <v>0.29333333333333333</v>
      </c>
    </row>
    <row r="2905" spans="1:38" hidden="1" x14ac:dyDescent="0.2">
      <c r="A2905" s="2">
        <v>2026</v>
      </c>
      <c r="B2905" s="2">
        <v>1</v>
      </c>
      <c r="D2905" s="2" t="s">
        <v>1399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3221</v>
      </c>
      <c r="J2905" s="2" t="s">
        <v>3220</v>
      </c>
      <c r="K2905" s="2">
        <v>913814877</v>
      </c>
      <c r="L2905" s="2" t="s">
        <v>202</v>
      </c>
      <c r="M2905" s="2" t="s">
        <v>81</v>
      </c>
      <c r="O2905" s="2" t="s">
        <v>3215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33"/>
        <v>31.799999999999997</v>
      </c>
      <c r="X2905" s="5">
        <f t="shared" si="328"/>
        <v>0.41111111111111115</v>
      </c>
      <c r="Z2905" s="2" t="s">
        <v>3231</v>
      </c>
      <c r="AA2905" s="2" t="s">
        <v>46</v>
      </c>
      <c r="AB2905" s="2" t="s">
        <v>57</v>
      </c>
      <c r="AC2905" s="2" t="s">
        <v>58</v>
      </c>
      <c r="AF2905" s="2">
        <f t="shared" si="329"/>
        <v>0</v>
      </c>
      <c r="AG2905" s="2">
        <v>10.6</v>
      </c>
      <c r="AH2905" s="2">
        <v>18</v>
      </c>
      <c r="AJ2905" s="2">
        <f t="shared" si="330"/>
        <v>0</v>
      </c>
      <c r="AK2905" s="2">
        <f t="shared" si="331"/>
        <v>22.200000000000003</v>
      </c>
      <c r="AL2905" s="5">
        <f t="shared" si="334"/>
        <v>0.41111111111111115</v>
      </c>
    </row>
    <row r="2906" spans="1:38" hidden="1" x14ac:dyDescent="0.2">
      <c r="A2906" s="2">
        <v>2026</v>
      </c>
      <c r="B2906" s="2">
        <v>1</v>
      </c>
      <c r="D2906" s="2" t="s">
        <v>891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892</v>
      </c>
      <c r="J2906" s="2" t="s">
        <v>893</v>
      </c>
      <c r="L2906" s="2" t="s">
        <v>100</v>
      </c>
      <c r="M2906" s="2" t="s">
        <v>41</v>
      </c>
      <c r="O2906" s="2" t="s">
        <v>2375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33"/>
        <v>212</v>
      </c>
      <c r="X2906" s="5">
        <f t="shared" si="328"/>
        <v>0.24285714285714285</v>
      </c>
      <c r="Z2906" s="2" t="s">
        <v>3231</v>
      </c>
      <c r="AA2906" s="2" t="s">
        <v>46</v>
      </c>
      <c r="AB2906" s="2" t="s">
        <v>57</v>
      </c>
      <c r="AC2906" s="2" t="s">
        <v>58</v>
      </c>
      <c r="AF2906" s="2">
        <f t="shared" si="329"/>
        <v>0</v>
      </c>
      <c r="AG2906" s="2">
        <v>10.6</v>
      </c>
      <c r="AH2906" s="2">
        <v>18</v>
      </c>
      <c r="AJ2906" s="2">
        <f t="shared" si="330"/>
        <v>0</v>
      </c>
      <c r="AK2906" s="2">
        <f t="shared" si="331"/>
        <v>68</v>
      </c>
      <c r="AL2906" s="5">
        <f t="shared" si="334"/>
        <v>0.24285714285714285</v>
      </c>
    </row>
    <row r="2907" spans="1:38" hidden="1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33"/>
        <v>106</v>
      </c>
      <c r="X2907" s="5">
        <f t="shared" si="328"/>
        <v>0.24285714285714285</v>
      </c>
      <c r="Z2907" s="2" t="s">
        <v>3231</v>
      </c>
      <c r="AA2907" s="2" t="s">
        <v>46</v>
      </c>
      <c r="AB2907" s="2" t="s">
        <v>57</v>
      </c>
      <c r="AC2907" s="2" t="s">
        <v>58</v>
      </c>
      <c r="AF2907" s="2">
        <f t="shared" si="329"/>
        <v>0</v>
      </c>
      <c r="AG2907" s="2">
        <v>10.6</v>
      </c>
      <c r="AH2907" s="2">
        <v>18</v>
      </c>
      <c r="AJ2907" s="2">
        <f t="shared" si="330"/>
        <v>0</v>
      </c>
      <c r="AK2907" s="2">
        <f t="shared" si="331"/>
        <v>34</v>
      </c>
      <c r="AL2907" s="5">
        <f t="shared" si="334"/>
        <v>0.24285714285714285</v>
      </c>
    </row>
    <row r="2908" spans="1:38" hidden="1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33"/>
        <v>42.4</v>
      </c>
      <c r="X2908" s="5">
        <f t="shared" si="328"/>
        <v>0.37647058823529411</v>
      </c>
      <c r="Z2908" s="2" t="s">
        <v>3231</v>
      </c>
      <c r="AA2908" s="2" t="s">
        <v>46</v>
      </c>
      <c r="AB2908" s="2" t="s">
        <v>57</v>
      </c>
      <c r="AC2908" s="2" t="s">
        <v>58</v>
      </c>
      <c r="AF2908" s="2">
        <f t="shared" si="329"/>
        <v>0</v>
      </c>
      <c r="AG2908" s="2">
        <v>10.6</v>
      </c>
      <c r="AH2908" s="2">
        <v>18</v>
      </c>
      <c r="AJ2908" s="2">
        <f t="shared" si="330"/>
        <v>0</v>
      </c>
      <c r="AK2908" s="2">
        <f t="shared" si="331"/>
        <v>25.6</v>
      </c>
      <c r="AL2908" s="5">
        <f t="shared" si="334"/>
        <v>0.37647058823529411</v>
      </c>
    </row>
    <row r="2909" spans="1:38" hidden="1" x14ac:dyDescent="0.2">
      <c r="A2909" s="2">
        <v>2026</v>
      </c>
      <c r="B2909" s="2">
        <v>1</v>
      </c>
      <c r="D2909" s="2" t="s">
        <v>2376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33"/>
        <v>21.2</v>
      </c>
      <c r="X2909" s="5">
        <f t="shared" si="328"/>
        <v>0.41111111111111115</v>
      </c>
      <c r="Z2909" s="2" t="s">
        <v>3231</v>
      </c>
      <c r="AA2909" s="2" t="s">
        <v>46</v>
      </c>
      <c r="AB2909" s="2" t="s">
        <v>57</v>
      </c>
      <c r="AC2909" s="2" t="s">
        <v>58</v>
      </c>
      <c r="AF2909" s="2">
        <f t="shared" si="329"/>
        <v>0</v>
      </c>
      <c r="AG2909" s="2">
        <v>10.6</v>
      </c>
      <c r="AH2909" s="2">
        <v>18</v>
      </c>
      <c r="AJ2909" s="2">
        <f t="shared" si="330"/>
        <v>0</v>
      </c>
      <c r="AK2909" s="2">
        <f t="shared" si="331"/>
        <v>14.8</v>
      </c>
      <c r="AL2909" s="5">
        <f t="shared" si="334"/>
        <v>0.41111111111111115</v>
      </c>
    </row>
    <row r="2910" spans="1:38" hidden="1" x14ac:dyDescent="0.2">
      <c r="A2910" s="2">
        <v>2026</v>
      </c>
      <c r="B2910" s="2">
        <v>1</v>
      </c>
      <c r="D2910" s="2" t="s">
        <v>1314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1315</v>
      </c>
      <c r="L2910" s="2" t="s">
        <v>178</v>
      </c>
      <c r="M2910" s="2" t="s">
        <v>41</v>
      </c>
      <c r="O2910" s="2" t="s">
        <v>2377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33"/>
        <v>21.2</v>
      </c>
      <c r="X2910" s="5">
        <f t="shared" si="328"/>
        <v>0.41111111111111115</v>
      </c>
      <c r="Z2910" s="2" t="s">
        <v>3231</v>
      </c>
      <c r="AA2910" s="2" t="s">
        <v>46</v>
      </c>
      <c r="AB2910" s="2" t="s">
        <v>57</v>
      </c>
      <c r="AC2910" s="2" t="s">
        <v>58</v>
      </c>
      <c r="AF2910" s="2">
        <f t="shared" si="329"/>
        <v>0</v>
      </c>
      <c r="AG2910" s="2">
        <v>10.6</v>
      </c>
      <c r="AH2910" s="2">
        <v>18</v>
      </c>
      <c r="AJ2910" s="2">
        <f t="shared" si="330"/>
        <v>0</v>
      </c>
      <c r="AK2910" s="2">
        <f t="shared" si="331"/>
        <v>14.8</v>
      </c>
      <c r="AL2910" s="5">
        <f t="shared" si="334"/>
        <v>0.41111111111111115</v>
      </c>
    </row>
    <row r="2911" spans="1:38" hidden="1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3373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8"/>
        <v>0.58173666666666668</v>
      </c>
      <c r="Z2911" s="2" t="s">
        <v>3231</v>
      </c>
      <c r="AA2911" s="2" t="s">
        <v>46</v>
      </c>
      <c r="AB2911" s="2" t="s">
        <v>91</v>
      </c>
      <c r="AC2911" s="2" t="s">
        <v>58</v>
      </c>
      <c r="AF2911" s="2">
        <f t="shared" si="329"/>
        <v>0</v>
      </c>
      <c r="AJ2911" s="2">
        <f t="shared" si="330"/>
        <v>0</v>
      </c>
      <c r="AK2911" s="2">
        <f t="shared" si="331"/>
        <v>34.904200000000003</v>
      </c>
      <c r="AL2911" s="5">
        <f t="shared" si="334"/>
        <v>0.58173666666666668</v>
      </c>
    </row>
    <row r="2912" spans="1:38" hidden="1" x14ac:dyDescent="0.2">
      <c r="A2912" s="2">
        <v>2026</v>
      </c>
      <c r="B2912" s="2">
        <v>1</v>
      </c>
      <c r="D2912" s="2" t="s">
        <v>690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691</v>
      </c>
      <c r="K2912" s="2">
        <v>913036545</v>
      </c>
      <c r="L2912" s="2" t="s">
        <v>178</v>
      </c>
      <c r="M2912" s="2" t="s">
        <v>41</v>
      </c>
      <c r="O2912" s="2" t="s">
        <v>2378</v>
      </c>
      <c r="P2912" s="2" t="s">
        <v>43</v>
      </c>
      <c r="Q2912" s="2" t="s">
        <v>670</v>
      </c>
      <c r="R2912" s="2" t="s">
        <v>671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8"/>
        <v>0.51216666666666666</v>
      </c>
      <c r="Z2912" s="2" t="s">
        <v>3231</v>
      </c>
      <c r="AA2912" s="2" t="s">
        <v>46</v>
      </c>
      <c r="AB2912" s="2" t="s">
        <v>57</v>
      </c>
      <c r="AC2912" s="2" t="s">
        <v>58</v>
      </c>
      <c r="AF2912" s="2">
        <f t="shared" si="329"/>
        <v>0</v>
      </c>
      <c r="AG2912" s="2">
        <v>29.27</v>
      </c>
      <c r="AH2912" s="2">
        <v>60</v>
      </c>
      <c r="AJ2912" s="2">
        <f t="shared" si="330"/>
        <v>0</v>
      </c>
      <c r="AK2912" s="2">
        <f t="shared" si="331"/>
        <v>30.73</v>
      </c>
      <c r="AL2912" s="5">
        <f t="shared" si="334"/>
        <v>0.51216666666666666</v>
      </c>
    </row>
    <row r="2913" spans="1:38" hidden="1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2379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8"/>
        <v>0.29692307692307701</v>
      </c>
      <c r="Z2913" s="2" t="s">
        <v>3231</v>
      </c>
      <c r="AA2913" s="2" t="s">
        <v>46</v>
      </c>
      <c r="AB2913" s="2" t="s">
        <v>61</v>
      </c>
      <c r="AC2913" s="2" t="s">
        <v>58</v>
      </c>
      <c r="AF2913" s="2">
        <f t="shared" si="329"/>
        <v>0</v>
      </c>
      <c r="AG2913" s="2">
        <v>9.14</v>
      </c>
      <c r="AH2913" s="2">
        <v>16</v>
      </c>
      <c r="AJ2913" s="2">
        <f t="shared" si="330"/>
        <v>0</v>
      </c>
      <c r="AK2913" s="2">
        <f t="shared" si="331"/>
        <v>38.600000000000009</v>
      </c>
      <c r="AL2913" s="5">
        <f t="shared" si="334"/>
        <v>0.29692307692307701</v>
      </c>
    </row>
    <row r="2914" spans="1:38" hidden="1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2365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8"/>
        <v>0.29692307692307701</v>
      </c>
      <c r="Z2914" s="2" t="s">
        <v>3231</v>
      </c>
      <c r="AA2914" s="2" t="s">
        <v>46</v>
      </c>
      <c r="AB2914" s="2" t="s">
        <v>61</v>
      </c>
      <c r="AC2914" s="2" t="s">
        <v>58</v>
      </c>
      <c r="AF2914" s="2">
        <f t="shared" si="329"/>
        <v>0</v>
      </c>
      <c r="AG2914" s="2">
        <v>9.14</v>
      </c>
      <c r="AH2914" s="2">
        <v>16</v>
      </c>
      <c r="AJ2914" s="2">
        <f t="shared" si="330"/>
        <v>0</v>
      </c>
      <c r="AK2914" s="2">
        <f t="shared" si="331"/>
        <v>3.8600000000000012</v>
      </c>
      <c r="AL2914" s="5">
        <f t="shared" si="334"/>
        <v>0.29692307692307701</v>
      </c>
    </row>
    <row r="2915" spans="1:38" hidden="1" x14ac:dyDescent="0.2">
      <c r="A2915" s="2">
        <v>2026</v>
      </c>
      <c r="B2915" s="2">
        <v>1</v>
      </c>
      <c r="D2915" s="2" t="s">
        <v>618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619</v>
      </c>
      <c r="J2915" s="2" t="s">
        <v>620</v>
      </c>
      <c r="L2915" s="2" t="s">
        <v>419</v>
      </c>
      <c r="M2915" s="2" t="s">
        <v>41</v>
      </c>
      <c r="O2915" s="2" t="s">
        <v>2380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35">(T2915-W2915)/T2915</f>
        <v>0.29692307692307701</v>
      </c>
      <c r="Z2915" s="2" t="s">
        <v>3231</v>
      </c>
      <c r="AA2915" s="2" t="s">
        <v>46</v>
      </c>
      <c r="AB2915" s="2" t="s">
        <v>61</v>
      </c>
      <c r="AC2915" s="2" t="s">
        <v>58</v>
      </c>
      <c r="AF2915" s="2">
        <f t="shared" si="329"/>
        <v>0</v>
      </c>
      <c r="AG2915" s="2">
        <v>9.14</v>
      </c>
      <c r="AH2915" s="2">
        <v>16</v>
      </c>
      <c r="AJ2915" s="2">
        <f t="shared" si="330"/>
        <v>0</v>
      </c>
      <c r="AK2915" s="2">
        <f t="shared" si="331"/>
        <v>3.8600000000000012</v>
      </c>
      <c r="AL2915" s="5">
        <f t="shared" si="334"/>
        <v>0.29692307692307701</v>
      </c>
    </row>
    <row r="2916" spans="1:38" hidden="1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36">0.082*S2916</f>
        <v>98.4</v>
      </c>
      <c r="X2916" s="5">
        <f t="shared" si="335"/>
        <v>0.19999999999999996</v>
      </c>
      <c r="Z2916" s="2" t="s">
        <v>3231</v>
      </c>
      <c r="AA2916" s="2" t="s">
        <v>46</v>
      </c>
      <c r="AB2916" s="2" t="s">
        <v>61</v>
      </c>
      <c r="AC2916" s="2" t="s">
        <v>58</v>
      </c>
      <c r="AF2916" s="2">
        <f t="shared" si="329"/>
        <v>0</v>
      </c>
      <c r="AG2916" s="2">
        <v>8.1999999999999993</v>
      </c>
      <c r="AH2916" s="2">
        <v>13</v>
      </c>
      <c r="AJ2916" s="2">
        <f t="shared" si="330"/>
        <v>0</v>
      </c>
      <c r="AK2916" s="2">
        <f t="shared" si="331"/>
        <v>24.599999999999994</v>
      </c>
      <c r="AL2916" s="5">
        <f t="shared" si="334"/>
        <v>0.19999999999999996</v>
      </c>
    </row>
    <row r="2917" spans="1:38" hidden="1" x14ac:dyDescent="0.2">
      <c r="A2917" s="2">
        <v>2026</v>
      </c>
      <c r="B2917" s="2">
        <v>1</v>
      </c>
      <c r="D2917" s="2" t="s">
        <v>2357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2358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36"/>
        <v>8.2000000000000011</v>
      </c>
      <c r="X2917" s="5">
        <f t="shared" si="335"/>
        <v>0.36923076923076914</v>
      </c>
      <c r="Z2917" s="2" t="s">
        <v>3231</v>
      </c>
      <c r="AA2917" s="2" t="s">
        <v>46</v>
      </c>
      <c r="AB2917" s="2" t="s">
        <v>61</v>
      </c>
      <c r="AC2917" s="2" t="s">
        <v>58</v>
      </c>
      <c r="AF2917" s="2">
        <f t="shared" si="329"/>
        <v>0</v>
      </c>
      <c r="AG2917" s="2">
        <v>8.1999999999999993</v>
      </c>
      <c r="AH2917" s="2">
        <v>13</v>
      </c>
      <c r="AJ2917" s="2">
        <f t="shared" si="330"/>
        <v>0</v>
      </c>
      <c r="AK2917" s="2">
        <f t="shared" si="331"/>
        <v>4.7999999999999989</v>
      </c>
      <c r="AL2917" s="5">
        <f t="shared" si="334"/>
        <v>0.36923076923076914</v>
      </c>
    </row>
    <row r="2918" spans="1:38" hidden="1" x14ac:dyDescent="0.2">
      <c r="A2918" s="2">
        <v>2026</v>
      </c>
      <c r="B2918" s="2">
        <v>1</v>
      </c>
      <c r="D2918" s="2" t="s">
        <v>1142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1143</v>
      </c>
      <c r="J2918" s="2" t="s">
        <v>1144</v>
      </c>
      <c r="L2918" s="2" t="s">
        <v>100</v>
      </c>
      <c r="M2918" s="2" t="s">
        <v>41</v>
      </c>
      <c r="O2918" s="2" t="s">
        <v>2381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36"/>
        <v>82</v>
      </c>
      <c r="X2918" s="5">
        <f t="shared" si="335"/>
        <v>0.25454545454545452</v>
      </c>
      <c r="Z2918" s="2" t="s">
        <v>3231</v>
      </c>
      <c r="AA2918" s="2" t="s">
        <v>46</v>
      </c>
      <c r="AB2918" s="2" t="s">
        <v>61</v>
      </c>
      <c r="AC2918" s="2" t="s">
        <v>58</v>
      </c>
      <c r="AF2918" s="2">
        <f t="shared" si="329"/>
        <v>0</v>
      </c>
      <c r="AG2918" s="2">
        <v>8.1999999999999993</v>
      </c>
      <c r="AH2918" s="2">
        <v>13</v>
      </c>
      <c r="AJ2918" s="2">
        <f t="shared" si="330"/>
        <v>0</v>
      </c>
      <c r="AK2918" s="2">
        <f t="shared" si="331"/>
        <v>28</v>
      </c>
      <c r="AL2918" s="5">
        <f t="shared" si="334"/>
        <v>0.25454545454545452</v>
      </c>
    </row>
    <row r="2919" spans="1:38" hidden="1" x14ac:dyDescent="0.2">
      <c r="A2919" s="2">
        <v>2026</v>
      </c>
      <c r="B2919" s="2">
        <v>1</v>
      </c>
      <c r="D2919" s="2" t="s">
        <v>782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783</v>
      </c>
      <c r="J2919" s="2" t="s">
        <v>784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36"/>
        <v>8.2000000000000011</v>
      </c>
      <c r="X2919" s="5">
        <f t="shared" si="335"/>
        <v>0.36923076923076914</v>
      </c>
      <c r="Z2919" s="2" t="s">
        <v>3231</v>
      </c>
      <c r="AA2919" s="2" t="s">
        <v>46</v>
      </c>
      <c r="AB2919" s="2" t="s">
        <v>61</v>
      </c>
      <c r="AC2919" s="2" t="s">
        <v>58</v>
      </c>
      <c r="AF2919" s="2">
        <f t="shared" si="329"/>
        <v>0</v>
      </c>
      <c r="AG2919" s="2">
        <v>8.1999999999999993</v>
      </c>
      <c r="AH2919" s="2">
        <v>13</v>
      </c>
      <c r="AJ2919" s="2">
        <f t="shared" si="330"/>
        <v>0</v>
      </c>
      <c r="AK2919" s="2">
        <f t="shared" si="331"/>
        <v>4.7999999999999989</v>
      </c>
      <c r="AL2919" s="5">
        <f t="shared" si="334"/>
        <v>0.36923076923076914</v>
      </c>
    </row>
    <row r="2920" spans="1:38" hidden="1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36"/>
        <v>24.6</v>
      </c>
      <c r="X2920" s="5">
        <f t="shared" si="335"/>
        <v>0.3692307692307692</v>
      </c>
      <c r="Z2920" s="2" t="s">
        <v>3231</v>
      </c>
      <c r="AA2920" s="2" t="s">
        <v>46</v>
      </c>
      <c r="AB2920" s="2" t="s">
        <v>61</v>
      </c>
      <c r="AC2920" s="2" t="s">
        <v>58</v>
      </c>
      <c r="AF2920" s="2">
        <f t="shared" si="329"/>
        <v>0</v>
      </c>
      <c r="AG2920" s="2">
        <v>8.1999999999999993</v>
      </c>
      <c r="AH2920" s="2">
        <v>13</v>
      </c>
      <c r="AJ2920" s="2">
        <f t="shared" si="330"/>
        <v>0</v>
      </c>
      <c r="AK2920" s="2">
        <f t="shared" si="331"/>
        <v>14.399999999999999</v>
      </c>
      <c r="AL2920" s="5">
        <f t="shared" si="334"/>
        <v>0.3692307692307692</v>
      </c>
    </row>
    <row r="2921" spans="1:38" hidden="1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36"/>
        <v>8.2000000000000011</v>
      </c>
      <c r="X2921" s="5">
        <f t="shared" si="335"/>
        <v>0.36923076923076914</v>
      </c>
      <c r="Z2921" s="2" t="s">
        <v>3231</v>
      </c>
      <c r="AA2921" s="2" t="s">
        <v>46</v>
      </c>
      <c r="AB2921" s="2" t="s">
        <v>61</v>
      </c>
      <c r="AC2921" s="2" t="s">
        <v>58</v>
      </c>
      <c r="AF2921" s="2">
        <f t="shared" si="329"/>
        <v>0</v>
      </c>
      <c r="AG2921" s="2">
        <v>8.1999999999999993</v>
      </c>
      <c r="AH2921" s="2">
        <v>13</v>
      </c>
      <c r="AJ2921" s="2">
        <f t="shared" si="330"/>
        <v>0</v>
      </c>
      <c r="AK2921" s="2">
        <f t="shared" si="331"/>
        <v>4.7999999999999989</v>
      </c>
      <c r="AL2921" s="5">
        <f t="shared" si="334"/>
        <v>0.36923076923076914</v>
      </c>
    </row>
    <row r="2922" spans="1:38" hidden="1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36"/>
        <v>82</v>
      </c>
      <c r="X2922" s="5">
        <f t="shared" si="335"/>
        <v>0.25454545454545452</v>
      </c>
      <c r="Z2922" s="2" t="s">
        <v>3231</v>
      </c>
      <c r="AA2922" s="2" t="s">
        <v>46</v>
      </c>
      <c r="AB2922" s="2" t="s">
        <v>61</v>
      </c>
      <c r="AC2922" s="2" t="s">
        <v>58</v>
      </c>
      <c r="AF2922" s="2">
        <f t="shared" si="329"/>
        <v>0</v>
      </c>
      <c r="AG2922" s="2">
        <v>8.1999999999999993</v>
      </c>
      <c r="AH2922" s="2">
        <v>13</v>
      </c>
      <c r="AJ2922" s="2">
        <f t="shared" si="330"/>
        <v>0</v>
      </c>
      <c r="AK2922" s="2">
        <f t="shared" si="331"/>
        <v>28</v>
      </c>
      <c r="AL2922" s="5">
        <f t="shared" si="334"/>
        <v>0.25454545454545452</v>
      </c>
    </row>
    <row r="2923" spans="1:38" hidden="1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36"/>
        <v>41</v>
      </c>
      <c r="X2923" s="5">
        <f t="shared" si="335"/>
        <v>0.31666666666666665</v>
      </c>
      <c r="Z2923" s="2" t="s">
        <v>3231</v>
      </c>
      <c r="AA2923" s="2" t="s">
        <v>46</v>
      </c>
      <c r="AB2923" s="2" t="s">
        <v>61</v>
      </c>
      <c r="AC2923" s="2" t="s">
        <v>58</v>
      </c>
      <c r="AF2923" s="2">
        <f t="shared" si="329"/>
        <v>0</v>
      </c>
      <c r="AG2923" s="2">
        <v>8.1999999999999993</v>
      </c>
      <c r="AH2923" s="2">
        <v>13</v>
      </c>
      <c r="AJ2923" s="2">
        <f t="shared" si="330"/>
        <v>0</v>
      </c>
      <c r="AK2923" s="2">
        <f t="shared" si="331"/>
        <v>19</v>
      </c>
      <c r="AL2923" s="5">
        <f t="shared" si="334"/>
        <v>0.31666666666666665</v>
      </c>
    </row>
    <row r="2924" spans="1:38" hidden="1" x14ac:dyDescent="0.2">
      <c r="A2924" s="2">
        <v>2026</v>
      </c>
      <c r="B2924" s="2">
        <v>1</v>
      </c>
      <c r="D2924" s="2" t="s">
        <v>2368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2369</v>
      </c>
      <c r="J2924" s="2" t="s">
        <v>2370</v>
      </c>
      <c r="K2924" s="2">
        <v>963062174</v>
      </c>
      <c r="L2924" s="2" t="s">
        <v>419</v>
      </c>
      <c r="M2924" s="2" t="s">
        <v>41</v>
      </c>
      <c r="O2924" s="2" t="s">
        <v>2371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36"/>
        <v>82</v>
      </c>
      <c r="X2924" s="5">
        <f t="shared" si="335"/>
        <v>0.25454545454545452</v>
      </c>
      <c r="Z2924" s="2" t="s">
        <v>3231</v>
      </c>
      <c r="AA2924" s="2" t="s">
        <v>46</v>
      </c>
      <c r="AB2924" s="2" t="s">
        <v>61</v>
      </c>
      <c r="AC2924" s="2" t="s">
        <v>58</v>
      </c>
      <c r="AF2924" s="2">
        <f t="shared" si="329"/>
        <v>0</v>
      </c>
      <c r="AG2924" s="2">
        <v>8.1999999999999993</v>
      </c>
      <c r="AH2924" s="2">
        <v>13</v>
      </c>
      <c r="AJ2924" s="2">
        <f t="shared" si="330"/>
        <v>0</v>
      </c>
      <c r="AK2924" s="2">
        <f t="shared" si="331"/>
        <v>28</v>
      </c>
      <c r="AL2924" s="5">
        <f t="shared" si="334"/>
        <v>0.25454545454545452</v>
      </c>
    </row>
    <row r="2925" spans="1:38" hidden="1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35"/>
        <v>1</v>
      </c>
      <c r="Z2925" s="2" t="s">
        <v>3231</v>
      </c>
      <c r="AA2925" s="2" t="s">
        <v>46</v>
      </c>
      <c r="AB2925" s="2" t="s">
        <v>47</v>
      </c>
      <c r="AC2925" s="2" t="s">
        <v>48</v>
      </c>
      <c r="AF2925" s="2">
        <f t="shared" si="329"/>
        <v>0</v>
      </c>
      <c r="AJ2925" s="2">
        <f t="shared" si="330"/>
        <v>0</v>
      </c>
      <c r="AK2925" s="2">
        <f t="shared" si="331"/>
        <v>21</v>
      </c>
      <c r="AL2925" s="5">
        <f t="shared" si="334"/>
        <v>1</v>
      </c>
    </row>
    <row r="2926" spans="1:38" hidden="1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35"/>
        <v>0.46454080629301875</v>
      </c>
      <c r="Z2926" s="2" t="s">
        <v>3231</v>
      </c>
      <c r="AA2926" s="2" t="s">
        <v>46</v>
      </c>
      <c r="AB2926" s="2" t="s">
        <v>61</v>
      </c>
      <c r="AC2926" s="2" t="s">
        <v>58</v>
      </c>
      <c r="AF2926" s="2">
        <f t="shared" si="329"/>
        <v>0</v>
      </c>
      <c r="AG2926" s="2">
        <v>3.7555999999999998</v>
      </c>
      <c r="AH2926" s="2">
        <v>7.2</v>
      </c>
      <c r="AJ2926" s="2">
        <f t="shared" si="330"/>
        <v>0</v>
      </c>
      <c r="AK2926" s="2">
        <f t="shared" si="331"/>
        <v>94.487600000000015</v>
      </c>
      <c r="AL2926" s="5">
        <f t="shared" si="334"/>
        <v>0.46454080629301875</v>
      </c>
    </row>
    <row r="2927" spans="1:38" hidden="1" x14ac:dyDescent="0.2">
      <c r="A2927" s="2">
        <v>2026</v>
      </c>
      <c r="B2927" s="2">
        <v>1</v>
      </c>
      <c r="D2927" s="2" t="s">
        <v>694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696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35"/>
        <v>0.41191666666666665</v>
      </c>
      <c r="Z2927" s="2" t="s">
        <v>3231</v>
      </c>
      <c r="AA2927" s="2" t="s">
        <v>46</v>
      </c>
      <c r="AB2927" s="2" t="s">
        <v>61</v>
      </c>
      <c r="AC2927" s="2" t="s">
        <v>58</v>
      </c>
      <c r="AF2927" s="2">
        <f t="shared" si="329"/>
        <v>0</v>
      </c>
      <c r="AG2927" s="2">
        <v>1.4114</v>
      </c>
      <c r="AH2927" s="2">
        <v>3</v>
      </c>
      <c r="AJ2927" s="2">
        <f t="shared" si="330"/>
        <v>0</v>
      </c>
      <c r="AK2927" s="2">
        <f t="shared" si="331"/>
        <v>7.9087999999999994</v>
      </c>
      <c r="AL2927" s="5">
        <f t="shared" ref="AL2927:AL2958" si="337">(T2927-W2927)/T2927</f>
        <v>0.41191666666666665</v>
      </c>
    </row>
    <row r="2928" spans="1:38" hidden="1" x14ac:dyDescent="0.2">
      <c r="A2928" s="2">
        <v>2026</v>
      </c>
      <c r="B2928" s="2">
        <v>1</v>
      </c>
      <c r="D2928" s="2" t="s">
        <v>2235</v>
      </c>
      <c r="P2928" s="2" t="s">
        <v>43</v>
      </c>
      <c r="Q2928" s="2" t="s">
        <v>2382</v>
      </c>
      <c r="R2928" s="2" t="s">
        <v>2383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35"/>
        <v>1</v>
      </c>
      <c r="Z2928" s="2" t="s">
        <v>3231</v>
      </c>
      <c r="AA2928" s="2" t="s">
        <v>46</v>
      </c>
      <c r="AB2928" s="2" t="s">
        <v>91</v>
      </c>
      <c r="AC2928" s="2" t="s">
        <v>58</v>
      </c>
      <c r="AF2928" s="2">
        <f t="shared" si="329"/>
        <v>0</v>
      </c>
      <c r="AJ2928" s="2">
        <f t="shared" si="330"/>
        <v>0</v>
      </c>
      <c r="AK2928" s="2">
        <f t="shared" si="331"/>
        <v>60</v>
      </c>
      <c r="AL2928" s="5">
        <f t="shared" si="337"/>
        <v>1</v>
      </c>
    </row>
    <row r="2929" spans="1:38" hidden="1" x14ac:dyDescent="0.2">
      <c r="A2929" s="2">
        <v>2026</v>
      </c>
      <c r="B2929" s="2">
        <v>1</v>
      </c>
      <c r="D2929" s="2" t="s">
        <v>1594</v>
      </c>
      <c r="P2929" s="2" t="s">
        <v>43</v>
      </c>
      <c r="Q2929" s="2" t="s">
        <v>2382</v>
      </c>
      <c r="R2929" s="2" t="s">
        <v>2383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35"/>
        <v>1</v>
      </c>
      <c r="Z2929" s="2" t="s">
        <v>3231</v>
      </c>
      <c r="AA2929" s="2" t="s">
        <v>46</v>
      </c>
      <c r="AB2929" s="2" t="s">
        <v>91</v>
      </c>
      <c r="AC2929" s="2" t="s">
        <v>58</v>
      </c>
      <c r="AF2929" s="2">
        <f t="shared" si="329"/>
        <v>0</v>
      </c>
      <c r="AJ2929" s="2">
        <f t="shared" si="330"/>
        <v>0</v>
      </c>
      <c r="AK2929" s="2">
        <f t="shared" si="331"/>
        <v>150</v>
      </c>
      <c r="AL2929" s="5">
        <f t="shared" si="337"/>
        <v>1</v>
      </c>
    </row>
    <row r="2930" spans="1:38" hidden="1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2384</v>
      </c>
      <c r="P2930" s="2" t="s">
        <v>43</v>
      </c>
      <c r="Q2930" s="2" t="s">
        <v>971</v>
      </c>
      <c r="R2930" s="2" t="s">
        <v>972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335"/>
        <v>0.31955925925925921</v>
      </c>
      <c r="Z2930" s="2" t="s">
        <v>3231</v>
      </c>
      <c r="AA2930" s="2" t="s">
        <v>46</v>
      </c>
      <c r="AB2930" s="2" t="s">
        <v>61</v>
      </c>
      <c r="AC2930" s="2" t="s">
        <v>58</v>
      </c>
      <c r="AF2930" s="2">
        <f t="shared" si="329"/>
        <v>0</v>
      </c>
      <c r="AJ2930" s="2">
        <f t="shared" si="330"/>
        <v>0</v>
      </c>
      <c r="AK2930" s="2">
        <f t="shared" si="331"/>
        <v>207.07439999999997</v>
      </c>
      <c r="AL2930" s="5">
        <f t="shared" si="337"/>
        <v>0.31955925925925921</v>
      </c>
    </row>
    <row r="2931" spans="1:38" hidden="1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2384</v>
      </c>
      <c r="P2931" s="2" t="s">
        <v>43</v>
      </c>
      <c r="Q2931" s="2" t="s">
        <v>973</v>
      </c>
      <c r="R2931" s="2" t="s">
        <v>974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35"/>
        <v>1</v>
      </c>
      <c r="Z2931" s="2" t="s">
        <v>3231</v>
      </c>
      <c r="AA2931" s="2" t="s">
        <v>46</v>
      </c>
      <c r="AB2931" s="2" t="s">
        <v>61</v>
      </c>
      <c r="AC2931" s="2" t="s">
        <v>58</v>
      </c>
      <c r="AF2931" s="2">
        <f t="shared" si="329"/>
        <v>0</v>
      </c>
      <c r="AJ2931" s="2">
        <f t="shared" si="330"/>
        <v>0</v>
      </c>
      <c r="AK2931" s="2">
        <f t="shared" si="331"/>
        <v>216</v>
      </c>
      <c r="AL2931" s="5">
        <f t="shared" si="337"/>
        <v>1</v>
      </c>
    </row>
    <row r="2932" spans="1:38" hidden="1" x14ac:dyDescent="0.2">
      <c r="A2932" s="2">
        <v>2026</v>
      </c>
      <c r="B2932" s="2">
        <v>1</v>
      </c>
      <c r="D2932" s="2" t="s">
        <v>766</v>
      </c>
      <c r="E2932" s="2" t="s">
        <v>38</v>
      </c>
      <c r="G2932" s="2">
        <v>513686231</v>
      </c>
      <c r="H2932" s="2" t="s">
        <v>291</v>
      </c>
      <c r="I2932" s="2" t="s">
        <v>767</v>
      </c>
      <c r="J2932" s="2" t="s">
        <v>768</v>
      </c>
      <c r="L2932" s="2" t="s">
        <v>481</v>
      </c>
      <c r="M2932" s="2" t="s">
        <v>81</v>
      </c>
      <c r="O2932" s="2" t="s">
        <v>2372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35"/>
        <v>0.45283848797250864</v>
      </c>
      <c r="Z2932" s="2" t="s">
        <v>3231</v>
      </c>
      <c r="AA2932" s="2" t="s">
        <v>46</v>
      </c>
      <c r="AB2932" s="2" t="s">
        <v>68</v>
      </c>
      <c r="AC2932" s="2" t="s">
        <v>58</v>
      </c>
      <c r="AF2932" s="2">
        <f t="shared" si="329"/>
        <v>0</v>
      </c>
      <c r="AG2932" s="2">
        <v>7.9611999999999998</v>
      </c>
      <c r="AH2932" s="2">
        <v>14.4</v>
      </c>
      <c r="AJ2932" s="2">
        <f t="shared" si="330"/>
        <v>0</v>
      </c>
      <c r="AK2932" s="2">
        <f t="shared" si="331"/>
        <v>72.476800000000011</v>
      </c>
      <c r="AL2932" s="5">
        <f t="shared" si="337"/>
        <v>0.45283848797250864</v>
      </c>
    </row>
    <row r="2933" spans="1:38" hidden="1" x14ac:dyDescent="0.2">
      <c r="A2933" s="2">
        <v>2026</v>
      </c>
      <c r="B2933" s="2">
        <v>1</v>
      </c>
      <c r="D2933" s="2" t="s">
        <v>2376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35"/>
        <v>0.45095172413793105</v>
      </c>
      <c r="Z2933" s="2" t="s">
        <v>3231</v>
      </c>
      <c r="AA2933" s="2" t="s">
        <v>46</v>
      </c>
      <c r="AB2933" s="2" t="s">
        <v>68</v>
      </c>
      <c r="AC2933" s="2" t="s">
        <v>58</v>
      </c>
      <c r="AF2933" s="2">
        <f t="shared" si="329"/>
        <v>0</v>
      </c>
      <c r="AG2933" s="2">
        <v>7.9611999999999998</v>
      </c>
      <c r="AH2933" s="2">
        <v>14.4</v>
      </c>
      <c r="AJ2933" s="2">
        <f t="shared" si="330"/>
        <v>0</v>
      </c>
      <c r="AK2933" s="2">
        <f t="shared" si="331"/>
        <v>6.5388000000000002</v>
      </c>
      <c r="AL2933" s="5">
        <f t="shared" si="337"/>
        <v>0.45095172413793105</v>
      </c>
    </row>
    <row r="2934" spans="1:38" hidden="1" x14ac:dyDescent="0.2">
      <c r="A2934" s="2">
        <v>2026</v>
      </c>
      <c r="B2934" s="2">
        <v>1</v>
      </c>
      <c r="D2934" s="2" t="s">
        <v>2218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35"/>
        <v>0.3608382978723404</v>
      </c>
      <c r="Z2934" s="2" t="s">
        <v>3231</v>
      </c>
      <c r="AA2934" s="2" t="s">
        <v>46</v>
      </c>
      <c r="AB2934" s="2" t="s">
        <v>68</v>
      </c>
      <c r="AC2934" s="2" t="s">
        <v>58</v>
      </c>
      <c r="AF2934" s="2">
        <f t="shared" si="329"/>
        <v>0</v>
      </c>
      <c r="AG2934" s="2">
        <v>15.020300000000001</v>
      </c>
      <c r="AH2934" s="2">
        <v>27.6</v>
      </c>
      <c r="AJ2934" s="2">
        <f t="shared" si="330"/>
        <v>0</v>
      </c>
      <c r="AK2934" s="2">
        <f t="shared" si="331"/>
        <v>16.959399999999999</v>
      </c>
      <c r="AL2934" s="5">
        <f t="shared" si="337"/>
        <v>0.3608382978723404</v>
      </c>
    </row>
    <row r="2935" spans="1:38" hidden="1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35"/>
        <v>0.3608382978723404</v>
      </c>
      <c r="Z2935" s="2" t="s">
        <v>3231</v>
      </c>
      <c r="AA2935" s="2" t="s">
        <v>46</v>
      </c>
      <c r="AB2935" s="2" t="s">
        <v>68</v>
      </c>
      <c r="AC2935" s="2" t="s">
        <v>58</v>
      </c>
      <c r="AF2935" s="2">
        <f t="shared" si="329"/>
        <v>0</v>
      </c>
      <c r="AG2935" s="2">
        <v>15.020300000000001</v>
      </c>
      <c r="AH2935" s="2">
        <v>27.6</v>
      </c>
      <c r="AJ2935" s="2">
        <f t="shared" si="330"/>
        <v>0</v>
      </c>
      <c r="AK2935" s="2">
        <f t="shared" si="331"/>
        <v>16.959399999999999</v>
      </c>
      <c r="AL2935" s="5">
        <f t="shared" si="337"/>
        <v>0.3608382978723404</v>
      </c>
    </row>
    <row r="2936" spans="1:38" hidden="1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35"/>
        <v>0.31725909090909088</v>
      </c>
      <c r="Z2936" s="2" t="s">
        <v>3231</v>
      </c>
      <c r="AA2936" s="2" t="s">
        <v>46</v>
      </c>
      <c r="AB2936" s="2" t="s">
        <v>68</v>
      </c>
      <c r="AC2936" s="2" t="s">
        <v>58</v>
      </c>
      <c r="AF2936" s="2">
        <f t="shared" si="329"/>
        <v>0</v>
      </c>
      <c r="AG2936" s="2">
        <v>15.020300000000001</v>
      </c>
      <c r="AH2936" s="2">
        <v>27.6</v>
      </c>
      <c r="AJ2936" s="2">
        <f t="shared" si="330"/>
        <v>0</v>
      </c>
      <c r="AK2936" s="2">
        <f t="shared" si="331"/>
        <v>69.796999999999997</v>
      </c>
      <c r="AL2936" s="5">
        <f t="shared" si="337"/>
        <v>0.31725909090909088</v>
      </c>
    </row>
    <row r="2937" spans="1:38" hidden="1" x14ac:dyDescent="0.2">
      <c r="A2937" s="2">
        <v>2026</v>
      </c>
      <c r="B2937" s="2">
        <v>1</v>
      </c>
      <c r="D2937" s="2" t="s">
        <v>2385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35"/>
        <v>0.38411111111111107</v>
      </c>
      <c r="Z2937" s="2" t="s">
        <v>3231</v>
      </c>
      <c r="AA2937" s="2" t="s">
        <v>46</v>
      </c>
      <c r="AB2937" s="2" t="s">
        <v>68</v>
      </c>
      <c r="AC2937" s="2" t="s">
        <v>58</v>
      </c>
      <c r="AF2937" s="2">
        <f t="shared" si="329"/>
        <v>0</v>
      </c>
      <c r="AG2937" s="2">
        <v>8.3145000000000007</v>
      </c>
      <c r="AH2937" s="2">
        <v>15</v>
      </c>
      <c r="AJ2937" s="2">
        <f t="shared" si="330"/>
        <v>0</v>
      </c>
      <c r="AK2937" s="2">
        <f t="shared" si="331"/>
        <v>20.741999999999997</v>
      </c>
      <c r="AL2937" s="5">
        <f t="shared" si="337"/>
        <v>0.38411111111111107</v>
      </c>
    </row>
    <row r="2938" spans="1:38" hidden="1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3274</v>
      </c>
      <c r="M2938" s="2" t="s">
        <v>110</v>
      </c>
      <c r="P2938" s="2" t="s">
        <v>3234</v>
      </c>
      <c r="Q2938" s="2" t="s">
        <v>2386</v>
      </c>
      <c r="R2938" s="2" t="s">
        <v>2387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35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3234</v>
      </c>
      <c r="AF2938" s="2">
        <f t="shared" si="329"/>
        <v>0</v>
      </c>
      <c r="AJ2938" s="2">
        <f t="shared" si="330"/>
        <v>0</v>
      </c>
      <c r="AK2938" s="2">
        <f t="shared" si="331"/>
        <v>1247.8805</v>
      </c>
      <c r="AL2938" s="5">
        <f t="shared" si="337"/>
        <v>0.61395730423316863</v>
      </c>
    </row>
    <row r="2939" spans="1:38" hidden="1" x14ac:dyDescent="0.2">
      <c r="A2939" s="2">
        <v>2026</v>
      </c>
      <c r="B2939" s="2">
        <v>1</v>
      </c>
      <c r="D2939" s="2" t="s">
        <v>1180</v>
      </c>
      <c r="E2939" s="2" t="s">
        <v>38</v>
      </c>
      <c r="G2939" s="2">
        <v>502089075</v>
      </c>
      <c r="H2939" s="2" t="s">
        <v>41</v>
      </c>
      <c r="I2939" s="2" t="s">
        <v>1181</v>
      </c>
      <c r="J2939" s="2" t="s">
        <v>1182</v>
      </c>
      <c r="L2939" s="2" t="s">
        <v>462</v>
      </c>
      <c r="M2939" s="2" t="s">
        <v>41</v>
      </c>
      <c r="O2939" s="2" t="s">
        <v>2388</v>
      </c>
      <c r="P2939" s="2" t="s">
        <v>167</v>
      </c>
      <c r="Q2939" s="2" t="s">
        <v>2389</v>
      </c>
      <c r="R2939" s="2" t="s">
        <v>2390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35"/>
        <v>1</v>
      </c>
      <c r="Z2939" s="2" t="s">
        <v>3231</v>
      </c>
      <c r="AA2939" s="2" t="s">
        <v>88</v>
      </c>
      <c r="AB2939" s="2" t="s">
        <v>120</v>
      </c>
      <c r="AC2939" s="2" t="s">
        <v>167</v>
      </c>
      <c r="AF2939" s="2">
        <f t="shared" si="329"/>
        <v>0</v>
      </c>
      <c r="AJ2939" s="2">
        <f t="shared" si="330"/>
        <v>0</v>
      </c>
      <c r="AK2939" s="2">
        <f t="shared" si="331"/>
        <v>5</v>
      </c>
      <c r="AL2939" s="5">
        <f t="shared" si="337"/>
        <v>1</v>
      </c>
    </row>
    <row r="2940" spans="1:38" hidden="1" x14ac:dyDescent="0.2">
      <c r="A2940" s="2">
        <v>2026</v>
      </c>
      <c r="B2940" s="2">
        <v>1</v>
      </c>
      <c r="D2940" s="2" t="s">
        <v>2391</v>
      </c>
      <c r="P2940" s="2" t="s">
        <v>69</v>
      </c>
      <c r="Q2940" s="2" t="s">
        <v>2392</v>
      </c>
      <c r="R2940" s="2" t="s">
        <v>2393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35"/>
        <v>1</v>
      </c>
      <c r="Z2940" s="2" t="s">
        <v>105</v>
      </c>
      <c r="AA2940" s="2" t="s">
        <v>306</v>
      </c>
      <c r="AB2940" s="2" t="s">
        <v>107</v>
      </c>
      <c r="AC2940" s="2" t="s">
        <v>3235</v>
      </c>
      <c r="AF2940" s="2">
        <f t="shared" si="329"/>
        <v>0</v>
      </c>
      <c r="AJ2940" s="2">
        <f t="shared" si="330"/>
        <v>0</v>
      </c>
      <c r="AK2940" s="2">
        <f t="shared" si="331"/>
        <v>2300</v>
      </c>
      <c r="AL2940" s="5">
        <f t="shared" si="337"/>
        <v>1</v>
      </c>
    </row>
    <row r="2941" spans="1:38" hidden="1" x14ac:dyDescent="0.2">
      <c r="A2941" s="2">
        <v>2026</v>
      </c>
      <c r="B2941" s="2">
        <v>1</v>
      </c>
      <c r="D2941" s="2" t="s">
        <v>1520</v>
      </c>
      <c r="M2941" s="2" t="s">
        <v>110</v>
      </c>
      <c r="P2941" s="2" t="s">
        <v>69</v>
      </c>
      <c r="Q2941" s="2" t="s">
        <v>1521</v>
      </c>
      <c r="R2941" s="2" t="s">
        <v>1522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35"/>
        <v>0.22235806451612902</v>
      </c>
      <c r="Z2941" s="2" t="s">
        <v>105</v>
      </c>
      <c r="AA2941" s="2" t="s">
        <v>265</v>
      </c>
      <c r="AB2941" s="2" t="s">
        <v>1097</v>
      </c>
      <c r="AC2941" s="2" t="s">
        <v>3235</v>
      </c>
      <c r="AF2941" s="2">
        <f t="shared" si="329"/>
        <v>0</v>
      </c>
      <c r="AJ2941" s="2">
        <f t="shared" si="330"/>
        <v>0</v>
      </c>
      <c r="AK2941" s="2">
        <f t="shared" si="331"/>
        <v>689.31</v>
      </c>
      <c r="AL2941" s="5">
        <f t="shared" si="337"/>
        <v>0.22235806451612902</v>
      </c>
    </row>
    <row r="2942" spans="1:38" hidden="1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2394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35"/>
        <v>0.48223743915518519</v>
      </c>
      <c r="Z2942" s="2" t="s">
        <v>3231</v>
      </c>
      <c r="AA2942" s="2" t="s">
        <v>76</v>
      </c>
      <c r="AB2942" s="2" t="s">
        <v>77</v>
      </c>
      <c r="AC2942" s="2" t="s">
        <v>78</v>
      </c>
      <c r="AF2942" s="2">
        <f t="shared" si="329"/>
        <v>0</v>
      </c>
      <c r="AG2942" s="2">
        <v>125.51600000000001</v>
      </c>
      <c r="AH2942" s="2">
        <v>220</v>
      </c>
      <c r="AJ2942" s="2">
        <f t="shared" si="330"/>
        <v>0</v>
      </c>
      <c r="AK2942" s="2">
        <f t="shared" si="331"/>
        <v>116.90399999999998</v>
      </c>
      <c r="AL2942" s="5">
        <f t="shared" si="337"/>
        <v>0.48223743915518519</v>
      </c>
    </row>
    <row r="2943" spans="1:38" hidden="1" x14ac:dyDescent="0.2">
      <c r="A2943" s="2">
        <v>2026</v>
      </c>
      <c r="B2943" s="2">
        <v>1</v>
      </c>
      <c r="D2943" s="2" t="s">
        <v>2395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35"/>
        <v>0.42947272727272723</v>
      </c>
      <c r="Z2943" s="2" t="s">
        <v>3231</v>
      </c>
      <c r="AA2943" s="2" t="s">
        <v>76</v>
      </c>
      <c r="AB2943" s="2" t="s">
        <v>77</v>
      </c>
      <c r="AC2943" s="2" t="s">
        <v>78</v>
      </c>
      <c r="AF2943" s="2">
        <f t="shared" si="329"/>
        <v>0</v>
      </c>
      <c r="AG2943" s="2">
        <v>125.51600000000001</v>
      </c>
      <c r="AH2943" s="2">
        <v>220</v>
      </c>
      <c r="AJ2943" s="2">
        <f t="shared" si="330"/>
        <v>0</v>
      </c>
      <c r="AK2943" s="2">
        <f t="shared" si="331"/>
        <v>94.483999999999995</v>
      </c>
      <c r="AL2943" s="5">
        <f t="shared" si="337"/>
        <v>0.42947272727272723</v>
      </c>
    </row>
    <row r="2944" spans="1:38" hidden="1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35"/>
        <v>0.42947272727272723</v>
      </c>
      <c r="Z2944" s="2" t="s">
        <v>3231</v>
      </c>
      <c r="AA2944" s="2" t="s">
        <v>76</v>
      </c>
      <c r="AB2944" s="2" t="s">
        <v>77</v>
      </c>
      <c r="AC2944" s="2" t="s">
        <v>78</v>
      </c>
      <c r="AF2944" s="2">
        <f t="shared" si="329"/>
        <v>0</v>
      </c>
      <c r="AG2944" s="2">
        <v>125.51600000000001</v>
      </c>
      <c r="AH2944" s="2">
        <v>220</v>
      </c>
      <c r="AJ2944" s="2">
        <f t="shared" si="330"/>
        <v>0</v>
      </c>
      <c r="AK2944" s="2">
        <f t="shared" si="331"/>
        <v>188.96799999999999</v>
      </c>
      <c r="AL2944" s="5">
        <f t="shared" si="337"/>
        <v>0.42947272727272723</v>
      </c>
    </row>
    <row r="2945" spans="1:38" hidden="1" x14ac:dyDescent="0.2">
      <c r="A2945" s="2">
        <v>2026</v>
      </c>
      <c r="B2945" s="2">
        <v>1</v>
      </c>
      <c r="C2945" s="2" t="s">
        <v>3331</v>
      </c>
      <c r="D2945" s="2" t="s">
        <v>1011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1012</v>
      </c>
      <c r="J2945" s="2" t="s">
        <v>1013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35"/>
        <v>0.39944497607655499</v>
      </c>
      <c r="Z2945" s="2" t="s">
        <v>3231</v>
      </c>
      <c r="AA2945" s="2" t="s">
        <v>76</v>
      </c>
      <c r="AB2945" s="2" t="s">
        <v>77</v>
      </c>
      <c r="AC2945" s="2" t="s">
        <v>78</v>
      </c>
      <c r="AF2945" s="2">
        <f t="shared" si="329"/>
        <v>0</v>
      </c>
      <c r="AG2945" s="2">
        <v>125.51600000000001</v>
      </c>
      <c r="AH2945" s="2">
        <v>220</v>
      </c>
      <c r="AJ2945" s="2">
        <f t="shared" si="330"/>
        <v>0</v>
      </c>
      <c r="AK2945" s="2">
        <f t="shared" si="331"/>
        <v>83.483999999999995</v>
      </c>
      <c r="AL2945" s="5">
        <f t="shared" si="337"/>
        <v>0.39944497607655499</v>
      </c>
    </row>
    <row r="2946" spans="1:38" hidden="1" x14ac:dyDescent="0.2">
      <c r="A2946" s="2">
        <v>2026</v>
      </c>
      <c r="B2946" s="2">
        <v>1</v>
      </c>
      <c r="D2946" s="2" t="s">
        <v>1019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1020</v>
      </c>
      <c r="J2946" s="2" t="s">
        <v>1021</v>
      </c>
      <c r="L2946" s="2" t="s">
        <v>294</v>
      </c>
      <c r="M2946" s="2" t="s">
        <v>81</v>
      </c>
      <c r="O2946" s="2" t="s">
        <v>2396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35"/>
        <v>0.42947272727272723</v>
      </c>
      <c r="Z2946" s="2" t="s">
        <v>3231</v>
      </c>
      <c r="AA2946" s="2" t="s">
        <v>76</v>
      </c>
      <c r="AB2946" s="2" t="s">
        <v>77</v>
      </c>
      <c r="AC2946" s="2" t="s">
        <v>78</v>
      </c>
      <c r="AF2946" s="2">
        <f t="shared" si="329"/>
        <v>0</v>
      </c>
      <c r="AG2946" s="2">
        <v>125.51600000000001</v>
      </c>
      <c r="AH2946" s="2">
        <v>220</v>
      </c>
      <c r="AJ2946" s="2">
        <f t="shared" si="330"/>
        <v>0</v>
      </c>
      <c r="AK2946" s="2">
        <f t="shared" si="331"/>
        <v>94.483999999999995</v>
      </c>
      <c r="AL2946" s="5">
        <f t="shared" si="337"/>
        <v>0.42947272727272723</v>
      </c>
    </row>
    <row r="2947" spans="1:38" hidden="1" x14ac:dyDescent="0.2">
      <c r="A2947" s="2">
        <v>2026</v>
      </c>
      <c r="B2947" s="2">
        <v>1</v>
      </c>
      <c r="D2947" s="2" t="s">
        <v>817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8">(T2947-W2947)/T2947</f>
        <v>0.42947272727272723</v>
      </c>
      <c r="Z2947" s="2" t="s">
        <v>3231</v>
      </c>
      <c r="AA2947" s="2" t="s">
        <v>76</v>
      </c>
      <c r="AB2947" s="2" t="s">
        <v>77</v>
      </c>
      <c r="AC2947" s="2" t="s">
        <v>78</v>
      </c>
      <c r="AF2947" s="2">
        <f t="shared" ref="AF2947:AF3010" si="339">AJ2947</f>
        <v>0</v>
      </c>
      <c r="AG2947" s="2">
        <v>125.51600000000001</v>
      </c>
      <c r="AH2947" s="2">
        <v>220</v>
      </c>
      <c r="AJ2947" s="2">
        <f t="shared" ref="AJ2947:AJ3010" si="340">AI2947*T2947</f>
        <v>0</v>
      </c>
      <c r="AK2947" s="2">
        <f t="shared" ref="AK2947:AK3002" si="341">T2947-W2947</f>
        <v>94.483999999999995</v>
      </c>
      <c r="AL2947" s="5">
        <f t="shared" si="337"/>
        <v>0.42947272727272723</v>
      </c>
    </row>
    <row r="2948" spans="1:38" hidden="1" x14ac:dyDescent="0.2">
      <c r="A2948" s="2">
        <v>2026</v>
      </c>
      <c r="B2948" s="2">
        <v>1</v>
      </c>
      <c r="D2948" s="2" t="s">
        <v>1597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1598</v>
      </c>
      <c r="J2948" s="2" t="s">
        <v>1599</v>
      </c>
      <c r="L2948" s="2" t="s">
        <v>202</v>
      </c>
      <c r="M2948" s="2" t="s">
        <v>81</v>
      </c>
      <c r="O2948" s="2" t="s">
        <v>2397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8"/>
        <v>0.42947272727272723</v>
      </c>
      <c r="Z2948" s="2" t="s">
        <v>3231</v>
      </c>
      <c r="AA2948" s="2" t="s">
        <v>76</v>
      </c>
      <c r="AB2948" s="2" t="s">
        <v>77</v>
      </c>
      <c r="AC2948" s="2" t="s">
        <v>78</v>
      </c>
      <c r="AF2948" s="2">
        <f t="shared" si="339"/>
        <v>0</v>
      </c>
      <c r="AG2948" s="2">
        <v>125.51600000000001</v>
      </c>
      <c r="AH2948" s="2">
        <v>220</v>
      </c>
      <c r="AJ2948" s="2">
        <f t="shared" si="340"/>
        <v>0</v>
      </c>
      <c r="AK2948" s="2">
        <f t="shared" si="341"/>
        <v>94.483999999999995</v>
      </c>
      <c r="AL2948" s="5">
        <f t="shared" si="337"/>
        <v>0.42947272727272723</v>
      </c>
    </row>
    <row r="2949" spans="1:38" hidden="1" x14ac:dyDescent="0.2">
      <c r="A2949" s="2">
        <v>2026</v>
      </c>
      <c r="B2949" s="2">
        <v>1</v>
      </c>
      <c r="D2949" s="2" t="s">
        <v>1421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1274</v>
      </c>
      <c r="J2949" s="2" t="s">
        <v>2398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8"/>
        <v>0.42947272727272723</v>
      </c>
      <c r="Z2949" s="2" t="s">
        <v>3231</v>
      </c>
      <c r="AA2949" s="2" t="s">
        <v>76</v>
      </c>
      <c r="AB2949" s="2" t="s">
        <v>77</v>
      </c>
      <c r="AC2949" s="2" t="s">
        <v>78</v>
      </c>
      <c r="AF2949" s="2">
        <f t="shared" si="339"/>
        <v>0</v>
      </c>
      <c r="AG2949" s="2">
        <v>125.51600000000001</v>
      </c>
      <c r="AH2949" s="2">
        <v>220</v>
      </c>
      <c r="AJ2949" s="2">
        <f t="shared" si="340"/>
        <v>0</v>
      </c>
      <c r="AK2949" s="2">
        <f t="shared" si="341"/>
        <v>94.483999999999995</v>
      </c>
      <c r="AL2949" s="5">
        <f t="shared" si="337"/>
        <v>0.42947272727272723</v>
      </c>
    </row>
    <row r="2950" spans="1:38" hidden="1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2399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8"/>
        <v>0.42947272727272723</v>
      </c>
      <c r="Z2950" s="2" t="s">
        <v>3231</v>
      </c>
      <c r="AA2950" s="2" t="s">
        <v>76</v>
      </c>
      <c r="AB2950" s="2" t="s">
        <v>77</v>
      </c>
      <c r="AC2950" s="2" t="s">
        <v>78</v>
      </c>
      <c r="AF2950" s="2">
        <f t="shared" si="339"/>
        <v>0</v>
      </c>
      <c r="AG2950" s="2">
        <v>125.51600000000001</v>
      </c>
      <c r="AH2950" s="2">
        <v>220</v>
      </c>
      <c r="AJ2950" s="2">
        <f t="shared" si="340"/>
        <v>0</v>
      </c>
      <c r="AK2950" s="2">
        <f t="shared" si="341"/>
        <v>94.483999999999995</v>
      </c>
      <c r="AL2950" s="5">
        <f t="shared" si="337"/>
        <v>0.42947272727272723</v>
      </c>
    </row>
    <row r="2951" spans="1:38" hidden="1" x14ac:dyDescent="0.2">
      <c r="A2951" s="2">
        <v>2026</v>
      </c>
      <c r="B2951" s="2">
        <v>1</v>
      </c>
      <c r="D2951" s="2" t="s">
        <v>2400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8"/>
        <v>0.42947272727272723</v>
      </c>
      <c r="Z2951" s="2" t="s">
        <v>3231</v>
      </c>
      <c r="AA2951" s="2" t="s">
        <v>76</v>
      </c>
      <c r="AB2951" s="2" t="s">
        <v>77</v>
      </c>
      <c r="AC2951" s="2" t="s">
        <v>78</v>
      </c>
      <c r="AF2951" s="2">
        <f t="shared" si="339"/>
        <v>0</v>
      </c>
      <c r="AG2951" s="2">
        <v>125.51600000000001</v>
      </c>
      <c r="AH2951" s="2">
        <v>220</v>
      </c>
      <c r="AJ2951" s="2">
        <f t="shared" si="340"/>
        <v>0</v>
      </c>
      <c r="AK2951" s="2">
        <f t="shared" si="341"/>
        <v>94.483999999999995</v>
      </c>
      <c r="AL2951" s="5">
        <f t="shared" si="337"/>
        <v>0.42947272727272723</v>
      </c>
    </row>
    <row r="2952" spans="1:38" hidden="1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8"/>
        <v>0.40230476190476189</v>
      </c>
      <c r="Z2952" s="2" t="s">
        <v>3231</v>
      </c>
      <c r="AA2952" s="2" t="s">
        <v>76</v>
      </c>
      <c r="AB2952" s="2" t="s">
        <v>77</v>
      </c>
      <c r="AC2952" s="2" t="s">
        <v>78</v>
      </c>
      <c r="AF2952" s="2">
        <f t="shared" si="339"/>
        <v>0</v>
      </c>
      <c r="AG2952" s="2">
        <v>125.51600000000001</v>
      </c>
      <c r="AH2952" s="2">
        <v>220</v>
      </c>
      <c r="AJ2952" s="2">
        <f t="shared" si="340"/>
        <v>0</v>
      </c>
      <c r="AK2952" s="2">
        <f t="shared" si="341"/>
        <v>84.483999999999995</v>
      </c>
      <c r="AL2952" s="5">
        <f t="shared" si="337"/>
        <v>0.40230476190476189</v>
      </c>
    </row>
    <row r="2953" spans="1:38" hidden="1" x14ac:dyDescent="0.2">
      <c r="A2953" s="2">
        <v>2026</v>
      </c>
      <c r="B2953" s="2">
        <v>1</v>
      </c>
      <c r="D2953" s="2" t="s">
        <v>634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8"/>
        <v>0.42947272727272723</v>
      </c>
      <c r="Z2953" s="2" t="s">
        <v>3231</v>
      </c>
      <c r="AA2953" s="2" t="s">
        <v>76</v>
      </c>
      <c r="AB2953" s="2" t="s">
        <v>77</v>
      </c>
      <c r="AC2953" s="2" t="s">
        <v>78</v>
      </c>
      <c r="AF2953" s="2">
        <f t="shared" si="339"/>
        <v>0</v>
      </c>
      <c r="AG2953" s="2">
        <v>125.51600000000001</v>
      </c>
      <c r="AH2953" s="2">
        <v>220</v>
      </c>
      <c r="AJ2953" s="2">
        <f t="shared" si="340"/>
        <v>0</v>
      </c>
      <c r="AK2953" s="2">
        <f t="shared" si="341"/>
        <v>94.483999999999995</v>
      </c>
      <c r="AL2953" s="5">
        <f t="shared" si="337"/>
        <v>0.42947272727272723</v>
      </c>
    </row>
    <row r="2954" spans="1:38" hidden="1" x14ac:dyDescent="0.2">
      <c r="A2954" s="2">
        <v>2026</v>
      </c>
      <c r="B2954" s="2">
        <v>1</v>
      </c>
      <c r="D2954" s="2" t="s">
        <v>2401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8"/>
        <v>0.42947272727272723</v>
      </c>
      <c r="Z2954" s="2" t="s">
        <v>3231</v>
      </c>
      <c r="AA2954" s="2" t="s">
        <v>76</v>
      </c>
      <c r="AB2954" s="2" t="s">
        <v>77</v>
      </c>
      <c r="AC2954" s="2" t="s">
        <v>78</v>
      </c>
      <c r="AF2954" s="2">
        <f t="shared" si="339"/>
        <v>0</v>
      </c>
      <c r="AG2954" s="2">
        <v>125.51600000000001</v>
      </c>
      <c r="AH2954" s="2">
        <v>220</v>
      </c>
      <c r="AJ2954" s="2">
        <f t="shared" si="340"/>
        <v>0</v>
      </c>
      <c r="AK2954" s="2">
        <f t="shared" si="341"/>
        <v>94.483999999999995</v>
      </c>
      <c r="AL2954" s="5">
        <f t="shared" si="337"/>
        <v>0.42947272727272723</v>
      </c>
    </row>
    <row r="2955" spans="1:38" hidden="1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2402</v>
      </c>
      <c r="P2955" s="2" t="s">
        <v>73</v>
      </c>
      <c r="Q2955" s="2" t="s">
        <v>682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8"/>
        <v>0.47755000000000003</v>
      </c>
      <c r="Z2955" s="2" t="s">
        <v>3231</v>
      </c>
      <c r="AA2955" s="2" t="s">
        <v>76</v>
      </c>
      <c r="AB2955" s="2" t="s">
        <v>77</v>
      </c>
      <c r="AC2955" s="2" t="s">
        <v>78</v>
      </c>
      <c r="AF2955" s="2">
        <f t="shared" si="339"/>
        <v>0</v>
      </c>
      <c r="AG2955" s="2">
        <v>104.49</v>
      </c>
      <c r="AH2955" s="2">
        <v>220</v>
      </c>
      <c r="AJ2955" s="2">
        <f t="shared" si="340"/>
        <v>0</v>
      </c>
      <c r="AK2955" s="2">
        <f t="shared" si="341"/>
        <v>95.51</v>
      </c>
      <c r="AL2955" s="5">
        <f t="shared" si="337"/>
        <v>0.47755000000000003</v>
      </c>
    </row>
    <row r="2956" spans="1:38" hidden="1" x14ac:dyDescent="0.2">
      <c r="A2956" s="2">
        <v>2026</v>
      </c>
      <c r="B2956" s="2">
        <v>1</v>
      </c>
      <c r="D2956" s="2" t="s">
        <v>1946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2403</v>
      </c>
      <c r="J2956" s="2" t="s">
        <v>2404</v>
      </c>
      <c r="L2956" s="2" t="s">
        <v>202</v>
      </c>
      <c r="M2956" s="2" t="s">
        <v>41</v>
      </c>
      <c r="O2956" s="2" t="s">
        <v>2405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8"/>
        <v>0.41521052631578947</v>
      </c>
      <c r="Z2956" s="2" t="s">
        <v>3231</v>
      </c>
      <c r="AA2956" s="2" t="s">
        <v>76</v>
      </c>
      <c r="AB2956" s="2" t="s">
        <v>77</v>
      </c>
      <c r="AC2956" s="2" t="s">
        <v>78</v>
      </c>
      <c r="AF2956" s="2">
        <f t="shared" si="339"/>
        <v>0</v>
      </c>
      <c r="AG2956" s="2">
        <v>111.11</v>
      </c>
      <c r="AH2956" s="2">
        <v>190</v>
      </c>
      <c r="AJ2956" s="2">
        <f t="shared" si="340"/>
        <v>0</v>
      </c>
      <c r="AK2956" s="2">
        <f t="shared" si="341"/>
        <v>78.89</v>
      </c>
      <c r="AL2956" s="5">
        <f t="shared" si="337"/>
        <v>0.41521052631578947</v>
      </c>
    </row>
    <row r="2957" spans="1:38" hidden="1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2406</v>
      </c>
      <c r="P2957" s="2" t="s">
        <v>73</v>
      </c>
      <c r="Q2957" s="2" t="s">
        <v>1392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8"/>
        <v>0.61401773412936733</v>
      </c>
      <c r="Z2957" s="2" t="s">
        <v>3231</v>
      </c>
      <c r="AA2957" s="2" t="s">
        <v>76</v>
      </c>
      <c r="AB2957" s="2" t="s">
        <v>77</v>
      </c>
      <c r="AC2957" s="2" t="s">
        <v>78</v>
      </c>
      <c r="AF2957" s="2">
        <f t="shared" si="339"/>
        <v>0</v>
      </c>
      <c r="AG2957" s="2">
        <v>109.26</v>
      </c>
      <c r="AJ2957" s="2">
        <f t="shared" si="340"/>
        <v>0</v>
      </c>
      <c r="AK2957" s="2">
        <f t="shared" si="341"/>
        <v>173.81</v>
      </c>
      <c r="AL2957" s="5">
        <f t="shared" si="337"/>
        <v>0.61401773412936733</v>
      </c>
    </row>
    <row r="2958" spans="1:38" hidden="1" x14ac:dyDescent="0.2">
      <c r="A2958" s="2">
        <v>2026</v>
      </c>
      <c r="B2958" s="2">
        <v>1</v>
      </c>
      <c r="D2958" s="2" t="s">
        <v>2012</v>
      </c>
      <c r="E2958" s="2" t="s">
        <v>38</v>
      </c>
      <c r="F2958" s="2" t="s">
        <v>39</v>
      </c>
      <c r="L2958" s="2" t="s">
        <v>572</v>
      </c>
      <c r="M2958" s="2" t="s">
        <v>81</v>
      </c>
      <c r="P2958" s="2" t="s">
        <v>73</v>
      </c>
      <c r="Q2958" s="2" t="s">
        <v>833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8"/>
        <v>0.45165454545454548</v>
      </c>
      <c r="Z2958" s="2" t="s">
        <v>3231</v>
      </c>
      <c r="AA2958" s="2" t="s">
        <v>76</v>
      </c>
      <c r="AB2958" s="2" t="s">
        <v>77</v>
      </c>
      <c r="AC2958" s="2" t="s">
        <v>78</v>
      </c>
      <c r="AF2958" s="2">
        <f t="shared" si="339"/>
        <v>0</v>
      </c>
      <c r="AG2958" s="2">
        <v>120.636</v>
      </c>
      <c r="AH2958" s="2">
        <v>220</v>
      </c>
      <c r="AJ2958" s="2">
        <f t="shared" si="340"/>
        <v>0</v>
      </c>
      <c r="AK2958" s="2">
        <f t="shared" si="341"/>
        <v>99.364000000000004</v>
      </c>
      <c r="AL2958" s="5">
        <f t="shared" si="337"/>
        <v>0.45165454545454548</v>
      </c>
    </row>
    <row r="2959" spans="1:38" hidden="1" x14ac:dyDescent="0.2">
      <c r="A2959" s="2">
        <v>2026</v>
      </c>
      <c r="B2959" s="2">
        <v>1</v>
      </c>
      <c r="D2959" s="2" t="s">
        <v>1557</v>
      </c>
      <c r="E2959" s="2" t="s">
        <v>109</v>
      </c>
      <c r="F2959" s="2" t="s">
        <v>718</v>
      </c>
      <c r="G2959" s="2">
        <v>500975914</v>
      </c>
      <c r="H2959" s="2" t="s">
        <v>41</v>
      </c>
      <c r="I2959" s="2" t="s">
        <v>1558</v>
      </c>
      <c r="J2959" s="2" t="s">
        <v>1559</v>
      </c>
      <c r="L2959" s="2" t="s">
        <v>100</v>
      </c>
      <c r="M2959" s="2" t="s">
        <v>41</v>
      </c>
      <c r="P2959" s="2" t="s">
        <v>73</v>
      </c>
      <c r="Q2959" s="2" t="s">
        <v>833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8"/>
        <v>0.45165454545454548</v>
      </c>
      <c r="Z2959" s="2" t="s">
        <v>3231</v>
      </c>
      <c r="AA2959" s="2" t="s">
        <v>76</v>
      </c>
      <c r="AB2959" s="2" t="s">
        <v>77</v>
      </c>
      <c r="AC2959" s="2" t="s">
        <v>78</v>
      </c>
      <c r="AF2959" s="2">
        <f t="shared" si="339"/>
        <v>0</v>
      </c>
      <c r="AG2959" s="2">
        <v>120.636</v>
      </c>
      <c r="AH2959" s="2">
        <v>220</v>
      </c>
      <c r="AJ2959" s="2">
        <f t="shared" si="340"/>
        <v>0</v>
      </c>
      <c r="AK2959" s="2">
        <f t="shared" si="341"/>
        <v>99.364000000000004</v>
      </c>
      <c r="AL2959" s="5">
        <f t="shared" ref="AL2959:AL2990" si="342">(T2959-W2959)/T2959</f>
        <v>0.45165454545454548</v>
      </c>
    </row>
    <row r="2960" spans="1:38" hidden="1" x14ac:dyDescent="0.2">
      <c r="A2960" s="2">
        <v>2026</v>
      </c>
      <c r="B2960" s="2">
        <v>1</v>
      </c>
      <c r="D2960" s="2" t="s">
        <v>2407</v>
      </c>
      <c r="P2960" s="2" t="s">
        <v>73</v>
      </c>
      <c r="Q2960" s="2" t="s">
        <v>833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8"/>
        <v>0.45165454545454548</v>
      </c>
      <c r="Z2960" s="2" t="s">
        <v>3231</v>
      </c>
      <c r="AA2960" s="2" t="s">
        <v>76</v>
      </c>
      <c r="AB2960" s="2" t="s">
        <v>77</v>
      </c>
      <c r="AC2960" s="2" t="s">
        <v>78</v>
      </c>
      <c r="AF2960" s="2">
        <f t="shared" si="339"/>
        <v>0</v>
      </c>
      <c r="AG2960" s="2">
        <v>120.636</v>
      </c>
      <c r="AH2960" s="2">
        <v>220</v>
      </c>
      <c r="AJ2960" s="2">
        <f t="shared" si="340"/>
        <v>0</v>
      </c>
      <c r="AK2960" s="2">
        <f t="shared" si="341"/>
        <v>99.364000000000004</v>
      </c>
      <c r="AL2960" s="5">
        <f t="shared" si="342"/>
        <v>0.45165454545454548</v>
      </c>
    </row>
    <row r="2961" spans="1:38" hidden="1" x14ac:dyDescent="0.2">
      <c r="A2961" s="2">
        <v>2026</v>
      </c>
      <c r="B2961" s="2">
        <v>1</v>
      </c>
      <c r="D2961" s="2" t="s">
        <v>2395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2408</v>
      </c>
      <c r="J2961" s="2" t="s">
        <v>2409</v>
      </c>
      <c r="K2961" s="2">
        <v>919209638</v>
      </c>
      <c r="L2961" s="2" t="s">
        <v>294</v>
      </c>
      <c r="M2961" s="2" t="s">
        <v>81</v>
      </c>
      <c r="O2961" s="2" t="s">
        <v>2410</v>
      </c>
      <c r="P2961" s="2" t="s">
        <v>73</v>
      </c>
      <c r="Q2961" s="2" t="s">
        <v>2411</v>
      </c>
      <c r="R2961" s="2" t="s">
        <v>1418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8"/>
        <v>0.45234782608695656</v>
      </c>
      <c r="Z2961" s="2" t="s">
        <v>3231</v>
      </c>
      <c r="AA2961" s="2" t="s">
        <v>76</v>
      </c>
      <c r="AB2961" s="2" t="s">
        <v>77</v>
      </c>
      <c r="AC2961" s="2" t="s">
        <v>78</v>
      </c>
      <c r="AF2961" s="2">
        <f t="shared" si="339"/>
        <v>0</v>
      </c>
      <c r="AG2961" s="2">
        <f>119.7+6.26</f>
        <v>125.96000000000001</v>
      </c>
      <c r="AJ2961" s="2">
        <f t="shared" si="340"/>
        <v>0</v>
      </c>
      <c r="AK2961" s="2">
        <f t="shared" si="341"/>
        <v>104.04</v>
      </c>
      <c r="AL2961" s="5">
        <f t="shared" si="342"/>
        <v>0.45234782608695656</v>
      </c>
    </row>
    <row r="2962" spans="1:38" hidden="1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2412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8"/>
        <v>0.36018493820574382</v>
      </c>
      <c r="Z2962" s="2" t="s">
        <v>3231</v>
      </c>
      <c r="AA2962" s="2" t="s">
        <v>76</v>
      </c>
      <c r="AB2962" s="2" t="s">
        <v>77</v>
      </c>
      <c r="AC2962" s="2" t="s">
        <v>78</v>
      </c>
      <c r="AF2962" s="2">
        <f t="shared" si="339"/>
        <v>0</v>
      </c>
      <c r="AG2962" s="2">
        <v>143.91999999999999</v>
      </c>
      <c r="AJ2962" s="2">
        <f t="shared" si="340"/>
        <v>0</v>
      </c>
      <c r="AK2962" s="2">
        <f t="shared" si="341"/>
        <v>81.02000000000001</v>
      </c>
      <c r="AL2962" s="5">
        <f t="shared" si="342"/>
        <v>0.36018493820574382</v>
      </c>
    </row>
    <row r="2963" spans="1:38" hidden="1" x14ac:dyDescent="0.2">
      <c r="A2963" s="2">
        <v>2026</v>
      </c>
      <c r="B2963" s="2">
        <v>1</v>
      </c>
      <c r="D2963" s="2" t="s">
        <v>1075</v>
      </c>
      <c r="M2963" s="2" t="s">
        <v>41</v>
      </c>
      <c r="P2963" s="2" t="s">
        <v>73</v>
      </c>
      <c r="Q2963" s="2" t="s">
        <v>1347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8"/>
        <v>0.56295454545454537</v>
      </c>
      <c r="Z2963" s="2" t="s">
        <v>3231</v>
      </c>
      <c r="AA2963" s="2" t="s">
        <v>76</v>
      </c>
      <c r="AB2963" s="2" t="s">
        <v>77</v>
      </c>
      <c r="AC2963" s="2" t="s">
        <v>78</v>
      </c>
      <c r="AF2963" s="2">
        <f t="shared" si="339"/>
        <v>0</v>
      </c>
      <c r="AJ2963" s="2">
        <f t="shared" si="340"/>
        <v>0</v>
      </c>
      <c r="AK2963" s="2">
        <f t="shared" si="341"/>
        <v>123.85</v>
      </c>
      <c r="AL2963" s="5">
        <f t="shared" si="342"/>
        <v>0.56295454545454537</v>
      </c>
    </row>
    <row r="2964" spans="1:38" hidden="1" x14ac:dyDescent="0.2">
      <c r="A2964" s="2">
        <v>2026</v>
      </c>
      <c r="B2964" s="2">
        <v>1</v>
      </c>
      <c r="D2964" s="2" t="s">
        <v>1568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2413</v>
      </c>
      <c r="K2964" s="2">
        <v>968647685</v>
      </c>
      <c r="L2964" s="2" t="s">
        <v>399</v>
      </c>
      <c r="M2964" s="2" t="s">
        <v>110</v>
      </c>
      <c r="O2964" s="2" t="s">
        <v>2414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8"/>
        <v>0.4003181818181818</v>
      </c>
      <c r="Z2964" s="2" t="s">
        <v>3231</v>
      </c>
      <c r="AA2964" s="2" t="s">
        <v>76</v>
      </c>
      <c r="AB2964" s="2" t="s">
        <v>77</v>
      </c>
      <c r="AC2964" s="2" t="s">
        <v>78</v>
      </c>
      <c r="AF2964" s="2">
        <f t="shared" si="339"/>
        <v>0</v>
      </c>
      <c r="AG2964" s="2">
        <v>131.93</v>
      </c>
      <c r="AH2964" s="2">
        <v>220</v>
      </c>
      <c r="AJ2964" s="2">
        <f t="shared" si="340"/>
        <v>0</v>
      </c>
      <c r="AK2964" s="2">
        <f t="shared" si="341"/>
        <v>88.07</v>
      </c>
      <c r="AL2964" s="5">
        <f t="shared" si="342"/>
        <v>0.4003181818181818</v>
      </c>
    </row>
    <row r="2965" spans="1:38" hidden="1" x14ac:dyDescent="0.2">
      <c r="A2965" s="2">
        <v>2026</v>
      </c>
      <c r="B2965" s="2">
        <v>1</v>
      </c>
      <c r="D2965" s="2" t="s">
        <v>1420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2415</v>
      </c>
      <c r="J2965" s="2" t="s">
        <v>2416</v>
      </c>
      <c r="L2965" s="2" t="s">
        <v>202</v>
      </c>
      <c r="M2965" s="2" t="s">
        <v>81</v>
      </c>
      <c r="O2965" s="2" t="s">
        <v>2417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8"/>
        <v>0.4003181818181818</v>
      </c>
      <c r="Z2965" s="2" t="s">
        <v>3231</v>
      </c>
      <c r="AA2965" s="2" t="s">
        <v>76</v>
      </c>
      <c r="AB2965" s="2" t="s">
        <v>77</v>
      </c>
      <c r="AC2965" s="2" t="s">
        <v>78</v>
      </c>
      <c r="AF2965" s="2">
        <f t="shared" si="339"/>
        <v>0</v>
      </c>
      <c r="AG2965" s="2">
        <v>131.93</v>
      </c>
      <c r="AH2965" s="2">
        <v>220</v>
      </c>
      <c r="AJ2965" s="2">
        <f t="shared" si="340"/>
        <v>0</v>
      </c>
      <c r="AK2965" s="2">
        <f t="shared" si="341"/>
        <v>88.07</v>
      </c>
      <c r="AL2965" s="5">
        <f t="shared" si="342"/>
        <v>0.4003181818181818</v>
      </c>
    </row>
    <row r="2966" spans="1:38" hidden="1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2394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8"/>
        <v>0.53871429123661529</v>
      </c>
      <c r="Z2966" s="2" t="s">
        <v>3231</v>
      </c>
      <c r="AA2966" s="2" t="s">
        <v>76</v>
      </c>
      <c r="AB2966" s="2" t="s">
        <v>77</v>
      </c>
      <c r="AC2966" s="2" t="s">
        <v>78</v>
      </c>
      <c r="AF2966" s="2">
        <f t="shared" si="339"/>
        <v>0</v>
      </c>
      <c r="AG2966" s="2">
        <v>119.33</v>
      </c>
      <c r="AH2966" s="2">
        <v>220</v>
      </c>
      <c r="AJ2966" s="2">
        <f t="shared" si="340"/>
        <v>0</v>
      </c>
      <c r="AK2966" s="2">
        <f t="shared" si="341"/>
        <v>139.36000000000001</v>
      </c>
      <c r="AL2966" s="5">
        <f t="shared" si="342"/>
        <v>0.53871429123661529</v>
      </c>
    </row>
    <row r="2967" spans="1:38" hidden="1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8"/>
        <v>0.4575909090909091</v>
      </c>
      <c r="Z2967" s="2" t="s">
        <v>3231</v>
      </c>
      <c r="AA2967" s="2" t="s">
        <v>76</v>
      </c>
      <c r="AB2967" s="2" t="s">
        <v>77</v>
      </c>
      <c r="AC2967" s="2" t="s">
        <v>78</v>
      </c>
      <c r="AF2967" s="2">
        <f t="shared" si="339"/>
        <v>0</v>
      </c>
      <c r="AG2967" s="2">
        <v>119.33</v>
      </c>
      <c r="AH2967" s="2">
        <v>220</v>
      </c>
      <c r="AJ2967" s="2">
        <f t="shared" si="340"/>
        <v>0</v>
      </c>
      <c r="AK2967" s="2">
        <f t="shared" si="341"/>
        <v>100.67</v>
      </c>
      <c r="AL2967" s="5">
        <f t="shared" si="342"/>
        <v>0.4575909090909091</v>
      </c>
    </row>
    <row r="2968" spans="1:38" hidden="1" x14ac:dyDescent="0.2">
      <c r="A2968" s="2">
        <v>2026</v>
      </c>
      <c r="B2968" s="2">
        <v>1</v>
      </c>
      <c r="C2968" s="2" t="s">
        <v>3331</v>
      </c>
      <c r="D2968" s="2" t="s">
        <v>1011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1012</v>
      </c>
      <c r="J2968" s="2" t="s">
        <v>1013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8"/>
        <v>0.42904306220095695</v>
      </c>
      <c r="Z2968" s="2" t="s">
        <v>3231</v>
      </c>
      <c r="AA2968" s="2" t="s">
        <v>76</v>
      </c>
      <c r="AB2968" s="2" t="s">
        <v>77</v>
      </c>
      <c r="AC2968" s="2" t="s">
        <v>78</v>
      </c>
      <c r="AF2968" s="2">
        <f t="shared" si="339"/>
        <v>0</v>
      </c>
      <c r="AG2968" s="2">
        <v>119.33</v>
      </c>
      <c r="AH2968" s="2">
        <v>220</v>
      </c>
      <c r="AJ2968" s="2">
        <f t="shared" si="340"/>
        <v>0</v>
      </c>
      <c r="AK2968" s="2">
        <f t="shared" si="341"/>
        <v>89.67</v>
      </c>
      <c r="AL2968" s="5">
        <f t="shared" si="342"/>
        <v>0.42904306220095695</v>
      </c>
    </row>
    <row r="2969" spans="1:38" hidden="1" x14ac:dyDescent="0.2">
      <c r="A2969" s="2">
        <v>2026</v>
      </c>
      <c r="B2969" s="2">
        <v>1</v>
      </c>
      <c r="D2969" s="2" t="s">
        <v>817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2418</v>
      </c>
      <c r="R2969" s="2" t="s">
        <v>2419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8"/>
        <v>0.42485714285714288</v>
      </c>
      <c r="Z2969" s="2" t="s">
        <v>3231</v>
      </c>
      <c r="AA2969" s="2" t="s">
        <v>76</v>
      </c>
      <c r="AB2969" s="2" t="s">
        <v>77</v>
      </c>
      <c r="AC2969" s="2" t="s">
        <v>78</v>
      </c>
      <c r="AF2969" s="2">
        <f t="shared" si="339"/>
        <v>0</v>
      </c>
      <c r="AG2969" s="2">
        <v>120.78</v>
      </c>
      <c r="AH2969" s="2">
        <v>210</v>
      </c>
      <c r="AJ2969" s="2">
        <f t="shared" si="340"/>
        <v>0</v>
      </c>
      <c r="AK2969" s="2">
        <f t="shared" si="341"/>
        <v>89.22</v>
      </c>
      <c r="AL2969" s="5">
        <f t="shared" si="342"/>
        <v>0.42485714285714288</v>
      </c>
    </row>
    <row r="2970" spans="1:38" hidden="1" x14ac:dyDescent="0.2">
      <c r="A2970" s="2">
        <v>2026</v>
      </c>
      <c r="B2970" s="2">
        <v>2</v>
      </c>
      <c r="D2970" s="2" t="s">
        <v>690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691</v>
      </c>
      <c r="K2970" s="2">
        <v>913036545</v>
      </c>
      <c r="L2970" s="2" t="s">
        <v>178</v>
      </c>
      <c r="M2970" s="2" t="s">
        <v>41</v>
      </c>
      <c r="O2970" s="2" t="s">
        <v>2420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8"/>
        <v>0.53121428571428575</v>
      </c>
      <c r="Z2970" s="2" t="s">
        <v>3231</v>
      </c>
      <c r="AA2970" s="2" t="s">
        <v>46</v>
      </c>
      <c r="AB2970" s="2" t="s">
        <v>57</v>
      </c>
      <c r="AC2970" s="2" t="s">
        <v>58</v>
      </c>
      <c r="AF2970" s="2">
        <f t="shared" si="339"/>
        <v>0</v>
      </c>
      <c r="AG2970" s="2">
        <v>5.9066999999999998</v>
      </c>
      <c r="AH2970" s="2">
        <v>12.6</v>
      </c>
      <c r="AJ2970" s="2">
        <f t="shared" si="340"/>
        <v>0</v>
      </c>
      <c r="AK2970" s="2">
        <f t="shared" si="341"/>
        <v>6.6932999999999998</v>
      </c>
      <c r="AL2970" s="5">
        <f t="shared" si="342"/>
        <v>0.53121428571428575</v>
      </c>
    </row>
    <row r="2971" spans="1:38" hidden="1" x14ac:dyDescent="0.2">
      <c r="A2971" s="2">
        <v>2026</v>
      </c>
      <c r="B2971" s="2">
        <v>1</v>
      </c>
      <c r="D2971" s="2" t="s">
        <v>1028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1029</v>
      </c>
      <c r="J2971" s="2" t="s">
        <v>1030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8"/>
        <v>0.44256578348356551</v>
      </c>
      <c r="Z2971" s="2" t="s">
        <v>3231</v>
      </c>
      <c r="AA2971" s="2" t="s">
        <v>76</v>
      </c>
      <c r="AB2971" s="2" t="s">
        <v>77</v>
      </c>
      <c r="AC2971" s="2" t="s">
        <v>78</v>
      </c>
      <c r="AF2971" s="2">
        <f t="shared" si="339"/>
        <v>0</v>
      </c>
      <c r="AG2971" s="2">
        <v>122.446</v>
      </c>
      <c r="AH2971" s="2">
        <v>230</v>
      </c>
      <c r="AJ2971" s="2">
        <f t="shared" si="340"/>
        <v>0</v>
      </c>
      <c r="AK2971" s="2">
        <f t="shared" si="341"/>
        <v>97.213999999999999</v>
      </c>
      <c r="AL2971" s="5">
        <f t="shared" si="342"/>
        <v>0.44256578348356551</v>
      </c>
    </row>
    <row r="2972" spans="1:38" hidden="1" x14ac:dyDescent="0.2">
      <c r="A2972" s="2">
        <v>2026</v>
      </c>
      <c r="B2972" s="2">
        <v>1</v>
      </c>
      <c r="D2972" s="2" t="s">
        <v>817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1451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8"/>
        <v>0.44342727272727273</v>
      </c>
      <c r="Z2972" s="2" t="s">
        <v>3231</v>
      </c>
      <c r="AA2972" s="2" t="s">
        <v>76</v>
      </c>
      <c r="AB2972" s="2" t="s">
        <v>77</v>
      </c>
      <c r="AC2972" s="2" t="s">
        <v>78</v>
      </c>
      <c r="AF2972" s="2">
        <f t="shared" si="339"/>
        <v>0</v>
      </c>
      <c r="AG2972" s="2">
        <v>122.446</v>
      </c>
      <c r="AH2972" s="2">
        <v>230</v>
      </c>
      <c r="AJ2972" s="2">
        <f t="shared" si="340"/>
        <v>0</v>
      </c>
      <c r="AK2972" s="2">
        <f t="shared" si="341"/>
        <v>97.554000000000002</v>
      </c>
      <c r="AL2972" s="5">
        <f t="shared" si="342"/>
        <v>0.44342727272727273</v>
      </c>
    </row>
    <row r="2973" spans="1:38" hidden="1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2421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8"/>
        <v>0.46676190476190477</v>
      </c>
      <c r="Z2973" s="2" t="s">
        <v>3231</v>
      </c>
      <c r="AA2973" s="2" t="s">
        <v>76</v>
      </c>
      <c r="AB2973" s="2" t="s">
        <v>77</v>
      </c>
      <c r="AC2973" s="2" t="s">
        <v>78</v>
      </c>
      <c r="AF2973" s="2">
        <f t="shared" si="339"/>
        <v>0</v>
      </c>
      <c r="AG2973" s="2">
        <v>111.98</v>
      </c>
      <c r="AH2973" s="2">
        <v>210</v>
      </c>
      <c r="AJ2973" s="2">
        <f t="shared" si="340"/>
        <v>0</v>
      </c>
      <c r="AK2973" s="2">
        <f t="shared" si="341"/>
        <v>98.02</v>
      </c>
      <c r="AL2973" s="5">
        <f t="shared" si="342"/>
        <v>0.46676190476190477</v>
      </c>
    </row>
    <row r="2974" spans="1:38" hidden="1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2422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8"/>
        <v>0.45027000490918012</v>
      </c>
      <c r="Z2974" s="2" t="s">
        <v>3231</v>
      </c>
      <c r="AA2974" s="2" t="s">
        <v>76</v>
      </c>
      <c r="AB2974" s="2" t="s">
        <v>77</v>
      </c>
      <c r="AC2974" s="2" t="s">
        <v>78</v>
      </c>
      <c r="AF2974" s="2">
        <f t="shared" si="339"/>
        <v>0</v>
      </c>
      <c r="AG2974" s="2">
        <v>111.98</v>
      </c>
      <c r="AH2974" s="2">
        <v>210</v>
      </c>
      <c r="AJ2974" s="2">
        <f t="shared" si="340"/>
        <v>0</v>
      </c>
      <c r="AK2974" s="2">
        <f t="shared" si="341"/>
        <v>91.719999999999985</v>
      </c>
      <c r="AL2974" s="5">
        <f t="shared" si="342"/>
        <v>0.45027000490918012</v>
      </c>
    </row>
    <row r="2975" spans="1:38" hidden="1" x14ac:dyDescent="0.2">
      <c r="A2975" s="2">
        <v>2026</v>
      </c>
      <c r="B2975" s="2">
        <v>1</v>
      </c>
      <c r="D2975" s="2" t="s">
        <v>1378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3211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8"/>
        <v>0.46676190476190477</v>
      </c>
      <c r="Z2975" s="2" t="s">
        <v>3231</v>
      </c>
      <c r="AA2975" s="2" t="s">
        <v>76</v>
      </c>
      <c r="AB2975" s="2" t="s">
        <v>77</v>
      </c>
      <c r="AC2975" s="2" t="s">
        <v>78</v>
      </c>
      <c r="AF2975" s="2">
        <f t="shared" si="339"/>
        <v>0</v>
      </c>
      <c r="AG2975" s="2">
        <v>111.98</v>
      </c>
      <c r="AH2975" s="2">
        <v>210</v>
      </c>
      <c r="AJ2975" s="2">
        <f t="shared" si="340"/>
        <v>0</v>
      </c>
      <c r="AK2975" s="2">
        <f t="shared" si="341"/>
        <v>98.02</v>
      </c>
      <c r="AL2975" s="5">
        <f t="shared" si="342"/>
        <v>0.46676190476190477</v>
      </c>
    </row>
    <row r="2976" spans="1:38" hidden="1" x14ac:dyDescent="0.2">
      <c r="A2976" s="2">
        <v>2026</v>
      </c>
      <c r="B2976" s="2">
        <v>1</v>
      </c>
      <c r="D2976" s="2" t="s">
        <v>1297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1298</v>
      </c>
      <c r="L2976" s="2" t="s">
        <v>340</v>
      </c>
      <c r="M2976" s="2" t="s">
        <v>81</v>
      </c>
      <c r="O2976" s="2" t="s">
        <v>2423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8"/>
        <v>0.47525773195876286</v>
      </c>
      <c r="Z2976" s="2" t="s">
        <v>3231</v>
      </c>
      <c r="AA2976" s="2" t="s">
        <v>76</v>
      </c>
      <c r="AB2976" s="2" t="s">
        <v>77</v>
      </c>
      <c r="AC2976" s="2" t="s">
        <v>78</v>
      </c>
      <c r="AF2976" s="2">
        <f t="shared" si="339"/>
        <v>0</v>
      </c>
      <c r="AG2976" s="2">
        <v>111.98</v>
      </c>
      <c r="AH2976" s="2">
        <v>210</v>
      </c>
      <c r="AJ2976" s="2">
        <f t="shared" si="340"/>
        <v>0</v>
      </c>
      <c r="AK2976" s="2">
        <f t="shared" si="341"/>
        <v>101.42</v>
      </c>
      <c r="AL2976" s="5">
        <f t="shared" si="342"/>
        <v>0.47525773195876286</v>
      </c>
    </row>
    <row r="2977" spans="1:38" hidden="1" x14ac:dyDescent="0.2">
      <c r="A2977" s="2">
        <v>2026</v>
      </c>
      <c r="B2977" s="2">
        <v>1</v>
      </c>
      <c r="C2977" s="2" t="s">
        <v>3331</v>
      </c>
      <c r="D2977" s="2" t="s">
        <v>1011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1012</v>
      </c>
      <c r="J2977" s="2" t="s">
        <v>1013</v>
      </c>
      <c r="L2977" s="2" t="s">
        <v>294</v>
      </c>
      <c r="M2977" s="2" t="s">
        <v>81</v>
      </c>
      <c r="O2977" s="2" t="s">
        <v>3201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8"/>
        <v>0.38899749373433584</v>
      </c>
      <c r="Z2977" s="2" t="s">
        <v>3231</v>
      </c>
      <c r="AA2977" s="2" t="s">
        <v>76</v>
      </c>
      <c r="AB2977" s="2" t="s">
        <v>77</v>
      </c>
      <c r="AC2977" s="2" t="s">
        <v>78</v>
      </c>
      <c r="AF2977" s="2">
        <f t="shared" si="339"/>
        <v>0</v>
      </c>
      <c r="AG2977" s="2">
        <f>110.125+11.77</f>
        <v>121.895</v>
      </c>
      <c r="AJ2977" s="2">
        <f t="shared" si="340"/>
        <v>0</v>
      </c>
      <c r="AK2977" s="2">
        <f t="shared" si="341"/>
        <v>77.605000000000004</v>
      </c>
      <c r="AL2977" s="5">
        <f t="shared" si="342"/>
        <v>0.38899749373433584</v>
      </c>
    </row>
    <row r="2978" spans="1:38" hidden="1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2424</v>
      </c>
      <c r="L2978" s="2" t="s">
        <v>462</v>
      </c>
      <c r="M2978" s="2" t="s">
        <v>81</v>
      </c>
      <c r="O2978" s="2" t="s">
        <v>2425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8"/>
        <v>0.53174923712080413</v>
      </c>
      <c r="Z2978" s="2" t="s">
        <v>3231</v>
      </c>
      <c r="AA2978" s="2" t="s">
        <v>76</v>
      </c>
      <c r="AB2978" s="2" t="s">
        <v>77</v>
      </c>
      <c r="AC2978" s="2" t="s">
        <v>78</v>
      </c>
      <c r="AF2978" s="2">
        <f t="shared" si="339"/>
        <v>0</v>
      </c>
      <c r="AG2978" s="2">
        <f>198.32+10.37</f>
        <v>208.69</v>
      </c>
      <c r="AH2978" s="2">
        <v>340</v>
      </c>
      <c r="AJ2978" s="2">
        <f t="shared" si="340"/>
        <v>0</v>
      </c>
      <c r="AK2978" s="2">
        <f t="shared" si="341"/>
        <v>236.99</v>
      </c>
      <c r="AL2978" s="5">
        <f t="shared" si="342"/>
        <v>0.53174923712080413</v>
      </c>
    </row>
    <row r="2979" spans="1:38" hidden="1" x14ac:dyDescent="0.2">
      <c r="A2979" s="2">
        <v>2026</v>
      </c>
      <c r="B2979" s="2">
        <v>1</v>
      </c>
      <c r="C2979" s="2" t="s">
        <v>3331</v>
      </c>
      <c r="D2979" s="2" t="s">
        <v>1011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1012</v>
      </c>
      <c r="J2979" s="2" t="s">
        <v>1013</v>
      </c>
      <c r="L2979" s="2" t="s">
        <v>294</v>
      </c>
      <c r="M2979" s="2" t="s">
        <v>81</v>
      </c>
      <c r="P2979" s="2" t="s">
        <v>73</v>
      </c>
      <c r="Q2979" s="2" t="s">
        <v>1077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43">(T2979-W2979)/T2979</f>
        <v>0.35408906882591096</v>
      </c>
      <c r="Z2979" s="2" t="s">
        <v>3231</v>
      </c>
      <c r="AA2979" s="2" t="s">
        <v>76</v>
      </c>
      <c r="AB2979" s="2" t="s">
        <v>77</v>
      </c>
      <c r="AC2979" s="2" t="s">
        <v>78</v>
      </c>
      <c r="AF2979" s="2">
        <f t="shared" si="339"/>
        <v>0</v>
      </c>
      <c r="AG2979" s="2">
        <f>144.14+15.4</f>
        <v>159.54</v>
      </c>
      <c r="AH2979" s="2">
        <v>280</v>
      </c>
      <c r="AJ2979" s="2">
        <f t="shared" si="340"/>
        <v>0</v>
      </c>
      <c r="AK2979" s="2">
        <f t="shared" si="341"/>
        <v>174.92000000000002</v>
      </c>
      <c r="AL2979" s="5">
        <f t="shared" si="342"/>
        <v>0.35408906882591096</v>
      </c>
    </row>
    <row r="2980" spans="1:38" hidden="1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43"/>
        <v>0.41211538461538466</v>
      </c>
      <c r="Z2980" s="2" t="s">
        <v>3231</v>
      </c>
      <c r="AA2980" s="2" t="s">
        <v>76</v>
      </c>
      <c r="AB2980" s="2" t="s">
        <v>77</v>
      </c>
      <c r="AC2980" s="2" t="s">
        <v>78</v>
      </c>
      <c r="AF2980" s="2">
        <f t="shared" si="339"/>
        <v>0</v>
      </c>
      <c r="AG2980" s="2">
        <v>152.85</v>
      </c>
      <c r="AH2980" s="2">
        <v>260</v>
      </c>
      <c r="AJ2980" s="2">
        <f t="shared" si="340"/>
        <v>0</v>
      </c>
      <c r="AK2980" s="2">
        <f t="shared" si="341"/>
        <v>107.15</v>
      </c>
      <c r="AL2980" s="5">
        <f t="shared" si="342"/>
        <v>0.41211538461538466</v>
      </c>
    </row>
    <row r="2981" spans="1:38" hidden="1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2426</v>
      </c>
      <c r="P2981" s="2" t="s">
        <v>73</v>
      </c>
      <c r="Q2981" s="2" t="s">
        <v>2427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43"/>
        <v>0.38639747995418094</v>
      </c>
      <c r="Z2981" s="2" t="s">
        <v>3231</v>
      </c>
      <c r="AA2981" s="2" t="s">
        <v>76</v>
      </c>
      <c r="AB2981" s="2" t="s">
        <v>77</v>
      </c>
      <c r="AC2981" s="2" t="s">
        <v>78</v>
      </c>
      <c r="AF2981" s="2">
        <f t="shared" si="339"/>
        <v>0</v>
      </c>
      <c r="AJ2981" s="2">
        <f t="shared" si="340"/>
        <v>0</v>
      </c>
      <c r="AK2981" s="2">
        <f t="shared" si="341"/>
        <v>134.92999999999998</v>
      </c>
      <c r="AL2981" s="5">
        <f t="shared" si="342"/>
        <v>0.38639747995418094</v>
      </c>
    </row>
    <row r="2982" spans="1:38" hidden="1" x14ac:dyDescent="0.2">
      <c r="A2982" s="2">
        <v>2026</v>
      </c>
      <c r="B2982" s="2">
        <v>1</v>
      </c>
      <c r="D2982" s="2" t="s">
        <v>896</v>
      </c>
      <c r="P2982" s="2" t="s">
        <v>73</v>
      </c>
      <c r="Q2982" s="2" t="s">
        <v>2428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43"/>
        <v>0.48100000000000004</v>
      </c>
      <c r="Z2982" s="2" t="s">
        <v>3231</v>
      </c>
      <c r="AA2982" s="2" t="s">
        <v>76</v>
      </c>
      <c r="AB2982" s="2" t="s">
        <v>77</v>
      </c>
      <c r="AC2982" s="2" t="s">
        <v>78</v>
      </c>
      <c r="AF2982" s="2">
        <f t="shared" si="339"/>
        <v>0</v>
      </c>
      <c r="AJ2982" s="2">
        <f t="shared" si="340"/>
        <v>0</v>
      </c>
      <c r="AK2982" s="2">
        <f t="shared" si="341"/>
        <v>134.68</v>
      </c>
      <c r="AL2982" s="5">
        <f t="shared" si="342"/>
        <v>0.48100000000000004</v>
      </c>
    </row>
    <row r="2983" spans="1:38" hidden="1" x14ac:dyDescent="0.2">
      <c r="A2983" s="2">
        <v>2026</v>
      </c>
      <c r="B2983" s="2">
        <v>1</v>
      </c>
      <c r="D2983" s="2" t="s">
        <v>678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679</v>
      </c>
      <c r="J2983" s="2" t="s">
        <v>680</v>
      </c>
      <c r="L2983" s="2" t="s">
        <v>340</v>
      </c>
      <c r="M2983" s="2" t="s">
        <v>81</v>
      </c>
      <c r="O2983" s="2" t="s">
        <v>2429</v>
      </c>
      <c r="P2983" s="2" t="s">
        <v>73</v>
      </c>
      <c r="Q2983" s="2" t="s">
        <v>1994</v>
      </c>
      <c r="R2983" s="2" t="s">
        <v>1418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43"/>
        <v>0.21811538461538466</v>
      </c>
      <c r="Z2983" s="2" t="s">
        <v>3231</v>
      </c>
      <c r="AA2983" s="2" t="s">
        <v>76</v>
      </c>
      <c r="AB2983" s="2" t="s">
        <v>77</v>
      </c>
      <c r="AC2983" s="2" t="s">
        <v>78</v>
      </c>
      <c r="AF2983" s="2">
        <f t="shared" si="339"/>
        <v>0</v>
      </c>
      <c r="AJ2983" s="2">
        <f t="shared" si="340"/>
        <v>0</v>
      </c>
      <c r="AK2983" s="2">
        <f t="shared" si="341"/>
        <v>56.710000000000008</v>
      </c>
      <c r="AL2983" s="5">
        <f t="shared" si="342"/>
        <v>0.21811538461538466</v>
      </c>
    </row>
    <row r="2984" spans="1:38" hidden="1" x14ac:dyDescent="0.2">
      <c r="A2984" s="2">
        <v>2026</v>
      </c>
      <c r="B2984" s="2">
        <v>1</v>
      </c>
      <c r="D2984" s="2" t="s">
        <v>983</v>
      </c>
      <c r="E2984" s="2" t="s">
        <v>109</v>
      </c>
      <c r="F2984" s="2" t="s">
        <v>718</v>
      </c>
      <c r="G2984" s="2">
        <v>500594309</v>
      </c>
      <c r="H2984" s="2" t="s">
        <v>291</v>
      </c>
      <c r="I2984" s="2" t="s">
        <v>984</v>
      </c>
      <c r="J2984" s="2" t="s">
        <v>985</v>
      </c>
      <c r="L2984" s="2" t="s">
        <v>294</v>
      </c>
      <c r="M2984" s="2" t="s">
        <v>81</v>
      </c>
      <c r="O2984" s="2" t="s">
        <v>2430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43"/>
        <v>0.36610869565217397</v>
      </c>
      <c r="Z2984" s="2" t="s">
        <v>3231</v>
      </c>
      <c r="AA2984" s="2" t="s">
        <v>76</v>
      </c>
      <c r="AB2984" s="2" t="s">
        <v>77</v>
      </c>
      <c r="AC2984" s="2" t="s">
        <v>78</v>
      </c>
      <c r="AF2984" s="2">
        <f t="shared" si="339"/>
        <v>0</v>
      </c>
      <c r="AG2984" s="2">
        <v>291.58999999999997</v>
      </c>
      <c r="AH2984" s="2">
        <v>450</v>
      </c>
      <c r="AJ2984" s="2">
        <f t="shared" si="340"/>
        <v>0</v>
      </c>
      <c r="AK2984" s="2">
        <f t="shared" si="341"/>
        <v>168.41000000000003</v>
      </c>
      <c r="AL2984" s="5">
        <f t="shared" si="342"/>
        <v>0.36610869565217397</v>
      </c>
    </row>
    <row r="2985" spans="1:38" hidden="1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43"/>
        <v>0.36610869565217397</v>
      </c>
      <c r="Z2985" s="2" t="s">
        <v>3231</v>
      </c>
      <c r="AA2985" s="2" t="s">
        <v>76</v>
      </c>
      <c r="AB2985" s="2" t="s">
        <v>77</v>
      </c>
      <c r="AC2985" s="2" t="s">
        <v>78</v>
      </c>
      <c r="AF2985" s="2">
        <f t="shared" si="339"/>
        <v>0</v>
      </c>
      <c r="AG2985" s="2">
        <v>291.58999999999997</v>
      </c>
      <c r="AH2985" s="2">
        <v>450</v>
      </c>
      <c r="AJ2985" s="2">
        <f t="shared" si="340"/>
        <v>0</v>
      </c>
      <c r="AK2985" s="2">
        <f t="shared" si="341"/>
        <v>168.41000000000003</v>
      </c>
      <c r="AL2985" s="5">
        <f t="shared" si="342"/>
        <v>0.36610869565217397</v>
      </c>
    </row>
    <row r="2986" spans="1:38" hidden="1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1213</v>
      </c>
      <c r="R2986" s="2" t="s">
        <v>1214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43"/>
        <v>1</v>
      </c>
      <c r="Z2986" s="2" t="s">
        <v>3231</v>
      </c>
      <c r="AA2986" s="2" t="s">
        <v>88</v>
      </c>
      <c r="AB2986" s="2" t="s">
        <v>91</v>
      </c>
      <c r="AC2986" s="2" t="s">
        <v>85</v>
      </c>
      <c r="AF2986" s="2">
        <f t="shared" si="339"/>
        <v>0</v>
      </c>
      <c r="AJ2986" s="2">
        <f t="shared" si="340"/>
        <v>0</v>
      </c>
      <c r="AK2986" s="2">
        <f t="shared" si="341"/>
        <v>15</v>
      </c>
      <c r="AL2986" s="5">
        <f t="shared" si="342"/>
        <v>1</v>
      </c>
    </row>
    <row r="2987" spans="1:38" hidden="1" x14ac:dyDescent="0.2">
      <c r="A2987" s="2">
        <v>2026</v>
      </c>
      <c r="B2987" s="2">
        <v>1</v>
      </c>
      <c r="D2987" s="2" t="s">
        <v>2431</v>
      </c>
      <c r="P2987" s="2" t="s">
        <v>85</v>
      </c>
      <c r="Q2987" s="2" t="s">
        <v>2432</v>
      </c>
      <c r="R2987" s="2" t="s">
        <v>2433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43"/>
        <v>0.22570212765957443</v>
      </c>
      <c r="Z2987" s="2" t="s">
        <v>3231</v>
      </c>
      <c r="AA2987" s="2" t="s">
        <v>88</v>
      </c>
      <c r="AB2987" s="2" t="s">
        <v>91</v>
      </c>
      <c r="AC2987" s="2" t="s">
        <v>85</v>
      </c>
      <c r="AF2987" s="2">
        <f t="shared" si="339"/>
        <v>0</v>
      </c>
      <c r="AJ2987" s="2">
        <f t="shared" si="340"/>
        <v>0</v>
      </c>
      <c r="AK2987" s="2">
        <f t="shared" si="341"/>
        <v>106.07999999999998</v>
      </c>
      <c r="AL2987" s="5">
        <f t="shared" si="342"/>
        <v>0.22570212765957443</v>
      </c>
    </row>
    <row r="2988" spans="1:38" hidden="1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1040</v>
      </c>
      <c r="Q2988" s="2" t="s">
        <v>2434</v>
      </c>
      <c r="R2988" s="2" t="s">
        <v>2435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43"/>
        <v>0.41707692307692307</v>
      </c>
      <c r="Z2988" s="2" t="s">
        <v>3231</v>
      </c>
      <c r="AA2988" s="2" t="s">
        <v>1043</v>
      </c>
      <c r="AB2988" s="2" t="s">
        <v>1272</v>
      </c>
      <c r="AC2988" s="2" t="s">
        <v>1040</v>
      </c>
      <c r="AF2988" s="2">
        <f t="shared" si="339"/>
        <v>0</v>
      </c>
      <c r="AJ2988" s="2">
        <f t="shared" si="340"/>
        <v>0</v>
      </c>
      <c r="AK2988" s="2">
        <f t="shared" si="341"/>
        <v>216.88</v>
      </c>
      <c r="AL2988" s="5">
        <f t="shared" si="342"/>
        <v>0.41707692307692307</v>
      </c>
    </row>
    <row r="2989" spans="1:38" hidden="1" x14ac:dyDescent="0.2">
      <c r="A2989" s="2">
        <v>2026</v>
      </c>
      <c r="B2989" s="2">
        <v>1</v>
      </c>
      <c r="D2989" s="2" t="s">
        <v>2436</v>
      </c>
      <c r="M2989" s="2" t="s">
        <v>81</v>
      </c>
      <c r="P2989" s="2" t="s">
        <v>1040</v>
      </c>
      <c r="Q2989" s="2" t="s">
        <v>2437</v>
      </c>
      <c r="R2989" s="2" t="s">
        <v>2438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43"/>
        <v>0.38905972109103604</v>
      </c>
      <c r="Z2989" s="2" t="s">
        <v>3231</v>
      </c>
      <c r="AA2989" s="2" t="s">
        <v>1043</v>
      </c>
      <c r="AB2989" s="2" t="s">
        <v>1320</v>
      </c>
      <c r="AC2989" s="2" t="s">
        <v>1040</v>
      </c>
      <c r="AF2989" s="2">
        <f t="shared" si="339"/>
        <v>0</v>
      </c>
      <c r="AJ2989" s="2">
        <f t="shared" si="340"/>
        <v>0</v>
      </c>
      <c r="AK2989" s="2">
        <f t="shared" si="341"/>
        <v>234.07</v>
      </c>
      <c r="AL2989" s="5">
        <f t="shared" si="342"/>
        <v>0.38905972109103604</v>
      </c>
    </row>
    <row r="2990" spans="1:38" hidden="1" x14ac:dyDescent="0.2">
      <c r="A2990" s="2">
        <v>2026</v>
      </c>
      <c r="B2990" s="2">
        <v>1</v>
      </c>
      <c r="D2990" s="2" t="s">
        <v>2439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2440</v>
      </c>
      <c r="J2990" s="2" t="s">
        <v>2441</v>
      </c>
      <c r="L2990" s="2" t="s">
        <v>2442</v>
      </c>
      <c r="M2990" s="2" t="s">
        <v>41</v>
      </c>
      <c r="O2990" s="2" t="s">
        <v>2443</v>
      </c>
      <c r="P2990" s="2" t="s">
        <v>40</v>
      </c>
      <c r="Q2990" s="2" t="s">
        <v>909</v>
      </c>
      <c r="R2990" s="2" t="s">
        <v>910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43"/>
        <v>0.22633333333333333</v>
      </c>
      <c r="Z2990" s="2" t="s">
        <v>105</v>
      </c>
      <c r="AA2990" s="2" t="s">
        <v>151</v>
      </c>
      <c r="AB2990" s="2" t="s">
        <v>476</v>
      </c>
      <c r="AC2990" s="2" t="s">
        <v>476</v>
      </c>
      <c r="AF2990" s="2">
        <f t="shared" si="339"/>
        <v>0</v>
      </c>
      <c r="AG2990" s="2">
        <v>1160.5</v>
      </c>
      <c r="AH2990" s="2">
        <v>1500</v>
      </c>
      <c r="AJ2990" s="2">
        <f t="shared" si="340"/>
        <v>0</v>
      </c>
      <c r="AK2990" s="2">
        <f t="shared" si="341"/>
        <v>339.5</v>
      </c>
      <c r="AL2990" s="5">
        <f t="shared" si="342"/>
        <v>0.22633333333333333</v>
      </c>
    </row>
    <row r="2991" spans="1:38" hidden="1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2444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43"/>
        <v>1</v>
      </c>
      <c r="Z2991" s="2" t="s">
        <v>120</v>
      </c>
      <c r="AA2991" s="2" t="s">
        <v>493</v>
      </c>
      <c r="AF2991" s="2">
        <f t="shared" si="339"/>
        <v>0</v>
      </c>
      <c r="AJ2991" s="2">
        <f t="shared" si="340"/>
        <v>0</v>
      </c>
      <c r="AK2991" s="2">
        <f t="shared" si="341"/>
        <v>664.04</v>
      </c>
      <c r="AL2991" s="5">
        <f t="shared" ref="AL2991:AL3002" si="344">(T2991-W2991)/T2991</f>
        <v>1</v>
      </c>
    </row>
    <row r="2992" spans="1:38" hidden="1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43"/>
        <v>1</v>
      </c>
      <c r="Z2992" s="2" t="s">
        <v>118</v>
      </c>
      <c r="AA2992" s="2" t="s">
        <v>318</v>
      </c>
      <c r="AF2992" s="2">
        <f t="shared" si="339"/>
        <v>0</v>
      </c>
      <c r="AJ2992" s="2">
        <f t="shared" si="340"/>
        <v>0</v>
      </c>
      <c r="AK2992" s="2">
        <f t="shared" si="341"/>
        <v>291</v>
      </c>
      <c r="AL2992" s="5">
        <f t="shared" si="344"/>
        <v>1</v>
      </c>
    </row>
    <row r="2993" spans="1:38" hidden="1" x14ac:dyDescent="0.2">
      <c r="A2993" s="2">
        <v>2026</v>
      </c>
      <c r="B2993" s="2">
        <v>1</v>
      </c>
      <c r="D2993" s="2" t="s">
        <v>1888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43"/>
        <v>1</v>
      </c>
      <c r="Z2993" s="2" t="s">
        <v>118</v>
      </c>
      <c r="AA2993" s="2" t="s">
        <v>318</v>
      </c>
      <c r="AF2993" s="2">
        <f t="shared" si="339"/>
        <v>0</v>
      </c>
      <c r="AJ2993" s="2">
        <f t="shared" si="340"/>
        <v>0</v>
      </c>
      <c r="AK2993" s="2">
        <f t="shared" si="341"/>
        <v>-850</v>
      </c>
      <c r="AL2993" s="5">
        <f t="shared" si="344"/>
        <v>1</v>
      </c>
    </row>
    <row r="2994" spans="1:38" hidden="1" x14ac:dyDescent="0.2">
      <c r="A2994" s="2">
        <v>2026</v>
      </c>
      <c r="B2994" s="2">
        <v>1</v>
      </c>
      <c r="C2994" s="2" t="s">
        <v>3457</v>
      </c>
      <c r="D2994" s="2" t="s">
        <v>1011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1012</v>
      </c>
      <c r="J2994" s="2" t="s">
        <v>1013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43"/>
        <v>1</v>
      </c>
      <c r="Z2994" s="2" t="s">
        <v>118</v>
      </c>
      <c r="AA2994" s="2" t="s">
        <v>318</v>
      </c>
      <c r="AF2994" s="2">
        <f t="shared" si="339"/>
        <v>0</v>
      </c>
      <c r="AJ2994" s="2">
        <f t="shared" si="340"/>
        <v>0</v>
      </c>
      <c r="AK2994" s="2">
        <f t="shared" si="341"/>
        <v>875</v>
      </c>
      <c r="AL2994" s="5">
        <f t="shared" si="344"/>
        <v>1</v>
      </c>
    </row>
    <row r="2995" spans="1:38" hidden="1" x14ac:dyDescent="0.2">
      <c r="A2995" s="2">
        <v>2026</v>
      </c>
      <c r="B2995" s="2">
        <v>4</v>
      </c>
      <c r="C2995" s="2" t="s">
        <v>3449</v>
      </c>
      <c r="D2995" s="2" t="s">
        <v>943</v>
      </c>
      <c r="E2995" s="2" t="s">
        <v>38</v>
      </c>
      <c r="F2995" s="2" t="s">
        <v>39</v>
      </c>
      <c r="L2995" s="2" t="s">
        <v>178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B2995" s="2" t="s">
        <v>190</v>
      </c>
      <c r="AC2995" s="2" t="s">
        <v>40</v>
      </c>
      <c r="AF2995" s="2">
        <f t="shared" si="339"/>
        <v>0</v>
      </c>
      <c r="AJ2995" s="2">
        <f t="shared" si="340"/>
        <v>0</v>
      </c>
      <c r="AK2995" s="2">
        <f t="shared" si="341"/>
        <v>0</v>
      </c>
      <c r="AL2995" s="5">
        <v>0</v>
      </c>
    </row>
    <row r="2996" spans="1:38" hidden="1" x14ac:dyDescent="0.2">
      <c r="A2996" s="2">
        <v>2026</v>
      </c>
      <c r="B2996" s="2">
        <v>4</v>
      </c>
      <c r="C2996" s="2" t="s">
        <v>3449</v>
      </c>
      <c r="D2996" s="2" t="s">
        <v>943</v>
      </c>
      <c r="E2996" s="2" t="s">
        <v>38</v>
      </c>
      <c r="F2996" s="2" t="s">
        <v>39</v>
      </c>
      <c r="L2996" s="2" t="s">
        <v>178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118</v>
      </c>
      <c r="AA2996" s="2" t="s">
        <v>191</v>
      </c>
      <c r="AB2996" s="2" t="s">
        <v>191</v>
      </c>
      <c r="AC2996" s="2" t="s">
        <v>40</v>
      </c>
      <c r="AF2996" s="2">
        <f t="shared" si="339"/>
        <v>0</v>
      </c>
      <c r="AG2996" s="2">
        <f>W2996</f>
        <v>0</v>
      </c>
      <c r="AJ2996" s="2">
        <f t="shared" si="340"/>
        <v>0</v>
      </c>
      <c r="AK2996" s="2">
        <f t="shared" si="341"/>
        <v>0</v>
      </c>
      <c r="AL2996" s="5">
        <v>0</v>
      </c>
    </row>
    <row r="2997" spans="1:38" hidden="1" x14ac:dyDescent="0.2">
      <c r="A2997" s="2">
        <v>2026</v>
      </c>
      <c r="B2997" s="2">
        <v>4</v>
      </c>
      <c r="D2997" s="2" t="s">
        <v>688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689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B2997" s="2" t="s">
        <v>190</v>
      </c>
      <c r="AC2997" s="2" t="s">
        <v>40</v>
      </c>
      <c r="AF2997" s="2">
        <f t="shared" si="339"/>
        <v>0</v>
      </c>
      <c r="AJ2997" s="2">
        <f t="shared" si="340"/>
        <v>0</v>
      </c>
      <c r="AK2997" s="2">
        <f t="shared" si="341"/>
        <v>33</v>
      </c>
      <c r="AL2997" s="5">
        <f t="shared" si="344"/>
        <v>0.6</v>
      </c>
    </row>
    <row r="2998" spans="1:38" hidden="1" x14ac:dyDescent="0.2">
      <c r="A2998" s="2">
        <v>2026</v>
      </c>
      <c r="B2998" s="2">
        <v>4</v>
      </c>
      <c r="D2998" s="2" t="s">
        <v>688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689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B2998" s="2" t="s">
        <v>191</v>
      </c>
      <c r="AC2998" s="2" t="s">
        <v>40</v>
      </c>
      <c r="AF2998" s="2">
        <f t="shared" si="339"/>
        <v>0</v>
      </c>
      <c r="AG2998" s="2">
        <f>W2998</f>
        <v>27.5</v>
      </c>
      <c r="AJ2998" s="2">
        <f t="shared" si="340"/>
        <v>0</v>
      </c>
      <c r="AK2998" s="2">
        <f t="shared" si="341"/>
        <v>27.5</v>
      </c>
      <c r="AL2998" s="5">
        <f t="shared" si="344"/>
        <v>0.5</v>
      </c>
    </row>
    <row r="2999" spans="1:38" hidden="1" x14ac:dyDescent="0.2">
      <c r="A2999" s="2">
        <v>2026</v>
      </c>
      <c r="B2999" s="2">
        <v>4</v>
      </c>
      <c r="D2999" s="2" t="s">
        <v>690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691</v>
      </c>
      <c r="K2999" s="2">
        <v>913036545</v>
      </c>
      <c r="L2999" s="2" t="s">
        <v>178</v>
      </c>
      <c r="M2999" s="2" t="s">
        <v>40</v>
      </c>
      <c r="O2999" s="2" t="s">
        <v>2445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118</v>
      </c>
      <c r="AA2999" s="2" t="s">
        <v>191</v>
      </c>
      <c r="AB2999" s="2" t="s">
        <v>190</v>
      </c>
      <c r="AC2999" s="2" t="s">
        <v>40</v>
      </c>
      <c r="AF2999" s="2">
        <f t="shared" si="339"/>
        <v>0</v>
      </c>
      <c r="AJ2999" s="2">
        <f t="shared" si="340"/>
        <v>0</v>
      </c>
      <c r="AK2999" s="2">
        <f t="shared" si="341"/>
        <v>-79</v>
      </c>
      <c r="AL2999" s="5">
        <f t="shared" si="344"/>
        <v>1</v>
      </c>
    </row>
    <row r="3000" spans="1:38" hidden="1" x14ac:dyDescent="0.2">
      <c r="A3000" s="2">
        <v>2026</v>
      </c>
      <c r="B3000" s="2">
        <v>4</v>
      </c>
      <c r="D3000" s="2" t="s">
        <v>690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691</v>
      </c>
      <c r="K3000" s="2">
        <v>913036545</v>
      </c>
      <c r="L3000" s="2" t="s">
        <v>178</v>
      </c>
      <c r="M3000" s="2" t="s">
        <v>40</v>
      </c>
      <c r="O3000" s="2" t="s">
        <v>2445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118</v>
      </c>
      <c r="AA3000" s="2" t="s">
        <v>191</v>
      </c>
      <c r="AB3000" s="2" t="s">
        <v>191</v>
      </c>
      <c r="AC3000" s="2" t="s">
        <v>40</v>
      </c>
      <c r="AF3000" s="2">
        <f t="shared" si="339"/>
        <v>0</v>
      </c>
      <c r="AG3000" s="2">
        <f t="shared" ref="AG3000:AG3028" si="345">W3000</f>
        <v>0</v>
      </c>
      <c r="AJ3000" s="2">
        <f t="shared" si="340"/>
        <v>0</v>
      </c>
      <c r="AK3000" s="2">
        <f t="shared" si="341"/>
        <v>-100</v>
      </c>
    </row>
    <row r="3001" spans="1:38" hidden="1" x14ac:dyDescent="0.2">
      <c r="A3001" s="2">
        <v>2026</v>
      </c>
      <c r="B3001" s="2">
        <v>2</v>
      </c>
      <c r="D3001" s="2" t="s">
        <v>2446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B3001" s="2" t="s">
        <v>190</v>
      </c>
      <c r="AC3001" s="2" t="s">
        <v>40</v>
      </c>
      <c r="AF3001" s="2">
        <f t="shared" si="339"/>
        <v>0</v>
      </c>
      <c r="AG3001" s="2">
        <f t="shared" si="345"/>
        <v>198.4</v>
      </c>
      <c r="AJ3001" s="2">
        <f t="shared" si="340"/>
        <v>0</v>
      </c>
      <c r="AK3001" s="2">
        <f t="shared" si="341"/>
        <v>297.60000000000002</v>
      </c>
      <c r="AL3001" s="5">
        <f t="shared" si="344"/>
        <v>0.60000000000000009</v>
      </c>
    </row>
    <row r="3002" spans="1:38" hidden="1" x14ac:dyDescent="0.2">
      <c r="A3002" s="2">
        <v>2026</v>
      </c>
      <c r="B3002" s="2">
        <v>2</v>
      </c>
      <c r="D3002" s="2" t="s">
        <v>2446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B3002" s="2" t="s">
        <v>191</v>
      </c>
      <c r="AC3002" s="2" t="s">
        <v>40</v>
      </c>
      <c r="AF3002" s="2">
        <f t="shared" si="339"/>
        <v>0</v>
      </c>
      <c r="AG3002" s="2">
        <f t="shared" si="345"/>
        <v>100</v>
      </c>
      <c r="AJ3002" s="2">
        <f t="shared" si="340"/>
        <v>0</v>
      </c>
      <c r="AK3002" s="2">
        <f t="shared" si="341"/>
        <v>100</v>
      </c>
      <c r="AL3002" s="5">
        <f t="shared" si="344"/>
        <v>0.5</v>
      </c>
    </row>
    <row r="3003" spans="1:38" hidden="1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2447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B3003" s="2" t="s">
        <v>190</v>
      </c>
      <c r="AC3003" s="2" t="s">
        <v>40</v>
      </c>
      <c r="AF3003" s="2">
        <f t="shared" si="339"/>
        <v>0</v>
      </c>
      <c r="AG3003" s="2">
        <f t="shared" si="345"/>
        <v>-24.400000000000002</v>
      </c>
      <c r="AJ3003" s="2">
        <f t="shared" si="340"/>
        <v>0</v>
      </c>
      <c r="AK3003" s="2">
        <f>( ABS(T3003)-W3003)</f>
        <v>85.4</v>
      </c>
    </row>
    <row r="3004" spans="1:38" hidden="1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2447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B3004" s="2" t="s">
        <v>191</v>
      </c>
      <c r="AC3004" s="2" t="s">
        <v>40</v>
      </c>
      <c r="AF3004" s="2">
        <f t="shared" si="339"/>
        <v>0</v>
      </c>
      <c r="AG3004" s="2">
        <f t="shared" si="345"/>
        <v>0</v>
      </c>
      <c r="AJ3004" s="2">
        <f t="shared" si="340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hidden="1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2448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46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B3005" s="2" t="s">
        <v>191</v>
      </c>
      <c r="AC3005" s="2" t="s">
        <v>40</v>
      </c>
      <c r="AF3005" s="2">
        <f t="shared" si="339"/>
        <v>0</v>
      </c>
      <c r="AG3005" s="2">
        <f t="shared" si="345"/>
        <v>41.25</v>
      </c>
      <c r="AJ3005" s="2">
        <f t="shared" si="340"/>
        <v>0</v>
      </c>
      <c r="AK3005" s="2">
        <f t="shared" ref="AK3005:AK3035" si="347">T3005-W3005</f>
        <v>41.25</v>
      </c>
      <c r="AL3005" s="5">
        <f t="shared" ref="AL3005:AL3035" si="348">(T3005-W3005)/T3005</f>
        <v>0.5</v>
      </c>
    </row>
    <row r="3006" spans="1:38" hidden="1" x14ac:dyDescent="0.2">
      <c r="A3006" s="2">
        <v>2026</v>
      </c>
      <c r="B3006" s="2">
        <v>3</v>
      </c>
      <c r="D3006" s="2" t="s">
        <v>1170</v>
      </c>
      <c r="E3006" s="2" t="s">
        <v>753</v>
      </c>
      <c r="F3006" s="2" t="s">
        <v>1171</v>
      </c>
      <c r="G3006" s="2">
        <v>505760088</v>
      </c>
      <c r="H3006" s="2" t="s">
        <v>291</v>
      </c>
      <c r="I3006" s="2" t="s">
        <v>1172</v>
      </c>
      <c r="J3006" s="2" t="s">
        <v>1173</v>
      </c>
      <c r="L3006" s="2" t="s">
        <v>340</v>
      </c>
      <c r="M3006" s="2" t="s">
        <v>40</v>
      </c>
      <c r="O3006" s="2" t="s">
        <v>2449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9">(T3006-W3006)/T3006</f>
        <v>0.6</v>
      </c>
      <c r="Z3006" s="2" t="s">
        <v>118</v>
      </c>
      <c r="AA3006" s="2" t="s">
        <v>191</v>
      </c>
      <c r="AB3006" s="2" t="s">
        <v>190</v>
      </c>
      <c r="AC3006" s="2" t="s">
        <v>40</v>
      </c>
      <c r="AF3006" s="2">
        <f t="shared" si="339"/>
        <v>0</v>
      </c>
      <c r="AG3006" s="2">
        <f t="shared" si="345"/>
        <v>22</v>
      </c>
      <c r="AJ3006" s="2">
        <f t="shared" si="340"/>
        <v>0</v>
      </c>
      <c r="AK3006" s="2">
        <f t="shared" si="347"/>
        <v>33</v>
      </c>
      <c r="AL3006" s="5">
        <f t="shared" si="348"/>
        <v>0.6</v>
      </c>
    </row>
    <row r="3007" spans="1:38" hidden="1" x14ac:dyDescent="0.2">
      <c r="A3007" s="2">
        <v>2026</v>
      </c>
      <c r="B3007" s="2">
        <v>3</v>
      </c>
      <c r="D3007" s="2" t="s">
        <v>1170</v>
      </c>
      <c r="E3007" s="2" t="s">
        <v>753</v>
      </c>
      <c r="F3007" s="2" t="s">
        <v>1171</v>
      </c>
      <c r="G3007" s="2">
        <v>505760088</v>
      </c>
      <c r="H3007" s="2" t="s">
        <v>291</v>
      </c>
      <c r="I3007" s="2" t="s">
        <v>1172</v>
      </c>
      <c r="J3007" s="2" t="s">
        <v>1173</v>
      </c>
      <c r="L3007" s="2" t="s">
        <v>340</v>
      </c>
      <c r="M3007" s="2" t="s">
        <v>40</v>
      </c>
      <c r="O3007" s="2" t="s">
        <v>2449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9"/>
        <v>0.5</v>
      </c>
      <c r="Z3007" s="2" t="s">
        <v>118</v>
      </c>
      <c r="AA3007" s="2" t="s">
        <v>191</v>
      </c>
      <c r="AB3007" s="2" t="s">
        <v>191</v>
      </c>
      <c r="AC3007" s="2" t="s">
        <v>40</v>
      </c>
      <c r="AF3007" s="2">
        <f t="shared" si="339"/>
        <v>0</v>
      </c>
      <c r="AG3007" s="2">
        <f t="shared" si="345"/>
        <v>27.5</v>
      </c>
      <c r="AJ3007" s="2">
        <f t="shared" si="340"/>
        <v>0</v>
      </c>
      <c r="AK3007" s="2">
        <f t="shared" si="347"/>
        <v>27.5</v>
      </c>
      <c r="AL3007" s="5">
        <f t="shared" si="348"/>
        <v>0.5</v>
      </c>
    </row>
    <row r="3008" spans="1:38" hidden="1" x14ac:dyDescent="0.2">
      <c r="A3008" s="2">
        <v>2026</v>
      </c>
      <c r="B3008" s="2">
        <v>2</v>
      </c>
      <c r="D3008" s="2" t="s">
        <v>312</v>
      </c>
      <c r="E3008" s="2" t="s">
        <v>2450</v>
      </c>
      <c r="F3008" s="2" t="s">
        <v>39</v>
      </c>
      <c r="G3008" s="2">
        <v>505814030</v>
      </c>
      <c r="H3008" s="2" t="s">
        <v>291</v>
      </c>
      <c r="I3008" s="2" t="s">
        <v>2451</v>
      </c>
      <c r="J3008" s="2" t="s">
        <v>2452</v>
      </c>
      <c r="L3008" s="2" t="s">
        <v>340</v>
      </c>
      <c r="M3008" s="2" t="s">
        <v>40</v>
      </c>
      <c r="O3008" s="2" t="s">
        <v>2453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9"/>
        <v>0.6</v>
      </c>
      <c r="Z3008" s="2" t="s">
        <v>118</v>
      </c>
      <c r="AA3008" s="2" t="s">
        <v>191</v>
      </c>
      <c r="AB3008" s="2" t="s">
        <v>190</v>
      </c>
      <c r="AC3008" s="2" t="s">
        <v>40</v>
      </c>
      <c r="AF3008" s="2">
        <f t="shared" si="339"/>
        <v>0</v>
      </c>
      <c r="AG3008" s="2">
        <f t="shared" si="345"/>
        <v>24</v>
      </c>
      <c r="AJ3008" s="2">
        <f t="shared" si="340"/>
        <v>0</v>
      </c>
      <c r="AK3008" s="2">
        <f t="shared" si="347"/>
        <v>36</v>
      </c>
      <c r="AL3008" s="5">
        <f t="shared" si="348"/>
        <v>0.6</v>
      </c>
    </row>
    <row r="3009" spans="1:38" hidden="1" x14ac:dyDescent="0.2">
      <c r="A3009" s="2">
        <v>2026</v>
      </c>
      <c r="B3009" s="2">
        <v>2</v>
      </c>
      <c r="D3009" s="2" t="s">
        <v>312</v>
      </c>
      <c r="E3009" s="2" t="s">
        <v>2450</v>
      </c>
      <c r="F3009" s="2" t="s">
        <v>39</v>
      </c>
      <c r="G3009" s="2">
        <v>505814030</v>
      </c>
      <c r="H3009" s="2" t="s">
        <v>291</v>
      </c>
      <c r="I3009" s="2" t="s">
        <v>2451</v>
      </c>
      <c r="J3009" s="2" t="s">
        <v>2452</v>
      </c>
      <c r="L3009" s="2" t="s">
        <v>340</v>
      </c>
      <c r="M3009" s="2" t="s">
        <v>40</v>
      </c>
      <c r="O3009" s="2" t="s">
        <v>2453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9"/>
        <v>0.5</v>
      </c>
      <c r="Z3009" s="2" t="s">
        <v>118</v>
      </c>
      <c r="AA3009" s="2" t="s">
        <v>191</v>
      </c>
      <c r="AB3009" s="2" t="s">
        <v>191</v>
      </c>
      <c r="AC3009" s="2" t="s">
        <v>40</v>
      </c>
      <c r="AF3009" s="2">
        <f t="shared" si="339"/>
        <v>0</v>
      </c>
      <c r="AG3009" s="2">
        <f t="shared" si="345"/>
        <v>27.5</v>
      </c>
      <c r="AJ3009" s="2">
        <f t="shared" si="340"/>
        <v>0</v>
      </c>
      <c r="AK3009" s="2">
        <f t="shared" si="347"/>
        <v>27.5</v>
      </c>
      <c r="AL3009" s="5">
        <f t="shared" si="348"/>
        <v>0.5</v>
      </c>
    </row>
    <row r="3010" spans="1:38" hidden="1" x14ac:dyDescent="0.2">
      <c r="A3010" s="2">
        <v>2026</v>
      </c>
      <c r="B3010" s="2">
        <v>1</v>
      </c>
      <c r="D3010" s="2" t="s">
        <v>694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696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9"/>
        <v>0.6</v>
      </c>
      <c r="Z3010" s="2" t="s">
        <v>118</v>
      </c>
      <c r="AA3010" s="2" t="s">
        <v>191</v>
      </c>
      <c r="AB3010" s="2" t="s">
        <v>190</v>
      </c>
      <c r="AC3010" s="2" t="s">
        <v>40</v>
      </c>
      <c r="AF3010" s="2">
        <f t="shared" si="339"/>
        <v>0</v>
      </c>
      <c r="AG3010" s="2">
        <f t="shared" si="345"/>
        <v>24</v>
      </c>
      <c r="AJ3010" s="2">
        <f t="shared" si="340"/>
        <v>0</v>
      </c>
      <c r="AK3010" s="2">
        <f t="shared" si="347"/>
        <v>36</v>
      </c>
      <c r="AL3010" s="5">
        <f t="shared" si="348"/>
        <v>0.6</v>
      </c>
    </row>
    <row r="3011" spans="1:38" hidden="1" x14ac:dyDescent="0.2">
      <c r="A3011" s="2">
        <v>2026</v>
      </c>
      <c r="B3011" s="2">
        <v>1</v>
      </c>
      <c r="D3011" s="2" t="s">
        <v>694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696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9"/>
        <v>0.5</v>
      </c>
      <c r="Z3011" s="2" t="s">
        <v>118</v>
      </c>
      <c r="AA3011" s="2" t="s">
        <v>191</v>
      </c>
      <c r="AB3011" s="2" t="s">
        <v>191</v>
      </c>
      <c r="AC3011" s="2" t="s">
        <v>40</v>
      </c>
      <c r="AF3011" s="2">
        <f t="shared" ref="AF3011:AF3074" si="350">AJ3011</f>
        <v>0</v>
      </c>
      <c r="AG3011" s="2">
        <f t="shared" si="345"/>
        <v>37.5</v>
      </c>
      <c r="AJ3011" s="2">
        <f t="shared" ref="AJ3011:AJ3074" si="351">AI3011*T3011</f>
        <v>0</v>
      </c>
      <c r="AK3011" s="2">
        <f t="shared" si="347"/>
        <v>37.5</v>
      </c>
      <c r="AL3011" s="5">
        <f t="shared" si="348"/>
        <v>0.5</v>
      </c>
    </row>
    <row r="3012" spans="1:38" hidden="1" x14ac:dyDescent="0.2">
      <c r="A3012" s="2">
        <v>2026</v>
      </c>
      <c r="B3012" s="2">
        <v>4</v>
      </c>
      <c r="D3012" s="2" t="s">
        <v>716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9"/>
        <v>0.6</v>
      </c>
      <c r="Z3012" s="2" t="s">
        <v>118</v>
      </c>
      <c r="AA3012" s="2" t="s">
        <v>191</v>
      </c>
      <c r="AB3012" s="2" t="s">
        <v>190</v>
      </c>
      <c r="AC3012" s="2" t="s">
        <v>40</v>
      </c>
      <c r="AF3012" s="2">
        <f t="shared" si="350"/>
        <v>0</v>
      </c>
      <c r="AG3012" s="2">
        <f t="shared" si="345"/>
        <v>126.80000000000001</v>
      </c>
      <c r="AJ3012" s="2">
        <f t="shared" si="351"/>
        <v>0</v>
      </c>
      <c r="AK3012" s="2">
        <f t="shared" si="347"/>
        <v>190.2</v>
      </c>
      <c r="AL3012" s="5">
        <f t="shared" si="348"/>
        <v>0.6</v>
      </c>
    </row>
    <row r="3013" spans="1:38" hidden="1" x14ac:dyDescent="0.2">
      <c r="A3013" s="2">
        <v>2026</v>
      </c>
      <c r="B3013" s="2">
        <v>4</v>
      </c>
      <c r="D3013" s="2" t="s">
        <v>716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9"/>
        <v>0.5</v>
      </c>
      <c r="Z3013" s="2" t="s">
        <v>118</v>
      </c>
      <c r="AA3013" s="2" t="s">
        <v>191</v>
      </c>
      <c r="AB3013" s="2" t="s">
        <v>191</v>
      </c>
      <c r="AC3013" s="2" t="s">
        <v>40</v>
      </c>
      <c r="AF3013" s="2">
        <f t="shared" si="350"/>
        <v>0</v>
      </c>
      <c r="AG3013" s="2">
        <f t="shared" si="345"/>
        <v>27.5</v>
      </c>
      <c r="AJ3013" s="2">
        <f t="shared" si="351"/>
        <v>0</v>
      </c>
      <c r="AK3013" s="2">
        <f t="shared" si="347"/>
        <v>27.5</v>
      </c>
      <c r="AL3013" s="5">
        <f t="shared" si="348"/>
        <v>0.5</v>
      </c>
    </row>
    <row r="3014" spans="1:38" hidden="1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B3014" s="2" t="s">
        <v>190</v>
      </c>
      <c r="AC3014" s="2" t="s">
        <v>40</v>
      </c>
      <c r="AF3014" s="2">
        <f t="shared" si="350"/>
        <v>0</v>
      </c>
      <c r="AG3014" s="2">
        <f t="shared" si="345"/>
        <v>-15</v>
      </c>
      <c r="AJ3014" s="2">
        <f t="shared" si="351"/>
        <v>0</v>
      </c>
      <c r="AK3014" s="2">
        <f t="shared" si="347"/>
        <v>-22.5</v>
      </c>
      <c r="AL3014" s="5">
        <f t="shared" si="348"/>
        <v>0.6</v>
      </c>
    </row>
    <row r="3015" spans="1:38" hidden="1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B3015" s="2" t="s">
        <v>191</v>
      </c>
      <c r="AC3015" s="2" t="s">
        <v>40</v>
      </c>
      <c r="AF3015" s="2">
        <f t="shared" si="350"/>
        <v>0</v>
      </c>
      <c r="AG3015" s="2">
        <f t="shared" si="345"/>
        <v>0</v>
      </c>
      <c r="AJ3015" s="2">
        <f t="shared" si="351"/>
        <v>0</v>
      </c>
      <c r="AK3015" s="2">
        <f t="shared" si="347"/>
        <v>-36</v>
      </c>
      <c r="AL3015" s="5">
        <f t="shared" si="348"/>
        <v>1</v>
      </c>
    </row>
    <row r="3016" spans="1:38" hidden="1" x14ac:dyDescent="0.2">
      <c r="A3016" s="2">
        <v>2026</v>
      </c>
      <c r="B3016" s="2">
        <v>1</v>
      </c>
      <c r="D3016" s="2" t="s">
        <v>975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52">(T3016-W3016)/T3016</f>
        <v>0.6</v>
      </c>
      <c r="Z3016" s="2" t="s">
        <v>118</v>
      </c>
      <c r="AA3016" s="2" t="s">
        <v>191</v>
      </c>
      <c r="AB3016" s="2" t="s">
        <v>190</v>
      </c>
      <c r="AC3016" s="2" t="s">
        <v>40</v>
      </c>
      <c r="AF3016" s="2">
        <f t="shared" si="350"/>
        <v>0</v>
      </c>
      <c r="AG3016" s="2">
        <f t="shared" si="345"/>
        <v>20</v>
      </c>
      <c r="AJ3016" s="2">
        <f t="shared" si="351"/>
        <v>0</v>
      </c>
      <c r="AK3016" s="2">
        <f t="shared" si="347"/>
        <v>30</v>
      </c>
      <c r="AL3016" s="5">
        <f t="shared" si="348"/>
        <v>0.6</v>
      </c>
    </row>
    <row r="3017" spans="1:38" hidden="1" x14ac:dyDescent="0.2">
      <c r="A3017" s="2">
        <v>2026</v>
      </c>
      <c r="B3017" s="2">
        <v>1</v>
      </c>
      <c r="D3017" s="2" t="s">
        <v>975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52"/>
        <v>0.5</v>
      </c>
      <c r="Z3017" s="2" t="s">
        <v>118</v>
      </c>
      <c r="AA3017" s="2" t="s">
        <v>191</v>
      </c>
      <c r="AB3017" s="2" t="s">
        <v>191</v>
      </c>
      <c r="AC3017" s="2" t="s">
        <v>40</v>
      </c>
      <c r="AF3017" s="2">
        <f t="shared" si="350"/>
        <v>0</v>
      </c>
      <c r="AG3017" s="2">
        <f t="shared" si="345"/>
        <v>25</v>
      </c>
      <c r="AJ3017" s="2">
        <f t="shared" si="351"/>
        <v>0</v>
      </c>
      <c r="AK3017" s="2">
        <f t="shared" si="347"/>
        <v>25</v>
      </c>
      <c r="AL3017" s="5">
        <f t="shared" si="348"/>
        <v>0.5</v>
      </c>
    </row>
    <row r="3018" spans="1:38" hidden="1" x14ac:dyDescent="0.2">
      <c r="A3018" s="2">
        <v>2026</v>
      </c>
      <c r="B3018" s="2">
        <v>3</v>
      </c>
      <c r="D3018" s="2" t="s">
        <v>2454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52"/>
        <v>0.6</v>
      </c>
      <c r="Z3018" s="2" t="s">
        <v>118</v>
      </c>
      <c r="AA3018" s="2" t="s">
        <v>191</v>
      </c>
      <c r="AB3018" s="2" t="s">
        <v>190</v>
      </c>
      <c r="AC3018" s="2" t="s">
        <v>40</v>
      </c>
      <c r="AF3018" s="2">
        <f t="shared" si="350"/>
        <v>0</v>
      </c>
      <c r="AG3018" s="2">
        <f t="shared" si="345"/>
        <v>41.6</v>
      </c>
      <c r="AJ3018" s="2">
        <f t="shared" si="351"/>
        <v>0</v>
      </c>
      <c r="AK3018" s="2">
        <f t="shared" si="347"/>
        <v>62.4</v>
      </c>
      <c r="AL3018" s="5">
        <f t="shared" si="348"/>
        <v>0.6</v>
      </c>
    </row>
    <row r="3019" spans="1:38" hidden="1" x14ac:dyDescent="0.2">
      <c r="A3019" s="2">
        <v>2026</v>
      </c>
      <c r="B3019" s="2">
        <v>3</v>
      </c>
      <c r="D3019" s="2" t="s">
        <v>2454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52"/>
        <v>0.5</v>
      </c>
      <c r="Z3019" s="2" t="s">
        <v>118</v>
      </c>
      <c r="AA3019" s="2" t="s">
        <v>191</v>
      </c>
      <c r="AB3019" s="2" t="s">
        <v>191</v>
      </c>
      <c r="AC3019" s="2" t="s">
        <v>40</v>
      </c>
      <c r="AF3019" s="2">
        <f t="shared" si="350"/>
        <v>0</v>
      </c>
      <c r="AG3019" s="2">
        <f t="shared" si="345"/>
        <v>27.5</v>
      </c>
      <c r="AJ3019" s="2">
        <f t="shared" si="351"/>
        <v>0</v>
      </c>
      <c r="AK3019" s="2">
        <f t="shared" si="347"/>
        <v>27.5</v>
      </c>
      <c r="AL3019" s="5">
        <f t="shared" si="348"/>
        <v>0.5</v>
      </c>
    </row>
    <row r="3020" spans="1:38" hidden="1" x14ac:dyDescent="0.2">
      <c r="A3020" s="2">
        <v>2026</v>
      </c>
      <c r="B3020" s="2">
        <v>3</v>
      </c>
      <c r="D3020" s="2" t="s">
        <v>1768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52"/>
        <v>0.6</v>
      </c>
      <c r="Z3020" s="2" t="s">
        <v>118</v>
      </c>
      <c r="AA3020" s="2" t="s">
        <v>191</v>
      </c>
      <c r="AB3020" s="2" t="s">
        <v>190</v>
      </c>
      <c r="AC3020" s="2" t="s">
        <v>40</v>
      </c>
      <c r="AF3020" s="2">
        <f t="shared" si="350"/>
        <v>0</v>
      </c>
      <c r="AG3020" s="2">
        <f t="shared" si="345"/>
        <v>31.6</v>
      </c>
      <c r="AJ3020" s="2">
        <f t="shared" si="351"/>
        <v>0</v>
      </c>
      <c r="AK3020" s="2">
        <f t="shared" si="347"/>
        <v>47.4</v>
      </c>
      <c r="AL3020" s="5">
        <f t="shared" si="348"/>
        <v>0.6</v>
      </c>
    </row>
    <row r="3021" spans="1:38" hidden="1" x14ac:dyDescent="0.2">
      <c r="A3021" s="2">
        <v>2026</v>
      </c>
      <c r="B3021" s="2">
        <v>3</v>
      </c>
      <c r="D3021" s="2" t="s">
        <v>1768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52"/>
        <v>0.5</v>
      </c>
      <c r="Z3021" s="2" t="s">
        <v>118</v>
      </c>
      <c r="AA3021" s="2" t="s">
        <v>191</v>
      </c>
      <c r="AB3021" s="2" t="s">
        <v>191</v>
      </c>
      <c r="AC3021" s="2" t="s">
        <v>40</v>
      </c>
      <c r="AF3021" s="2">
        <f t="shared" si="350"/>
        <v>0</v>
      </c>
      <c r="AG3021" s="2">
        <f t="shared" si="345"/>
        <v>55</v>
      </c>
      <c r="AJ3021" s="2">
        <f t="shared" si="351"/>
        <v>0</v>
      </c>
      <c r="AK3021" s="2">
        <f t="shared" si="347"/>
        <v>55</v>
      </c>
      <c r="AL3021" s="5">
        <f t="shared" si="348"/>
        <v>0.5</v>
      </c>
    </row>
    <row r="3022" spans="1:38" hidden="1" x14ac:dyDescent="0.2">
      <c r="A3022" s="2">
        <v>2026</v>
      </c>
      <c r="B3022" s="2">
        <v>1</v>
      </c>
      <c r="D3022" s="2" t="s">
        <v>1996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52"/>
        <v>0.6</v>
      </c>
      <c r="Z3022" s="2" t="s">
        <v>118</v>
      </c>
      <c r="AA3022" s="2" t="s">
        <v>191</v>
      </c>
      <c r="AB3022" s="2" t="s">
        <v>190</v>
      </c>
      <c r="AC3022" s="2" t="s">
        <v>40</v>
      </c>
      <c r="AF3022" s="2">
        <f t="shared" si="350"/>
        <v>0</v>
      </c>
      <c r="AG3022" s="2">
        <f t="shared" si="345"/>
        <v>138</v>
      </c>
      <c r="AJ3022" s="2">
        <f t="shared" si="351"/>
        <v>0</v>
      </c>
      <c r="AK3022" s="2">
        <f t="shared" si="347"/>
        <v>207</v>
      </c>
      <c r="AL3022" s="5">
        <f t="shared" si="348"/>
        <v>0.6</v>
      </c>
    </row>
    <row r="3023" spans="1:38" hidden="1" x14ac:dyDescent="0.2">
      <c r="A3023" s="2">
        <v>2026</v>
      </c>
      <c r="B3023" s="2">
        <v>1</v>
      </c>
      <c r="D3023" s="2" t="s">
        <v>1996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52"/>
        <v>0.5</v>
      </c>
      <c r="Z3023" s="2" t="s">
        <v>118</v>
      </c>
      <c r="AA3023" s="2" t="s">
        <v>191</v>
      </c>
      <c r="AB3023" s="2" t="s">
        <v>191</v>
      </c>
      <c r="AC3023" s="2" t="s">
        <v>40</v>
      </c>
      <c r="AF3023" s="2">
        <f t="shared" si="350"/>
        <v>0</v>
      </c>
      <c r="AG3023" s="2">
        <f t="shared" si="345"/>
        <v>150</v>
      </c>
      <c r="AJ3023" s="2">
        <f t="shared" si="351"/>
        <v>0</v>
      </c>
      <c r="AK3023" s="2">
        <f t="shared" si="347"/>
        <v>150</v>
      </c>
      <c r="AL3023" s="5">
        <f t="shared" si="348"/>
        <v>0.5</v>
      </c>
    </row>
    <row r="3024" spans="1:38" hidden="1" x14ac:dyDescent="0.2">
      <c r="A3024" s="2">
        <v>2026</v>
      </c>
      <c r="B3024" s="2">
        <v>2</v>
      </c>
      <c r="D3024" s="2" t="s">
        <v>2455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2456</v>
      </c>
      <c r="J3024" s="2" t="s">
        <v>2457</v>
      </c>
      <c r="K3024" s="2">
        <v>967554174</v>
      </c>
      <c r="L3024" s="2" t="s">
        <v>134</v>
      </c>
      <c r="M3024" s="2" t="s">
        <v>40</v>
      </c>
      <c r="O3024" s="2" t="s">
        <v>2458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52"/>
        <v>0.6</v>
      </c>
      <c r="Z3024" s="2" t="s">
        <v>118</v>
      </c>
      <c r="AA3024" s="2" t="s">
        <v>191</v>
      </c>
      <c r="AB3024" s="2" t="s">
        <v>190</v>
      </c>
      <c r="AC3024" s="2" t="s">
        <v>40</v>
      </c>
      <c r="AF3024" s="2">
        <f t="shared" si="350"/>
        <v>0</v>
      </c>
      <c r="AG3024" s="2">
        <f t="shared" si="345"/>
        <v>54</v>
      </c>
      <c r="AJ3024" s="2">
        <f t="shared" si="351"/>
        <v>0</v>
      </c>
      <c r="AK3024" s="2">
        <f t="shared" si="347"/>
        <v>81</v>
      </c>
      <c r="AL3024" s="5">
        <f t="shared" si="348"/>
        <v>0.6</v>
      </c>
    </row>
    <row r="3025" spans="1:38" hidden="1" x14ac:dyDescent="0.2">
      <c r="A3025" s="2">
        <v>2026</v>
      </c>
      <c r="B3025" s="2">
        <v>2</v>
      </c>
      <c r="D3025" s="2" t="s">
        <v>2455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2456</v>
      </c>
      <c r="J3025" s="2" t="s">
        <v>2457</v>
      </c>
      <c r="K3025" s="2">
        <v>967554174</v>
      </c>
      <c r="L3025" s="2" t="s">
        <v>134</v>
      </c>
      <c r="M3025" s="2" t="s">
        <v>40</v>
      </c>
      <c r="O3025" s="2" t="s">
        <v>2458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52"/>
        <v>0.5</v>
      </c>
      <c r="Z3025" s="2" t="s">
        <v>118</v>
      </c>
      <c r="AA3025" s="2" t="s">
        <v>191</v>
      </c>
      <c r="AB3025" s="2" t="s">
        <v>191</v>
      </c>
      <c r="AC3025" s="2" t="s">
        <v>40</v>
      </c>
      <c r="AF3025" s="2">
        <f t="shared" si="350"/>
        <v>0</v>
      </c>
      <c r="AG3025" s="2">
        <f t="shared" si="345"/>
        <v>50</v>
      </c>
      <c r="AJ3025" s="2">
        <f t="shared" si="351"/>
        <v>0</v>
      </c>
      <c r="AK3025" s="2">
        <f t="shared" si="347"/>
        <v>50</v>
      </c>
      <c r="AL3025" s="5">
        <f t="shared" si="348"/>
        <v>0.5</v>
      </c>
    </row>
    <row r="3026" spans="1:38" hidden="1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52"/>
        <v>0.6</v>
      </c>
      <c r="Z3026" s="2" t="s">
        <v>118</v>
      </c>
      <c r="AA3026" s="2" t="s">
        <v>191</v>
      </c>
      <c r="AB3026" s="2" t="s">
        <v>190</v>
      </c>
      <c r="AC3026" s="2" t="s">
        <v>40</v>
      </c>
      <c r="AF3026" s="2">
        <f t="shared" si="350"/>
        <v>0</v>
      </c>
      <c r="AG3026" s="2">
        <f t="shared" si="345"/>
        <v>24</v>
      </c>
      <c r="AJ3026" s="2">
        <f t="shared" si="351"/>
        <v>0</v>
      </c>
      <c r="AK3026" s="2">
        <f t="shared" si="347"/>
        <v>36</v>
      </c>
      <c r="AL3026" s="5">
        <f t="shared" si="348"/>
        <v>0.6</v>
      </c>
    </row>
    <row r="3027" spans="1:38" hidden="1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52"/>
        <v>0.5</v>
      </c>
      <c r="Z3027" s="2" t="s">
        <v>118</v>
      </c>
      <c r="AA3027" s="2" t="s">
        <v>191</v>
      </c>
      <c r="AB3027" s="2" t="s">
        <v>191</v>
      </c>
      <c r="AC3027" s="2" t="s">
        <v>40</v>
      </c>
      <c r="AF3027" s="2">
        <f t="shared" si="350"/>
        <v>0</v>
      </c>
      <c r="AG3027" s="2">
        <f t="shared" si="345"/>
        <v>55</v>
      </c>
      <c r="AJ3027" s="2">
        <f t="shared" si="351"/>
        <v>0</v>
      </c>
      <c r="AK3027" s="2">
        <f t="shared" si="347"/>
        <v>55</v>
      </c>
      <c r="AL3027" s="5">
        <f t="shared" si="348"/>
        <v>0.5</v>
      </c>
    </row>
    <row r="3028" spans="1:38" hidden="1" x14ac:dyDescent="0.2">
      <c r="A3028" s="2">
        <v>2026</v>
      </c>
      <c r="B3028" s="2">
        <v>3</v>
      </c>
      <c r="D3028" s="2" t="s">
        <v>742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52"/>
        <v>0.59999999999999987</v>
      </c>
      <c r="Z3028" s="2" t="s">
        <v>118</v>
      </c>
      <c r="AA3028" s="2" t="s">
        <v>191</v>
      </c>
      <c r="AB3028" s="2" t="s">
        <v>190</v>
      </c>
      <c r="AC3028" s="2" t="s">
        <v>40</v>
      </c>
      <c r="AF3028" s="2">
        <f t="shared" si="350"/>
        <v>0</v>
      </c>
      <c r="AG3028" s="2">
        <f t="shared" si="345"/>
        <v>44.800000000000004</v>
      </c>
      <c r="AJ3028" s="2">
        <f t="shared" si="351"/>
        <v>0</v>
      </c>
      <c r="AK3028" s="2">
        <f t="shared" si="347"/>
        <v>67.199999999999989</v>
      </c>
      <c r="AL3028" s="5">
        <f t="shared" si="348"/>
        <v>0.59999999999999987</v>
      </c>
    </row>
    <row r="3029" spans="1:38" hidden="1" x14ac:dyDescent="0.2">
      <c r="A3029" s="2">
        <v>2026</v>
      </c>
      <c r="B3029" s="2">
        <v>1</v>
      </c>
      <c r="D3029" s="2" t="s">
        <v>2218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52"/>
        <v>1</v>
      </c>
      <c r="Z3029" s="2" t="s">
        <v>170</v>
      </c>
      <c r="AA3029" s="2" t="s">
        <v>170</v>
      </c>
      <c r="AF3029" s="2">
        <f t="shared" si="350"/>
        <v>0</v>
      </c>
      <c r="AJ3029" s="2">
        <f t="shared" si="351"/>
        <v>0</v>
      </c>
      <c r="AK3029" s="2">
        <f t="shared" si="347"/>
        <v>8</v>
      </c>
      <c r="AL3029" s="5">
        <f t="shared" si="348"/>
        <v>1</v>
      </c>
    </row>
    <row r="3030" spans="1:38" hidden="1" x14ac:dyDescent="0.2">
      <c r="A3030" s="2">
        <v>2026</v>
      </c>
      <c r="B3030" s="2">
        <v>1</v>
      </c>
      <c r="D3030" s="2" t="s">
        <v>1180</v>
      </c>
      <c r="E3030" s="2" t="s">
        <v>38</v>
      </c>
      <c r="G3030" s="2">
        <v>502089075</v>
      </c>
      <c r="H3030" s="2" t="s">
        <v>41</v>
      </c>
      <c r="I3030" s="2" t="s">
        <v>1181</v>
      </c>
      <c r="J3030" s="2" t="s">
        <v>1182</v>
      </c>
      <c r="L3030" s="2" t="s">
        <v>462</v>
      </c>
      <c r="M3030" s="2" t="s">
        <v>41</v>
      </c>
      <c r="O3030" s="2" t="s">
        <v>2459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52"/>
        <v>1</v>
      </c>
      <c r="Z3030" s="2" t="s">
        <v>170</v>
      </c>
      <c r="AA3030" s="2" t="s">
        <v>170</v>
      </c>
      <c r="AF3030" s="2">
        <f t="shared" si="350"/>
        <v>0</v>
      </c>
      <c r="AJ3030" s="2">
        <f t="shared" si="351"/>
        <v>0</v>
      </c>
      <c r="AK3030" s="2">
        <f t="shared" si="347"/>
        <v>10</v>
      </c>
      <c r="AL3030" s="5">
        <f t="shared" si="348"/>
        <v>1</v>
      </c>
    </row>
    <row r="3031" spans="1:38" hidden="1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52"/>
        <v>1</v>
      </c>
      <c r="Z3031" s="2" t="s">
        <v>170</v>
      </c>
      <c r="AA3031" s="2" t="s">
        <v>170</v>
      </c>
      <c r="AF3031" s="2">
        <f t="shared" si="350"/>
        <v>0</v>
      </c>
      <c r="AJ3031" s="2">
        <f t="shared" si="351"/>
        <v>0</v>
      </c>
      <c r="AK3031" s="2">
        <f t="shared" si="347"/>
        <v>5</v>
      </c>
      <c r="AL3031" s="5">
        <f t="shared" si="348"/>
        <v>1</v>
      </c>
    </row>
    <row r="3032" spans="1:38" hidden="1" x14ac:dyDescent="0.2">
      <c r="A3032" s="2">
        <v>2026</v>
      </c>
      <c r="B3032" s="2">
        <v>1</v>
      </c>
      <c r="D3032" s="2" t="s">
        <v>845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846</v>
      </c>
      <c r="L3032" s="2" t="s">
        <v>419</v>
      </c>
      <c r="M3032" s="2" t="s">
        <v>41</v>
      </c>
      <c r="O3032" s="2" t="s">
        <v>2374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52"/>
        <v>1</v>
      </c>
      <c r="Z3032" s="2" t="s">
        <v>170</v>
      </c>
      <c r="AA3032" s="2" t="s">
        <v>170</v>
      </c>
      <c r="AF3032" s="2">
        <f t="shared" si="350"/>
        <v>0</v>
      </c>
      <c r="AJ3032" s="2">
        <f t="shared" si="351"/>
        <v>0</v>
      </c>
      <c r="AK3032" s="2">
        <f t="shared" si="347"/>
        <v>5</v>
      </c>
      <c r="AL3032" s="5">
        <f t="shared" si="348"/>
        <v>1</v>
      </c>
    </row>
    <row r="3033" spans="1:38" hidden="1" x14ac:dyDescent="0.2">
      <c r="A3033" s="2">
        <v>2026</v>
      </c>
      <c r="B3033" s="2">
        <v>1</v>
      </c>
      <c r="D3033" s="2" t="s">
        <v>1292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52"/>
        <v>1</v>
      </c>
      <c r="Z3033" s="2" t="s">
        <v>170</v>
      </c>
      <c r="AA3033" s="2" t="s">
        <v>170</v>
      </c>
      <c r="AF3033" s="2">
        <f t="shared" si="350"/>
        <v>0</v>
      </c>
      <c r="AJ3033" s="2">
        <f t="shared" si="351"/>
        <v>0</v>
      </c>
      <c r="AK3033" s="2">
        <f t="shared" si="347"/>
        <v>4.5</v>
      </c>
      <c r="AL3033" s="5">
        <f t="shared" si="348"/>
        <v>1</v>
      </c>
    </row>
    <row r="3034" spans="1:38" hidden="1" x14ac:dyDescent="0.2">
      <c r="A3034" s="2">
        <v>2026</v>
      </c>
      <c r="B3034" s="2">
        <v>1</v>
      </c>
      <c r="D3034" s="2" t="s">
        <v>1100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52"/>
        <v>1</v>
      </c>
      <c r="Z3034" s="2" t="s">
        <v>170</v>
      </c>
      <c r="AA3034" s="2" t="s">
        <v>170</v>
      </c>
      <c r="AF3034" s="2">
        <f t="shared" si="350"/>
        <v>0</v>
      </c>
      <c r="AJ3034" s="2">
        <f t="shared" si="351"/>
        <v>0</v>
      </c>
      <c r="AK3034" s="2">
        <f t="shared" si="347"/>
        <v>100</v>
      </c>
      <c r="AL3034" s="5">
        <f t="shared" si="348"/>
        <v>1</v>
      </c>
    </row>
    <row r="3035" spans="1:38" hidden="1" x14ac:dyDescent="0.2">
      <c r="A3035" s="2">
        <v>2026</v>
      </c>
      <c r="B3035" s="2">
        <v>1</v>
      </c>
      <c r="D3035" s="2" t="s">
        <v>2376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52"/>
        <v>1</v>
      </c>
      <c r="Z3035" s="2" t="s">
        <v>170</v>
      </c>
      <c r="AA3035" s="2" t="s">
        <v>170</v>
      </c>
      <c r="AF3035" s="2">
        <f t="shared" si="350"/>
        <v>0</v>
      </c>
      <c r="AJ3035" s="2">
        <f t="shared" si="351"/>
        <v>0</v>
      </c>
      <c r="AK3035" s="2">
        <f t="shared" si="347"/>
        <v>8</v>
      </c>
      <c r="AL3035" s="5">
        <f t="shared" si="348"/>
        <v>1</v>
      </c>
    </row>
    <row r="3036" spans="1:38" hidden="1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50"/>
        <v>0</v>
      </c>
      <c r="AJ3036" s="2">
        <f t="shared" si="351"/>
        <v>0</v>
      </c>
    </row>
    <row r="3037" spans="1:38" hidden="1" x14ac:dyDescent="0.2">
      <c r="A3037" s="2">
        <v>2026</v>
      </c>
      <c r="B3037" s="2">
        <v>1</v>
      </c>
      <c r="D3037" s="2" t="s">
        <v>1996</v>
      </c>
      <c r="M3037" s="2" t="s">
        <v>40</v>
      </c>
      <c r="P3037" s="2" t="s">
        <v>188</v>
      </c>
      <c r="Q3037" s="2" t="s">
        <v>1310</v>
      </c>
      <c r="R3037" s="2" t="s">
        <v>1311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53">(T3037-W3037)/T3037</f>
        <v>1</v>
      </c>
      <c r="Z3037" s="2" t="s">
        <v>118</v>
      </c>
      <c r="AA3037" s="2" t="s">
        <v>1312</v>
      </c>
      <c r="AF3037" s="2">
        <f t="shared" si="350"/>
        <v>0</v>
      </c>
      <c r="AJ3037" s="2">
        <f t="shared" si="351"/>
        <v>0</v>
      </c>
      <c r="AK3037" s="2">
        <f t="shared" ref="AK3037:AK3068" si="354">T3037-W3037</f>
        <v>588.54999999999995</v>
      </c>
      <c r="AL3037" s="5">
        <f t="shared" ref="AL3037:AL3068" si="355">(T3037-W3037)/T3037</f>
        <v>1</v>
      </c>
    </row>
    <row r="3038" spans="1:38" hidden="1" x14ac:dyDescent="0.2">
      <c r="A3038" s="2">
        <v>2026</v>
      </c>
      <c r="B3038" s="2">
        <v>1</v>
      </c>
      <c r="D3038" s="2" t="s">
        <v>1881</v>
      </c>
      <c r="M3038" s="2" t="s">
        <v>40</v>
      </c>
      <c r="P3038" s="2" t="s">
        <v>188</v>
      </c>
      <c r="Q3038" s="2" t="s">
        <v>1310</v>
      </c>
      <c r="R3038" s="2" t="s">
        <v>1311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53"/>
        <v>#DIV/0!</v>
      </c>
      <c r="Z3038" s="2" t="s">
        <v>118</v>
      </c>
      <c r="AA3038" s="2" t="s">
        <v>1312</v>
      </c>
      <c r="AF3038" s="2">
        <f t="shared" si="350"/>
        <v>0</v>
      </c>
      <c r="AJ3038" s="2">
        <f t="shared" si="351"/>
        <v>0</v>
      </c>
      <c r="AK3038" s="2">
        <f t="shared" si="354"/>
        <v>0</v>
      </c>
      <c r="AL3038" s="5" t="e">
        <f t="shared" si="355"/>
        <v>#DIV/0!</v>
      </c>
    </row>
    <row r="3039" spans="1:38" hidden="1" x14ac:dyDescent="0.2">
      <c r="A3039" s="2">
        <v>2026</v>
      </c>
      <c r="B3039" s="2">
        <v>1</v>
      </c>
      <c r="D3039" s="2" t="s">
        <v>2401</v>
      </c>
      <c r="M3039" s="2" t="s">
        <v>40</v>
      </c>
      <c r="P3039" s="2" t="s">
        <v>188</v>
      </c>
      <c r="Q3039" s="2" t="s">
        <v>1310</v>
      </c>
      <c r="R3039" s="2" t="s">
        <v>1311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53"/>
        <v>#DIV/0!</v>
      </c>
      <c r="Z3039" s="2" t="s">
        <v>118</v>
      </c>
      <c r="AA3039" s="2" t="s">
        <v>1312</v>
      </c>
      <c r="AF3039" s="2">
        <f t="shared" si="350"/>
        <v>0</v>
      </c>
      <c r="AJ3039" s="2">
        <f t="shared" si="351"/>
        <v>0</v>
      </c>
      <c r="AK3039" s="2">
        <f t="shared" si="354"/>
        <v>0</v>
      </c>
      <c r="AL3039" s="5" t="e">
        <f t="shared" si="355"/>
        <v>#DIV/0!</v>
      </c>
    </row>
    <row r="3040" spans="1:38" hidden="1" x14ac:dyDescent="0.2">
      <c r="A3040" s="2">
        <v>2026</v>
      </c>
      <c r="B3040" s="2">
        <v>1</v>
      </c>
      <c r="D3040" s="2" t="s">
        <v>675</v>
      </c>
      <c r="M3040" s="2" t="s">
        <v>40</v>
      </c>
      <c r="P3040" s="2" t="s">
        <v>188</v>
      </c>
      <c r="Q3040" s="2" t="s">
        <v>1310</v>
      </c>
      <c r="R3040" s="2" t="s">
        <v>1311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53"/>
        <v>1</v>
      </c>
      <c r="Z3040" s="2" t="s">
        <v>118</v>
      </c>
      <c r="AA3040" s="2" t="s">
        <v>1312</v>
      </c>
      <c r="AF3040" s="2">
        <f t="shared" si="350"/>
        <v>0</v>
      </c>
      <c r="AJ3040" s="2">
        <f t="shared" si="351"/>
        <v>0</v>
      </c>
      <c r="AK3040" s="2">
        <f t="shared" si="354"/>
        <v>940</v>
      </c>
      <c r="AL3040" s="5">
        <f t="shared" si="355"/>
        <v>1</v>
      </c>
    </row>
    <row r="3041" spans="1:38" hidden="1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2460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53"/>
        <v>0</v>
      </c>
      <c r="Z3041" s="2" t="s">
        <v>3231</v>
      </c>
      <c r="AA3041" s="2" t="s">
        <v>97</v>
      </c>
      <c r="AB3041" s="2" t="s">
        <v>77</v>
      </c>
      <c r="AC3041" s="2" t="s">
        <v>94</v>
      </c>
      <c r="AF3041" s="2">
        <f t="shared" si="350"/>
        <v>0</v>
      </c>
      <c r="AJ3041" s="2">
        <f t="shared" si="351"/>
        <v>0</v>
      </c>
      <c r="AK3041" s="2">
        <f t="shared" si="354"/>
        <v>0</v>
      </c>
      <c r="AL3041" s="5">
        <f t="shared" si="355"/>
        <v>0</v>
      </c>
    </row>
    <row r="3042" spans="1:38" hidden="1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2402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53"/>
        <v>0</v>
      </c>
      <c r="Z3042" s="2" t="s">
        <v>3231</v>
      </c>
      <c r="AA3042" s="2" t="s">
        <v>97</v>
      </c>
      <c r="AB3042" s="2" t="s">
        <v>77</v>
      </c>
      <c r="AC3042" s="2" t="s">
        <v>94</v>
      </c>
      <c r="AF3042" s="2">
        <f t="shared" si="350"/>
        <v>0</v>
      </c>
      <c r="AJ3042" s="2">
        <f t="shared" si="351"/>
        <v>0</v>
      </c>
      <c r="AK3042" s="2">
        <f t="shared" si="354"/>
        <v>0</v>
      </c>
      <c r="AL3042" s="5">
        <f t="shared" si="355"/>
        <v>0</v>
      </c>
    </row>
    <row r="3043" spans="1:38" hidden="1" x14ac:dyDescent="0.2">
      <c r="A3043" s="2">
        <v>2026</v>
      </c>
      <c r="B3043" s="2">
        <v>1</v>
      </c>
      <c r="D3043" s="2" t="s">
        <v>2395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53"/>
        <v>0</v>
      </c>
      <c r="Z3043" s="2" t="s">
        <v>3231</v>
      </c>
      <c r="AA3043" s="2" t="s">
        <v>97</v>
      </c>
      <c r="AB3043" s="2" t="s">
        <v>77</v>
      </c>
      <c r="AC3043" s="2" t="s">
        <v>94</v>
      </c>
      <c r="AF3043" s="2">
        <f t="shared" si="350"/>
        <v>0</v>
      </c>
      <c r="AJ3043" s="2">
        <f t="shared" si="351"/>
        <v>0</v>
      </c>
      <c r="AK3043" s="2">
        <f t="shared" si="354"/>
        <v>0</v>
      </c>
      <c r="AL3043" s="5">
        <f t="shared" si="355"/>
        <v>0</v>
      </c>
    </row>
    <row r="3044" spans="1:38" hidden="1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53"/>
        <v>0</v>
      </c>
      <c r="Z3044" s="2" t="s">
        <v>3231</v>
      </c>
      <c r="AA3044" s="2" t="s">
        <v>97</v>
      </c>
      <c r="AB3044" s="2" t="s">
        <v>77</v>
      </c>
      <c r="AC3044" s="2" t="s">
        <v>94</v>
      </c>
      <c r="AF3044" s="2">
        <f t="shared" si="350"/>
        <v>0</v>
      </c>
      <c r="AJ3044" s="2">
        <f t="shared" si="351"/>
        <v>0</v>
      </c>
      <c r="AK3044" s="2">
        <f t="shared" si="354"/>
        <v>0</v>
      </c>
      <c r="AL3044" s="5">
        <f t="shared" si="355"/>
        <v>0</v>
      </c>
    </row>
    <row r="3045" spans="1:38" hidden="1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53"/>
        <v>0</v>
      </c>
      <c r="Z3045" s="2" t="s">
        <v>3231</v>
      </c>
      <c r="AA3045" s="2" t="s">
        <v>97</v>
      </c>
      <c r="AB3045" s="2" t="s">
        <v>77</v>
      </c>
      <c r="AC3045" s="2" t="s">
        <v>94</v>
      </c>
      <c r="AF3045" s="2">
        <f t="shared" si="350"/>
        <v>0</v>
      </c>
      <c r="AJ3045" s="2">
        <f t="shared" si="351"/>
        <v>0</v>
      </c>
      <c r="AK3045" s="2">
        <f t="shared" si="354"/>
        <v>0</v>
      </c>
      <c r="AL3045" s="5">
        <f t="shared" si="355"/>
        <v>0</v>
      </c>
    </row>
    <row r="3046" spans="1:38" hidden="1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2421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53"/>
        <v>0</v>
      </c>
      <c r="Z3046" s="2" t="s">
        <v>3231</v>
      </c>
      <c r="AA3046" s="2" t="s">
        <v>97</v>
      </c>
      <c r="AB3046" s="2" t="s">
        <v>77</v>
      </c>
      <c r="AC3046" s="2" t="s">
        <v>94</v>
      </c>
      <c r="AF3046" s="2">
        <f t="shared" si="350"/>
        <v>0</v>
      </c>
      <c r="AJ3046" s="2">
        <f t="shared" si="351"/>
        <v>0</v>
      </c>
      <c r="AK3046" s="2">
        <f t="shared" si="354"/>
        <v>0</v>
      </c>
      <c r="AL3046" s="5">
        <f t="shared" si="355"/>
        <v>0</v>
      </c>
    </row>
    <row r="3047" spans="1:38" hidden="1" x14ac:dyDescent="0.2">
      <c r="A3047" s="2">
        <v>2026</v>
      </c>
      <c r="B3047" s="2">
        <v>2</v>
      </c>
      <c r="D3047" s="2" t="s">
        <v>690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691</v>
      </c>
      <c r="K3047" s="2">
        <v>913036545</v>
      </c>
      <c r="L3047" s="2" t="s">
        <v>178</v>
      </c>
      <c r="M3047" s="2" t="s">
        <v>41</v>
      </c>
      <c r="O3047" s="2" t="s">
        <v>2420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53"/>
        <v>0.49849305555555556</v>
      </c>
      <c r="Z3047" s="2" t="s">
        <v>3231</v>
      </c>
      <c r="AA3047" s="2" t="s">
        <v>46</v>
      </c>
      <c r="AB3047" s="2" t="s">
        <v>57</v>
      </c>
      <c r="AC3047" s="2" t="s">
        <v>58</v>
      </c>
      <c r="AF3047" s="2">
        <f t="shared" si="350"/>
        <v>0</v>
      </c>
      <c r="AG3047" s="2">
        <v>7.2217000000000002</v>
      </c>
      <c r="AH3047" s="2">
        <v>14.4</v>
      </c>
      <c r="AJ3047" s="2">
        <f t="shared" si="351"/>
        <v>0</v>
      </c>
      <c r="AK3047" s="2">
        <f t="shared" si="354"/>
        <v>7.1783000000000001</v>
      </c>
      <c r="AL3047" s="5">
        <f t="shared" si="355"/>
        <v>0.49849305555555556</v>
      </c>
    </row>
    <row r="3048" spans="1:38" hidden="1" x14ac:dyDescent="0.2">
      <c r="A3048" s="2">
        <v>2026</v>
      </c>
      <c r="B3048" s="2">
        <v>1</v>
      </c>
      <c r="D3048" s="2" t="s">
        <v>983</v>
      </c>
      <c r="E3048" s="2" t="s">
        <v>109</v>
      </c>
      <c r="F3048" s="2" t="s">
        <v>718</v>
      </c>
      <c r="G3048" s="2">
        <v>500594309</v>
      </c>
      <c r="H3048" s="2" t="s">
        <v>291</v>
      </c>
      <c r="I3048" s="2" t="s">
        <v>984</v>
      </c>
      <c r="J3048" s="2" t="s">
        <v>985</v>
      </c>
      <c r="L3048" s="2" t="s">
        <v>294</v>
      </c>
      <c r="M3048" s="2" t="s">
        <v>81</v>
      </c>
      <c r="O3048" s="2" t="s">
        <v>2430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53"/>
        <v>0</v>
      </c>
      <c r="Z3048" s="2" t="s">
        <v>3231</v>
      </c>
      <c r="AA3048" s="2" t="s">
        <v>97</v>
      </c>
      <c r="AB3048" s="2" t="s">
        <v>77</v>
      </c>
      <c r="AC3048" s="2" t="s">
        <v>94</v>
      </c>
      <c r="AF3048" s="2">
        <f t="shared" si="350"/>
        <v>0</v>
      </c>
      <c r="AG3048" s="2">
        <v>1.48</v>
      </c>
      <c r="AH3048" s="2">
        <v>1.48</v>
      </c>
      <c r="AJ3048" s="2">
        <f t="shared" si="351"/>
        <v>0</v>
      </c>
      <c r="AK3048" s="2">
        <f t="shared" si="354"/>
        <v>0</v>
      </c>
      <c r="AL3048" s="5">
        <f t="shared" si="355"/>
        <v>0</v>
      </c>
    </row>
    <row r="3049" spans="1:38" hidden="1" x14ac:dyDescent="0.2">
      <c r="A3049" s="2">
        <v>2026</v>
      </c>
      <c r="B3049" s="2">
        <v>1</v>
      </c>
      <c r="D3049" s="2" t="s">
        <v>2012</v>
      </c>
      <c r="E3049" s="2" t="s">
        <v>38</v>
      </c>
      <c r="F3049" s="2" t="s">
        <v>39</v>
      </c>
      <c r="L3049" s="2" t="s">
        <v>572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53"/>
        <v>0</v>
      </c>
      <c r="Z3049" s="2" t="s">
        <v>3231</v>
      </c>
      <c r="AA3049" s="2" t="s">
        <v>97</v>
      </c>
      <c r="AB3049" s="2" t="s">
        <v>77</v>
      </c>
      <c r="AC3049" s="2" t="s">
        <v>94</v>
      </c>
      <c r="AF3049" s="2">
        <f t="shared" si="350"/>
        <v>0</v>
      </c>
      <c r="AJ3049" s="2">
        <f t="shared" si="351"/>
        <v>0</v>
      </c>
      <c r="AK3049" s="2">
        <f t="shared" si="354"/>
        <v>0</v>
      </c>
      <c r="AL3049" s="5">
        <f t="shared" si="355"/>
        <v>0</v>
      </c>
    </row>
    <row r="3050" spans="1:38" hidden="1" x14ac:dyDescent="0.2">
      <c r="A3050" s="2">
        <v>2026</v>
      </c>
      <c r="B3050" s="2">
        <v>1</v>
      </c>
      <c r="C3050" s="2" t="s">
        <v>3331</v>
      </c>
      <c r="D3050" s="2" t="s">
        <v>1011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1012</v>
      </c>
      <c r="J3050" s="2" t="s">
        <v>1013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53"/>
        <v>0</v>
      </c>
      <c r="Z3050" s="2" t="s">
        <v>3231</v>
      </c>
      <c r="AA3050" s="2" t="s">
        <v>97</v>
      </c>
      <c r="AB3050" s="2" t="s">
        <v>77</v>
      </c>
      <c r="AC3050" s="2" t="s">
        <v>94</v>
      </c>
      <c r="AF3050" s="2">
        <f t="shared" si="350"/>
        <v>0</v>
      </c>
      <c r="AJ3050" s="2">
        <f t="shared" si="351"/>
        <v>0</v>
      </c>
      <c r="AK3050" s="2">
        <f t="shared" si="354"/>
        <v>0</v>
      </c>
      <c r="AL3050" s="5">
        <f t="shared" si="355"/>
        <v>0</v>
      </c>
    </row>
    <row r="3051" spans="1:38" hidden="1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2461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53"/>
        <v>0</v>
      </c>
      <c r="Z3051" s="2" t="s">
        <v>3231</v>
      </c>
      <c r="AA3051" s="2" t="s">
        <v>97</v>
      </c>
      <c r="AB3051" s="2" t="s">
        <v>77</v>
      </c>
      <c r="AC3051" s="2" t="s">
        <v>94</v>
      </c>
      <c r="AF3051" s="2">
        <f t="shared" si="350"/>
        <v>0</v>
      </c>
      <c r="AJ3051" s="2">
        <f t="shared" si="351"/>
        <v>0</v>
      </c>
      <c r="AK3051" s="2">
        <f t="shared" si="354"/>
        <v>0</v>
      </c>
      <c r="AL3051" s="5">
        <f t="shared" si="355"/>
        <v>0</v>
      </c>
    </row>
    <row r="3052" spans="1:38" hidden="1" x14ac:dyDescent="0.2">
      <c r="A3052" s="2">
        <v>2026</v>
      </c>
      <c r="B3052" s="2">
        <v>1</v>
      </c>
      <c r="D3052" s="2" t="s">
        <v>1557</v>
      </c>
      <c r="E3052" s="2" t="s">
        <v>109</v>
      </c>
      <c r="F3052" s="2" t="s">
        <v>718</v>
      </c>
      <c r="G3052" s="2">
        <v>500975914</v>
      </c>
      <c r="H3052" s="2" t="s">
        <v>41</v>
      </c>
      <c r="I3052" s="2" t="s">
        <v>1558</v>
      </c>
      <c r="J3052" s="2" t="s">
        <v>1559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53"/>
        <v>0</v>
      </c>
      <c r="Z3052" s="2" t="s">
        <v>3231</v>
      </c>
      <c r="AA3052" s="2" t="s">
        <v>97</v>
      </c>
      <c r="AB3052" s="2" t="s">
        <v>77</v>
      </c>
      <c r="AC3052" s="2" t="s">
        <v>94</v>
      </c>
      <c r="AF3052" s="2">
        <f t="shared" si="350"/>
        <v>0</v>
      </c>
      <c r="AJ3052" s="2">
        <f t="shared" si="351"/>
        <v>0</v>
      </c>
      <c r="AK3052" s="2">
        <f t="shared" si="354"/>
        <v>0</v>
      </c>
      <c r="AL3052" s="5">
        <f t="shared" si="355"/>
        <v>0</v>
      </c>
    </row>
    <row r="3053" spans="1:38" hidden="1" x14ac:dyDescent="0.2">
      <c r="A3053" s="2">
        <v>2026</v>
      </c>
      <c r="B3053" s="2">
        <v>1</v>
      </c>
      <c r="D3053" s="2" t="s">
        <v>1378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53"/>
        <v>0</v>
      </c>
      <c r="Z3053" s="2" t="s">
        <v>3231</v>
      </c>
      <c r="AA3053" s="2" t="s">
        <v>97</v>
      </c>
      <c r="AB3053" s="2" t="s">
        <v>77</v>
      </c>
      <c r="AC3053" s="2" t="s">
        <v>94</v>
      </c>
      <c r="AF3053" s="2">
        <f t="shared" si="350"/>
        <v>0</v>
      </c>
      <c r="AJ3053" s="2">
        <f t="shared" si="351"/>
        <v>0</v>
      </c>
      <c r="AK3053" s="2">
        <f t="shared" si="354"/>
        <v>0</v>
      </c>
      <c r="AL3053" s="5">
        <f t="shared" si="355"/>
        <v>0</v>
      </c>
    </row>
    <row r="3054" spans="1:38" hidden="1" x14ac:dyDescent="0.2">
      <c r="A3054" s="2">
        <v>2026</v>
      </c>
      <c r="B3054" s="2">
        <v>1</v>
      </c>
      <c r="D3054" s="2" t="s">
        <v>1019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1020</v>
      </c>
      <c r="J3054" s="2" t="s">
        <v>1021</v>
      </c>
      <c r="L3054" s="2" t="s">
        <v>294</v>
      </c>
      <c r="M3054" s="2" t="s">
        <v>81</v>
      </c>
      <c r="O3054" s="2" t="s">
        <v>2396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53"/>
        <v>0</v>
      </c>
      <c r="Z3054" s="2" t="s">
        <v>3231</v>
      </c>
      <c r="AA3054" s="2" t="s">
        <v>97</v>
      </c>
      <c r="AB3054" s="2" t="s">
        <v>77</v>
      </c>
      <c r="AC3054" s="2" t="s">
        <v>94</v>
      </c>
      <c r="AF3054" s="2">
        <f t="shared" si="350"/>
        <v>0</v>
      </c>
      <c r="AG3054" s="2">
        <v>1.48</v>
      </c>
      <c r="AH3054" s="2">
        <v>1.48</v>
      </c>
      <c r="AJ3054" s="2">
        <f t="shared" si="351"/>
        <v>0</v>
      </c>
      <c r="AK3054" s="2">
        <f t="shared" si="354"/>
        <v>0</v>
      </c>
      <c r="AL3054" s="5">
        <f t="shared" si="355"/>
        <v>0</v>
      </c>
    </row>
    <row r="3055" spans="1:38" hidden="1" x14ac:dyDescent="0.2">
      <c r="A3055" s="2">
        <v>2026</v>
      </c>
      <c r="B3055" s="2">
        <v>1</v>
      </c>
      <c r="D3055" s="2" t="s">
        <v>817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53"/>
        <v>0</v>
      </c>
      <c r="Z3055" s="2" t="s">
        <v>3231</v>
      </c>
      <c r="AA3055" s="2" t="s">
        <v>97</v>
      </c>
      <c r="AB3055" s="2" t="s">
        <v>77</v>
      </c>
      <c r="AC3055" s="2" t="s">
        <v>94</v>
      </c>
      <c r="AF3055" s="2">
        <f t="shared" si="350"/>
        <v>0</v>
      </c>
      <c r="AJ3055" s="2">
        <f t="shared" si="351"/>
        <v>0</v>
      </c>
      <c r="AK3055" s="2">
        <f t="shared" si="354"/>
        <v>0</v>
      </c>
      <c r="AL3055" s="5">
        <f t="shared" si="355"/>
        <v>0</v>
      </c>
    </row>
    <row r="3056" spans="1:38" hidden="1" x14ac:dyDescent="0.2">
      <c r="A3056" s="2">
        <v>2026</v>
      </c>
      <c r="B3056" s="2">
        <v>1</v>
      </c>
      <c r="D3056" s="2" t="s">
        <v>1568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53"/>
        <v>0</v>
      </c>
      <c r="Z3056" s="2" t="s">
        <v>3231</v>
      </c>
      <c r="AA3056" s="2" t="s">
        <v>97</v>
      </c>
      <c r="AB3056" s="2" t="s">
        <v>77</v>
      </c>
      <c r="AC3056" s="2" t="s">
        <v>94</v>
      </c>
      <c r="AF3056" s="2">
        <f t="shared" si="350"/>
        <v>0</v>
      </c>
      <c r="AJ3056" s="2">
        <f t="shared" si="351"/>
        <v>0</v>
      </c>
      <c r="AK3056" s="2">
        <f t="shared" si="354"/>
        <v>0</v>
      </c>
      <c r="AL3056" s="5">
        <f t="shared" si="355"/>
        <v>0</v>
      </c>
    </row>
    <row r="3057" spans="1:38" hidden="1" x14ac:dyDescent="0.2">
      <c r="A3057" s="2">
        <v>2026</v>
      </c>
      <c r="B3057" s="2">
        <v>1</v>
      </c>
      <c r="D3057" s="2" t="s">
        <v>1028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1029</v>
      </c>
      <c r="J3057" s="2" t="s">
        <v>1030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53"/>
        <v>0</v>
      </c>
      <c r="Z3057" s="2" t="s">
        <v>3231</v>
      </c>
      <c r="AA3057" s="2" t="s">
        <v>97</v>
      </c>
      <c r="AB3057" s="2" t="s">
        <v>77</v>
      </c>
      <c r="AC3057" s="2" t="s">
        <v>94</v>
      </c>
      <c r="AF3057" s="2">
        <f t="shared" si="350"/>
        <v>0</v>
      </c>
      <c r="AJ3057" s="2">
        <f t="shared" si="351"/>
        <v>0</v>
      </c>
      <c r="AK3057" s="2">
        <f t="shared" si="354"/>
        <v>0</v>
      </c>
      <c r="AL3057" s="5">
        <f t="shared" si="355"/>
        <v>0</v>
      </c>
    </row>
    <row r="3058" spans="1:38" hidden="1" x14ac:dyDescent="0.2">
      <c r="A3058" s="2">
        <v>2026</v>
      </c>
      <c r="B3058" s="2">
        <v>1</v>
      </c>
      <c r="D3058" s="2" t="s">
        <v>1597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1598</v>
      </c>
      <c r="J3058" s="2" t="s">
        <v>1599</v>
      </c>
      <c r="L3058" s="2" t="s">
        <v>202</v>
      </c>
      <c r="M3058" s="2" t="s">
        <v>81</v>
      </c>
      <c r="O3058" s="2" t="s">
        <v>2397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53"/>
        <v>0</v>
      </c>
      <c r="Z3058" s="2" t="s">
        <v>3231</v>
      </c>
      <c r="AA3058" s="2" t="s">
        <v>97</v>
      </c>
      <c r="AB3058" s="2" t="s">
        <v>77</v>
      </c>
      <c r="AC3058" s="2" t="s">
        <v>94</v>
      </c>
      <c r="AF3058" s="2">
        <f t="shared" si="350"/>
        <v>0</v>
      </c>
      <c r="AG3058" s="2">
        <v>1.48</v>
      </c>
      <c r="AH3058" s="2">
        <v>1.48</v>
      </c>
      <c r="AJ3058" s="2">
        <f t="shared" si="351"/>
        <v>0</v>
      </c>
      <c r="AK3058" s="2">
        <f t="shared" si="354"/>
        <v>0</v>
      </c>
      <c r="AL3058" s="5">
        <f t="shared" si="355"/>
        <v>0</v>
      </c>
    </row>
    <row r="3059" spans="1:38" hidden="1" x14ac:dyDescent="0.2">
      <c r="A3059" s="2">
        <v>2026</v>
      </c>
      <c r="B3059" s="2">
        <v>1</v>
      </c>
      <c r="D3059" s="2" t="s">
        <v>2407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53"/>
        <v>0</v>
      </c>
      <c r="Z3059" s="2" t="s">
        <v>3231</v>
      </c>
      <c r="AA3059" s="2" t="s">
        <v>97</v>
      </c>
      <c r="AB3059" s="2" t="s">
        <v>77</v>
      </c>
      <c r="AC3059" s="2" t="s">
        <v>94</v>
      </c>
      <c r="AF3059" s="2">
        <f t="shared" si="350"/>
        <v>0</v>
      </c>
      <c r="AJ3059" s="2">
        <f t="shared" si="351"/>
        <v>0</v>
      </c>
      <c r="AK3059" s="2">
        <f t="shared" si="354"/>
        <v>0</v>
      </c>
      <c r="AL3059" s="5">
        <f t="shared" si="355"/>
        <v>0</v>
      </c>
    </row>
    <row r="3060" spans="1:38" hidden="1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53"/>
        <v>0</v>
      </c>
      <c r="Z3060" s="2" t="s">
        <v>3231</v>
      </c>
      <c r="AA3060" s="2" t="s">
        <v>97</v>
      </c>
      <c r="AB3060" s="2" t="s">
        <v>77</v>
      </c>
      <c r="AC3060" s="2" t="s">
        <v>94</v>
      </c>
      <c r="AF3060" s="2">
        <f t="shared" si="350"/>
        <v>0</v>
      </c>
      <c r="AJ3060" s="2">
        <f t="shared" si="351"/>
        <v>0</v>
      </c>
      <c r="AK3060" s="2">
        <f t="shared" si="354"/>
        <v>0</v>
      </c>
      <c r="AL3060" s="5">
        <f t="shared" si="355"/>
        <v>0</v>
      </c>
    </row>
    <row r="3061" spans="1:38" hidden="1" x14ac:dyDescent="0.2">
      <c r="A3061" s="2">
        <v>2026</v>
      </c>
      <c r="B3061" s="2">
        <v>1</v>
      </c>
      <c r="D3061" s="2" t="s">
        <v>1075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53"/>
        <v>0</v>
      </c>
      <c r="Z3061" s="2" t="s">
        <v>3231</v>
      </c>
      <c r="AA3061" s="2" t="s">
        <v>97</v>
      </c>
      <c r="AB3061" s="2" t="s">
        <v>77</v>
      </c>
      <c r="AC3061" s="2" t="s">
        <v>94</v>
      </c>
      <c r="AF3061" s="2">
        <f t="shared" si="350"/>
        <v>0</v>
      </c>
      <c r="AJ3061" s="2">
        <f t="shared" si="351"/>
        <v>0</v>
      </c>
      <c r="AK3061" s="2">
        <f t="shared" si="354"/>
        <v>0</v>
      </c>
      <c r="AL3061" s="5">
        <f t="shared" si="355"/>
        <v>0</v>
      </c>
    </row>
    <row r="3062" spans="1:38" hidden="1" x14ac:dyDescent="0.2">
      <c r="A3062" s="2">
        <v>2026</v>
      </c>
      <c r="B3062" s="2">
        <v>1</v>
      </c>
      <c r="D3062" s="2" t="s">
        <v>1420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2415</v>
      </c>
      <c r="J3062" s="2" t="s">
        <v>2416</v>
      </c>
      <c r="L3062" s="2" t="s">
        <v>202</v>
      </c>
      <c r="M3062" s="2" t="s">
        <v>81</v>
      </c>
      <c r="O3062" s="2" t="s">
        <v>2417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53"/>
        <v>0</v>
      </c>
      <c r="Z3062" s="2" t="s">
        <v>3231</v>
      </c>
      <c r="AA3062" s="2" t="s">
        <v>97</v>
      </c>
      <c r="AB3062" s="2" t="s">
        <v>77</v>
      </c>
      <c r="AC3062" s="2" t="s">
        <v>94</v>
      </c>
      <c r="AF3062" s="2">
        <f t="shared" si="350"/>
        <v>0</v>
      </c>
      <c r="AJ3062" s="2">
        <f t="shared" si="351"/>
        <v>0</v>
      </c>
      <c r="AK3062" s="2">
        <f t="shared" si="354"/>
        <v>0</v>
      </c>
      <c r="AL3062" s="5">
        <f t="shared" si="355"/>
        <v>0</v>
      </c>
    </row>
    <row r="3063" spans="1:38" hidden="1" x14ac:dyDescent="0.2">
      <c r="A3063" s="2">
        <v>2026</v>
      </c>
      <c r="B3063" s="2">
        <v>1</v>
      </c>
      <c r="D3063" s="2" t="s">
        <v>1421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1274</v>
      </c>
      <c r="J3063" s="2" t="s">
        <v>2398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53"/>
        <v>0</v>
      </c>
      <c r="Z3063" s="2" t="s">
        <v>3231</v>
      </c>
      <c r="AA3063" s="2" t="s">
        <v>97</v>
      </c>
      <c r="AB3063" s="2" t="s">
        <v>77</v>
      </c>
      <c r="AC3063" s="2" t="s">
        <v>94</v>
      </c>
      <c r="AF3063" s="2">
        <f t="shared" si="350"/>
        <v>0</v>
      </c>
      <c r="AJ3063" s="2">
        <f t="shared" si="351"/>
        <v>0</v>
      </c>
      <c r="AK3063" s="2">
        <f t="shared" si="354"/>
        <v>0</v>
      </c>
      <c r="AL3063" s="5">
        <f t="shared" si="355"/>
        <v>0</v>
      </c>
    </row>
    <row r="3064" spans="1:38" hidden="1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2399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53"/>
        <v>0</v>
      </c>
      <c r="Z3064" s="2" t="s">
        <v>3231</v>
      </c>
      <c r="AA3064" s="2" t="s">
        <v>97</v>
      </c>
      <c r="AB3064" s="2" t="s">
        <v>77</v>
      </c>
      <c r="AC3064" s="2" t="s">
        <v>94</v>
      </c>
      <c r="AF3064" s="2">
        <f t="shared" si="350"/>
        <v>0</v>
      </c>
      <c r="AG3064" s="2">
        <v>1.48</v>
      </c>
      <c r="AH3064" s="2">
        <v>1.48</v>
      </c>
      <c r="AJ3064" s="2">
        <f t="shared" si="351"/>
        <v>0</v>
      </c>
      <c r="AK3064" s="2">
        <f t="shared" si="354"/>
        <v>0</v>
      </c>
      <c r="AL3064" s="5">
        <f t="shared" si="355"/>
        <v>0</v>
      </c>
    </row>
    <row r="3065" spans="1:38" hidden="1" x14ac:dyDescent="0.2">
      <c r="A3065" s="2">
        <v>2026</v>
      </c>
      <c r="B3065" s="2">
        <v>1</v>
      </c>
      <c r="D3065" s="2" t="s">
        <v>896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53"/>
        <v>0</v>
      </c>
      <c r="Z3065" s="2" t="s">
        <v>3231</v>
      </c>
      <c r="AA3065" s="2" t="s">
        <v>97</v>
      </c>
      <c r="AB3065" s="2" t="s">
        <v>77</v>
      </c>
      <c r="AC3065" s="2" t="s">
        <v>94</v>
      </c>
      <c r="AF3065" s="2">
        <f t="shared" si="350"/>
        <v>0</v>
      </c>
      <c r="AJ3065" s="2">
        <f t="shared" si="351"/>
        <v>0</v>
      </c>
      <c r="AK3065" s="2">
        <f t="shared" si="354"/>
        <v>0</v>
      </c>
      <c r="AL3065" s="5">
        <f t="shared" si="355"/>
        <v>0</v>
      </c>
    </row>
    <row r="3066" spans="1:38" hidden="1" x14ac:dyDescent="0.2">
      <c r="A3066" s="2">
        <v>2026</v>
      </c>
      <c r="B3066" s="2">
        <v>1</v>
      </c>
      <c r="D3066" s="2" t="s">
        <v>2400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53"/>
        <v>0</v>
      </c>
      <c r="Z3066" s="2" t="s">
        <v>3231</v>
      </c>
      <c r="AA3066" s="2" t="s">
        <v>97</v>
      </c>
      <c r="AB3066" s="2" t="s">
        <v>77</v>
      </c>
      <c r="AC3066" s="2" t="s">
        <v>94</v>
      </c>
      <c r="AF3066" s="2">
        <f t="shared" si="350"/>
        <v>0</v>
      </c>
      <c r="AJ3066" s="2">
        <f t="shared" si="351"/>
        <v>0</v>
      </c>
      <c r="AK3066" s="2">
        <f t="shared" si="354"/>
        <v>0</v>
      </c>
      <c r="AL3066" s="5">
        <f t="shared" si="355"/>
        <v>0</v>
      </c>
    </row>
    <row r="3067" spans="1:38" hidden="1" x14ac:dyDescent="0.2">
      <c r="A3067" s="2">
        <v>2026</v>
      </c>
      <c r="B3067" s="2">
        <v>1</v>
      </c>
      <c r="D3067" s="2" t="s">
        <v>1946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53"/>
        <v>0</v>
      </c>
      <c r="Z3067" s="2" t="s">
        <v>3231</v>
      </c>
      <c r="AA3067" s="2" t="s">
        <v>97</v>
      </c>
      <c r="AB3067" s="2" t="s">
        <v>77</v>
      </c>
      <c r="AC3067" s="2" t="s">
        <v>94</v>
      </c>
      <c r="AF3067" s="2">
        <f t="shared" si="350"/>
        <v>0</v>
      </c>
      <c r="AJ3067" s="2">
        <f t="shared" si="351"/>
        <v>0</v>
      </c>
      <c r="AK3067" s="2">
        <f t="shared" si="354"/>
        <v>0</v>
      </c>
      <c r="AL3067" s="5">
        <f t="shared" si="355"/>
        <v>0</v>
      </c>
    </row>
    <row r="3068" spans="1:38" hidden="1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53"/>
        <v>0</v>
      </c>
      <c r="Z3068" s="2" t="s">
        <v>3231</v>
      </c>
      <c r="AA3068" s="2" t="s">
        <v>97</v>
      </c>
      <c r="AB3068" s="2" t="s">
        <v>77</v>
      </c>
      <c r="AC3068" s="2" t="s">
        <v>94</v>
      </c>
      <c r="AF3068" s="2">
        <f t="shared" si="350"/>
        <v>0</v>
      </c>
      <c r="AJ3068" s="2">
        <f t="shared" si="351"/>
        <v>0</v>
      </c>
      <c r="AK3068" s="2">
        <f t="shared" si="354"/>
        <v>0</v>
      </c>
      <c r="AL3068" s="5">
        <f t="shared" si="355"/>
        <v>0</v>
      </c>
    </row>
    <row r="3069" spans="1:38" hidden="1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53"/>
        <v>0</v>
      </c>
      <c r="Z3069" s="2" t="s">
        <v>3231</v>
      </c>
      <c r="AA3069" s="2" t="s">
        <v>97</v>
      </c>
      <c r="AB3069" s="2" t="s">
        <v>77</v>
      </c>
      <c r="AC3069" s="2" t="s">
        <v>94</v>
      </c>
      <c r="AF3069" s="2">
        <f t="shared" si="350"/>
        <v>0</v>
      </c>
      <c r="AJ3069" s="2">
        <f t="shared" si="351"/>
        <v>0</v>
      </c>
      <c r="AK3069" s="2">
        <f t="shared" ref="AK3069:AK3084" si="356">T3069-W3069</f>
        <v>0</v>
      </c>
      <c r="AL3069" s="5">
        <f t="shared" ref="AL3069:AL3084" si="357">(T3069-W3069)/T3069</f>
        <v>0</v>
      </c>
    </row>
    <row r="3070" spans="1:38" hidden="1" x14ac:dyDescent="0.2">
      <c r="A3070" s="2">
        <v>2026</v>
      </c>
      <c r="B3070" s="2">
        <v>1</v>
      </c>
      <c r="D3070" s="2" t="s">
        <v>1297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1298</v>
      </c>
      <c r="L3070" s="2" t="s">
        <v>340</v>
      </c>
      <c r="M3070" s="2" t="s">
        <v>81</v>
      </c>
      <c r="O3070" s="2" t="s">
        <v>2423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53"/>
        <v>0</v>
      </c>
      <c r="Z3070" s="2" t="s">
        <v>3231</v>
      </c>
      <c r="AA3070" s="2" t="s">
        <v>97</v>
      </c>
      <c r="AB3070" s="2" t="s">
        <v>77</v>
      </c>
      <c r="AC3070" s="2" t="s">
        <v>94</v>
      </c>
      <c r="AF3070" s="2">
        <f t="shared" si="350"/>
        <v>0</v>
      </c>
      <c r="AG3070" s="2">
        <v>1.48</v>
      </c>
      <c r="AH3070" s="2">
        <v>1.48</v>
      </c>
      <c r="AJ3070" s="2">
        <f t="shared" si="351"/>
        <v>0</v>
      </c>
      <c r="AK3070" s="2">
        <f t="shared" si="356"/>
        <v>0</v>
      </c>
      <c r="AL3070" s="5">
        <f t="shared" si="357"/>
        <v>0</v>
      </c>
    </row>
    <row r="3071" spans="1:38" hidden="1" x14ac:dyDescent="0.2">
      <c r="A3071" s="2">
        <v>2026</v>
      </c>
      <c r="B3071" s="2">
        <v>1</v>
      </c>
      <c r="D3071" s="2" t="s">
        <v>634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53"/>
        <v>0</v>
      </c>
      <c r="Z3071" s="2" t="s">
        <v>3231</v>
      </c>
      <c r="AA3071" s="2" t="s">
        <v>97</v>
      </c>
      <c r="AB3071" s="2" t="s">
        <v>77</v>
      </c>
      <c r="AC3071" s="2" t="s">
        <v>94</v>
      </c>
      <c r="AF3071" s="2">
        <f t="shared" si="350"/>
        <v>0</v>
      </c>
      <c r="AJ3071" s="2">
        <f t="shared" si="351"/>
        <v>0</v>
      </c>
      <c r="AK3071" s="2">
        <f t="shared" si="356"/>
        <v>0</v>
      </c>
      <c r="AL3071" s="5">
        <f t="shared" si="357"/>
        <v>0</v>
      </c>
    </row>
    <row r="3072" spans="1:38" hidden="1" x14ac:dyDescent="0.2">
      <c r="A3072" s="2">
        <v>2026</v>
      </c>
      <c r="B3072" s="2">
        <v>1</v>
      </c>
      <c r="D3072" s="2" t="s">
        <v>2401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53"/>
        <v>0</v>
      </c>
      <c r="Z3072" s="2" t="s">
        <v>3231</v>
      </c>
      <c r="AA3072" s="2" t="s">
        <v>97</v>
      </c>
      <c r="AB3072" s="2" t="s">
        <v>77</v>
      </c>
      <c r="AC3072" s="2" t="s">
        <v>94</v>
      </c>
      <c r="AF3072" s="2">
        <f t="shared" si="350"/>
        <v>0</v>
      </c>
      <c r="AJ3072" s="2">
        <f t="shared" si="351"/>
        <v>0</v>
      </c>
      <c r="AK3072" s="2">
        <f t="shared" si="356"/>
        <v>0</v>
      </c>
      <c r="AL3072" s="5">
        <f t="shared" si="357"/>
        <v>0</v>
      </c>
    </row>
    <row r="3073" spans="1:38" hidden="1" x14ac:dyDescent="0.2">
      <c r="A3073" s="2">
        <v>2026</v>
      </c>
      <c r="B3073" s="2">
        <v>1</v>
      </c>
      <c r="D3073" s="2" t="s">
        <v>678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679</v>
      </c>
      <c r="J3073" s="2" t="s">
        <v>680</v>
      </c>
      <c r="L3073" s="2" t="s">
        <v>340</v>
      </c>
      <c r="M3073" s="2" t="s">
        <v>81</v>
      </c>
      <c r="O3073" s="2" t="s">
        <v>2429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53"/>
        <v>0</v>
      </c>
      <c r="Z3073" s="2" t="s">
        <v>3231</v>
      </c>
      <c r="AA3073" s="2" t="s">
        <v>97</v>
      </c>
      <c r="AB3073" s="2" t="s">
        <v>77</v>
      </c>
      <c r="AC3073" s="2" t="s">
        <v>94</v>
      </c>
      <c r="AF3073" s="2">
        <f t="shared" si="350"/>
        <v>0</v>
      </c>
      <c r="AJ3073" s="2">
        <f t="shared" si="351"/>
        <v>0</v>
      </c>
      <c r="AK3073" s="2">
        <f t="shared" si="356"/>
        <v>0</v>
      </c>
      <c r="AL3073" s="5">
        <f t="shared" si="357"/>
        <v>0</v>
      </c>
    </row>
    <row r="3074" spans="1:38" hidden="1" x14ac:dyDescent="0.2">
      <c r="A3074" s="2">
        <v>2026</v>
      </c>
      <c r="B3074" s="2">
        <v>1</v>
      </c>
      <c r="D3074" s="2" t="s">
        <v>1888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50"/>
        <v>0</v>
      </c>
      <c r="AJ3074" s="2">
        <f t="shared" si="351"/>
        <v>0</v>
      </c>
      <c r="AK3074" s="2">
        <f t="shared" si="356"/>
        <v>0</v>
      </c>
      <c r="AL3074" s="5" t="e">
        <f t="shared" si="357"/>
        <v>#DIV/0!</v>
      </c>
    </row>
    <row r="3075" spans="1:38" hidden="1" x14ac:dyDescent="0.2">
      <c r="A3075" s="2">
        <v>2026</v>
      </c>
      <c r="B3075" s="2">
        <v>1</v>
      </c>
      <c r="C3075" s="2" t="s">
        <v>3457</v>
      </c>
      <c r="D3075" s="2" t="s">
        <v>1011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1012</v>
      </c>
      <c r="J3075" s="2" t="s">
        <v>1013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Z3075" s="2" t="s">
        <v>118</v>
      </c>
      <c r="AA3075" s="2" t="s">
        <v>318</v>
      </c>
      <c r="AF3075" s="2">
        <f t="shared" ref="AF3075:AF3138" si="358">AJ3075</f>
        <v>0</v>
      </c>
      <c r="AJ3075" s="2">
        <f t="shared" ref="AJ3075:AJ3138" si="359">AI3075*T3075</f>
        <v>0</v>
      </c>
      <c r="AK3075" s="2">
        <f t="shared" si="356"/>
        <v>0</v>
      </c>
    </row>
    <row r="3076" spans="1:38" hidden="1" x14ac:dyDescent="0.2">
      <c r="A3076" s="2">
        <v>2026</v>
      </c>
      <c r="B3076" s="2">
        <v>1</v>
      </c>
      <c r="D3076" s="2" t="s">
        <v>2337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60">(T3076-W3076)/T3076</f>
        <v>1</v>
      </c>
      <c r="Z3076" s="2" t="s">
        <v>120</v>
      </c>
      <c r="AA3076" s="2" t="s">
        <v>3385</v>
      </c>
      <c r="AF3076" s="2">
        <f t="shared" si="358"/>
        <v>0</v>
      </c>
      <c r="AJ3076" s="2">
        <f t="shared" si="359"/>
        <v>0</v>
      </c>
      <c r="AK3076" s="2">
        <f t="shared" si="356"/>
        <v>2.4500000000000002</v>
      </c>
      <c r="AL3076" s="5">
        <f t="shared" si="357"/>
        <v>1</v>
      </c>
    </row>
    <row r="3077" spans="1:38" hidden="1" x14ac:dyDescent="0.2">
      <c r="A3077" s="2">
        <v>2026</v>
      </c>
      <c r="B3077" s="2">
        <v>1</v>
      </c>
      <c r="D3077" s="2" t="s">
        <v>776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777</v>
      </c>
      <c r="J3077" s="2" t="s">
        <v>778</v>
      </c>
      <c r="L3077" s="2" t="s">
        <v>340</v>
      </c>
      <c r="M3077" s="2" t="s">
        <v>40</v>
      </c>
      <c r="O3077" s="2" t="s">
        <v>2308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60"/>
        <v>1</v>
      </c>
      <c r="Z3077" s="2" t="s">
        <v>118</v>
      </c>
      <c r="AA3077" s="2" t="s">
        <v>119</v>
      </c>
      <c r="AF3077" s="2">
        <f t="shared" si="358"/>
        <v>0</v>
      </c>
      <c r="AJ3077" s="2">
        <f t="shared" si="359"/>
        <v>0</v>
      </c>
      <c r="AK3077" s="2">
        <f t="shared" si="356"/>
        <v>2296.8000000000002</v>
      </c>
      <c r="AL3077" s="5">
        <f t="shared" si="357"/>
        <v>1</v>
      </c>
    </row>
    <row r="3078" spans="1:38" hidden="1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2462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60"/>
        <v>1</v>
      </c>
      <c r="Z3078" s="2" t="s">
        <v>3231</v>
      </c>
      <c r="AA3078" s="2" t="s">
        <v>120</v>
      </c>
      <c r="AF3078" s="2">
        <f t="shared" si="358"/>
        <v>0</v>
      </c>
      <c r="AJ3078" s="2">
        <f t="shared" si="359"/>
        <v>0</v>
      </c>
      <c r="AK3078" s="2">
        <f t="shared" si="356"/>
        <v>267.8</v>
      </c>
      <c r="AL3078" s="5">
        <f t="shared" si="357"/>
        <v>1</v>
      </c>
    </row>
    <row r="3079" spans="1:38" hidden="1" x14ac:dyDescent="0.2">
      <c r="A3079" s="2">
        <v>2026</v>
      </c>
      <c r="B3079" s="2">
        <v>1</v>
      </c>
      <c r="D3079" s="2" t="s">
        <v>618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619</v>
      </c>
      <c r="J3079" s="2" t="s">
        <v>620</v>
      </c>
      <c r="L3079" s="2" t="s">
        <v>419</v>
      </c>
      <c r="M3079" s="2" t="s">
        <v>40</v>
      </c>
      <c r="O3079" s="2" t="s">
        <v>2463</v>
      </c>
      <c r="P3079" s="2" t="s">
        <v>115</v>
      </c>
      <c r="Q3079" s="2" t="s">
        <v>2229</v>
      </c>
      <c r="R3079" s="2" t="s">
        <v>2230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60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8"/>
        <v>0</v>
      </c>
      <c r="AG3079" s="2">
        <v>5.35</v>
      </c>
      <c r="AJ3079" s="2">
        <f t="shared" si="359"/>
        <v>0</v>
      </c>
      <c r="AK3079" s="2">
        <f t="shared" si="356"/>
        <v>5.9</v>
      </c>
      <c r="AL3079" s="5">
        <f t="shared" si="357"/>
        <v>0.52444444444444449</v>
      </c>
    </row>
    <row r="3080" spans="1:38" hidden="1" x14ac:dyDescent="0.2">
      <c r="A3080" s="2">
        <v>2026</v>
      </c>
      <c r="B3080" s="2">
        <v>2</v>
      </c>
      <c r="D3080" s="2" t="s">
        <v>2455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2456</v>
      </c>
      <c r="J3080" s="2" t="s">
        <v>2457</v>
      </c>
      <c r="K3080" s="2">
        <v>967554174</v>
      </c>
      <c r="L3080" s="2" t="s">
        <v>134</v>
      </c>
      <c r="M3080" s="2" t="s">
        <v>40</v>
      </c>
      <c r="O3080" s="2" t="s">
        <v>2458</v>
      </c>
      <c r="P3080" s="2" t="s">
        <v>115</v>
      </c>
      <c r="Q3080" s="2" t="s">
        <v>2301</v>
      </c>
      <c r="R3080" s="2" t="s">
        <v>2302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60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8"/>
        <v>0</v>
      </c>
      <c r="AG3080" s="2">
        <v>136.38999999999999</v>
      </c>
      <c r="AJ3080" s="2">
        <f t="shared" si="359"/>
        <v>0</v>
      </c>
      <c r="AK3080" s="2">
        <f t="shared" si="356"/>
        <v>145.72000000000003</v>
      </c>
      <c r="AL3080" s="5">
        <f t="shared" si="357"/>
        <v>0.51653610293857011</v>
      </c>
    </row>
    <row r="3081" spans="1:38" hidden="1" x14ac:dyDescent="0.2">
      <c r="A3081" s="2">
        <v>2026</v>
      </c>
      <c r="B3081" s="2">
        <v>1</v>
      </c>
      <c r="D3081" s="2" t="s">
        <v>782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783</v>
      </c>
      <c r="J3081" s="2" t="s">
        <v>784</v>
      </c>
      <c r="K3081" s="2">
        <v>917341136</v>
      </c>
      <c r="L3081" s="2" t="s">
        <v>100</v>
      </c>
      <c r="M3081" s="2" t="s">
        <v>40</v>
      </c>
      <c r="O3081" s="2" t="s">
        <v>2464</v>
      </c>
      <c r="P3081" s="2" t="s">
        <v>115</v>
      </c>
      <c r="Q3081" s="2" t="s">
        <v>2220</v>
      </c>
      <c r="R3081" s="2" t="s">
        <v>1431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60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8"/>
        <v>0</v>
      </c>
      <c r="AG3081" s="2">
        <v>17.9434</v>
      </c>
      <c r="AJ3081" s="2">
        <f t="shared" si="359"/>
        <v>0</v>
      </c>
      <c r="AK3081" s="2">
        <f t="shared" si="356"/>
        <v>21.106599999999997</v>
      </c>
      <c r="AL3081" s="5">
        <f t="shared" si="357"/>
        <v>0.54050192061459668</v>
      </c>
    </row>
    <row r="3082" spans="1:38" hidden="1" x14ac:dyDescent="0.2">
      <c r="A3082" s="2">
        <v>2026</v>
      </c>
      <c r="B3082" s="2">
        <v>2</v>
      </c>
      <c r="D3082" s="2" t="s">
        <v>2455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2456</v>
      </c>
      <c r="J3082" s="2" t="s">
        <v>2457</v>
      </c>
      <c r="K3082" s="2">
        <v>967554174</v>
      </c>
      <c r="L3082" s="2" t="s">
        <v>134</v>
      </c>
      <c r="M3082" s="2" t="s">
        <v>40</v>
      </c>
      <c r="O3082" s="2" t="s">
        <v>2458</v>
      </c>
      <c r="P3082" s="2" t="s">
        <v>115</v>
      </c>
      <c r="Q3082" s="2" t="s">
        <v>2465</v>
      </c>
      <c r="R3082" s="2" t="s">
        <v>2466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60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8"/>
        <v>0</v>
      </c>
      <c r="AG3082" s="2">
        <v>25.157499999999999</v>
      </c>
      <c r="AJ3082" s="2">
        <f t="shared" si="359"/>
        <v>0</v>
      </c>
      <c r="AK3082" s="2">
        <f t="shared" si="356"/>
        <v>26.452500000000001</v>
      </c>
      <c r="AL3082" s="5">
        <f t="shared" si="357"/>
        <v>0.51254601821352452</v>
      </c>
    </row>
    <row r="3083" spans="1:38" hidden="1" x14ac:dyDescent="0.2">
      <c r="A3083" s="2">
        <v>2026</v>
      </c>
      <c r="B3083" s="2">
        <v>2</v>
      </c>
      <c r="D3083" s="2" t="s">
        <v>2455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2456</v>
      </c>
      <c r="J3083" s="2" t="s">
        <v>2457</v>
      </c>
      <c r="K3083" s="2">
        <v>967554174</v>
      </c>
      <c r="L3083" s="2" t="s">
        <v>134</v>
      </c>
      <c r="M3083" s="2" t="s">
        <v>40</v>
      </c>
      <c r="O3083" s="2" t="s">
        <v>2458</v>
      </c>
      <c r="P3083" s="2" t="s">
        <v>115</v>
      </c>
      <c r="Q3083" s="2" t="s">
        <v>1376</v>
      </c>
      <c r="R3083" s="2" t="s">
        <v>1377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60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8"/>
        <v>0</v>
      </c>
      <c r="AG3083" s="2">
        <v>27.86</v>
      </c>
      <c r="AJ3083" s="2">
        <f t="shared" si="359"/>
        <v>0</v>
      </c>
      <c r="AK3083" s="2">
        <f t="shared" si="356"/>
        <v>61.769999999999996</v>
      </c>
      <c r="AL3083" s="5">
        <f t="shared" si="357"/>
        <v>0.52574687207421911</v>
      </c>
    </row>
    <row r="3084" spans="1:38" hidden="1" x14ac:dyDescent="0.2">
      <c r="A3084" s="2">
        <v>2026</v>
      </c>
      <c r="B3084" s="2">
        <v>1</v>
      </c>
      <c r="D3084" s="2" t="s">
        <v>782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783</v>
      </c>
      <c r="J3084" s="2" t="s">
        <v>784</v>
      </c>
      <c r="K3084" s="2">
        <v>917341136</v>
      </c>
      <c r="L3084" s="2" t="s">
        <v>100</v>
      </c>
      <c r="M3084" s="2" t="s">
        <v>40</v>
      </c>
      <c r="O3084" s="2" t="s">
        <v>2467</v>
      </c>
      <c r="P3084" s="2" t="s">
        <v>115</v>
      </c>
      <c r="Q3084" s="2" t="s">
        <v>2197</v>
      </c>
      <c r="R3084" s="2" t="s">
        <v>2198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60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8"/>
        <v>0</v>
      </c>
      <c r="AG3084" s="2">
        <v>7.2733999999999996</v>
      </c>
      <c r="AJ3084" s="2">
        <f t="shared" si="359"/>
        <v>0</v>
      </c>
      <c r="AK3084" s="2">
        <f t="shared" si="356"/>
        <v>5.6866000000000012</v>
      </c>
      <c r="AL3084" s="5">
        <f t="shared" si="357"/>
        <v>0.43878086419753093</v>
      </c>
    </row>
    <row r="3085" spans="1:38" hidden="1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2447</v>
      </c>
      <c r="P3085" s="2" t="s">
        <v>115</v>
      </c>
      <c r="Q3085" s="2" t="s">
        <v>1518</v>
      </c>
      <c r="R3085" s="2" t="s">
        <v>1519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8"/>
        <v>0</v>
      </c>
      <c r="AG3085" s="2">
        <v>11.246700000000001</v>
      </c>
      <c r="AJ3085" s="2">
        <f t="shared" si="359"/>
        <v>0</v>
      </c>
      <c r="AK3085" s="2">
        <f>T3085-(W3085)</f>
        <v>-33.33</v>
      </c>
      <c r="AL3085" s="5">
        <f>SIGN(T3085)*((ABS(T3085)-W3085)/ABS(T3085))</f>
        <v>-1</v>
      </c>
    </row>
    <row r="3086" spans="1:38" hidden="1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2480</v>
      </c>
      <c r="J3086" s="2" t="s">
        <v>3127</v>
      </c>
      <c r="K3086" s="2">
        <v>965864665</v>
      </c>
      <c r="L3086" s="2" t="s">
        <v>345</v>
      </c>
      <c r="M3086" s="2" t="s">
        <v>40</v>
      </c>
      <c r="O3086" s="2" t="s">
        <v>2481</v>
      </c>
      <c r="P3086" s="2" t="s">
        <v>115</v>
      </c>
      <c r="Q3086" s="2" t="s">
        <v>1518</v>
      </c>
      <c r="R3086" s="2" t="s">
        <v>1519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8"/>
        <v>0</v>
      </c>
      <c r="AG3086" s="2">
        <v>11.246700000000001</v>
      </c>
      <c r="AJ3086" s="2">
        <f t="shared" si="359"/>
        <v>0</v>
      </c>
      <c r="AK3086" s="2">
        <f t="shared" ref="AK3086:AK3098" si="361">T3086-W3086</f>
        <v>12.543299999999999</v>
      </c>
      <c r="AL3086" s="5">
        <f t="shared" ref="AL3086:AL3098" si="362">(T3086-W3086)/T3086</f>
        <v>0.52725094577553588</v>
      </c>
    </row>
    <row r="3087" spans="1:38" hidden="1" x14ac:dyDescent="0.2">
      <c r="A3087" s="2">
        <v>2026</v>
      </c>
      <c r="B3087" s="2">
        <v>2</v>
      </c>
      <c r="D3087" s="2" t="s">
        <v>644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645</v>
      </c>
      <c r="J3087" s="2" t="s">
        <v>646</v>
      </c>
      <c r="K3087" s="2">
        <v>964495536</v>
      </c>
      <c r="L3087" s="2" t="s">
        <v>113</v>
      </c>
      <c r="M3087" s="2" t="s">
        <v>40</v>
      </c>
      <c r="O3087" s="2" t="s">
        <v>2468</v>
      </c>
      <c r="P3087" s="2" t="s">
        <v>115</v>
      </c>
      <c r="Q3087" s="2" t="s">
        <v>2469</v>
      </c>
      <c r="R3087" s="2" t="s">
        <v>2470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8"/>
        <v>0</v>
      </c>
      <c r="AG3087" s="2">
        <v>38.56</v>
      </c>
      <c r="AJ3087" s="2">
        <f t="shared" si="359"/>
        <v>0</v>
      </c>
      <c r="AK3087" s="2">
        <f t="shared" si="361"/>
        <v>28.289999999999992</v>
      </c>
      <c r="AL3087" s="5">
        <f t="shared" si="362"/>
        <v>0.42318623784592363</v>
      </c>
    </row>
    <row r="3088" spans="1:38" hidden="1" x14ac:dyDescent="0.2">
      <c r="A3088" s="2">
        <v>2026</v>
      </c>
      <c r="B3088" s="2">
        <v>2</v>
      </c>
      <c r="D3088" s="2" t="s">
        <v>644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645</v>
      </c>
      <c r="J3088" s="2" t="s">
        <v>646</v>
      </c>
      <c r="K3088" s="2">
        <v>964495536</v>
      </c>
      <c r="L3088" s="2" t="s">
        <v>113</v>
      </c>
      <c r="M3088" s="2" t="s">
        <v>40</v>
      </c>
      <c r="O3088" s="2" t="s">
        <v>2471</v>
      </c>
      <c r="P3088" s="2" t="s">
        <v>115</v>
      </c>
      <c r="Q3088" s="2" t="s">
        <v>2472</v>
      </c>
      <c r="R3088" s="2" t="s">
        <v>2473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8"/>
        <v>0</v>
      </c>
      <c r="AG3088" s="2">
        <v>84.95</v>
      </c>
      <c r="AJ3088" s="2">
        <f t="shared" si="359"/>
        <v>0</v>
      </c>
      <c r="AK3088" s="2">
        <f t="shared" si="361"/>
        <v>66.95</v>
      </c>
      <c r="AL3088" s="5">
        <f t="shared" si="362"/>
        <v>0.44075049374588543</v>
      </c>
    </row>
    <row r="3089" spans="1:38" hidden="1" x14ac:dyDescent="0.2">
      <c r="A3089" s="2">
        <v>2026</v>
      </c>
      <c r="B3089" s="2">
        <v>2</v>
      </c>
      <c r="C3089" s="2" t="s">
        <v>3460</v>
      </c>
      <c r="D3089" s="2" t="s">
        <v>625</v>
      </c>
      <c r="E3089" s="2" t="s">
        <v>38</v>
      </c>
      <c r="F3089" s="2" t="s">
        <v>39</v>
      </c>
      <c r="G3089" s="2" t="s">
        <v>626</v>
      </c>
      <c r="H3089" s="2" t="s">
        <v>40</v>
      </c>
      <c r="I3089" s="2" t="s">
        <v>627</v>
      </c>
      <c r="J3089" s="2" t="s">
        <v>628</v>
      </c>
      <c r="L3089" s="2" t="s">
        <v>627</v>
      </c>
      <c r="M3089" s="2" t="s">
        <v>40</v>
      </c>
      <c r="O3089" s="2" t="s">
        <v>2474</v>
      </c>
      <c r="P3089" s="2" t="s">
        <v>115</v>
      </c>
      <c r="Q3089" s="2" t="s">
        <v>2475</v>
      </c>
      <c r="R3089" s="2" t="s">
        <v>2476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8"/>
        <v>0</v>
      </c>
      <c r="AG3089" s="2">
        <v>314.88499999999999</v>
      </c>
      <c r="AJ3089" s="2">
        <f t="shared" si="359"/>
        <v>0</v>
      </c>
      <c r="AK3089" s="2">
        <f t="shared" si="361"/>
        <v>229.67499999999995</v>
      </c>
      <c r="AL3089" s="5">
        <f t="shared" si="362"/>
        <v>0.42176252387248414</v>
      </c>
    </row>
    <row r="3090" spans="1:38" hidden="1" x14ac:dyDescent="0.2">
      <c r="A3090" s="2">
        <v>2026</v>
      </c>
      <c r="B3090" s="2">
        <v>1</v>
      </c>
      <c r="D3090" s="2" t="s">
        <v>776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777</v>
      </c>
      <c r="J3090" s="2" t="s">
        <v>778</v>
      </c>
      <c r="L3090" s="2" t="s">
        <v>340</v>
      </c>
      <c r="M3090" s="2" t="s">
        <v>40</v>
      </c>
      <c r="O3090" s="2" t="s">
        <v>2477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8"/>
        <v>0</v>
      </c>
      <c r="AJ3090" s="2">
        <f t="shared" si="359"/>
        <v>0</v>
      </c>
      <c r="AK3090" s="2">
        <f t="shared" si="361"/>
        <v>0</v>
      </c>
      <c r="AL3090" s="5" t="e">
        <f t="shared" si="362"/>
        <v>#DIV/0!</v>
      </c>
    </row>
    <row r="3091" spans="1:38" hidden="1" x14ac:dyDescent="0.2">
      <c r="A3091" s="2">
        <v>2026</v>
      </c>
      <c r="B3091" s="2">
        <v>1</v>
      </c>
      <c r="D3091" s="2" t="s">
        <v>776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777</v>
      </c>
      <c r="J3091" s="2" t="s">
        <v>778</v>
      </c>
      <c r="L3091" s="2" t="s">
        <v>340</v>
      </c>
      <c r="M3091" s="2" t="s">
        <v>40</v>
      </c>
      <c r="O3091" s="2" t="s">
        <v>2478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63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8"/>
        <v>0</v>
      </c>
      <c r="AG3091" s="2">
        <v>246.77</v>
      </c>
      <c r="AJ3091" s="2">
        <f t="shared" si="359"/>
        <v>0</v>
      </c>
      <c r="AK3091" s="2">
        <f t="shared" si="361"/>
        <v>271.52</v>
      </c>
      <c r="AL3091" s="5">
        <f t="shared" si="362"/>
        <v>0.52387659418472288</v>
      </c>
    </row>
    <row r="3092" spans="1:38" hidden="1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3119</v>
      </c>
      <c r="J3092" s="2" t="s">
        <v>3120</v>
      </c>
      <c r="L3092" s="2" t="s">
        <v>113</v>
      </c>
      <c r="M3092" s="2" t="s">
        <v>40</v>
      </c>
      <c r="O3092" s="2" t="s">
        <v>2479</v>
      </c>
      <c r="P3092" s="2" t="s">
        <v>115</v>
      </c>
      <c r="Q3092" s="2" t="s">
        <v>879</v>
      </c>
      <c r="R3092" s="2" t="s">
        <v>880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63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8"/>
        <v>0</v>
      </c>
      <c r="AG3092" s="2">
        <v>615.6</v>
      </c>
      <c r="AJ3092" s="2">
        <f t="shared" si="359"/>
        <v>0</v>
      </c>
      <c r="AK3092" s="2">
        <f t="shared" si="361"/>
        <v>174.39999999999998</v>
      </c>
      <c r="AL3092" s="5">
        <f t="shared" si="362"/>
        <v>0.22075949367088604</v>
      </c>
    </row>
    <row r="3093" spans="1:38" hidden="1" x14ac:dyDescent="0.2">
      <c r="A3093" s="2">
        <v>2026</v>
      </c>
      <c r="B3093" s="2">
        <v>1</v>
      </c>
      <c r="D3093" s="2" t="s">
        <v>782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783</v>
      </c>
      <c r="J3093" s="2" t="s">
        <v>784</v>
      </c>
      <c r="K3093" s="2">
        <v>917341136</v>
      </c>
      <c r="L3093" s="2" t="s">
        <v>100</v>
      </c>
      <c r="M3093" s="2" t="s">
        <v>40</v>
      </c>
      <c r="O3093" s="2" t="s">
        <v>2467</v>
      </c>
      <c r="P3093" s="2" t="s">
        <v>115</v>
      </c>
      <c r="Q3093" s="2" t="s">
        <v>955</v>
      </c>
      <c r="R3093" s="2" t="s">
        <v>956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63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8"/>
        <v>0</v>
      </c>
      <c r="AG3093" s="2">
        <f>14.4+0.27</f>
        <v>14.67</v>
      </c>
      <c r="AJ3093" s="2">
        <f t="shared" si="359"/>
        <v>0</v>
      </c>
      <c r="AK3093" s="2">
        <f t="shared" si="361"/>
        <v>30.509999999999998</v>
      </c>
      <c r="AL3093" s="5">
        <f t="shared" si="362"/>
        <v>0.40942028985507245</v>
      </c>
    </row>
    <row r="3094" spans="1:38" hidden="1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2480</v>
      </c>
      <c r="J3094" s="2" t="s">
        <v>3127</v>
      </c>
      <c r="K3094" s="2">
        <v>965864665</v>
      </c>
      <c r="L3094" s="2" t="s">
        <v>345</v>
      </c>
      <c r="M3094" s="2" t="s">
        <v>40</v>
      </c>
      <c r="O3094" s="2" t="s">
        <v>2481</v>
      </c>
      <c r="P3094" s="2" t="s">
        <v>115</v>
      </c>
      <c r="Q3094" s="2" t="s">
        <v>1081</v>
      </c>
      <c r="R3094" s="2" t="s">
        <v>1082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63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8"/>
        <v>0</v>
      </c>
      <c r="AG3094" s="2">
        <v>37.96</v>
      </c>
      <c r="AJ3094" s="2">
        <f t="shared" si="359"/>
        <v>0</v>
      </c>
      <c r="AK3094" s="2">
        <f t="shared" si="361"/>
        <v>39.520000000000003</v>
      </c>
      <c r="AL3094" s="5">
        <f t="shared" si="362"/>
        <v>0.51006711409395977</v>
      </c>
    </row>
    <row r="3095" spans="1:38" hidden="1" x14ac:dyDescent="0.2">
      <c r="A3095" s="2">
        <v>2026</v>
      </c>
      <c r="B3095" s="2">
        <v>1</v>
      </c>
      <c r="D3095" s="2" t="s">
        <v>1152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2482</v>
      </c>
      <c r="J3095" s="2" t="s">
        <v>1475</v>
      </c>
      <c r="K3095" s="2">
        <v>938183284</v>
      </c>
      <c r="L3095" s="2" t="s">
        <v>134</v>
      </c>
      <c r="M3095" s="2" t="s">
        <v>40</v>
      </c>
      <c r="O3095" s="2" t="s">
        <v>2483</v>
      </c>
      <c r="P3095" s="2" t="s">
        <v>115</v>
      </c>
      <c r="Q3095" s="2" t="s">
        <v>2484</v>
      </c>
      <c r="R3095" s="2" t="s">
        <v>1389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63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8"/>
        <v>0</v>
      </c>
      <c r="AG3095" s="2">
        <v>222.18</v>
      </c>
      <c r="AJ3095" s="2">
        <f t="shared" si="359"/>
        <v>0</v>
      </c>
      <c r="AK3095" s="2">
        <f t="shared" si="361"/>
        <v>244.39999999999998</v>
      </c>
      <c r="AL3095" s="5">
        <f t="shared" si="362"/>
        <v>0.52381156500492942</v>
      </c>
    </row>
    <row r="3096" spans="1:38" hidden="1" x14ac:dyDescent="0.2">
      <c r="A3096" s="2">
        <v>2026</v>
      </c>
      <c r="B3096" s="2">
        <v>2</v>
      </c>
      <c r="C3096" s="2" t="s">
        <v>3460</v>
      </c>
      <c r="D3096" s="2" t="s">
        <v>625</v>
      </c>
      <c r="E3096" s="2" t="s">
        <v>38</v>
      </c>
      <c r="F3096" s="2" t="s">
        <v>39</v>
      </c>
      <c r="G3096" s="2" t="s">
        <v>626</v>
      </c>
      <c r="H3096" s="2" t="s">
        <v>40</v>
      </c>
      <c r="I3096" s="2" t="s">
        <v>627</v>
      </c>
      <c r="J3096" s="2" t="s">
        <v>628</v>
      </c>
      <c r="L3096" s="2" t="s">
        <v>627</v>
      </c>
      <c r="M3096" s="2" t="s">
        <v>40</v>
      </c>
      <c r="O3096" s="2" t="s">
        <v>2474</v>
      </c>
      <c r="P3096" s="2" t="s">
        <v>115</v>
      </c>
      <c r="Q3096" s="2" t="s">
        <v>906</v>
      </c>
      <c r="R3096" s="2" t="s">
        <v>907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363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8"/>
        <v>0</v>
      </c>
      <c r="AG3096" s="2">
        <v>342.22</v>
      </c>
      <c r="AJ3096" s="2">
        <f t="shared" si="359"/>
        <v>0</v>
      </c>
      <c r="AK3096" s="2">
        <f t="shared" si="361"/>
        <v>120.4966</v>
      </c>
      <c r="AL3096" s="5">
        <f t="shared" si="362"/>
        <v>0.25874296757569254</v>
      </c>
    </row>
    <row r="3097" spans="1:38" hidden="1" x14ac:dyDescent="0.2">
      <c r="A3097" s="2">
        <v>2026</v>
      </c>
      <c r="B3097" s="2">
        <v>2</v>
      </c>
      <c r="D3097" s="2" t="s">
        <v>2291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2292</v>
      </c>
      <c r="L3097" s="2" t="s">
        <v>202</v>
      </c>
      <c r="M3097" s="2" t="s">
        <v>40</v>
      </c>
      <c r="O3097" s="2" t="s">
        <v>2293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63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8"/>
        <v>0</v>
      </c>
      <c r="AG3097" s="2">
        <v>343.38569999999999</v>
      </c>
      <c r="AJ3097" s="2">
        <f t="shared" si="359"/>
        <v>0</v>
      </c>
      <c r="AK3097" s="2">
        <f t="shared" si="361"/>
        <v>355.72999999999996</v>
      </c>
      <c r="AL3097" s="5">
        <f t="shared" si="362"/>
        <v>0.50869440869440863</v>
      </c>
    </row>
    <row r="3098" spans="1:38" hidden="1" x14ac:dyDescent="0.2">
      <c r="A3098" s="2">
        <v>2026</v>
      </c>
      <c r="B3098" s="2">
        <v>2</v>
      </c>
      <c r="D3098" s="2" t="s">
        <v>2294</v>
      </c>
      <c r="E3098" s="2" t="s">
        <v>38</v>
      </c>
      <c r="G3098" s="2">
        <v>509800696</v>
      </c>
      <c r="H3098" s="2" t="s">
        <v>291</v>
      </c>
      <c r="I3098" s="2" t="s">
        <v>2295</v>
      </c>
      <c r="J3098" s="2" t="s">
        <v>2296</v>
      </c>
      <c r="K3098" s="2">
        <v>930444437</v>
      </c>
      <c r="L3098" s="2" t="s">
        <v>2295</v>
      </c>
      <c r="M3098" s="2" t="s">
        <v>40</v>
      </c>
      <c r="O3098" s="2" t="s">
        <v>2297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63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8"/>
        <v>0</v>
      </c>
      <c r="AG3098" s="2">
        <v>343.38569999999999</v>
      </c>
      <c r="AJ3098" s="2">
        <f t="shared" si="359"/>
        <v>0</v>
      </c>
      <c r="AK3098" s="2">
        <f t="shared" si="361"/>
        <v>511.62860000000001</v>
      </c>
      <c r="AL3098" s="5">
        <f t="shared" si="362"/>
        <v>0.42678395061728397</v>
      </c>
    </row>
    <row r="3099" spans="1:38" hidden="1" x14ac:dyDescent="0.2">
      <c r="A3099" s="2">
        <v>2026</v>
      </c>
      <c r="B3099" s="2">
        <v>2</v>
      </c>
      <c r="D3099" s="2" t="s">
        <v>2331</v>
      </c>
      <c r="I3099" s="2" t="s">
        <v>805</v>
      </c>
      <c r="L3099" s="2" t="s">
        <v>100</v>
      </c>
      <c r="M3099" s="2" t="s">
        <v>40</v>
      </c>
      <c r="O3099" s="2" t="s">
        <v>2485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8"/>
        <v>0</v>
      </c>
      <c r="AG3099" s="2">
        <v>343.38569999999999</v>
      </c>
      <c r="AJ3099" s="2">
        <f t="shared" si="359"/>
        <v>0</v>
      </c>
    </row>
    <row r="3100" spans="1:38" hidden="1" x14ac:dyDescent="0.2">
      <c r="A3100" s="2">
        <v>2026</v>
      </c>
      <c r="B3100" s="2">
        <v>2</v>
      </c>
      <c r="D3100" s="2" t="s">
        <v>2486</v>
      </c>
      <c r="M3100" s="2" t="s">
        <v>40</v>
      </c>
      <c r="O3100" s="2" t="s">
        <v>2487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64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8"/>
        <v>0</v>
      </c>
      <c r="AG3100" s="2">
        <v>343.38569999999999</v>
      </c>
      <c r="AJ3100" s="2">
        <f t="shared" si="359"/>
        <v>0</v>
      </c>
      <c r="AK3100" s="2">
        <f t="shared" ref="AK3100:AK3131" si="365">T3100-W3100</f>
        <v>352.72999999999996</v>
      </c>
      <c r="AL3100" s="5">
        <f t="shared" ref="AL3100:AL3131" si="366">(T3100-W3100)/T3100</f>
        <v>0.50440440440440437</v>
      </c>
    </row>
    <row r="3101" spans="1:38" hidden="1" x14ac:dyDescent="0.2">
      <c r="A3101" s="2">
        <v>2026</v>
      </c>
      <c r="B3101" s="2">
        <v>2</v>
      </c>
      <c r="D3101" s="2" t="s">
        <v>745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746</v>
      </c>
      <c r="J3101" s="2" t="s">
        <v>747</v>
      </c>
      <c r="K3101" s="2">
        <v>962372760</v>
      </c>
      <c r="L3101" s="2" t="s">
        <v>202</v>
      </c>
      <c r="M3101" s="2" t="s">
        <v>40</v>
      </c>
      <c r="O3101" s="2" t="s">
        <v>2488</v>
      </c>
      <c r="P3101" s="2" t="s">
        <v>115</v>
      </c>
      <c r="Q3101" s="2" t="s">
        <v>1426</v>
      </c>
      <c r="R3101" s="2" t="s">
        <v>1427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64"/>
        <v>0.45541480842983673</v>
      </c>
      <c r="Z3101" s="2" t="s">
        <v>118</v>
      </c>
      <c r="AA3101" s="2" t="s">
        <v>617</v>
      </c>
      <c r="AB3101" s="2" t="s">
        <v>959</v>
      </c>
      <c r="AC3101" s="2" t="s">
        <v>115</v>
      </c>
      <c r="AF3101" s="2">
        <f t="shared" si="358"/>
        <v>0</v>
      </c>
      <c r="AG3101" s="2">
        <f>868.26+3.61</f>
        <v>871.87</v>
      </c>
      <c r="AJ3101" s="2">
        <f t="shared" si="359"/>
        <v>0</v>
      </c>
      <c r="AK3101" s="2">
        <f t="shared" si="365"/>
        <v>729.11</v>
      </c>
      <c r="AL3101" s="5">
        <f t="shared" si="366"/>
        <v>0.45541480842983673</v>
      </c>
    </row>
    <row r="3102" spans="1:38" hidden="1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2489</v>
      </c>
      <c r="P3102" s="2" t="s">
        <v>115</v>
      </c>
      <c r="Q3102" s="2" t="s">
        <v>2490</v>
      </c>
      <c r="R3102" s="2" t="s">
        <v>2491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64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8"/>
        <v>0</v>
      </c>
      <c r="AG3102" s="2">
        <v>102.88249999999999</v>
      </c>
      <c r="AJ3102" s="2">
        <f t="shared" si="359"/>
        <v>0</v>
      </c>
      <c r="AK3102" s="2">
        <f t="shared" si="365"/>
        <v>112.075</v>
      </c>
      <c r="AL3102" s="5">
        <f t="shared" si="366"/>
        <v>0.52137606996650543</v>
      </c>
    </row>
    <row r="3103" spans="1:38" hidden="1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2492</v>
      </c>
      <c r="P3103" s="2" t="s">
        <v>115</v>
      </c>
      <c r="Q3103" s="2" t="s">
        <v>2493</v>
      </c>
      <c r="R3103" s="2" t="s">
        <v>2494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64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8"/>
        <v>0</v>
      </c>
      <c r="AG3103" s="2">
        <v>15</v>
      </c>
      <c r="AJ3103" s="2">
        <f t="shared" si="359"/>
        <v>0</v>
      </c>
      <c r="AK3103" s="2">
        <f t="shared" si="365"/>
        <v>13.350000000000001</v>
      </c>
      <c r="AL3103" s="5">
        <f t="shared" si="366"/>
        <v>0.47089947089947093</v>
      </c>
    </row>
    <row r="3104" spans="1:38" hidden="1" x14ac:dyDescent="0.2">
      <c r="A3104" s="2">
        <v>2026</v>
      </c>
      <c r="B3104" s="2">
        <v>2</v>
      </c>
      <c r="D3104" s="2" t="s">
        <v>2495</v>
      </c>
      <c r="M3104" s="2" t="s">
        <v>40</v>
      </c>
      <c r="O3104" s="2" t="s">
        <v>2496</v>
      </c>
      <c r="P3104" s="2" t="s">
        <v>115</v>
      </c>
      <c r="Q3104" s="2" t="s">
        <v>2497</v>
      </c>
      <c r="R3104" s="2" t="s">
        <v>2498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64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8"/>
        <v>0</v>
      </c>
      <c r="AG3104" s="2">
        <v>43.23</v>
      </c>
      <c r="AJ3104" s="2">
        <f t="shared" si="359"/>
        <v>0</v>
      </c>
      <c r="AK3104" s="2">
        <f t="shared" si="365"/>
        <v>44.07</v>
      </c>
      <c r="AL3104" s="5">
        <f t="shared" si="366"/>
        <v>0.50481099656357387</v>
      </c>
    </row>
    <row r="3105" spans="1:38" hidden="1" x14ac:dyDescent="0.2">
      <c r="A3105" s="2">
        <v>2026</v>
      </c>
      <c r="B3105" s="2">
        <v>2</v>
      </c>
      <c r="C3105" s="2" t="s">
        <v>3325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2499</v>
      </c>
      <c r="R3105" s="2" t="s">
        <v>2500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364"/>
        <v>0.29392436974789915</v>
      </c>
      <c r="Z3105" s="2" t="s">
        <v>105</v>
      </c>
      <c r="AA3105" s="2" t="s">
        <v>579</v>
      </c>
      <c r="AB3105" s="2" t="s">
        <v>120</v>
      </c>
      <c r="AC3105" s="2" t="s">
        <v>115</v>
      </c>
      <c r="AF3105" s="2">
        <f t="shared" si="358"/>
        <v>0</v>
      </c>
      <c r="AJ3105" s="2">
        <f t="shared" si="359"/>
        <v>0</v>
      </c>
      <c r="AK3105" s="2">
        <f t="shared" si="365"/>
        <v>349.77</v>
      </c>
      <c r="AL3105" s="5">
        <f t="shared" si="366"/>
        <v>0.29392436974789915</v>
      </c>
    </row>
    <row r="3106" spans="1:38" hidden="1" x14ac:dyDescent="0.2">
      <c r="A3106" s="2">
        <v>2026</v>
      </c>
      <c r="B3106" s="2">
        <v>2</v>
      </c>
      <c r="D3106" s="2" t="s">
        <v>782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783</v>
      </c>
      <c r="J3106" s="2" t="s">
        <v>784</v>
      </c>
      <c r="K3106" s="2">
        <v>917341136</v>
      </c>
      <c r="L3106" s="2" t="s">
        <v>100</v>
      </c>
      <c r="P3106" s="2" t="s">
        <v>115</v>
      </c>
      <c r="Q3106" s="2" t="s">
        <v>1334</v>
      </c>
      <c r="R3106" s="2" t="s">
        <v>1335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64"/>
        <v>1</v>
      </c>
      <c r="Z3106" s="2" t="s">
        <v>118</v>
      </c>
      <c r="AF3106" s="2">
        <f t="shared" si="358"/>
        <v>0</v>
      </c>
      <c r="AJ3106" s="2">
        <f t="shared" si="359"/>
        <v>0</v>
      </c>
      <c r="AK3106" s="2">
        <f t="shared" si="365"/>
        <v>60.1</v>
      </c>
      <c r="AL3106" s="5">
        <f t="shared" si="366"/>
        <v>1</v>
      </c>
    </row>
    <row r="3107" spans="1:38" hidden="1" x14ac:dyDescent="0.2">
      <c r="A3107" s="2">
        <v>2026</v>
      </c>
      <c r="B3107" s="2">
        <v>2</v>
      </c>
      <c r="D3107" s="2" t="s">
        <v>2446</v>
      </c>
      <c r="P3107" s="2" t="s">
        <v>115</v>
      </c>
      <c r="Q3107" s="2" t="s">
        <v>2501</v>
      </c>
      <c r="R3107" s="2" t="s">
        <v>2502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64"/>
        <v>1</v>
      </c>
      <c r="Z3107" s="2" t="s">
        <v>118</v>
      </c>
      <c r="AF3107" s="2">
        <f t="shared" si="358"/>
        <v>0</v>
      </c>
      <c r="AJ3107" s="2">
        <f t="shared" si="359"/>
        <v>0</v>
      </c>
      <c r="AK3107" s="2">
        <f t="shared" si="365"/>
        <v>3754.3</v>
      </c>
      <c r="AL3107" s="5">
        <f t="shared" si="366"/>
        <v>1</v>
      </c>
    </row>
    <row r="3108" spans="1:38" hidden="1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64"/>
        <v>1</v>
      </c>
      <c r="Z3108" s="2" t="s">
        <v>118</v>
      </c>
      <c r="AF3108" s="2">
        <f t="shared" si="358"/>
        <v>0</v>
      </c>
      <c r="AJ3108" s="2">
        <f t="shared" si="359"/>
        <v>0</v>
      </c>
      <c r="AK3108" s="2">
        <f t="shared" si="365"/>
        <v>79.47</v>
      </c>
      <c r="AL3108" s="5">
        <f t="shared" si="366"/>
        <v>1</v>
      </c>
    </row>
    <row r="3109" spans="1:38" hidden="1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2503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64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8"/>
        <v>0</v>
      </c>
      <c r="AG3109" s="2">
        <v>25.2</v>
      </c>
      <c r="AJ3109" s="2">
        <f t="shared" si="359"/>
        <v>0</v>
      </c>
      <c r="AK3109" s="2">
        <f t="shared" si="365"/>
        <v>54.269999999999996</v>
      </c>
      <c r="AL3109" s="5">
        <f t="shared" si="366"/>
        <v>0.68289920724801811</v>
      </c>
    </row>
    <row r="3110" spans="1:38" hidden="1" x14ac:dyDescent="0.2">
      <c r="A3110" s="2">
        <v>2026</v>
      </c>
      <c r="B3110" s="2">
        <v>2</v>
      </c>
      <c r="C3110" s="2" t="s">
        <v>3325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1526</v>
      </c>
      <c r="R3110" s="2" t="s">
        <v>1527</v>
      </c>
      <c r="S3110" s="2">
        <v>1</v>
      </c>
      <c r="T3110" s="2">
        <v>0</v>
      </c>
      <c r="U3110" s="2">
        <v>0</v>
      </c>
      <c r="V3110" s="2">
        <v>0</v>
      </c>
      <c r="Z3110" s="2" t="s">
        <v>105</v>
      </c>
      <c r="AA3110" s="2" t="s">
        <v>579</v>
      </c>
      <c r="AB3110" s="2" t="s">
        <v>120</v>
      </c>
      <c r="AC3110" s="2" t="s">
        <v>115</v>
      </c>
      <c r="AF3110" s="2">
        <f t="shared" si="358"/>
        <v>0</v>
      </c>
      <c r="AJ3110" s="2">
        <f t="shared" si="359"/>
        <v>0</v>
      </c>
      <c r="AK3110" s="2">
        <f t="shared" si="365"/>
        <v>0</v>
      </c>
    </row>
    <row r="3111" spans="1:38" hidden="1" x14ac:dyDescent="0.2">
      <c r="A3111" s="2">
        <v>2026</v>
      </c>
      <c r="B3111" s="2">
        <v>2</v>
      </c>
      <c r="D3111" s="2" t="s">
        <v>1356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2504</v>
      </c>
      <c r="J3111" s="2" t="s">
        <v>2505</v>
      </c>
      <c r="L3111" s="2" t="s">
        <v>294</v>
      </c>
      <c r="P3111" s="2" t="s">
        <v>115</v>
      </c>
      <c r="Q3111" s="2" t="s">
        <v>2506</v>
      </c>
      <c r="R3111" s="2" t="s">
        <v>2507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7">(T3111-W3111)/T3111</f>
        <v>1</v>
      </c>
      <c r="Z3111" s="2" t="s">
        <v>118</v>
      </c>
      <c r="AF3111" s="2">
        <f t="shared" si="358"/>
        <v>0</v>
      </c>
      <c r="AJ3111" s="2">
        <f t="shared" si="359"/>
        <v>0</v>
      </c>
      <c r="AK3111" s="2">
        <f t="shared" si="365"/>
        <v>1594.72</v>
      </c>
      <c r="AL3111" s="5">
        <f t="shared" si="366"/>
        <v>1</v>
      </c>
    </row>
    <row r="3112" spans="1:38" hidden="1" x14ac:dyDescent="0.2">
      <c r="A3112" s="2">
        <v>2026</v>
      </c>
      <c r="B3112" s="2">
        <v>2</v>
      </c>
      <c r="C3112" s="2" t="s">
        <v>3325</v>
      </c>
      <c r="D3112" s="2" t="s">
        <v>3247</v>
      </c>
      <c r="E3112" s="2" t="s">
        <v>753</v>
      </c>
      <c r="F3112" s="2" t="s">
        <v>39</v>
      </c>
      <c r="L3112" s="2" t="s">
        <v>345</v>
      </c>
      <c r="M3112" s="2" t="s">
        <v>40</v>
      </c>
      <c r="O3112" s="2" t="s">
        <v>2508</v>
      </c>
      <c r="P3112" s="2" t="s">
        <v>115</v>
      </c>
      <c r="Q3112" s="2" t="s">
        <v>1185</v>
      </c>
      <c r="R3112" s="2" t="s">
        <v>1186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7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8"/>
        <v>0</v>
      </c>
      <c r="AG3112" s="2">
        <v>7437.5950000000003</v>
      </c>
      <c r="AJ3112" s="2">
        <f t="shared" si="359"/>
        <v>0</v>
      </c>
      <c r="AK3112" s="2">
        <f t="shared" si="365"/>
        <v>4552.4049999999997</v>
      </c>
      <c r="AL3112" s="5">
        <f t="shared" si="366"/>
        <v>0.3796834862385321</v>
      </c>
    </row>
    <row r="3113" spans="1:38" hidden="1" x14ac:dyDescent="0.2">
      <c r="A3113" s="2">
        <v>2026</v>
      </c>
      <c r="B3113" s="2">
        <v>2</v>
      </c>
      <c r="C3113" s="2" t="s">
        <v>3325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M3113" s="2" t="s">
        <v>41</v>
      </c>
      <c r="P3113" s="2" t="s">
        <v>115</v>
      </c>
      <c r="Q3113" s="2" t="s">
        <v>837</v>
      </c>
      <c r="R3113" s="2" t="s">
        <v>838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7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8"/>
        <v>0</v>
      </c>
      <c r="AJ3113" s="2">
        <f t="shared" si="359"/>
        <v>0</v>
      </c>
      <c r="AK3113" s="2">
        <f t="shared" si="365"/>
        <v>4400.1200000000008</v>
      </c>
      <c r="AL3113" s="5">
        <f t="shared" si="366"/>
        <v>0.31451894210150111</v>
      </c>
    </row>
    <row r="3114" spans="1:38" hidden="1" x14ac:dyDescent="0.2">
      <c r="A3114" s="2">
        <v>2026</v>
      </c>
      <c r="B3114" s="2">
        <v>1</v>
      </c>
      <c r="C3114" s="2" t="s">
        <v>3331</v>
      </c>
      <c r="D3114" s="2" t="s">
        <v>3246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2509</v>
      </c>
      <c r="P3114" s="2" t="s">
        <v>115</v>
      </c>
      <c r="Q3114" s="2" t="s">
        <v>957</v>
      </c>
      <c r="R3114" s="2" t="s">
        <v>958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7"/>
        <v>0.27561814109742444</v>
      </c>
      <c r="Z3114" s="2" t="s">
        <v>105</v>
      </c>
      <c r="AA3114" s="2" t="s">
        <v>617</v>
      </c>
      <c r="AB3114" s="2" t="s">
        <v>959</v>
      </c>
      <c r="AC3114" s="2" t="s">
        <v>115</v>
      </c>
      <c r="AF3114" s="2">
        <f t="shared" si="358"/>
        <v>0</v>
      </c>
      <c r="AG3114" s="2">
        <f>6193.4+275.33</f>
        <v>6468.73</v>
      </c>
      <c r="AJ3114" s="2">
        <f t="shared" si="359"/>
        <v>0</v>
      </c>
      <c r="AK3114" s="2">
        <f t="shared" si="365"/>
        <v>2461.2700000000004</v>
      </c>
      <c r="AL3114" s="5">
        <f t="shared" si="366"/>
        <v>0.27561814109742444</v>
      </c>
    </row>
    <row r="3115" spans="1:38" hidden="1" x14ac:dyDescent="0.2">
      <c r="A3115" s="2">
        <v>2026</v>
      </c>
      <c r="B3115" s="2">
        <v>2</v>
      </c>
      <c r="C3115" s="2" t="s">
        <v>3325</v>
      </c>
      <c r="D3115" s="2" t="s">
        <v>3248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2510</v>
      </c>
      <c r="P3115" s="2" t="s">
        <v>115</v>
      </c>
      <c r="Q3115" s="2" t="s">
        <v>957</v>
      </c>
      <c r="R3115" s="2" t="s">
        <v>958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7"/>
        <v>0.27561814109742444</v>
      </c>
      <c r="Z3115" s="2" t="s">
        <v>105</v>
      </c>
      <c r="AA3115" s="2" t="s">
        <v>617</v>
      </c>
      <c r="AB3115" s="2" t="s">
        <v>959</v>
      </c>
      <c r="AC3115" s="2" t="s">
        <v>115</v>
      </c>
      <c r="AF3115" s="2">
        <f t="shared" si="358"/>
        <v>0</v>
      </c>
      <c r="AG3115" s="2">
        <v>6468.73</v>
      </c>
      <c r="AJ3115" s="2">
        <f t="shared" si="359"/>
        <v>0</v>
      </c>
      <c r="AK3115" s="2">
        <f t="shared" si="365"/>
        <v>2461.2700000000004</v>
      </c>
      <c r="AL3115" s="5">
        <f t="shared" si="366"/>
        <v>0.27561814109742444</v>
      </c>
    </row>
    <row r="3116" spans="1:38" hidden="1" x14ac:dyDescent="0.2">
      <c r="A3116" s="2">
        <v>2026</v>
      </c>
      <c r="B3116" s="2">
        <v>2</v>
      </c>
      <c r="C3116" s="2" t="s">
        <v>3325</v>
      </c>
      <c r="D3116" s="2" t="s">
        <v>1122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3249</v>
      </c>
      <c r="J3116" s="2" t="s">
        <v>3250</v>
      </c>
      <c r="K3116" s="2">
        <v>96179412</v>
      </c>
      <c r="L3116" s="2" t="s">
        <v>462</v>
      </c>
      <c r="M3116" s="2" t="s">
        <v>40</v>
      </c>
      <c r="O3116" s="2" t="s">
        <v>3251</v>
      </c>
      <c r="P3116" s="2" t="s">
        <v>115</v>
      </c>
      <c r="Q3116" s="2" t="s">
        <v>957</v>
      </c>
      <c r="R3116" s="2" t="s">
        <v>958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7"/>
        <v>0.27561814109742444</v>
      </c>
      <c r="Z3116" s="2" t="s">
        <v>105</v>
      </c>
      <c r="AA3116" s="2" t="s">
        <v>617</v>
      </c>
      <c r="AB3116" s="2" t="s">
        <v>959</v>
      </c>
      <c r="AC3116" s="2" t="s">
        <v>115</v>
      </c>
      <c r="AF3116" s="2">
        <f t="shared" si="358"/>
        <v>0</v>
      </c>
      <c r="AG3116" s="2">
        <v>6468.73</v>
      </c>
      <c r="AJ3116" s="2">
        <f t="shared" si="359"/>
        <v>0</v>
      </c>
      <c r="AK3116" s="2">
        <f t="shared" si="365"/>
        <v>2461.2700000000004</v>
      </c>
      <c r="AL3116" s="5">
        <f t="shared" si="366"/>
        <v>0.27561814109742444</v>
      </c>
    </row>
    <row r="3117" spans="1:38" hidden="1" x14ac:dyDescent="0.2">
      <c r="A3117" s="2">
        <v>2026</v>
      </c>
      <c r="B3117" s="2">
        <v>2</v>
      </c>
      <c r="D3117" s="2" t="s">
        <v>2511</v>
      </c>
      <c r="P3117" s="2" t="s">
        <v>115</v>
      </c>
      <c r="Q3117" s="2" t="s">
        <v>881</v>
      </c>
      <c r="R3117" s="2" t="s">
        <v>882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7"/>
        <v>0.26665473940803525</v>
      </c>
      <c r="Z3117" s="2" t="s">
        <v>105</v>
      </c>
      <c r="AA3117" s="2" t="s">
        <v>617</v>
      </c>
      <c r="AB3117" s="2" t="s">
        <v>2512</v>
      </c>
      <c r="AC3117" s="2" t="s">
        <v>115</v>
      </c>
      <c r="AF3117" s="2">
        <f t="shared" si="358"/>
        <v>0</v>
      </c>
      <c r="AG3117" s="2">
        <f>3130.82+148.37</f>
        <v>3279.19</v>
      </c>
      <c r="AJ3117" s="2">
        <f t="shared" si="359"/>
        <v>0</v>
      </c>
      <c r="AK3117" s="2">
        <f t="shared" si="365"/>
        <v>1192.3600000000001</v>
      </c>
      <c r="AL3117" s="5">
        <f t="shared" si="366"/>
        <v>0.26665473940803525</v>
      </c>
    </row>
    <row r="3118" spans="1:38" hidden="1" x14ac:dyDescent="0.2">
      <c r="A3118" s="2">
        <v>2026</v>
      </c>
      <c r="B3118" s="2">
        <v>2</v>
      </c>
      <c r="C3118" s="2" t="s">
        <v>3325</v>
      </c>
      <c r="D3118" s="2" t="s">
        <v>3248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2510</v>
      </c>
      <c r="P3118" s="2" t="s">
        <v>115</v>
      </c>
      <c r="Q3118" s="2" t="s">
        <v>839</v>
      </c>
      <c r="R3118" s="2" t="s">
        <v>840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7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8"/>
        <v>0</v>
      </c>
      <c r="AG3118" s="2">
        <v>3345.125</v>
      </c>
      <c r="AJ3118" s="2">
        <f t="shared" si="359"/>
        <v>0</v>
      </c>
      <c r="AK3118" s="2">
        <f t="shared" si="365"/>
        <v>944.88000000000011</v>
      </c>
      <c r="AL3118" s="5">
        <f t="shared" si="366"/>
        <v>0.22025174825174829</v>
      </c>
    </row>
    <row r="3119" spans="1:38" hidden="1" x14ac:dyDescent="0.2">
      <c r="A3119" s="2">
        <v>2026</v>
      </c>
      <c r="B3119" s="2">
        <v>2</v>
      </c>
      <c r="C3119" s="2" t="s">
        <v>3325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1582</v>
      </c>
      <c r="R3119" s="2" t="s">
        <v>1583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7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8"/>
        <v>0</v>
      </c>
      <c r="AG3119" s="2">
        <f>4893.23+171</f>
        <v>5064.2299999999996</v>
      </c>
      <c r="AJ3119" s="2">
        <f t="shared" si="359"/>
        <v>0</v>
      </c>
      <c r="AK3119" s="2">
        <f t="shared" si="365"/>
        <v>2925.7700000000004</v>
      </c>
      <c r="AL3119" s="5">
        <f t="shared" si="366"/>
        <v>0.36617897371714647</v>
      </c>
    </row>
    <row r="3120" spans="1:38" hidden="1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2480</v>
      </c>
      <c r="J3120" s="2" t="s">
        <v>3127</v>
      </c>
      <c r="K3120" s="2">
        <v>965864665</v>
      </c>
      <c r="L3120" s="2" t="s">
        <v>345</v>
      </c>
      <c r="M3120" s="2" t="s">
        <v>40</v>
      </c>
      <c r="O3120" s="2" t="s">
        <v>2481</v>
      </c>
      <c r="P3120" s="2" t="s">
        <v>1608</v>
      </c>
      <c r="Q3120" s="2" t="s">
        <v>1770</v>
      </c>
      <c r="R3120" s="2" t="s">
        <v>1771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7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1608</v>
      </c>
      <c r="AF3120" s="2">
        <f t="shared" si="358"/>
        <v>0</v>
      </c>
      <c r="AG3120" s="2">
        <v>23.9572</v>
      </c>
      <c r="AJ3120" s="2">
        <f t="shared" si="359"/>
        <v>0</v>
      </c>
      <c r="AK3120" s="2">
        <f t="shared" si="365"/>
        <v>44.902799999999999</v>
      </c>
      <c r="AL3120" s="5">
        <f t="shared" si="366"/>
        <v>0.65208829509149002</v>
      </c>
    </row>
    <row r="3121" spans="1:38" hidden="1" x14ac:dyDescent="0.2">
      <c r="A3121" s="2">
        <v>2026</v>
      </c>
      <c r="B3121" s="2">
        <v>2</v>
      </c>
      <c r="D3121" s="2" t="s">
        <v>2513</v>
      </c>
      <c r="P3121" s="2" t="s">
        <v>1608</v>
      </c>
      <c r="Q3121" s="2" t="s">
        <v>1770</v>
      </c>
      <c r="R3121" s="2" t="s">
        <v>1771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7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1608</v>
      </c>
      <c r="AF3121" s="2">
        <f t="shared" si="358"/>
        <v>0</v>
      </c>
      <c r="AG3121" s="2">
        <v>23.9572</v>
      </c>
      <c r="AJ3121" s="2">
        <f t="shared" si="359"/>
        <v>0</v>
      </c>
      <c r="AK3121" s="2">
        <f t="shared" si="365"/>
        <v>44.902799999999999</v>
      </c>
      <c r="AL3121" s="5">
        <f t="shared" si="366"/>
        <v>0.65208829509149002</v>
      </c>
    </row>
    <row r="3122" spans="1:38" hidden="1" x14ac:dyDescent="0.2">
      <c r="A3122" s="2">
        <v>2026</v>
      </c>
      <c r="B3122" s="2">
        <v>2</v>
      </c>
      <c r="D3122" s="2" t="s">
        <v>745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746</v>
      </c>
      <c r="J3122" s="2" t="s">
        <v>747</v>
      </c>
      <c r="K3122" s="2">
        <v>962372760</v>
      </c>
      <c r="L3122" s="2" t="s">
        <v>202</v>
      </c>
      <c r="M3122" s="2" t="s">
        <v>40</v>
      </c>
      <c r="P3122" s="2" t="s">
        <v>1608</v>
      </c>
      <c r="Q3122" s="2" t="s">
        <v>1606</v>
      </c>
      <c r="R3122" s="2" t="s">
        <v>1607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7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1608</v>
      </c>
      <c r="AF3122" s="2">
        <f t="shared" si="358"/>
        <v>0</v>
      </c>
      <c r="AG3122" s="2">
        <v>10.15</v>
      </c>
      <c r="AJ3122" s="2">
        <f t="shared" si="359"/>
        <v>0</v>
      </c>
      <c r="AK3122" s="2">
        <f t="shared" si="365"/>
        <v>58.71</v>
      </c>
      <c r="AL3122" s="5">
        <f t="shared" si="366"/>
        <v>0.8525994772001162</v>
      </c>
    </row>
    <row r="3123" spans="1:38" hidden="1" x14ac:dyDescent="0.2">
      <c r="A3123" s="2">
        <v>2026</v>
      </c>
      <c r="B3123" s="2">
        <v>2</v>
      </c>
      <c r="C3123" s="2" t="s">
        <v>3417</v>
      </c>
      <c r="D3123" s="2" t="s">
        <v>2514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2515</v>
      </c>
      <c r="R3123" s="2" t="s">
        <v>2516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7"/>
        <v>6.6666666666666428E-3</v>
      </c>
      <c r="Z3123" s="2" t="s">
        <v>3231</v>
      </c>
      <c r="AA3123" s="2" t="s">
        <v>156</v>
      </c>
      <c r="AB3123" s="2" t="s">
        <v>155</v>
      </c>
      <c r="AC3123" s="2" t="s">
        <v>153</v>
      </c>
      <c r="AF3123" s="2">
        <f t="shared" si="358"/>
        <v>0</v>
      </c>
      <c r="AJ3123" s="2">
        <f t="shared" si="359"/>
        <v>0</v>
      </c>
      <c r="AK3123" s="2">
        <f t="shared" si="365"/>
        <v>9.9999999999999645E-2</v>
      </c>
      <c r="AL3123" s="5">
        <f t="shared" si="366"/>
        <v>6.6666666666666428E-3</v>
      </c>
    </row>
    <row r="3124" spans="1:38" hidden="1" x14ac:dyDescent="0.2">
      <c r="A3124" s="2">
        <v>2026</v>
      </c>
      <c r="B3124" s="2">
        <v>2</v>
      </c>
      <c r="C3124" s="2" t="s">
        <v>3417</v>
      </c>
      <c r="D3124" s="2" t="s">
        <v>2514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7"/>
        <v>6.6666666666666666E-2</v>
      </c>
      <c r="Z3124" s="2" t="s">
        <v>3231</v>
      </c>
      <c r="AA3124" s="2" t="s">
        <v>156</v>
      </c>
      <c r="AB3124" s="2" t="s">
        <v>155</v>
      </c>
      <c r="AC3124" s="2" t="s">
        <v>153</v>
      </c>
      <c r="AF3124" s="2">
        <f t="shared" si="358"/>
        <v>0</v>
      </c>
      <c r="AJ3124" s="2">
        <f t="shared" si="359"/>
        <v>0</v>
      </c>
      <c r="AK3124" s="2">
        <f t="shared" si="365"/>
        <v>1</v>
      </c>
      <c r="AL3124" s="5">
        <f t="shared" si="366"/>
        <v>6.6666666666666666E-2</v>
      </c>
    </row>
    <row r="3125" spans="1:38" hidden="1" x14ac:dyDescent="0.2">
      <c r="A3125" s="2">
        <v>2026</v>
      </c>
      <c r="B3125" s="2">
        <v>2</v>
      </c>
      <c r="D3125" s="2" t="s">
        <v>2517</v>
      </c>
      <c r="M3125" s="2" t="s">
        <v>110</v>
      </c>
      <c r="P3125" s="2" t="s">
        <v>283</v>
      </c>
      <c r="Q3125" s="2" t="s">
        <v>2518</v>
      </c>
      <c r="R3125" s="2" t="s">
        <v>2519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7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8"/>
        <v>0</v>
      </c>
      <c r="AG3125" s="2">
        <v>759</v>
      </c>
      <c r="AJ3125" s="2">
        <f t="shared" si="359"/>
        <v>0</v>
      </c>
      <c r="AK3125" s="2">
        <f t="shared" si="365"/>
        <v>31</v>
      </c>
      <c r="AL3125" s="5">
        <f t="shared" si="366"/>
        <v>3.9240506329113925E-2</v>
      </c>
    </row>
    <row r="3126" spans="1:38" hidden="1" x14ac:dyDescent="0.2">
      <c r="A3126" s="2">
        <v>2026</v>
      </c>
      <c r="B3126" s="2">
        <v>2</v>
      </c>
      <c r="D3126" s="2" t="s">
        <v>2520</v>
      </c>
      <c r="E3126" s="2" t="s">
        <v>753</v>
      </c>
      <c r="F3126" s="2" t="s">
        <v>39</v>
      </c>
      <c r="G3126" s="2">
        <v>515570354</v>
      </c>
      <c r="H3126" s="2" t="s">
        <v>110</v>
      </c>
      <c r="I3126" s="2" t="s">
        <v>2521</v>
      </c>
      <c r="J3126" s="2" t="s">
        <v>2522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1551</v>
      </c>
      <c r="R3126" s="2" t="s">
        <v>1552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7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8"/>
        <v>0</v>
      </c>
      <c r="AG3126" s="2">
        <v>297</v>
      </c>
      <c r="AH3126" s="2">
        <v>595</v>
      </c>
      <c r="AJ3126" s="2">
        <f t="shared" si="359"/>
        <v>0</v>
      </c>
      <c r="AK3126" s="2">
        <f t="shared" si="365"/>
        <v>298</v>
      </c>
      <c r="AL3126" s="5">
        <f t="shared" si="366"/>
        <v>0.50084033613445378</v>
      </c>
    </row>
    <row r="3127" spans="1:38" hidden="1" x14ac:dyDescent="0.2">
      <c r="A3127" s="2">
        <v>2026</v>
      </c>
      <c r="B3127" s="2">
        <v>2</v>
      </c>
      <c r="D3127" s="2" t="s">
        <v>1579</v>
      </c>
      <c r="E3127" s="2" t="s">
        <v>38</v>
      </c>
      <c r="G3127" s="2">
        <v>505123177</v>
      </c>
      <c r="H3127" s="2" t="s">
        <v>110</v>
      </c>
      <c r="I3127" s="2" t="s">
        <v>2523</v>
      </c>
      <c r="J3127" s="2" t="s">
        <v>2524</v>
      </c>
      <c r="L3127" s="2" t="s">
        <v>399</v>
      </c>
      <c r="M3127" s="2" t="s">
        <v>110</v>
      </c>
      <c r="P3127" s="2" t="s">
        <v>283</v>
      </c>
      <c r="Q3127" s="2" t="s">
        <v>1551</v>
      </c>
      <c r="R3127" s="2" t="s">
        <v>1552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7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8"/>
        <v>0</v>
      </c>
      <c r="AG3127" s="2">
        <v>297</v>
      </c>
      <c r="AH3127" s="2">
        <v>595</v>
      </c>
      <c r="AJ3127" s="2">
        <f t="shared" si="359"/>
        <v>0</v>
      </c>
      <c r="AK3127" s="2">
        <f t="shared" si="365"/>
        <v>298</v>
      </c>
      <c r="AL3127" s="5">
        <f t="shared" si="366"/>
        <v>0.50084033613445378</v>
      </c>
    </row>
    <row r="3128" spans="1:38" hidden="1" x14ac:dyDescent="0.2">
      <c r="A3128" s="2">
        <v>2026</v>
      </c>
      <c r="B3128" s="2">
        <v>2</v>
      </c>
      <c r="D3128" s="2" t="s">
        <v>2525</v>
      </c>
      <c r="E3128" s="2" t="s">
        <v>38</v>
      </c>
      <c r="G3128" s="2">
        <v>259186163</v>
      </c>
      <c r="H3128" s="2" t="s">
        <v>110</v>
      </c>
      <c r="I3128" s="2" t="s">
        <v>2526</v>
      </c>
      <c r="J3128" s="2" t="s">
        <v>2527</v>
      </c>
      <c r="L3128" s="2" t="s">
        <v>462</v>
      </c>
      <c r="M3128" s="2" t="s">
        <v>110</v>
      </c>
      <c r="P3128" s="2" t="s">
        <v>283</v>
      </c>
      <c r="Q3128" s="2" t="s">
        <v>1551</v>
      </c>
      <c r="R3128" s="2" t="s">
        <v>1552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7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8"/>
        <v>0</v>
      </c>
      <c r="AG3128" s="2">
        <v>297</v>
      </c>
      <c r="AH3128" s="2">
        <v>595</v>
      </c>
      <c r="AJ3128" s="2">
        <f t="shared" si="359"/>
        <v>0</v>
      </c>
      <c r="AK3128" s="2">
        <f t="shared" si="365"/>
        <v>298</v>
      </c>
      <c r="AL3128" s="5">
        <f t="shared" si="366"/>
        <v>0.50084033613445378</v>
      </c>
    </row>
    <row r="3129" spans="1:38" hidden="1" x14ac:dyDescent="0.2">
      <c r="A3129" s="2">
        <v>2026</v>
      </c>
      <c r="B3129" s="2">
        <v>2</v>
      </c>
      <c r="D3129" s="2" t="s">
        <v>2520</v>
      </c>
      <c r="E3129" s="2" t="s">
        <v>753</v>
      </c>
      <c r="F3129" s="2" t="s">
        <v>39</v>
      </c>
      <c r="G3129" s="2">
        <v>515570354</v>
      </c>
      <c r="H3129" s="2" t="s">
        <v>110</v>
      </c>
      <c r="I3129" s="2" t="s">
        <v>2521</v>
      </c>
      <c r="J3129" s="2" t="s">
        <v>2522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8">14.5099*S3129</f>
        <v>159.60890000000001</v>
      </c>
      <c r="X3129" s="5">
        <f t="shared" si="367"/>
        <v>0.20195549999999998</v>
      </c>
      <c r="Z3129" s="2" t="s">
        <v>3231</v>
      </c>
      <c r="AA3129" s="2" t="s">
        <v>46</v>
      </c>
      <c r="AB3129" s="2" t="s">
        <v>61</v>
      </c>
      <c r="AC3129" s="2" t="s">
        <v>3336</v>
      </c>
      <c r="AF3129" s="2">
        <f t="shared" si="358"/>
        <v>0</v>
      </c>
      <c r="AJ3129" s="2">
        <f t="shared" si="359"/>
        <v>0</v>
      </c>
      <c r="AK3129" s="2">
        <f t="shared" si="365"/>
        <v>40.391099999999994</v>
      </c>
      <c r="AL3129" s="5">
        <f t="shared" si="366"/>
        <v>0.20195549999999998</v>
      </c>
    </row>
    <row r="3130" spans="1:38" hidden="1" x14ac:dyDescent="0.2">
      <c r="A3130" s="2">
        <v>2026</v>
      </c>
      <c r="B3130" s="2">
        <v>2</v>
      </c>
      <c r="D3130" s="2" t="s">
        <v>1579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8"/>
        <v>14.5099</v>
      </c>
      <c r="X3130" s="18">
        <v>-1</v>
      </c>
      <c r="Z3130" s="2" t="s">
        <v>3231</v>
      </c>
      <c r="AA3130" s="2" t="s">
        <v>46</v>
      </c>
      <c r="AB3130" s="2" t="s">
        <v>61</v>
      </c>
      <c r="AC3130" s="2" t="s">
        <v>3336</v>
      </c>
      <c r="AF3130" s="2">
        <f t="shared" si="358"/>
        <v>0</v>
      </c>
      <c r="AJ3130" s="2">
        <f t="shared" si="359"/>
        <v>0</v>
      </c>
      <c r="AK3130" s="2">
        <f t="shared" si="365"/>
        <v>-14.5099</v>
      </c>
      <c r="AL3130" s="18">
        <v>-1</v>
      </c>
    </row>
    <row r="3131" spans="1:38" hidden="1" x14ac:dyDescent="0.2">
      <c r="A3131" s="2">
        <v>2026</v>
      </c>
      <c r="B3131" s="2">
        <v>2</v>
      </c>
      <c r="D3131" s="2" t="s">
        <v>2525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8"/>
        <v>145.09899999999999</v>
      </c>
      <c r="X3131" s="5">
        <f>(T3131-W3131)/T3131</f>
        <v>0.27450500000000005</v>
      </c>
      <c r="Z3131" s="2" t="s">
        <v>3231</v>
      </c>
      <c r="AA3131" s="2" t="s">
        <v>46</v>
      </c>
      <c r="AB3131" s="2" t="s">
        <v>61</v>
      </c>
      <c r="AC3131" s="2" t="s">
        <v>3336</v>
      </c>
      <c r="AF3131" s="2">
        <f t="shared" si="358"/>
        <v>0</v>
      </c>
      <c r="AJ3131" s="2">
        <f t="shared" si="359"/>
        <v>0</v>
      </c>
      <c r="AK3131" s="2">
        <f t="shared" si="365"/>
        <v>54.90100000000001</v>
      </c>
      <c r="AL3131" s="5">
        <f t="shared" si="366"/>
        <v>0.27450500000000005</v>
      </c>
    </row>
    <row r="3132" spans="1:38" hidden="1" x14ac:dyDescent="0.2">
      <c r="A3132" s="2">
        <v>2026</v>
      </c>
      <c r="B3132" s="2">
        <v>2</v>
      </c>
      <c r="D3132" s="2" t="s">
        <v>2520</v>
      </c>
      <c r="E3132" s="2" t="s">
        <v>753</v>
      </c>
      <c r="F3132" s="2" t="s">
        <v>39</v>
      </c>
      <c r="G3132" s="2">
        <v>515570354</v>
      </c>
      <c r="H3132" s="2" t="s">
        <v>110</v>
      </c>
      <c r="I3132" s="2" t="s">
        <v>2521</v>
      </c>
      <c r="J3132" s="2" t="s">
        <v>2522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8"/>
        <v>159.60890000000001</v>
      </c>
      <c r="X3132" s="5">
        <f>(T3132-W3132)/T3132</f>
        <v>0.20195549999999998</v>
      </c>
      <c r="Z3132" s="2" t="s">
        <v>3231</v>
      </c>
      <c r="AA3132" s="2" t="s">
        <v>46</v>
      </c>
      <c r="AB3132" s="2" t="s">
        <v>61</v>
      </c>
      <c r="AC3132" s="2" t="s">
        <v>3336</v>
      </c>
      <c r="AF3132" s="2">
        <f t="shared" si="358"/>
        <v>0</v>
      </c>
      <c r="AJ3132" s="2">
        <f t="shared" si="359"/>
        <v>0</v>
      </c>
      <c r="AK3132" s="2">
        <f t="shared" ref="AK3132:AK3157" si="369">T3132-W3132</f>
        <v>40.391099999999994</v>
      </c>
      <c r="AL3132" s="5">
        <f t="shared" ref="AL3132:AL3154" si="370">(T3132-W3132)/T3132</f>
        <v>0.20195549999999998</v>
      </c>
    </row>
    <row r="3133" spans="1:38" hidden="1" x14ac:dyDescent="0.2">
      <c r="A3133" s="2">
        <v>2026</v>
      </c>
      <c r="B3133" s="2">
        <v>2</v>
      </c>
      <c r="D3133" s="2" t="s">
        <v>1579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8"/>
        <v>14.5099</v>
      </c>
      <c r="X3133" s="19">
        <v>-1</v>
      </c>
      <c r="Z3133" s="2" t="s">
        <v>3231</v>
      </c>
      <c r="AA3133" s="2" t="s">
        <v>46</v>
      </c>
      <c r="AB3133" s="2" t="s">
        <v>61</v>
      </c>
      <c r="AC3133" s="2" t="s">
        <v>3336</v>
      </c>
      <c r="AF3133" s="2">
        <f t="shared" si="358"/>
        <v>0</v>
      </c>
      <c r="AJ3133" s="2">
        <f t="shared" si="359"/>
        <v>0</v>
      </c>
      <c r="AK3133" s="2">
        <f t="shared" si="369"/>
        <v>-14.5099</v>
      </c>
      <c r="AL3133" s="19">
        <v>-1</v>
      </c>
    </row>
    <row r="3134" spans="1:38" hidden="1" x14ac:dyDescent="0.2">
      <c r="A3134" s="2">
        <v>2026</v>
      </c>
      <c r="B3134" s="2">
        <v>2</v>
      </c>
      <c r="D3134" s="2" t="s">
        <v>2525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8"/>
        <v>145.09899999999999</v>
      </c>
      <c r="X3134" s="5">
        <f t="shared" ref="X3134:X3154" si="371">(T3134-W3134)/T3134</f>
        <v>0.27450500000000005</v>
      </c>
      <c r="Z3134" s="2" t="s">
        <v>3231</v>
      </c>
      <c r="AA3134" s="2" t="s">
        <v>46</v>
      </c>
      <c r="AB3134" s="2" t="s">
        <v>61</v>
      </c>
      <c r="AC3134" s="2" t="s">
        <v>3336</v>
      </c>
      <c r="AF3134" s="2">
        <f t="shared" si="358"/>
        <v>0</v>
      </c>
      <c r="AJ3134" s="2">
        <f t="shared" si="359"/>
        <v>0</v>
      </c>
      <c r="AK3134" s="2">
        <f t="shared" si="369"/>
        <v>54.90100000000001</v>
      </c>
      <c r="AL3134" s="5">
        <f t="shared" si="370"/>
        <v>0.27450500000000005</v>
      </c>
    </row>
    <row r="3135" spans="1:38" hidden="1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2528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71"/>
        <v>0.4919047619047619</v>
      </c>
      <c r="Z3135" s="2" t="s">
        <v>3231</v>
      </c>
      <c r="AA3135" s="2" t="s">
        <v>46</v>
      </c>
      <c r="AB3135" s="2" t="s">
        <v>47</v>
      </c>
      <c r="AC3135" s="2" t="s">
        <v>48</v>
      </c>
      <c r="AF3135" s="2">
        <f t="shared" si="358"/>
        <v>0</v>
      </c>
      <c r="AG3135" s="2">
        <v>10.67</v>
      </c>
      <c r="AH3135" s="2">
        <v>21</v>
      </c>
      <c r="AJ3135" s="2">
        <f t="shared" si="359"/>
        <v>0</v>
      </c>
      <c r="AK3135" s="2">
        <f t="shared" si="369"/>
        <v>20.66</v>
      </c>
      <c r="AL3135" s="5">
        <f t="shared" si="370"/>
        <v>0.4919047619047619</v>
      </c>
    </row>
    <row r="3136" spans="1:38" hidden="1" x14ac:dyDescent="0.2">
      <c r="A3136" s="2">
        <v>2026</v>
      </c>
      <c r="B3136" s="2">
        <v>2</v>
      </c>
      <c r="D3136" s="2" t="s">
        <v>782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783</v>
      </c>
      <c r="J3136" s="2" t="s">
        <v>784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72">6.6267*S3136</f>
        <v>6.6266999999999996</v>
      </c>
      <c r="X3136" s="5">
        <f t="shared" si="371"/>
        <v>0.44777500000000003</v>
      </c>
      <c r="Z3136" s="2" t="s">
        <v>3231</v>
      </c>
      <c r="AA3136" s="2" t="s">
        <v>46</v>
      </c>
      <c r="AB3136" s="2" t="s">
        <v>47</v>
      </c>
      <c r="AC3136" s="2" t="s">
        <v>48</v>
      </c>
      <c r="AF3136" s="2">
        <f t="shared" si="358"/>
        <v>0</v>
      </c>
      <c r="AG3136" s="2">
        <v>6.6266999999999996</v>
      </c>
      <c r="AH3136" s="2">
        <v>12</v>
      </c>
      <c r="AJ3136" s="2">
        <f t="shared" si="359"/>
        <v>0</v>
      </c>
      <c r="AK3136" s="2">
        <f t="shared" si="369"/>
        <v>5.3733000000000004</v>
      </c>
      <c r="AL3136" s="5">
        <f t="shared" si="370"/>
        <v>0.44777500000000003</v>
      </c>
    </row>
    <row r="3137" spans="1:38" hidden="1" x14ac:dyDescent="0.2">
      <c r="A3137" s="2">
        <v>2026</v>
      </c>
      <c r="B3137" s="2">
        <v>2</v>
      </c>
      <c r="D3137" s="2" t="s">
        <v>1023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1558</v>
      </c>
      <c r="J3137" s="2" t="s">
        <v>2529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72"/>
        <v>6.6266999999999996</v>
      </c>
      <c r="X3137" s="5">
        <f t="shared" si="371"/>
        <v>0.49025384615384621</v>
      </c>
      <c r="Z3137" s="2" t="s">
        <v>3231</v>
      </c>
      <c r="AA3137" s="2" t="s">
        <v>46</v>
      </c>
      <c r="AB3137" s="2" t="s">
        <v>47</v>
      </c>
      <c r="AC3137" s="2" t="s">
        <v>48</v>
      </c>
      <c r="AF3137" s="2">
        <f t="shared" si="358"/>
        <v>0</v>
      </c>
      <c r="AG3137" s="2">
        <v>6.6266999999999996</v>
      </c>
      <c r="AH3137" s="2">
        <v>12</v>
      </c>
      <c r="AJ3137" s="2">
        <f t="shared" si="359"/>
        <v>0</v>
      </c>
      <c r="AK3137" s="2">
        <f t="shared" si="369"/>
        <v>6.3733000000000004</v>
      </c>
      <c r="AL3137" s="5">
        <f t="shared" si="370"/>
        <v>0.49025384615384621</v>
      </c>
    </row>
    <row r="3138" spans="1:38" hidden="1" x14ac:dyDescent="0.2">
      <c r="A3138" s="2">
        <v>2026</v>
      </c>
      <c r="B3138" s="2">
        <v>2</v>
      </c>
      <c r="D3138" s="2" t="s">
        <v>1399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3221</v>
      </c>
      <c r="J3138" s="2" t="s">
        <v>3220</v>
      </c>
      <c r="K3138" s="2">
        <v>913814877</v>
      </c>
      <c r="L3138" s="2" t="s">
        <v>202</v>
      </c>
      <c r="M3138" s="2" t="s">
        <v>81</v>
      </c>
      <c r="O3138" s="2" t="s">
        <v>3217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72"/>
        <v>13.253399999999999</v>
      </c>
      <c r="X3138" s="5">
        <f t="shared" si="371"/>
        <v>0.44777500000000003</v>
      </c>
      <c r="Z3138" s="2" t="s">
        <v>3231</v>
      </c>
      <c r="AA3138" s="2" t="s">
        <v>46</v>
      </c>
      <c r="AB3138" s="2" t="s">
        <v>47</v>
      </c>
      <c r="AC3138" s="2" t="s">
        <v>48</v>
      </c>
      <c r="AF3138" s="2">
        <f t="shared" si="358"/>
        <v>0</v>
      </c>
      <c r="AG3138" s="2">
        <v>6.6266999999999996</v>
      </c>
      <c r="AH3138" s="2">
        <v>12</v>
      </c>
      <c r="AJ3138" s="2">
        <f t="shared" si="359"/>
        <v>0</v>
      </c>
      <c r="AK3138" s="2">
        <f t="shared" si="369"/>
        <v>10.746600000000001</v>
      </c>
      <c r="AL3138" s="5">
        <f t="shared" si="370"/>
        <v>0.44777500000000003</v>
      </c>
    </row>
    <row r="3139" spans="1:38" hidden="1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3138</v>
      </c>
      <c r="L3139" s="2" t="s">
        <v>178</v>
      </c>
      <c r="M3139" s="2" t="s">
        <v>41</v>
      </c>
      <c r="O3139" s="2" t="s">
        <v>3145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72"/>
        <v>19.880099999999999</v>
      </c>
      <c r="X3139" s="5">
        <f t="shared" si="371"/>
        <v>0.44777500000000003</v>
      </c>
      <c r="Z3139" s="2" t="s">
        <v>3231</v>
      </c>
      <c r="AA3139" s="2" t="s">
        <v>46</v>
      </c>
      <c r="AB3139" s="2" t="s">
        <v>47</v>
      </c>
      <c r="AC3139" s="2" t="s">
        <v>48</v>
      </c>
      <c r="AF3139" s="2">
        <f t="shared" ref="AF3139:AF3202" si="373">AJ3139</f>
        <v>0</v>
      </c>
      <c r="AG3139" s="2">
        <v>6.6266999999999996</v>
      </c>
      <c r="AH3139" s="2">
        <v>12</v>
      </c>
      <c r="AJ3139" s="2">
        <f t="shared" ref="AJ3139:AJ3202" si="374">AI3139*T3139</f>
        <v>0</v>
      </c>
      <c r="AK3139" s="2">
        <f t="shared" si="369"/>
        <v>16.119900000000001</v>
      </c>
      <c r="AL3139" s="5">
        <f t="shared" si="370"/>
        <v>0.44777500000000003</v>
      </c>
    </row>
    <row r="3140" spans="1:38" hidden="1" x14ac:dyDescent="0.2">
      <c r="A3140" s="2">
        <v>2026</v>
      </c>
      <c r="B3140" s="2">
        <v>2</v>
      </c>
      <c r="D3140" s="2" t="s">
        <v>2530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72"/>
        <v>13.253399999999999</v>
      </c>
      <c r="X3140" s="5">
        <f t="shared" si="371"/>
        <v>0.44777500000000003</v>
      </c>
      <c r="Z3140" s="2" t="s">
        <v>3231</v>
      </c>
      <c r="AA3140" s="2" t="s">
        <v>46</v>
      </c>
      <c r="AB3140" s="2" t="s">
        <v>47</v>
      </c>
      <c r="AC3140" s="2" t="s">
        <v>48</v>
      </c>
      <c r="AF3140" s="2">
        <f t="shared" si="373"/>
        <v>0</v>
      </c>
      <c r="AG3140" s="2">
        <v>6.6266999999999996</v>
      </c>
      <c r="AH3140" s="2">
        <v>12</v>
      </c>
      <c r="AJ3140" s="2">
        <f t="shared" si="374"/>
        <v>0</v>
      </c>
      <c r="AK3140" s="2">
        <f t="shared" si="369"/>
        <v>10.746600000000001</v>
      </c>
      <c r="AL3140" s="5">
        <f t="shared" si="370"/>
        <v>0.44777500000000003</v>
      </c>
    </row>
    <row r="3141" spans="1:38" hidden="1" x14ac:dyDescent="0.2">
      <c r="A3141" s="2">
        <v>2026</v>
      </c>
      <c r="B3141" s="2">
        <v>2</v>
      </c>
      <c r="D3141" s="2" t="s">
        <v>618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619</v>
      </c>
      <c r="J3141" s="2" t="s">
        <v>620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72"/>
        <v>6.6266999999999996</v>
      </c>
      <c r="X3141" s="5">
        <f t="shared" si="371"/>
        <v>0.44777500000000003</v>
      </c>
      <c r="Z3141" s="2" t="s">
        <v>3231</v>
      </c>
      <c r="AA3141" s="2" t="s">
        <v>46</v>
      </c>
      <c r="AB3141" s="2" t="s">
        <v>47</v>
      </c>
      <c r="AC3141" s="2" t="s">
        <v>48</v>
      </c>
      <c r="AF3141" s="2">
        <f t="shared" si="373"/>
        <v>0</v>
      </c>
      <c r="AG3141" s="2">
        <v>6.6266999999999996</v>
      </c>
      <c r="AH3141" s="2">
        <v>12</v>
      </c>
      <c r="AJ3141" s="2">
        <f t="shared" si="374"/>
        <v>0</v>
      </c>
      <c r="AK3141" s="2">
        <f t="shared" si="369"/>
        <v>5.3733000000000004</v>
      </c>
      <c r="AL3141" s="5">
        <f t="shared" si="370"/>
        <v>0.44777500000000003</v>
      </c>
    </row>
    <row r="3142" spans="1:38" hidden="1" x14ac:dyDescent="0.2">
      <c r="A3142" s="2">
        <v>2026</v>
      </c>
      <c r="B3142" s="2">
        <v>2</v>
      </c>
      <c r="D3142" s="2" t="s">
        <v>1905</v>
      </c>
      <c r="P3142" s="2" t="s">
        <v>43</v>
      </c>
      <c r="Q3142" s="2" t="s">
        <v>1365</v>
      </c>
      <c r="R3142" s="2" t="s">
        <v>1366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 t="shared" ref="W3142:W3143" si="375">9.75*S3142</f>
        <v>9.75</v>
      </c>
      <c r="X3142" s="5">
        <f t="shared" si="371"/>
        <v>0.71491228070175439</v>
      </c>
      <c r="Z3142" s="2" t="s">
        <v>3231</v>
      </c>
      <c r="AA3142" s="2" t="s">
        <v>46</v>
      </c>
      <c r="AB3142" s="2" t="s">
        <v>47</v>
      </c>
      <c r="AC3142" s="2" t="s">
        <v>48</v>
      </c>
      <c r="AF3142" s="2">
        <f t="shared" si="373"/>
        <v>0</v>
      </c>
      <c r="AJ3142" s="2">
        <f t="shared" si="374"/>
        <v>0</v>
      </c>
      <c r="AK3142" s="2">
        <f t="shared" si="369"/>
        <v>24.450000000000003</v>
      </c>
      <c r="AL3142" s="5">
        <f t="shared" si="370"/>
        <v>0.71491228070175439</v>
      </c>
    </row>
    <row r="3143" spans="1:38" hidden="1" x14ac:dyDescent="0.2">
      <c r="A3143" s="2">
        <v>2026</v>
      </c>
      <c r="B3143" s="2">
        <v>2</v>
      </c>
      <c r="D3143" s="2" t="s">
        <v>618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619</v>
      </c>
      <c r="J3143" s="2" t="s">
        <v>620</v>
      </c>
      <c r="L3143" s="2" t="s">
        <v>419</v>
      </c>
      <c r="M3143" s="2" t="s">
        <v>41</v>
      </c>
      <c r="P3143" s="2" t="s">
        <v>43</v>
      </c>
      <c r="Q3143" s="2" t="s">
        <v>1365</v>
      </c>
      <c r="R3143" s="2" t="s">
        <v>1366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 t="shared" si="375"/>
        <v>9.75</v>
      </c>
      <c r="X3143" s="5">
        <f t="shared" si="371"/>
        <v>0.71491228070175439</v>
      </c>
      <c r="Z3143" s="2" t="s">
        <v>3231</v>
      </c>
      <c r="AA3143" s="2" t="s">
        <v>46</v>
      </c>
      <c r="AB3143" s="2" t="s">
        <v>47</v>
      </c>
      <c r="AC3143" s="2" t="s">
        <v>48</v>
      </c>
      <c r="AF3143" s="2">
        <f t="shared" si="373"/>
        <v>0</v>
      </c>
      <c r="AJ3143" s="2">
        <f t="shared" si="374"/>
        <v>0</v>
      </c>
      <c r="AK3143" s="2">
        <f t="shared" si="369"/>
        <v>24.450000000000003</v>
      </c>
      <c r="AL3143" s="5">
        <f t="shared" si="370"/>
        <v>0.71491228070175439</v>
      </c>
    </row>
    <row r="3144" spans="1:38" hidden="1" x14ac:dyDescent="0.2">
      <c r="A3144" s="2">
        <v>2026</v>
      </c>
      <c r="B3144" s="2">
        <v>2</v>
      </c>
      <c r="D3144" s="2" t="s">
        <v>1905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 t="shared" ref="W3144:W3145" si="376">11.295*S3144</f>
        <v>22.59</v>
      </c>
      <c r="X3144" s="5">
        <f t="shared" si="371"/>
        <v>0.68624999999999992</v>
      </c>
      <c r="Z3144" s="2" t="s">
        <v>3231</v>
      </c>
      <c r="AA3144" s="2" t="s">
        <v>46</v>
      </c>
      <c r="AB3144" s="2" t="s">
        <v>47</v>
      </c>
      <c r="AC3144" s="2" t="s">
        <v>48</v>
      </c>
      <c r="AF3144" s="2">
        <f t="shared" si="373"/>
        <v>0</v>
      </c>
      <c r="AJ3144" s="2">
        <f t="shared" si="374"/>
        <v>0</v>
      </c>
      <c r="AK3144" s="2">
        <f t="shared" si="369"/>
        <v>49.41</v>
      </c>
      <c r="AL3144" s="5">
        <f t="shared" si="370"/>
        <v>0.68624999999999992</v>
      </c>
    </row>
    <row r="3145" spans="1:38" hidden="1" x14ac:dyDescent="0.2">
      <c r="A3145" s="2">
        <v>2026</v>
      </c>
      <c r="B3145" s="2">
        <v>2</v>
      </c>
      <c r="D3145" s="2" t="s">
        <v>618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619</v>
      </c>
      <c r="J3145" s="2" t="s">
        <v>620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 t="shared" si="376"/>
        <v>11.295</v>
      </c>
      <c r="X3145" s="5">
        <f t="shared" si="371"/>
        <v>0.68624999999999992</v>
      </c>
      <c r="Z3145" s="2" t="s">
        <v>3231</v>
      </c>
      <c r="AA3145" s="2" t="s">
        <v>46</v>
      </c>
      <c r="AB3145" s="2" t="s">
        <v>47</v>
      </c>
      <c r="AC3145" s="2" t="s">
        <v>48</v>
      </c>
      <c r="AF3145" s="2">
        <f t="shared" si="373"/>
        <v>0</v>
      </c>
      <c r="AJ3145" s="2">
        <f t="shared" si="374"/>
        <v>0</v>
      </c>
      <c r="AK3145" s="2">
        <f t="shared" si="369"/>
        <v>24.704999999999998</v>
      </c>
      <c r="AL3145" s="5">
        <f t="shared" si="370"/>
        <v>0.68624999999999992</v>
      </c>
    </row>
    <row r="3146" spans="1:38" hidden="1" x14ac:dyDescent="0.2">
      <c r="A3146" s="2">
        <v>2026</v>
      </c>
      <c r="B3146" s="2">
        <v>2</v>
      </c>
      <c r="D3146" s="2" t="s">
        <v>1115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1116</v>
      </c>
      <c r="J3146" s="2" t="s">
        <v>1117</v>
      </c>
      <c r="K3146" s="2">
        <v>914550474</v>
      </c>
      <c r="L3146" s="2" t="s">
        <v>100</v>
      </c>
      <c r="M3146" s="2" t="s">
        <v>81</v>
      </c>
      <c r="O3146" s="2" t="s">
        <v>2531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71"/>
        <v>0.59037280701754391</v>
      </c>
      <c r="Z3146" s="2" t="s">
        <v>3231</v>
      </c>
      <c r="AA3146" s="2" t="s">
        <v>46</v>
      </c>
      <c r="AB3146" s="2" t="s">
        <v>47</v>
      </c>
      <c r="AC3146" s="2" t="s">
        <v>48</v>
      </c>
      <c r="AF3146" s="2">
        <f t="shared" si="373"/>
        <v>0</v>
      </c>
      <c r="AG3146" s="2">
        <v>3.7357999999999998</v>
      </c>
      <c r="AH3146" s="2">
        <v>9</v>
      </c>
      <c r="AJ3146" s="2">
        <f t="shared" si="374"/>
        <v>0</v>
      </c>
      <c r="AK3146" s="2">
        <f t="shared" si="369"/>
        <v>26.921000000000003</v>
      </c>
      <c r="AL3146" s="5">
        <f t="shared" si="370"/>
        <v>0.59037280701754391</v>
      </c>
    </row>
    <row r="3147" spans="1:38" hidden="1" x14ac:dyDescent="0.2">
      <c r="A3147" s="2">
        <v>2026</v>
      </c>
      <c r="B3147" s="2">
        <v>2</v>
      </c>
      <c r="D3147" s="2" t="s">
        <v>690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691</v>
      </c>
      <c r="K3147" s="2">
        <v>913036545</v>
      </c>
      <c r="L3147" s="2" t="s">
        <v>178</v>
      </c>
      <c r="M3147" s="2" t="s">
        <v>41</v>
      </c>
      <c r="O3147" s="2" t="s">
        <v>2420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371"/>
        <v>0.47844827586206895</v>
      </c>
      <c r="Z3147" s="2" t="s">
        <v>3231</v>
      </c>
      <c r="AA3147" s="2" t="s">
        <v>46</v>
      </c>
      <c r="AB3147" s="2" t="s">
        <v>57</v>
      </c>
      <c r="AC3147" s="2" t="s">
        <v>58</v>
      </c>
      <c r="AF3147" s="2">
        <f t="shared" si="373"/>
        <v>0</v>
      </c>
      <c r="AJ3147" s="2">
        <f t="shared" si="374"/>
        <v>0</v>
      </c>
      <c r="AK3147" s="2">
        <f t="shared" si="369"/>
        <v>8.3249999999999993</v>
      </c>
      <c r="AL3147" s="5">
        <f t="shared" si="370"/>
        <v>0.47844827586206895</v>
      </c>
    </row>
    <row r="3148" spans="1:38" hidden="1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71"/>
        <v>0.53121428571428575</v>
      </c>
      <c r="Z3148" s="2" t="s">
        <v>3231</v>
      </c>
      <c r="AA3148" s="2" t="s">
        <v>46</v>
      </c>
      <c r="AB3148" s="2" t="s">
        <v>57</v>
      </c>
      <c r="AC3148" s="2" t="s">
        <v>58</v>
      </c>
      <c r="AF3148" s="2">
        <f t="shared" si="373"/>
        <v>0</v>
      </c>
      <c r="AG3148" s="2">
        <v>5.9066999999999998</v>
      </c>
      <c r="AH3148" s="2">
        <v>12.6</v>
      </c>
      <c r="AJ3148" s="2">
        <f t="shared" si="374"/>
        <v>0</v>
      </c>
      <c r="AK3148" s="2">
        <f t="shared" si="369"/>
        <v>6.6932999999999998</v>
      </c>
      <c r="AL3148" s="5">
        <f t="shared" si="370"/>
        <v>0.53121428571428575</v>
      </c>
    </row>
    <row r="3149" spans="1:38" hidden="1" x14ac:dyDescent="0.2">
      <c r="A3149" s="2">
        <v>2026</v>
      </c>
      <c r="B3149" s="2">
        <v>2</v>
      </c>
      <c r="D3149" s="2" t="s">
        <v>690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691</v>
      </c>
      <c r="K3149" s="2">
        <v>913036545</v>
      </c>
      <c r="L3149" s="2" t="s">
        <v>178</v>
      </c>
      <c r="M3149" s="2" t="s">
        <v>41</v>
      </c>
      <c r="O3149" s="2" t="s">
        <v>2420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71"/>
        <v>1</v>
      </c>
      <c r="Z3149" s="2" t="s">
        <v>3231</v>
      </c>
      <c r="AA3149" s="2" t="s">
        <v>46</v>
      </c>
      <c r="AB3149" s="2" t="s">
        <v>57</v>
      </c>
      <c r="AC3149" s="2" t="s">
        <v>58</v>
      </c>
      <c r="AF3149" s="2">
        <f t="shared" si="373"/>
        <v>0</v>
      </c>
      <c r="AJ3149" s="2">
        <f t="shared" si="374"/>
        <v>0</v>
      </c>
      <c r="AK3149" s="2">
        <f t="shared" si="369"/>
        <v>21</v>
      </c>
      <c r="AL3149" s="5">
        <f t="shared" si="370"/>
        <v>1</v>
      </c>
    </row>
    <row r="3150" spans="1:38" hidden="1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71"/>
        <v>0.49849305555555556</v>
      </c>
      <c r="Z3150" s="2" t="s">
        <v>3231</v>
      </c>
      <c r="AA3150" s="2" t="s">
        <v>46</v>
      </c>
      <c r="AB3150" s="2" t="s">
        <v>57</v>
      </c>
      <c r="AC3150" s="2" t="s">
        <v>58</v>
      </c>
      <c r="AF3150" s="2">
        <f t="shared" si="373"/>
        <v>0</v>
      </c>
      <c r="AG3150" s="2">
        <v>7.2217000000000002</v>
      </c>
      <c r="AH3150" s="2">
        <v>14.4</v>
      </c>
      <c r="AJ3150" s="2">
        <f t="shared" si="374"/>
        <v>0</v>
      </c>
      <c r="AK3150" s="2">
        <f t="shared" si="369"/>
        <v>7.1783000000000001</v>
      </c>
      <c r="AL3150" s="5">
        <f t="shared" si="370"/>
        <v>0.49849305555555556</v>
      </c>
    </row>
    <row r="3151" spans="1:38" hidden="1" x14ac:dyDescent="0.2">
      <c r="A3151" s="2">
        <v>2026</v>
      </c>
      <c r="B3151" s="2">
        <v>2</v>
      </c>
      <c r="D3151" s="2" t="s">
        <v>690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691</v>
      </c>
      <c r="K3151" s="2">
        <v>913036545</v>
      </c>
      <c r="L3151" s="2" t="s">
        <v>178</v>
      </c>
      <c r="M3151" s="2" t="s">
        <v>41</v>
      </c>
      <c r="O3151" s="2" t="s">
        <v>2420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71"/>
        <v>1</v>
      </c>
      <c r="Z3151" s="2" t="s">
        <v>3231</v>
      </c>
      <c r="AA3151" s="2" t="s">
        <v>46</v>
      </c>
      <c r="AB3151" s="2" t="s">
        <v>57</v>
      </c>
      <c r="AC3151" s="2" t="s">
        <v>58</v>
      </c>
      <c r="AF3151" s="2">
        <f t="shared" si="373"/>
        <v>0</v>
      </c>
      <c r="AJ3151" s="2">
        <f t="shared" si="374"/>
        <v>0</v>
      </c>
      <c r="AK3151" s="2">
        <f t="shared" si="369"/>
        <v>30</v>
      </c>
      <c r="AL3151" s="5">
        <f t="shared" si="370"/>
        <v>1</v>
      </c>
    </row>
    <row r="3152" spans="1:38" hidden="1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371"/>
        <v>0.47844827586206895</v>
      </c>
      <c r="Z3152" s="2" t="s">
        <v>3231</v>
      </c>
      <c r="AA3152" s="2" t="s">
        <v>46</v>
      </c>
      <c r="AB3152" s="2" t="s">
        <v>57</v>
      </c>
      <c r="AC3152" s="2" t="s">
        <v>58</v>
      </c>
      <c r="AF3152" s="2">
        <f t="shared" si="373"/>
        <v>0</v>
      </c>
      <c r="AJ3152" s="2">
        <f t="shared" si="374"/>
        <v>0</v>
      </c>
      <c r="AK3152" s="2">
        <f t="shared" si="369"/>
        <v>8.3249999999999993</v>
      </c>
      <c r="AL3152" s="5">
        <f t="shared" si="370"/>
        <v>0.47844827586206895</v>
      </c>
    </row>
    <row r="3153" spans="1:38" hidden="1" x14ac:dyDescent="0.2">
      <c r="A3153" s="2">
        <v>2026</v>
      </c>
      <c r="B3153" s="2">
        <v>3</v>
      </c>
      <c r="D3153" s="2" t="s">
        <v>690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691</v>
      </c>
      <c r="K3153" s="2">
        <v>913036545</v>
      </c>
      <c r="L3153" s="2" t="s">
        <v>178</v>
      </c>
      <c r="M3153" s="2" t="s">
        <v>40</v>
      </c>
      <c r="O3153" s="2" t="s">
        <v>2532</v>
      </c>
      <c r="P3153" s="2" t="s">
        <v>115</v>
      </c>
      <c r="Q3153" s="2" t="s">
        <v>2533</v>
      </c>
      <c r="R3153" s="2" t="s">
        <v>2534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71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73"/>
        <v>0</v>
      </c>
      <c r="AG3153" s="2">
        <v>120.81</v>
      </c>
      <c r="AJ3153" s="2">
        <f t="shared" si="374"/>
        <v>0</v>
      </c>
      <c r="AK3153" s="2">
        <f t="shared" si="369"/>
        <v>142.92000000000002</v>
      </c>
      <c r="AL3153" s="5">
        <f t="shared" si="370"/>
        <v>0.54191787054942553</v>
      </c>
    </row>
    <row r="3154" spans="1:38" hidden="1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71"/>
        <v>1</v>
      </c>
      <c r="Z3154" s="2" t="s">
        <v>3231</v>
      </c>
      <c r="AA3154" s="2" t="s">
        <v>46</v>
      </c>
      <c r="AB3154" s="2" t="s">
        <v>57</v>
      </c>
      <c r="AC3154" s="2" t="s">
        <v>58</v>
      </c>
      <c r="AF3154" s="2">
        <f t="shared" si="373"/>
        <v>0</v>
      </c>
      <c r="AJ3154" s="2">
        <f t="shared" si="374"/>
        <v>0</v>
      </c>
      <c r="AK3154" s="2">
        <f t="shared" si="369"/>
        <v>21</v>
      </c>
      <c r="AL3154" s="5">
        <f t="shared" si="370"/>
        <v>1</v>
      </c>
    </row>
    <row r="3155" spans="1:38" hidden="1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3231</v>
      </c>
      <c r="AA3155" s="2" t="s">
        <v>46</v>
      </c>
      <c r="AB3155" s="2" t="s">
        <v>57</v>
      </c>
      <c r="AC3155" s="2" t="s">
        <v>58</v>
      </c>
      <c r="AF3155" s="2">
        <f t="shared" si="373"/>
        <v>0</v>
      </c>
      <c r="AJ3155" s="2">
        <f t="shared" si="374"/>
        <v>0</v>
      </c>
      <c r="AK3155" s="2">
        <f t="shared" si="369"/>
        <v>0</v>
      </c>
      <c r="AL3155" s="5">
        <f>IF(T3155=0,IF(W3155&gt;0,-100%,0%),(T3155-W3155)/T3155)</f>
        <v>0</v>
      </c>
    </row>
    <row r="3156" spans="1:38" hidden="1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3231</v>
      </c>
      <c r="AA3156" s="2" t="s">
        <v>46</v>
      </c>
      <c r="AB3156" s="2" t="s">
        <v>57</v>
      </c>
      <c r="AC3156" s="2" t="s">
        <v>58</v>
      </c>
      <c r="AF3156" s="2">
        <f t="shared" si="373"/>
        <v>0</v>
      </c>
      <c r="AJ3156" s="2">
        <f t="shared" si="374"/>
        <v>0</v>
      </c>
      <c r="AK3156" s="2">
        <f t="shared" si="369"/>
        <v>25.2</v>
      </c>
      <c r="AL3156" s="5">
        <f>(T3156-W3156)/T3156</f>
        <v>1</v>
      </c>
    </row>
    <row r="3157" spans="1:38" hidden="1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3231</v>
      </c>
      <c r="AA3157" s="2" t="s">
        <v>46</v>
      </c>
      <c r="AB3157" s="2" t="s">
        <v>57</v>
      </c>
      <c r="AC3157" s="2" t="s">
        <v>58</v>
      </c>
      <c r="AF3157" s="2">
        <f t="shared" si="373"/>
        <v>0</v>
      </c>
      <c r="AJ3157" s="2">
        <f t="shared" si="374"/>
        <v>0</v>
      </c>
      <c r="AK3157" s="2">
        <f t="shared" si="369"/>
        <v>0</v>
      </c>
      <c r="AL3157" s="5">
        <f>IF(T3157=0,IF(W3157&gt;0,-100%,0%),(T3157-W3157)/T3157)</f>
        <v>0</v>
      </c>
    </row>
    <row r="3158" spans="1:38" hidden="1" x14ac:dyDescent="0.2">
      <c r="A3158" s="2">
        <v>2026</v>
      </c>
      <c r="B3158" s="2">
        <v>3</v>
      </c>
      <c r="D3158" s="2" t="s">
        <v>690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691</v>
      </c>
      <c r="K3158" s="2">
        <v>913036545</v>
      </c>
      <c r="L3158" s="2" t="s">
        <v>178</v>
      </c>
      <c r="M3158" s="2" t="s">
        <v>40</v>
      </c>
      <c r="O3158" s="2" t="s">
        <v>2445</v>
      </c>
      <c r="P3158" s="2" t="s">
        <v>115</v>
      </c>
      <c r="Q3158" s="2" t="s">
        <v>2103</v>
      </c>
      <c r="R3158" s="2" t="s">
        <v>2104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73"/>
        <v>0</v>
      </c>
      <c r="AG3158" s="2">
        <v>42.23</v>
      </c>
      <c r="AJ3158" s="2">
        <f t="shared" si="374"/>
        <v>0</v>
      </c>
    </row>
    <row r="3159" spans="1:38" hidden="1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3231</v>
      </c>
      <c r="AA3159" s="2" t="s">
        <v>46</v>
      </c>
      <c r="AB3159" s="2" t="s">
        <v>57</v>
      </c>
      <c r="AC3159" s="2" t="s">
        <v>58</v>
      </c>
      <c r="AF3159" s="2">
        <f t="shared" si="373"/>
        <v>0</v>
      </c>
      <c r="AJ3159" s="2">
        <f t="shared" si="374"/>
        <v>0</v>
      </c>
      <c r="AK3159" s="2">
        <f t="shared" ref="AK3159:AK3190" si="377">T3159-W3159</f>
        <v>30</v>
      </c>
      <c r="AL3159" s="5">
        <f>(T3159-W3159)/T3159</f>
        <v>1</v>
      </c>
    </row>
    <row r="3160" spans="1:38" hidden="1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3231</v>
      </c>
      <c r="AA3160" s="2" t="s">
        <v>46</v>
      </c>
      <c r="AB3160" s="2" t="s">
        <v>57</v>
      </c>
      <c r="AC3160" s="2" t="s">
        <v>58</v>
      </c>
      <c r="AF3160" s="2">
        <f t="shared" si="373"/>
        <v>0</v>
      </c>
      <c r="AJ3160" s="2">
        <f t="shared" si="374"/>
        <v>0</v>
      </c>
      <c r="AK3160" s="2">
        <f t="shared" si="377"/>
        <v>0</v>
      </c>
      <c r="AL3160" s="5">
        <f>IF(T3160=0,IF(W3160&gt;0,-100%,0%),(T3160-W3160)/T3160)</f>
        <v>0</v>
      </c>
    </row>
    <row r="3161" spans="1:38" hidden="1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78">(T3161-W3161)/T3161</f>
        <v>0.26896551724137935</v>
      </c>
      <c r="Z3161" s="2" t="s">
        <v>3231</v>
      </c>
      <c r="AA3161" s="2" t="s">
        <v>46</v>
      </c>
      <c r="AB3161" s="2" t="s">
        <v>57</v>
      </c>
      <c r="AC3161" s="2" t="s">
        <v>58</v>
      </c>
      <c r="AF3161" s="2">
        <f t="shared" si="373"/>
        <v>0</v>
      </c>
      <c r="AG3161" s="2">
        <v>10.6</v>
      </c>
      <c r="AH3161" s="2">
        <v>18</v>
      </c>
      <c r="AJ3161" s="2">
        <f t="shared" si="374"/>
        <v>0</v>
      </c>
      <c r="AK3161" s="2">
        <f t="shared" si="377"/>
        <v>15.600000000000001</v>
      </c>
      <c r="AL3161" s="5">
        <f t="shared" ref="AL3161:AL3169" si="379">(T3161-W3161)/T3161</f>
        <v>0.26896551724137935</v>
      </c>
    </row>
    <row r="3162" spans="1:38" hidden="1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3119</v>
      </c>
      <c r="J3162" s="2" t="s">
        <v>3120</v>
      </c>
      <c r="L3162" s="2" t="s">
        <v>113</v>
      </c>
      <c r="M3162" s="2" t="s">
        <v>110</v>
      </c>
      <c r="O3162" s="2" t="s">
        <v>3123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78"/>
        <v>0.41111111111111115</v>
      </c>
      <c r="Z3162" s="2" t="s">
        <v>3231</v>
      </c>
      <c r="AA3162" s="2" t="s">
        <v>46</v>
      </c>
      <c r="AB3162" s="2" t="s">
        <v>57</v>
      </c>
      <c r="AC3162" s="2" t="s">
        <v>58</v>
      </c>
      <c r="AF3162" s="2">
        <f t="shared" si="373"/>
        <v>0</v>
      </c>
      <c r="AG3162" s="2">
        <v>10.6</v>
      </c>
      <c r="AH3162" s="2">
        <v>18</v>
      </c>
      <c r="AJ3162" s="2">
        <f t="shared" si="374"/>
        <v>0</v>
      </c>
      <c r="AK3162" s="2">
        <f t="shared" si="377"/>
        <v>22.200000000000003</v>
      </c>
      <c r="AL3162" s="5">
        <f t="shared" si="379"/>
        <v>0.41111111111111115</v>
      </c>
    </row>
    <row r="3163" spans="1:38" hidden="1" x14ac:dyDescent="0.2">
      <c r="A3163" s="2">
        <v>2026</v>
      </c>
      <c r="B3163" s="2">
        <v>2</v>
      </c>
      <c r="D3163" s="2" t="s">
        <v>2535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78"/>
        <v>0.24285714285714285</v>
      </c>
      <c r="Z3163" s="2" t="s">
        <v>3231</v>
      </c>
      <c r="AA3163" s="2" t="s">
        <v>46</v>
      </c>
      <c r="AB3163" s="2" t="s">
        <v>57</v>
      </c>
      <c r="AC3163" s="2" t="s">
        <v>58</v>
      </c>
      <c r="AF3163" s="2">
        <f t="shared" si="373"/>
        <v>0</v>
      </c>
      <c r="AG3163" s="2">
        <v>10.6</v>
      </c>
      <c r="AH3163" s="2">
        <v>18</v>
      </c>
      <c r="AJ3163" s="2">
        <f t="shared" si="374"/>
        <v>0</v>
      </c>
      <c r="AK3163" s="2">
        <f t="shared" si="377"/>
        <v>34</v>
      </c>
      <c r="AL3163" s="5">
        <f t="shared" si="379"/>
        <v>0.24285714285714285</v>
      </c>
    </row>
    <row r="3164" spans="1:38" hidden="1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78"/>
        <v>0.41111111111111115</v>
      </c>
      <c r="Z3164" s="2" t="s">
        <v>3231</v>
      </c>
      <c r="AA3164" s="2" t="s">
        <v>46</v>
      </c>
      <c r="AB3164" s="2" t="s">
        <v>57</v>
      </c>
      <c r="AC3164" s="2" t="s">
        <v>58</v>
      </c>
      <c r="AF3164" s="2">
        <f t="shared" si="373"/>
        <v>0</v>
      </c>
      <c r="AG3164" s="2">
        <v>10.6</v>
      </c>
      <c r="AH3164" s="2">
        <v>18</v>
      </c>
      <c r="AJ3164" s="2">
        <f t="shared" si="374"/>
        <v>0</v>
      </c>
      <c r="AK3164" s="2">
        <f t="shared" si="377"/>
        <v>7.4</v>
      </c>
      <c r="AL3164" s="5">
        <f t="shared" si="379"/>
        <v>0.41111111111111115</v>
      </c>
    </row>
    <row r="3165" spans="1:38" hidden="1" x14ac:dyDescent="0.2">
      <c r="A3165" s="2">
        <v>2026</v>
      </c>
      <c r="B3165" s="2">
        <v>2</v>
      </c>
      <c r="D3165" s="2" t="s">
        <v>1023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1558</v>
      </c>
      <c r="J3165" s="2" t="s">
        <v>2529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78"/>
        <v>0.41111111111111115</v>
      </c>
      <c r="Z3165" s="2" t="s">
        <v>3231</v>
      </c>
      <c r="AA3165" s="2" t="s">
        <v>46</v>
      </c>
      <c r="AB3165" s="2" t="s">
        <v>57</v>
      </c>
      <c r="AC3165" s="2" t="s">
        <v>58</v>
      </c>
      <c r="AF3165" s="2">
        <f t="shared" si="373"/>
        <v>0</v>
      </c>
      <c r="AG3165" s="2">
        <v>10.6</v>
      </c>
      <c r="AH3165" s="2">
        <v>18</v>
      </c>
      <c r="AJ3165" s="2">
        <f t="shared" si="374"/>
        <v>0</v>
      </c>
      <c r="AK3165" s="2">
        <f t="shared" si="377"/>
        <v>14.8</v>
      </c>
      <c r="AL3165" s="5">
        <f t="shared" si="379"/>
        <v>0.41111111111111115</v>
      </c>
    </row>
    <row r="3166" spans="1:38" hidden="1" x14ac:dyDescent="0.2">
      <c r="A3166" s="2">
        <v>2026</v>
      </c>
      <c r="B3166" s="2">
        <v>2</v>
      </c>
      <c r="D3166" s="2" t="s">
        <v>1023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1558</v>
      </c>
      <c r="J3166" s="2" t="s">
        <v>2529</v>
      </c>
      <c r="L3166" s="2" t="s">
        <v>178</v>
      </c>
      <c r="M3166" s="2" t="s">
        <v>41</v>
      </c>
      <c r="O3166" s="2" t="s">
        <v>2536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78"/>
        <v>0.34714285714285725</v>
      </c>
      <c r="Z3166" s="2" t="s">
        <v>3231</v>
      </c>
      <c r="AA3166" s="2" t="s">
        <v>46</v>
      </c>
      <c r="AB3166" s="2" t="s">
        <v>61</v>
      </c>
      <c r="AC3166" s="2" t="s">
        <v>58</v>
      </c>
      <c r="AF3166" s="2">
        <f t="shared" si="373"/>
        <v>0</v>
      </c>
      <c r="AG3166" s="2">
        <v>9.14</v>
      </c>
      <c r="AH3166" s="2">
        <v>16</v>
      </c>
      <c r="AJ3166" s="2">
        <f t="shared" si="374"/>
        <v>0</v>
      </c>
      <c r="AK3166" s="2">
        <f t="shared" si="377"/>
        <v>4.8600000000000012</v>
      </c>
      <c r="AL3166" s="5">
        <f t="shared" si="379"/>
        <v>0.34714285714285725</v>
      </c>
    </row>
    <row r="3167" spans="1:38" hidden="1" x14ac:dyDescent="0.2">
      <c r="A3167" s="2">
        <v>2026</v>
      </c>
      <c r="B3167" s="2">
        <v>2</v>
      </c>
      <c r="D3167" s="2" t="s">
        <v>618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619</v>
      </c>
      <c r="J3167" s="2" t="s">
        <v>620</v>
      </c>
      <c r="L3167" s="2" t="s">
        <v>419</v>
      </c>
      <c r="M3167" s="2" t="s">
        <v>41</v>
      </c>
      <c r="O3167" s="2" t="s">
        <v>2537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78"/>
        <v>0.29692307692307701</v>
      </c>
      <c r="Z3167" s="2" t="s">
        <v>3231</v>
      </c>
      <c r="AA3167" s="2" t="s">
        <v>46</v>
      </c>
      <c r="AB3167" s="2" t="s">
        <v>61</v>
      </c>
      <c r="AC3167" s="2" t="s">
        <v>58</v>
      </c>
      <c r="AF3167" s="2">
        <f t="shared" si="373"/>
        <v>0</v>
      </c>
      <c r="AG3167" s="2">
        <v>9.14</v>
      </c>
      <c r="AH3167" s="2">
        <v>16</v>
      </c>
      <c r="AJ3167" s="2">
        <f t="shared" si="374"/>
        <v>0</v>
      </c>
      <c r="AK3167" s="2">
        <f t="shared" si="377"/>
        <v>7.7200000000000024</v>
      </c>
      <c r="AL3167" s="5">
        <f t="shared" si="379"/>
        <v>0.29692307692307701</v>
      </c>
    </row>
    <row r="3168" spans="1:38" hidden="1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80">0.082*S3168</f>
        <v>155.80000000000001</v>
      </c>
      <c r="X3168" s="5">
        <f t="shared" si="378"/>
        <v>0.25454545454545446</v>
      </c>
      <c r="Z3168" s="2" t="s">
        <v>3231</v>
      </c>
      <c r="AA3168" s="2" t="s">
        <v>46</v>
      </c>
      <c r="AB3168" s="2" t="s">
        <v>61</v>
      </c>
      <c r="AC3168" s="2" t="s">
        <v>58</v>
      </c>
      <c r="AF3168" s="2">
        <f t="shared" si="373"/>
        <v>0</v>
      </c>
      <c r="AG3168" s="2">
        <v>8.1999999999999993</v>
      </c>
      <c r="AH3168" s="2">
        <v>13</v>
      </c>
      <c r="AJ3168" s="2">
        <f t="shared" si="374"/>
        <v>0</v>
      </c>
      <c r="AK3168" s="2">
        <f t="shared" si="377"/>
        <v>53.199999999999989</v>
      </c>
      <c r="AL3168" s="5">
        <f t="shared" si="379"/>
        <v>0.25454545454545446</v>
      </c>
    </row>
    <row r="3169" spans="1:38" hidden="1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80"/>
        <v>16.400000000000002</v>
      </c>
      <c r="X3169" s="5">
        <f t="shared" si="378"/>
        <v>0.36923076923076914</v>
      </c>
      <c r="Z3169" s="2" t="s">
        <v>3231</v>
      </c>
      <c r="AA3169" s="2" t="s">
        <v>46</v>
      </c>
      <c r="AB3169" s="2" t="s">
        <v>61</v>
      </c>
      <c r="AC3169" s="2" t="s">
        <v>58</v>
      </c>
      <c r="AF3169" s="2">
        <f t="shared" si="373"/>
        <v>0</v>
      </c>
      <c r="AG3169" s="2">
        <v>8.1999999999999993</v>
      </c>
      <c r="AH3169" s="2">
        <v>13</v>
      </c>
      <c r="AJ3169" s="2">
        <f t="shared" si="374"/>
        <v>0</v>
      </c>
      <c r="AK3169" s="2">
        <f t="shared" si="377"/>
        <v>9.5999999999999979</v>
      </c>
      <c r="AL3169" s="5">
        <f t="shared" si="379"/>
        <v>0.36923076923076914</v>
      </c>
    </row>
    <row r="3170" spans="1:38" hidden="1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3231</v>
      </c>
      <c r="AA3170" s="2" t="s">
        <v>46</v>
      </c>
      <c r="AB3170" s="2" t="s">
        <v>61</v>
      </c>
      <c r="AC3170" s="2" t="s">
        <v>58</v>
      </c>
      <c r="AF3170" s="2">
        <f t="shared" si="373"/>
        <v>0</v>
      </c>
      <c r="AG3170" s="2">
        <v>8.1999999999999993</v>
      </c>
      <c r="AH3170" s="2">
        <v>13</v>
      </c>
      <c r="AJ3170" s="2">
        <f t="shared" si="374"/>
        <v>0</v>
      </c>
      <c r="AK3170" s="2">
        <f t="shared" si="377"/>
        <v>0</v>
      </c>
      <c r="AL3170" s="5">
        <f>IF(T3170=0,IF(W3170&gt;0,-100%,0%),(T3170-W3170)/T3170)</f>
        <v>0</v>
      </c>
    </row>
    <row r="3171" spans="1:38" hidden="1" x14ac:dyDescent="0.2">
      <c r="A3171" s="2">
        <v>2026</v>
      </c>
      <c r="B3171" s="2">
        <v>2</v>
      </c>
      <c r="D3171" s="2" t="s">
        <v>2538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80"/>
        <v>16.400000000000002</v>
      </c>
      <c r="X3171" s="5">
        <f t="shared" ref="X3171:X3181" si="381">(T3171-W3171)/T3171</f>
        <v>0.3166666666666666</v>
      </c>
      <c r="Z3171" s="2" t="s">
        <v>3231</v>
      </c>
      <c r="AA3171" s="2" t="s">
        <v>46</v>
      </c>
      <c r="AB3171" s="2" t="s">
        <v>61</v>
      </c>
      <c r="AC3171" s="2" t="s">
        <v>58</v>
      </c>
      <c r="AF3171" s="2">
        <f t="shared" si="373"/>
        <v>0</v>
      </c>
      <c r="AG3171" s="2">
        <v>8.1999999999999993</v>
      </c>
      <c r="AH3171" s="2">
        <v>13</v>
      </c>
      <c r="AJ3171" s="2">
        <f t="shared" si="374"/>
        <v>0</v>
      </c>
      <c r="AK3171" s="2">
        <f t="shared" si="377"/>
        <v>7.5999999999999979</v>
      </c>
      <c r="AL3171" s="5">
        <f t="shared" ref="AL3171:AL3181" si="382">(T3171-W3171)/T3171</f>
        <v>0.3166666666666666</v>
      </c>
    </row>
    <row r="3172" spans="1:38" hidden="1" x14ac:dyDescent="0.2">
      <c r="A3172" s="2">
        <v>2026</v>
      </c>
      <c r="B3172" s="2">
        <v>2</v>
      </c>
      <c r="D3172" s="2" t="s">
        <v>1023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1558</v>
      </c>
      <c r="J3172" s="2" t="s">
        <v>2529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80"/>
        <v>8.2000000000000011</v>
      </c>
      <c r="X3172" s="5">
        <f t="shared" si="381"/>
        <v>0.36923076923076914</v>
      </c>
      <c r="Z3172" s="2" t="s">
        <v>3231</v>
      </c>
      <c r="AA3172" s="2" t="s">
        <v>46</v>
      </c>
      <c r="AB3172" s="2" t="s">
        <v>61</v>
      </c>
      <c r="AC3172" s="2" t="s">
        <v>58</v>
      </c>
      <c r="AF3172" s="2">
        <f t="shared" si="373"/>
        <v>0</v>
      </c>
      <c r="AG3172" s="2">
        <v>8.1999999999999993</v>
      </c>
      <c r="AH3172" s="2">
        <v>13</v>
      </c>
      <c r="AJ3172" s="2">
        <f t="shared" si="374"/>
        <v>0</v>
      </c>
      <c r="AK3172" s="2">
        <f t="shared" si="377"/>
        <v>4.7999999999999989</v>
      </c>
      <c r="AL3172" s="5">
        <f t="shared" si="382"/>
        <v>0.36923076923076914</v>
      </c>
    </row>
    <row r="3173" spans="1:38" hidden="1" x14ac:dyDescent="0.2">
      <c r="A3173" s="2">
        <v>2026</v>
      </c>
      <c r="B3173" s="2">
        <v>2</v>
      </c>
      <c r="D3173" s="2" t="s">
        <v>618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619</v>
      </c>
      <c r="J3173" s="2" t="s">
        <v>620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80"/>
        <v>8.2000000000000011</v>
      </c>
      <c r="X3173" s="5">
        <f t="shared" si="381"/>
        <v>0.3166666666666666</v>
      </c>
      <c r="Z3173" s="2" t="s">
        <v>3231</v>
      </c>
      <c r="AA3173" s="2" t="s">
        <v>46</v>
      </c>
      <c r="AB3173" s="2" t="s">
        <v>61</v>
      </c>
      <c r="AC3173" s="2" t="s">
        <v>58</v>
      </c>
      <c r="AF3173" s="2">
        <f t="shared" si="373"/>
        <v>0</v>
      </c>
      <c r="AG3173" s="2">
        <v>8.1999999999999993</v>
      </c>
      <c r="AH3173" s="2">
        <v>13</v>
      </c>
      <c r="AJ3173" s="2">
        <f t="shared" si="374"/>
        <v>0</v>
      </c>
      <c r="AK3173" s="2">
        <f t="shared" si="377"/>
        <v>3.7999999999999989</v>
      </c>
      <c r="AL3173" s="5">
        <f t="shared" si="382"/>
        <v>0.3166666666666666</v>
      </c>
    </row>
    <row r="3174" spans="1:38" hidden="1" x14ac:dyDescent="0.2">
      <c r="A3174" s="2">
        <v>2026</v>
      </c>
      <c r="B3174" s="2">
        <v>2</v>
      </c>
      <c r="D3174" s="2" t="s">
        <v>1314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1315</v>
      </c>
      <c r="L3174" s="2" t="s">
        <v>178</v>
      </c>
      <c r="M3174" s="2" t="s">
        <v>41</v>
      </c>
      <c r="O3174" s="2" t="s">
        <v>2539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80"/>
        <v>16.400000000000002</v>
      </c>
      <c r="X3174" s="5">
        <f t="shared" si="381"/>
        <v>0.3166666666666666</v>
      </c>
      <c r="Z3174" s="2" t="s">
        <v>3231</v>
      </c>
      <c r="AA3174" s="2" t="s">
        <v>46</v>
      </c>
      <c r="AB3174" s="2" t="s">
        <v>61</v>
      </c>
      <c r="AC3174" s="2" t="s">
        <v>58</v>
      </c>
      <c r="AF3174" s="2">
        <f t="shared" si="373"/>
        <v>0</v>
      </c>
      <c r="AG3174" s="2">
        <v>8.1999999999999993</v>
      </c>
      <c r="AH3174" s="2">
        <v>13</v>
      </c>
      <c r="AJ3174" s="2">
        <f t="shared" si="374"/>
        <v>0</v>
      </c>
      <c r="AK3174" s="2">
        <f t="shared" si="377"/>
        <v>7.5999999999999979</v>
      </c>
      <c r="AL3174" s="5">
        <f t="shared" si="382"/>
        <v>0.3166666666666666</v>
      </c>
    </row>
    <row r="3175" spans="1:38" hidden="1" x14ac:dyDescent="0.2">
      <c r="A3175" s="2">
        <v>2026</v>
      </c>
      <c r="B3175" s="2">
        <v>2</v>
      </c>
      <c r="D3175" s="2" t="s">
        <v>2538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83">0.0914*S3175</f>
        <v>9.1399999999999988</v>
      </c>
      <c r="X3175" s="5">
        <f t="shared" si="381"/>
        <v>0.34714285714285725</v>
      </c>
      <c r="Z3175" s="2" t="s">
        <v>3231</v>
      </c>
      <c r="AA3175" s="2" t="s">
        <v>46</v>
      </c>
      <c r="AB3175" s="2" t="s">
        <v>61</v>
      </c>
      <c r="AC3175" s="2" t="s">
        <v>58</v>
      </c>
      <c r="AF3175" s="2">
        <f t="shared" si="373"/>
        <v>0</v>
      </c>
      <c r="AJ3175" s="2">
        <f t="shared" si="374"/>
        <v>0</v>
      </c>
      <c r="AK3175" s="2">
        <f t="shared" si="377"/>
        <v>4.8600000000000012</v>
      </c>
      <c r="AL3175" s="5">
        <f t="shared" si="382"/>
        <v>0.34714285714285725</v>
      </c>
    </row>
    <row r="3176" spans="1:38" hidden="1" x14ac:dyDescent="0.2">
      <c r="A3176" s="2">
        <v>2026</v>
      </c>
      <c r="B3176" s="2">
        <v>2</v>
      </c>
      <c r="D3176" s="2" t="s">
        <v>1314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1315</v>
      </c>
      <c r="L3176" s="2" t="s">
        <v>178</v>
      </c>
      <c r="M3176" s="2" t="s">
        <v>41</v>
      </c>
      <c r="O3176" s="2" t="s">
        <v>2539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83"/>
        <v>9.1399999999999988</v>
      </c>
      <c r="X3176" s="5">
        <f t="shared" si="381"/>
        <v>0.34714285714285725</v>
      </c>
      <c r="Z3176" s="2" t="s">
        <v>3231</v>
      </c>
      <c r="AA3176" s="2" t="s">
        <v>46</v>
      </c>
      <c r="AB3176" s="2" t="s">
        <v>61</v>
      </c>
      <c r="AC3176" s="2" t="s">
        <v>58</v>
      </c>
      <c r="AF3176" s="2">
        <f t="shared" si="373"/>
        <v>0</v>
      </c>
      <c r="AJ3176" s="2">
        <f t="shared" si="374"/>
        <v>0</v>
      </c>
      <c r="AK3176" s="2">
        <f t="shared" si="377"/>
        <v>4.8600000000000012</v>
      </c>
      <c r="AL3176" s="5">
        <f t="shared" si="382"/>
        <v>0.34714285714285725</v>
      </c>
    </row>
    <row r="3177" spans="1:38" hidden="1" x14ac:dyDescent="0.2">
      <c r="A3177" s="2">
        <v>2026</v>
      </c>
      <c r="B3177" s="2">
        <v>2</v>
      </c>
      <c r="D3177" s="2" t="s">
        <v>1023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1558</v>
      </c>
      <c r="J3177" s="2" t="s">
        <v>2529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81"/>
        <v>0.47838888888888892</v>
      </c>
      <c r="Z3177" s="2" t="s">
        <v>3231</v>
      </c>
      <c r="AA3177" s="2" t="s">
        <v>46</v>
      </c>
      <c r="AB3177" s="2" t="s">
        <v>61</v>
      </c>
      <c r="AC3177" s="2" t="s">
        <v>58</v>
      </c>
      <c r="AF3177" s="2">
        <f t="shared" si="373"/>
        <v>0</v>
      </c>
      <c r="AG3177" s="2">
        <v>3.7555999999999998</v>
      </c>
      <c r="AH3177" s="2">
        <v>7.2</v>
      </c>
      <c r="AJ3177" s="2">
        <f t="shared" si="374"/>
        <v>0</v>
      </c>
      <c r="AK3177" s="2">
        <f t="shared" si="377"/>
        <v>13.777600000000001</v>
      </c>
      <c r="AL3177" s="5">
        <f t="shared" si="382"/>
        <v>0.47838888888888892</v>
      </c>
    </row>
    <row r="3178" spans="1:38" hidden="1" x14ac:dyDescent="0.2">
      <c r="A3178" s="2">
        <v>2026</v>
      </c>
      <c r="B3178" s="2">
        <v>2</v>
      </c>
      <c r="D3178" s="2" t="s">
        <v>1023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1558</v>
      </c>
      <c r="J3178" s="2" t="s">
        <v>2529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81"/>
        <v>0.5243888888888889</v>
      </c>
      <c r="Z3178" s="2" t="s">
        <v>3231</v>
      </c>
      <c r="AA3178" s="2" t="s">
        <v>46</v>
      </c>
      <c r="AB3178" s="2" t="s">
        <v>61</v>
      </c>
      <c r="AC3178" s="2" t="s">
        <v>58</v>
      </c>
      <c r="AF3178" s="2">
        <f t="shared" si="373"/>
        <v>0</v>
      </c>
      <c r="AG3178" s="2">
        <v>0.85609999999999997</v>
      </c>
      <c r="AH3178" s="2">
        <v>1.8</v>
      </c>
      <c r="AJ3178" s="2">
        <f t="shared" si="374"/>
        <v>0</v>
      </c>
      <c r="AK3178" s="2">
        <f t="shared" si="377"/>
        <v>0.94390000000000007</v>
      </c>
      <c r="AL3178" s="5">
        <f t="shared" si="382"/>
        <v>0.5243888888888889</v>
      </c>
    </row>
    <row r="3179" spans="1:38" hidden="1" x14ac:dyDescent="0.2">
      <c r="A3179" s="2">
        <v>2026</v>
      </c>
      <c r="B3179" s="2">
        <v>2</v>
      </c>
      <c r="D3179" s="2" t="s">
        <v>2540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81"/>
        <v>0.71463333333333334</v>
      </c>
      <c r="Z3179" s="2" t="s">
        <v>3231</v>
      </c>
      <c r="AA3179" s="2" t="s">
        <v>46</v>
      </c>
      <c r="AB3179" s="2" t="s">
        <v>61</v>
      </c>
      <c r="AC3179" s="2" t="s">
        <v>58</v>
      </c>
      <c r="AF3179" s="2">
        <f t="shared" si="373"/>
        <v>0</v>
      </c>
      <c r="AG3179" s="2">
        <v>0.85609999999999997</v>
      </c>
      <c r="AH3179" s="2">
        <v>1.8</v>
      </c>
      <c r="AJ3179" s="2">
        <f t="shared" si="374"/>
        <v>0</v>
      </c>
      <c r="AK3179" s="2">
        <f t="shared" si="377"/>
        <v>2.1438999999999999</v>
      </c>
      <c r="AL3179" s="5">
        <f t="shared" si="382"/>
        <v>0.71463333333333334</v>
      </c>
    </row>
    <row r="3180" spans="1:38" hidden="1" x14ac:dyDescent="0.2">
      <c r="A3180" s="2">
        <v>2026</v>
      </c>
      <c r="B3180" s="2">
        <v>2</v>
      </c>
      <c r="D3180" s="2" t="s">
        <v>2541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81"/>
        <v>0.62926666666666664</v>
      </c>
      <c r="Z3180" s="2" t="s">
        <v>3231</v>
      </c>
      <c r="AA3180" s="2" t="s">
        <v>46</v>
      </c>
      <c r="AB3180" s="2" t="s">
        <v>61</v>
      </c>
      <c r="AC3180" s="2" t="s">
        <v>58</v>
      </c>
      <c r="AF3180" s="2">
        <f t="shared" si="373"/>
        <v>0</v>
      </c>
      <c r="AG3180" s="2">
        <v>1.1122000000000001</v>
      </c>
      <c r="AH3180" s="2">
        <v>3</v>
      </c>
      <c r="AJ3180" s="2">
        <f t="shared" si="374"/>
        <v>0</v>
      </c>
      <c r="AK3180" s="2">
        <f t="shared" si="377"/>
        <v>5.6633999999999993</v>
      </c>
      <c r="AL3180" s="5">
        <f t="shared" si="382"/>
        <v>0.62926666666666664</v>
      </c>
    </row>
    <row r="3181" spans="1:38" hidden="1" x14ac:dyDescent="0.2">
      <c r="A3181" s="2">
        <v>2026</v>
      </c>
      <c r="B3181" s="2">
        <v>2</v>
      </c>
      <c r="D3181" s="2" t="s">
        <v>2525</v>
      </c>
      <c r="M3181" s="2" t="s">
        <v>110</v>
      </c>
      <c r="P3181" s="2" t="s">
        <v>43</v>
      </c>
      <c r="Q3181" s="2" t="s">
        <v>2382</v>
      </c>
      <c r="R3181" s="2" t="s">
        <v>2383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81"/>
        <v>1</v>
      </c>
      <c r="Z3181" s="2" t="s">
        <v>3231</v>
      </c>
      <c r="AA3181" s="2" t="s">
        <v>46</v>
      </c>
      <c r="AB3181" s="2" t="s">
        <v>91</v>
      </c>
      <c r="AC3181" s="2" t="s">
        <v>58</v>
      </c>
      <c r="AF3181" s="2">
        <f t="shared" si="373"/>
        <v>0</v>
      </c>
      <c r="AJ3181" s="2">
        <f t="shared" si="374"/>
        <v>0</v>
      </c>
      <c r="AK3181" s="2">
        <f t="shared" si="377"/>
        <v>60</v>
      </c>
      <c r="AL3181" s="5">
        <f t="shared" si="382"/>
        <v>1</v>
      </c>
    </row>
    <row r="3182" spans="1:38" hidden="1" x14ac:dyDescent="0.2">
      <c r="A3182" s="2">
        <v>2026</v>
      </c>
      <c r="B3182" s="2">
        <v>2</v>
      </c>
      <c r="D3182" s="2" t="s">
        <v>1017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2542</v>
      </c>
      <c r="L3182" s="2" t="s">
        <v>100</v>
      </c>
      <c r="M3182" s="2" t="s">
        <v>81</v>
      </c>
      <c r="O3182" s="2" t="s">
        <v>2543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3231</v>
      </c>
      <c r="AA3182" s="2" t="s">
        <v>46</v>
      </c>
      <c r="AB3182" s="2" t="s">
        <v>68</v>
      </c>
      <c r="AC3182" s="2" t="s">
        <v>58</v>
      </c>
      <c r="AF3182" s="2">
        <f t="shared" si="373"/>
        <v>0</v>
      </c>
      <c r="AG3182" s="2">
        <v>7.9611999999999998</v>
      </c>
      <c r="AH3182" s="2">
        <v>14.4</v>
      </c>
      <c r="AJ3182" s="2">
        <f t="shared" si="374"/>
        <v>0</v>
      </c>
      <c r="AK3182" s="2">
        <f t="shared" si="377"/>
        <v>-7.9611999999999998</v>
      </c>
      <c r="AL3182" s="5">
        <f>IF(T3182=0,IF(W3182&gt;0,-100%,0%),(T3182-W3182)/T3182)</f>
        <v>-1</v>
      </c>
    </row>
    <row r="3183" spans="1:38" hidden="1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84">(T3183-W3183)/T3183</f>
        <v>0.66122553191489364</v>
      </c>
      <c r="Z3183" s="2" t="s">
        <v>3231</v>
      </c>
      <c r="AA3183" s="2" t="s">
        <v>46</v>
      </c>
      <c r="AB3183" s="2" t="s">
        <v>68</v>
      </c>
      <c r="AC3183" s="2" t="s">
        <v>58</v>
      </c>
      <c r="AF3183" s="2">
        <f t="shared" si="373"/>
        <v>0</v>
      </c>
      <c r="AG3183" s="2">
        <v>7.9611999999999998</v>
      </c>
      <c r="AH3183" s="2">
        <v>14.4</v>
      </c>
      <c r="AJ3183" s="2">
        <f t="shared" si="374"/>
        <v>0</v>
      </c>
      <c r="AK3183" s="2">
        <f t="shared" si="377"/>
        <v>15.5388</v>
      </c>
      <c r="AL3183" s="5">
        <f t="shared" ref="AL3183:AL3214" si="385">(T3183-W3183)/T3183</f>
        <v>0.66122553191489364</v>
      </c>
    </row>
    <row r="3184" spans="1:38" hidden="1" x14ac:dyDescent="0.2">
      <c r="A3184" s="2">
        <v>2026</v>
      </c>
      <c r="B3184" s="2">
        <v>2</v>
      </c>
      <c r="D3184" s="2" t="s">
        <v>2535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84"/>
        <v>0.3608382978723404</v>
      </c>
      <c r="Z3184" s="2" t="s">
        <v>3231</v>
      </c>
      <c r="AA3184" s="2" t="s">
        <v>46</v>
      </c>
      <c r="AB3184" s="2" t="s">
        <v>68</v>
      </c>
      <c r="AC3184" s="2" t="s">
        <v>58</v>
      </c>
      <c r="AF3184" s="2">
        <f t="shared" si="373"/>
        <v>0</v>
      </c>
      <c r="AG3184" s="2">
        <v>15.020300000000001</v>
      </c>
      <c r="AH3184" s="2">
        <v>27.6</v>
      </c>
      <c r="AJ3184" s="2">
        <f t="shared" si="374"/>
        <v>0</v>
      </c>
      <c r="AK3184" s="2">
        <f t="shared" si="377"/>
        <v>25.439099999999996</v>
      </c>
      <c r="AL3184" s="5">
        <f t="shared" si="385"/>
        <v>0.3608382978723404</v>
      </c>
    </row>
    <row r="3185" spans="1:38" hidden="1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84"/>
        <v>0.3608382978723404</v>
      </c>
      <c r="Z3185" s="2" t="s">
        <v>3231</v>
      </c>
      <c r="AA3185" s="2" t="s">
        <v>46</v>
      </c>
      <c r="AB3185" s="2" t="s">
        <v>68</v>
      </c>
      <c r="AC3185" s="2" t="s">
        <v>58</v>
      </c>
      <c r="AF3185" s="2">
        <f t="shared" si="373"/>
        <v>0</v>
      </c>
      <c r="AG3185" s="2">
        <v>15.020300000000001</v>
      </c>
      <c r="AH3185" s="2">
        <v>27.6</v>
      </c>
      <c r="AJ3185" s="2">
        <f t="shared" si="374"/>
        <v>0</v>
      </c>
      <c r="AK3185" s="2">
        <f t="shared" si="377"/>
        <v>25.439099999999996</v>
      </c>
      <c r="AL3185" s="5">
        <f t="shared" si="385"/>
        <v>0.3608382978723404</v>
      </c>
    </row>
    <row r="3186" spans="1:38" hidden="1" x14ac:dyDescent="0.2">
      <c r="A3186" s="2">
        <v>2026</v>
      </c>
      <c r="B3186" s="2">
        <v>2</v>
      </c>
      <c r="C3186" s="2" t="s">
        <v>3304</v>
      </c>
      <c r="D3186" s="2" t="s">
        <v>1374</v>
      </c>
      <c r="E3186" s="2" t="s">
        <v>38</v>
      </c>
      <c r="F3186" s="2" t="s">
        <v>39</v>
      </c>
      <c r="I3186" s="2" t="s">
        <v>3303</v>
      </c>
      <c r="L3186" s="2" t="s">
        <v>134</v>
      </c>
      <c r="M3186" s="2" t="s">
        <v>2544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84"/>
        <v>0.45578623188405798</v>
      </c>
      <c r="Z3186" s="2" t="s">
        <v>3231</v>
      </c>
      <c r="AA3186" s="2" t="s">
        <v>46</v>
      </c>
      <c r="AB3186" s="2" t="s">
        <v>68</v>
      </c>
      <c r="AC3186" s="2" t="s">
        <v>58</v>
      </c>
      <c r="AF3186" s="2">
        <f t="shared" si="373"/>
        <v>0</v>
      </c>
      <c r="AG3186" s="2">
        <v>15.020300000000001</v>
      </c>
      <c r="AH3186" s="2">
        <v>27.6</v>
      </c>
      <c r="AJ3186" s="2">
        <f t="shared" si="374"/>
        <v>0</v>
      </c>
      <c r="AK3186" s="2">
        <f t="shared" si="377"/>
        <v>25.159400000000002</v>
      </c>
      <c r="AL3186" s="5">
        <f t="shared" si="385"/>
        <v>0.45578623188405798</v>
      </c>
    </row>
    <row r="3187" spans="1:38" hidden="1" x14ac:dyDescent="0.2">
      <c r="A3187" s="2">
        <v>2026</v>
      </c>
      <c r="B3187" s="2">
        <v>2</v>
      </c>
      <c r="D3187" s="2" t="s">
        <v>1017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2542</v>
      </c>
      <c r="L3187" s="2" t="s">
        <v>100</v>
      </c>
      <c r="M3187" s="2" t="s">
        <v>81</v>
      </c>
      <c r="O3187" s="2" t="s">
        <v>2543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84"/>
        <v>0.34694347826086952</v>
      </c>
      <c r="Z3187" s="2" t="s">
        <v>3231</v>
      </c>
      <c r="AA3187" s="2" t="s">
        <v>46</v>
      </c>
      <c r="AB3187" s="2" t="s">
        <v>68</v>
      </c>
      <c r="AC3187" s="2" t="s">
        <v>58</v>
      </c>
      <c r="AF3187" s="2">
        <f t="shared" si="373"/>
        <v>0</v>
      </c>
      <c r="AG3187" s="2">
        <v>15.020300000000001</v>
      </c>
      <c r="AH3187" s="2">
        <v>27.6</v>
      </c>
      <c r="AJ3187" s="2">
        <f t="shared" si="374"/>
        <v>0</v>
      </c>
      <c r="AK3187" s="2">
        <f t="shared" si="377"/>
        <v>15.959399999999999</v>
      </c>
      <c r="AL3187" s="5">
        <f t="shared" si="385"/>
        <v>0.34694347826086952</v>
      </c>
    </row>
    <row r="3188" spans="1:38" hidden="1" x14ac:dyDescent="0.2">
      <c r="A3188" s="2">
        <v>2026</v>
      </c>
      <c r="B3188" s="2">
        <v>2</v>
      </c>
      <c r="D3188" s="2" t="s">
        <v>618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619</v>
      </c>
      <c r="J3188" s="2" t="s">
        <v>620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84"/>
        <v>0.3608382978723404</v>
      </c>
      <c r="Z3188" s="2" t="s">
        <v>3231</v>
      </c>
      <c r="AA3188" s="2" t="s">
        <v>46</v>
      </c>
      <c r="AB3188" s="2" t="s">
        <v>68</v>
      </c>
      <c r="AC3188" s="2" t="s">
        <v>58</v>
      </c>
      <c r="AF3188" s="2">
        <f t="shared" si="373"/>
        <v>0</v>
      </c>
      <c r="AG3188" s="2">
        <v>15.020300000000001</v>
      </c>
      <c r="AH3188" s="2">
        <v>27.6</v>
      </c>
      <c r="AJ3188" s="2">
        <f t="shared" si="374"/>
        <v>0</v>
      </c>
      <c r="AK3188" s="2">
        <f t="shared" si="377"/>
        <v>8.4796999999999993</v>
      </c>
      <c r="AL3188" s="5">
        <f t="shared" si="385"/>
        <v>0.3608382978723404</v>
      </c>
    </row>
    <row r="3189" spans="1:38" hidden="1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1095</v>
      </c>
      <c r="R3189" s="2" t="s">
        <v>1096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84"/>
        <v>0.24785999999999997</v>
      </c>
      <c r="Z3189" s="2" t="s">
        <v>105</v>
      </c>
      <c r="AA3189" s="2" t="s">
        <v>265</v>
      </c>
      <c r="AB3189" s="2" t="s">
        <v>1097</v>
      </c>
      <c r="AC3189" s="2" t="s">
        <v>102</v>
      </c>
      <c r="AF3189" s="2">
        <f t="shared" si="373"/>
        <v>0</v>
      </c>
      <c r="AG3189" s="2">
        <f>2084.42+172</f>
        <v>2256.42</v>
      </c>
      <c r="AJ3189" s="2">
        <f t="shared" si="374"/>
        <v>0</v>
      </c>
      <c r="AK3189" s="2">
        <f t="shared" si="377"/>
        <v>2230.7399999999998</v>
      </c>
      <c r="AL3189" s="5">
        <f t="shared" si="385"/>
        <v>0.24785999999999997</v>
      </c>
    </row>
    <row r="3190" spans="1:38" hidden="1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2545</v>
      </c>
      <c r="P3190" s="2" t="s">
        <v>43</v>
      </c>
      <c r="Q3190" s="2" t="s">
        <v>2546</v>
      </c>
      <c r="R3190" s="2" t="s">
        <v>2547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84"/>
        <v>0.41111111111111115</v>
      </c>
      <c r="Z3190" s="2" t="s">
        <v>3231</v>
      </c>
      <c r="AA3190" s="2" t="s">
        <v>46</v>
      </c>
      <c r="AB3190" s="2" t="s">
        <v>57</v>
      </c>
      <c r="AC3190" s="2" t="s">
        <v>58</v>
      </c>
      <c r="AF3190" s="2">
        <f t="shared" si="373"/>
        <v>0</v>
      </c>
      <c r="AG3190" s="2">
        <v>10.6</v>
      </c>
      <c r="AH3190" s="2">
        <v>18</v>
      </c>
      <c r="AJ3190" s="2">
        <f t="shared" si="374"/>
        <v>0</v>
      </c>
      <c r="AK3190" s="2">
        <f t="shared" si="377"/>
        <v>14.8</v>
      </c>
      <c r="AL3190" s="5">
        <f t="shared" si="385"/>
        <v>0.41111111111111115</v>
      </c>
    </row>
    <row r="3191" spans="1:38" hidden="1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2548</v>
      </c>
      <c r="R3191" s="2" t="s">
        <v>2549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84"/>
        <v>0.39970609845701688</v>
      </c>
      <c r="Z3191" s="2" t="s">
        <v>3231</v>
      </c>
      <c r="AA3191" s="2" t="s">
        <v>72</v>
      </c>
      <c r="AB3191" s="2" t="s">
        <v>69</v>
      </c>
      <c r="AC3191" s="2" t="s">
        <v>3235</v>
      </c>
      <c r="AF3191" s="2">
        <f t="shared" si="373"/>
        <v>0</v>
      </c>
      <c r="AG3191" s="2">
        <v>8.17</v>
      </c>
      <c r="AJ3191" s="2">
        <f t="shared" si="374"/>
        <v>0</v>
      </c>
      <c r="AK3191" s="2">
        <f t="shared" ref="AK3191:AK3222" si="386">T3191-W3191</f>
        <v>5.4399999999999995</v>
      </c>
      <c r="AL3191" s="5">
        <f t="shared" si="385"/>
        <v>0.39970609845701688</v>
      </c>
    </row>
    <row r="3192" spans="1:38" hidden="1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2550</v>
      </c>
      <c r="R3192" s="2" t="s">
        <v>2551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84"/>
        <v>0.39976415094339629</v>
      </c>
      <c r="Z3192" s="2" t="s">
        <v>3231</v>
      </c>
      <c r="AA3192" s="2" t="s">
        <v>72</v>
      </c>
      <c r="AB3192" s="2" t="s">
        <v>69</v>
      </c>
      <c r="AC3192" s="2" t="s">
        <v>3235</v>
      </c>
      <c r="AF3192" s="2">
        <f t="shared" si="373"/>
        <v>0</v>
      </c>
      <c r="AG3192" s="2">
        <v>10.18</v>
      </c>
      <c r="AJ3192" s="2">
        <f t="shared" si="374"/>
        <v>0</v>
      </c>
      <c r="AK3192" s="2">
        <f t="shared" si="386"/>
        <v>6.7800000000000011</v>
      </c>
      <c r="AL3192" s="5">
        <f t="shared" si="385"/>
        <v>0.39976415094339629</v>
      </c>
    </row>
    <row r="3193" spans="1:38" hidden="1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2552</v>
      </c>
      <c r="R3193" s="2" t="s">
        <v>2553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84"/>
        <v>0.39988151658767762</v>
      </c>
      <c r="Z3193" s="2" t="s">
        <v>3231</v>
      </c>
      <c r="AA3193" s="2" t="s">
        <v>72</v>
      </c>
      <c r="AB3193" s="2" t="s">
        <v>69</v>
      </c>
      <c r="AC3193" s="2" t="s">
        <v>3235</v>
      </c>
      <c r="AF3193" s="2">
        <f t="shared" si="373"/>
        <v>0</v>
      </c>
      <c r="AG3193" s="2">
        <v>10.130000000000001</v>
      </c>
      <c r="AJ3193" s="2">
        <f t="shared" si="374"/>
        <v>0</v>
      </c>
      <c r="AK3193" s="2">
        <f t="shared" si="386"/>
        <v>6.7499999999999982</v>
      </c>
      <c r="AL3193" s="5">
        <f t="shared" si="385"/>
        <v>0.39988151658767762</v>
      </c>
    </row>
    <row r="3194" spans="1:38" hidden="1" x14ac:dyDescent="0.2">
      <c r="A3194" s="2">
        <v>2026</v>
      </c>
      <c r="B3194" s="2">
        <v>2</v>
      </c>
      <c r="D3194" s="2" t="s">
        <v>1488</v>
      </c>
      <c r="M3194" s="2" t="s">
        <v>41</v>
      </c>
      <c r="P3194" s="2" t="s">
        <v>69</v>
      </c>
      <c r="Q3194" s="2" t="s">
        <v>1162</v>
      </c>
      <c r="R3194" s="2" t="s">
        <v>1163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84"/>
        <v>0.21000000000000002</v>
      </c>
      <c r="Z3194" s="2" t="s">
        <v>3231</v>
      </c>
      <c r="AA3194" s="2" t="s">
        <v>72</v>
      </c>
      <c r="AB3194" s="2" t="s">
        <v>69</v>
      </c>
      <c r="AC3194" s="2" t="s">
        <v>3235</v>
      </c>
      <c r="AF3194" s="2">
        <f t="shared" si="373"/>
        <v>0</v>
      </c>
      <c r="AG3194" s="2">
        <v>47.4</v>
      </c>
      <c r="AJ3194" s="2">
        <f t="shared" si="374"/>
        <v>0</v>
      </c>
      <c r="AK3194" s="2">
        <f t="shared" si="386"/>
        <v>12.600000000000001</v>
      </c>
      <c r="AL3194" s="5">
        <f t="shared" si="385"/>
        <v>0.21000000000000002</v>
      </c>
    </row>
    <row r="3195" spans="1:38" hidden="1" x14ac:dyDescent="0.2">
      <c r="A3195" s="2">
        <v>2026</v>
      </c>
      <c r="B3195" s="2">
        <v>2</v>
      </c>
      <c r="D3195" s="2" t="s">
        <v>2520</v>
      </c>
      <c r="E3195" s="2" t="s">
        <v>753</v>
      </c>
      <c r="F3195" s="2" t="s">
        <v>39</v>
      </c>
      <c r="G3195" s="2">
        <v>515570354</v>
      </c>
      <c r="H3195" s="2" t="s">
        <v>110</v>
      </c>
      <c r="I3195" s="2" t="s">
        <v>2521</v>
      </c>
      <c r="J3195" s="2" t="s">
        <v>2522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2554</v>
      </c>
      <c r="R3195" s="2" t="s">
        <v>2555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84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3235</v>
      </c>
      <c r="AF3195" s="2">
        <f t="shared" si="373"/>
        <v>0</v>
      </c>
      <c r="AG3195" s="2">
        <v>235.29</v>
      </c>
      <c r="AJ3195" s="2">
        <f t="shared" si="374"/>
        <v>0</v>
      </c>
      <c r="AK3195" s="2">
        <f t="shared" si="386"/>
        <v>254.71</v>
      </c>
      <c r="AL3195" s="5">
        <f t="shared" si="385"/>
        <v>0.51981632653061227</v>
      </c>
    </row>
    <row r="3196" spans="1:38" hidden="1" x14ac:dyDescent="0.2">
      <c r="A3196" s="2">
        <v>2026</v>
      </c>
      <c r="B3196" s="2">
        <v>2</v>
      </c>
      <c r="D3196" s="2" t="s">
        <v>2520</v>
      </c>
      <c r="E3196" s="2" t="s">
        <v>753</v>
      </c>
      <c r="F3196" s="2" t="s">
        <v>39</v>
      </c>
      <c r="G3196" s="2">
        <v>515570354</v>
      </c>
      <c r="H3196" s="2" t="s">
        <v>110</v>
      </c>
      <c r="I3196" s="2" t="s">
        <v>2521</v>
      </c>
      <c r="J3196" s="2" t="s">
        <v>2522</v>
      </c>
      <c r="K3196" s="2">
        <v>967032538</v>
      </c>
      <c r="L3196" s="2" t="s">
        <v>399</v>
      </c>
      <c r="M3196" s="2" t="s">
        <v>110</v>
      </c>
      <c r="O3196" s="2" t="s">
        <v>2556</v>
      </c>
      <c r="P3196" s="2" t="s">
        <v>69</v>
      </c>
      <c r="Q3196" s="2" t="s">
        <v>2557</v>
      </c>
      <c r="R3196" s="2" t="s">
        <v>2558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84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3235</v>
      </c>
      <c r="AF3196" s="2">
        <f t="shared" si="373"/>
        <v>0</v>
      </c>
      <c r="AG3196" s="2">
        <v>647.05999999999995</v>
      </c>
      <c r="AJ3196" s="2">
        <f t="shared" si="374"/>
        <v>0</v>
      </c>
      <c r="AK3196" s="2">
        <f t="shared" si="386"/>
        <v>552.94000000000005</v>
      </c>
      <c r="AL3196" s="5">
        <f t="shared" si="385"/>
        <v>0.46078333333333338</v>
      </c>
    </row>
    <row r="3197" spans="1:38" hidden="1" x14ac:dyDescent="0.2">
      <c r="A3197" s="2">
        <v>2026</v>
      </c>
      <c r="B3197" s="2">
        <v>2</v>
      </c>
      <c r="D3197" s="2" t="s">
        <v>1789</v>
      </c>
      <c r="M3197" s="2" t="s">
        <v>110</v>
      </c>
      <c r="O3197" s="2" t="s">
        <v>2559</v>
      </c>
      <c r="P3197" s="2" t="s">
        <v>69</v>
      </c>
      <c r="Q3197" s="2" t="s">
        <v>2557</v>
      </c>
      <c r="R3197" s="2" t="s">
        <v>2558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84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3235</v>
      </c>
      <c r="AF3197" s="2">
        <f t="shared" si="373"/>
        <v>0</v>
      </c>
      <c r="AG3197" s="2">
        <v>647.05999999999995</v>
      </c>
      <c r="AJ3197" s="2">
        <f t="shared" si="374"/>
        <v>0</v>
      </c>
      <c r="AK3197" s="2">
        <f t="shared" si="386"/>
        <v>534.44000000000005</v>
      </c>
      <c r="AL3197" s="5">
        <f t="shared" si="385"/>
        <v>0.45234024545069829</v>
      </c>
    </row>
    <row r="3198" spans="1:38" hidden="1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2560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84"/>
        <v>0.4823015054650443</v>
      </c>
      <c r="Z3198" s="2" t="s">
        <v>3231</v>
      </c>
      <c r="AA3198" s="2" t="s">
        <v>76</v>
      </c>
      <c r="AB3198" s="2" t="s">
        <v>77</v>
      </c>
      <c r="AC3198" s="2" t="s">
        <v>78</v>
      </c>
      <c r="AF3198" s="2">
        <f t="shared" si="373"/>
        <v>0</v>
      </c>
      <c r="AG3198" s="2">
        <v>125.51600000000001</v>
      </c>
      <c r="AH3198" s="2">
        <v>220</v>
      </c>
      <c r="AJ3198" s="2">
        <f t="shared" si="374"/>
        <v>0</v>
      </c>
      <c r="AK3198" s="2">
        <f t="shared" si="386"/>
        <v>116.93399999999998</v>
      </c>
      <c r="AL3198" s="5">
        <f t="shared" si="385"/>
        <v>0.4823015054650443</v>
      </c>
    </row>
    <row r="3199" spans="1:38" hidden="1" x14ac:dyDescent="0.2">
      <c r="A3199" s="2">
        <v>2026</v>
      </c>
      <c r="B3199" s="2">
        <v>2</v>
      </c>
      <c r="D3199" s="2" t="s">
        <v>2541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84"/>
        <v>0.42947272727272723</v>
      </c>
      <c r="Z3199" s="2" t="s">
        <v>3231</v>
      </c>
      <c r="AA3199" s="2" t="s">
        <v>76</v>
      </c>
      <c r="AB3199" s="2" t="s">
        <v>77</v>
      </c>
      <c r="AC3199" s="2" t="s">
        <v>78</v>
      </c>
      <c r="AF3199" s="2">
        <f t="shared" si="373"/>
        <v>0</v>
      </c>
      <c r="AG3199" s="2">
        <v>125.51600000000001</v>
      </c>
      <c r="AH3199" s="2">
        <v>220</v>
      </c>
      <c r="AJ3199" s="2">
        <f t="shared" si="374"/>
        <v>0</v>
      </c>
      <c r="AK3199" s="2">
        <f t="shared" si="386"/>
        <v>188.96799999999999</v>
      </c>
      <c r="AL3199" s="5">
        <f t="shared" si="385"/>
        <v>0.42947272727272723</v>
      </c>
    </row>
    <row r="3200" spans="1:38" hidden="1" x14ac:dyDescent="0.2">
      <c r="A3200" s="2">
        <v>2026</v>
      </c>
      <c r="B3200" s="2">
        <v>2</v>
      </c>
      <c r="D3200" s="2" t="s">
        <v>2561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84"/>
        <v>0.42947272727272723</v>
      </c>
      <c r="Z3200" s="2" t="s">
        <v>3231</v>
      </c>
      <c r="AA3200" s="2" t="s">
        <v>76</v>
      </c>
      <c r="AB3200" s="2" t="s">
        <v>77</v>
      </c>
      <c r="AC3200" s="2" t="s">
        <v>78</v>
      </c>
      <c r="AF3200" s="2">
        <f t="shared" si="373"/>
        <v>0</v>
      </c>
      <c r="AG3200" s="2">
        <v>125.51600000000001</v>
      </c>
      <c r="AH3200" s="2">
        <v>220</v>
      </c>
      <c r="AJ3200" s="2">
        <f t="shared" si="374"/>
        <v>0</v>
      </c>
      <c r="AK3200" s="2">
        <f t="shared" si="386"/>
        <v>94.483999999999995</v>
      </c>
      <c r="AL3200" s="5">
        <f t="shared" si="385"/>
        <v>0.42947272727272723</v>
      </c>
    </row>
    <row r="3201" spans="1:38" hidden="1" x14ac:dyDescent="0.2">
      <c r="A3201" s="2">
        <v>2026</v>
      </c>
      <c r="B3201" s="2">
        <v>2</v>
      </c>
      <c r="D3201" s="2" t="s">
        <v>1998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84"/>
        <v>0.42947272727272723</v>
      </c>
      <c r="Z3201" s="2" t="s">
        <v>3231</v>
      </c>
      <c r="AA3201" s="2" t="s">
        <v>76</v>
      </c>
      <c r="AB3201" s="2" t="s">
        <v>77</v>
      </c>
      <c r="AC3201" s="2" t="s">
        <v>78</v>
      </c>
      <c r="AF3201" s="2">
        <f t="shared" si="373"/>
        <v>0</v>
      </c>
      <c r="AG3201" s="2">
        <v>125.51600000000001</v>
      </c>
      <c r="AH3201" s="2">
        <v>220</v>
      </c>
      <c r="AJ3201" s="2">
        <f t="shared" si="374"/>
        <v>0</v>
      </c>
      <c r="AK3201" s="2">
        <f t="shared" si="386"/>
        <v>94.483999999999995</v>
      </c>
      <c r="AL3201" s="5">
        <f t="shared" si="385"/>
        <v>0.42947272727272723</v>
      </c>
    </row>
    <row r="3202" spans="1:38" hidden="1" x14ac:dyDescent="0.2">
      <c r="A3202" s="2">
        <v>2026</v>
      </c>
      <c r="B3202" s="2">
        <v>2</v>
      </c>
      <c r="D3202" s="2" t="s">
        <v>1557</v>
      </c>
      <c r="E3202" s="2" t="s">
        <v>109</v>
      </c>
      <c r="F3202" s="2" t="s">
        <v>718</v>
      </c>
      <c r="G3202" s="2">
        <v>500975914</v>
      </c>
      <c r="H3202" s="2" t="s">
        <v>41</v>
      </c>
      <c r="I3202" s="2" t="s">
        <v>1558</v>
      </c>
      <c r="J3202" s="2" t="s">
        <v>1559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84"/>
        <v>0.42947272727272723</v>
      </c>
      <c r="Z3202" s="2" t="s">
        <v>3231</v>
      </c>
      <c r="AA3202" s="2" t="s">
        <v>76</v>
      </c>
      <c r="AB3202" s="2" t="s">
        <v>77</v>
      </c>
      <c r="AC3202" s="2" t="s">
        <v>78</v>
      </c>
      <c r="AF3202" s="2">
        <f t="shared" si="373"/>
        <v>0</v>
      </c>
      <c r="AG3202" s="2">
        <v>125.51600000000001</v>
      </c>
      <c r="AH3202" s="2">
        <v>220</v>
      </c>
      <c r="AJ3202" s="2">
        <f t="shared" si="374"/>
        <v>0</v>
      </c>
      <c r="AK3202" s="2">
        <f t="shared" si="386"/>
        <v>94.483999999999995</v>
      </c>
      <c r="AL3202" s="5">
        <f t="shared" si="385"/>
        <v>0.42947272727272723</v>
      </c>
    </row>
    <row r="3203" spans="1:38" hidden="1" x14ac:dyDescent="0.2">
      <c r="A3203" s="2">
        <v>2026</v>
      </c>
      <c r="B3203" s="2">
        <v>2</v>
      </c>
      <c r="D3203" s="2" t="s">
        <v>1378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84"/>
        <v>0.42947272727272723</v>
      </c>
      <c r="Z3203" s="2" t="s">
        <v>3231</v>
      </c>
      <c r="AA3203" s="2" t="s">
        <v>76</v>
      </c>
      <c r="AB3203" s="2" t="s">
        <v>77</v>
      </c>
      <c r="AC3203" s="2" t="s">
        <v>78</v>
      </c>
      <c r="AF3203" s="2">
        <f t="shared" ref="AF3203:AF3266" si="387">AJ3203</f>
        <v>0</v>
      </c>
      <c r="AG3203" s="2">
        <v>125.51600000000001</v>
      </c>
      <c r="AH3203" s="2">
        <v>220</v>
      </c>
      <c r="AJ3203" s="2">
        <f t="shared" ref="AJ3203:AJ3266" si="388">AI3203*T3203</f>
        <v>0</v>
      </c>
      <c r="AK3203" s="2">
        <f t="shared" si="386"/>
        <v>94.483999999999995</v>
      </c>
      <c r="AL3203" s="5">
        <f t="shared" si="385"/>
        <v>0.42947272727272723</v>
      </c>
    </row>
    <row r="3204" spans="1:38" hidden="1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2562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84"/>
        <v>0.42947272727272723</v>
      </c>
      <c r="Z3204" s="2" t="s">
        <v>3231</v>
      </c>
      <c r="AA3204" s="2" t="s">
        <v>76</v>
      </c>
      <c r="AB3204" s="2" t="s">
        <v>77</v>
      </c>
      <c r="AC3204" s="2" t="s">
        <v>78</v>
      </c>
      <c r="AF3204" s="2">
        <f t="shared" si="387"/>
        <v>0</v>
      </c>
      <c r="AG3204" s="2">
        <v>125.51600000000001</v>
      </c>
      <c r="AH3204" s="2">
        <v>220</v>
      </c>
      <c r="AJ3204" s="2">
        <f t="shared" si="388"/>
        <v>0</v>
      </c>
      <c r="AK3204" s="2">
        <f t="shared" si="386"/>
        <v>94.483999999999995</v>
      </c>
      <c r="AL3204" s="5">
        <f t="shared" si="385"/>
        <v>0.42947272727272723</v>
      </c>
    </row>
    <row r="3205" spans="1:38" hidden="1" x14ac:dyDescent="0.2">
      <c r="A3205" s="2">
        <v>2026</v>
      </c>
      <c r="B3205" s="2">
        <v>2</v>
      </c>
      <c r="D3205" s="2" t="s">
        <v>2563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84"/>
        <v>0.42947272727272728</v>
      </c>
      <c r="Z3205" s="2" t="s">
        <v>3231</v>
      </c>
      <c r="AA3205" s="2" t="s">
        <v>76</v>
      </c>
      <c r="AB3205" s="2" t="s">
        <v>77</v>
      </c>
      <c r="AC3205" s="2" t="s">
        <v>78</v>
      </c>
      <c r="AF3205" s="2">
        <f t="shared" si="387"/>
        <v>0</v>
      </c>
      <c r="AG3205" s="2">
        <v>125.51600000000001</v>
      </c>
      <c r="AH3205" s="2">
        <v>220</v>
      </c>
      <c r="AJ3205" s="2">
        <f t="shared" si="388"/>
        <v>0</v>
      </c>
      <c r="AK3205" s="2">
        <f t="shared" si="386"/>
        <v>283.452</v>
      </c>
      <c r="AL3205" s="5">
        <f t="shared" si="385"/>
        <v>0.42947272727272728</v>
      </c>
    </row>
    <row r="3206" spans="1:38" hidden="1" x14ac:dyDescent="0.2">
      <c r="A3206" s="2">
        <v>2026</v>
      </c>
      <c r="B3206" s="2">
        <v>2</v>
      </c>
      <c r="D3206" s="2" t="s">
        <v>1597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1598</v>
      </c>
      <c r="J3206" s="2" t="s">
        <v>1599</v>
      </c>
      <c r="L3206" s="2" t="s">
        <v>202</v>
      </c>
      <c r="M3206" s="2" t="s">
        <v>81</v>
      </c>
      <c r="O3206" s="2" t="s">
        <v>2564</v>
      </c>
      <c r="P3206" s="2" t="s">
        <v>73</v>
      </c>
      <c r="Q3206" s="2" t="s">
        <v>682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84"/>
        <v>0.52504545454545459</v>
      </c>
      <c r="Z3206" s="2" t="s">
        <v>3231</v>
      </c>
      <c r="AA3206" s="2" t="s">
        <v>76</v>
      </c>
      <c r="AB3206" s="2" t="s">
        <v>77</v>
      </c>
      <c r="AC3206" s="2" t="s">
        <v>78</v>
      </c>
      <c r="AF3206" s="2">
        <f t="shared" si="387"/>
        <v>0</v>
      </c>
      <c r="AG3206" s="2">
        <v>104.49</v>
      </c>
      <c r="AH3206" s="2">
        <v>220</v>
      </c>
      <c r="AJ3206" s="2">
        <f t="shared" si="388"/>
        <v>0</v>
      </c>
      <c r="AK3206" s="2">
        <f t="shared" si="386"/>
        <v>115.51</v>
      </c>
      <c r="AL3206" s="5">
        <f t="shared" si="385"/>
        <v>0.52504545454545459</v>
      </c>
    </row>
    <row r="3207" spans="1:38" hidden="1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2565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84"/>
        <v>0.5822058141332922</v>
      </c>
      <c r="Z3207" s="2" t="s">
        <v>3231</v>
      </c>
      <c r="AA3207" s="2" t="s">
        <v>76</v>
      </c>
      <c r="AB3207" s="2" t="s">
        <v>77</v>
      </c>
      <c r="AC3207" s="2" t="s">
        <v>78</v>
      </c>
      <c r="AF3207" s="2">
        <f t="shared" si="387"/>
        <v>0</v>
      </c>
      <c r="AG3207" s="2">
        <f>101.305+6.77</f>
        <v>108.075</v>
      </c>
      <c r="AH3207" s="2">
        <v>210</v>
      </c>
      <c r="AJ3207" s="2">
        <f t="shared" si="388"/>
        <v>0</v>
      </c>
      <c r="AK3207" s="2">
        <f t="shared" si="386"/>
        <v>150.60500000000002</v>
      </c>
      <c r="AL3207" s="5">
        <f t="shared" si="385"/>
        <v>0.5822058141332922</v>
      </c>
    </row>
    <row r="3208" spans="1:38" hidden="1" x14ac:dyDescent="0.2">
      <c r="A3208" s="2">
        <v>2026</v>
      </c>
      <c r="B3208" s="2">
        <v>2</v>
      </c>
      <c r="D3208" s="2" t="s">
        <v>848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2566</v>
      </c>
      <c r="J3208" s="2" t="s">
        <v>2567</v>
      </c>
      <c r="K3208" s="2">
        <v>912897776</v>
      </c>
      <c r="L3208" s="2" t="s">
        <v>340</v>
      </c>
      <c r="M3208" s="2" t="s">
        <v>81</v>
      </c>
      <c r="O3208" s="2" t="s">
        <v>2568</v>
      </c>
      <c r="P3208" s="2" t="s">
        <v>73</v>
      </c>
      <c r="Q3208" s="2" t="s">
        <v>897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84"/>
        <v>0.50795652173913042</v>
      </c>
      <c r="Z3208" s="2" t="s">
        <v>3231</v>
      </c>
      <c r="AA3208" s="2" t="s">
        <v>76</v>
      </c>
      <c r="AB3208" s="2" t="s">
        <v>77</v>
      </c>
      <c r="AC3208" s="2" t="s">
        <v>78</v>
      </c>
      <c r="AF3208" s="2">
        <f t="shared" si="387"/>
        <v>0</v>
      </c>
      <c r="AG3208" s="2">
        <v>113.17</v>
      </c>
      <c r="AJ3208" s="2">
        <f t="shared" si="388"/>
        <v>0</v>
      </c>
      <c r="AK3208" s="2">
        <f t="shared" si="386"/>
        <v>116.83</v>
      </c>
      <c r="AL3208" s="5">
        <f t="shared" si="385"/>
        <v>0.50795652173913042</v>
      </c>
    </row>
    <row r="3209" spans="1:38" hidden="1" x14ac:dyDescent="0.2">
      <c r="A3209" s="2">
        <v>2026</v>
      </c>
      <c r="B3209" s="2">
        <v>2</v>
      </c>
      <c r="D3209" s="2" t="s">
        <v>1258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2569</v>
      </c>
      <c r="L3209" s="2" t="s">
        <v>202</v>
      </c>
      <c r="M3209" s="2" t="s">
        <v>81</v>
      </c>
      <c r="O3209" s="2" t="s">
        <v>2570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84"/>
        <v>0.44790909090909092</v>
      </c>
      <c r="Z3209" s="2" t="s">
        <v>3231</v>
      </c>
      <c r="AA3209" s="2" t="s">
        <v>76</v>
      </c>
      <c r="AB3209" s="2" t="s">
        <v>77</v>
      </c>
      <c r="AC3209" s="2" t="s">
        <v>78</v>
      </c>
      <c r="AF3209" s="2">
        <f t="shared" si="387"/>
        <v>0</v>
      </c>
      <c r="AG3209" s="2">
        <v>121.46</v>
      </c>
      <c r="AH3209" s="2">
        <v>210</v>
      </c>
      <c r="AJ3209" s="2">
        <f t="shared" si="388"/>
        <v>0</v>
      </c>
      <c r="AK3209" s="2">
        <f t="shared" si="386"/>
        <v>197.08</v>
      </c>
      <c r="AL3209" s="5">
        <f t="shared" si="385"/>
        <v>0.44790909090909092</v>
      </c>
    </row>
    <row r="3210" spans="1:38" hidden="1" x14ac:dyDescent="0.2">
      <c r="A3210" s="2">
        <v>2026</v>
      </c>
      <c r="B3210" s="2">
        <v>2</v>
      </c>
      <c r="D3210" s="2" t="s">
        <v>750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751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1450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84"/>
        <v>0.41775652173913047</v>
      </c>
      <c r="Z3210" s="2" t="s">
        <v>3231</v>
      </c>
      <c r="AA3210" s="2" t="s">
        <v>76</v>
      </c>
      <c r="AB3210" s="2" t="s">
        <v>77</v>
      </c>
      <c r="AC3210" s="2" t="s">
        <v>78</v>
      </c>
      <c r="AF3210" s="2">
        <f t="shared" si="387"/>
        <v>0</v>
      </c>
      <c r="AJ3210" s="2">
        <f t="shared" si="388"/>
        <v>0</v>
      </c>
      <c r="AK3210" s="2">
        <f t="shared" si="386"/>
        <v>96.084000000000003</v>
      </c>
      <c r="AL3210" s="5">
        <f t="shared" si="385"/>
        <v>0.41775652173913047</v>
      </c>
    </row>
    <row r="3211" spans="1:38" hidden="1" x14ac:dyDescent="0.2">
      <c r="A3211" s="2">
        <v>2026</v>
      </c>
      <c r="B3211" s="2">
        <v>2</v>
      </c>
      <c r="D3211" s="2" t="s">
        <v>2571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2572</v>
      </c>
      <c r="J3211" s="2" t="s">
        <v>2573</v>
      </c>
      <c r="L3211" s="2" t="s">
        <v>134</v>
      </c>
      <c r="M3211" s="2" t="s">
        <v>81</v>
      </c>
      <c r="O3211" s="2" t="s">
        <v>2574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84"/>
        <v>0.42639130434782607</v>
      </c>
      <c r="Z3211" s="2" t="s">
        <v>3231</v>
      </c>
      <c r="AA3211" s="2" t="s">
        <v>76</v>
      </c>
      <c r="AB3211" s="2" t="s">
        <v>77</v>
      </c>
      <c r="AC3211" s="2" t="s">
        <v>78</v>
      </c>
      <c r="AF3211" s="2">
        <f t="shared" si="387"/>
        <v>0</v>
      </c>
      <c r="AG3211" s="2">
        <v>131.93</v>
      </c>
      <c r="AH3211" s="2">
        <v>220</v>
      </c>
      <c r="AJ3211" s="2">
        <f t="shared" si="388"/>
        <v>0</v>
      </c>
      <c r="AK3211" s="2">
        <f t="shared" si="386"/>
        <v>98.07</v>
      </c>
      <c r="AL3211" s="5">
        <f t="shared" si="385"/>
        <v>0.42639130434782607</v>
      </c>
    </row>
    <row r="3212" spans="1:38" hidden="1" x14ac:dyDescent="0.2">
      <c r="A3212" s="2">
        <v>2026</v>
      </c>
      <c r="B3212" s="2">
        <v>2</v>
      </c>
      <c r="D3212" s="2" t="s">
        <v>2571</v>
      </c>
      <c r="P3212" s="2" t="s">
        <v>73</v>
      </c>
      <c r="Q3212" s="2" t="s">
        <v>914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84"/>
        <v>0.46965217391304348</v>
      </c>
      <c r="Z3212" s="2" t="s">
        <v>3231</v>
      </c>
      <c r="AA3212" s="2" t="s">
        <v>76</v>
      </c>
      <c r="AB3212" s="2" t="s">
        <v>77</v>
      </c>
      <c r="AC3212" s="2" t="s">
        <v>78</v>
      </c>
      <c r="AF3212" s="2">
        <f t="shared" si="387"/>
        <v>0</v>
      </c>
      <c r="AJ3212" s="2">
        <f t="shared" si="388"/>
        <v>0</v>
      </c>
      <c r="AK3212" s="2">
        <f t="shared" si="386"/>
        <v>108.02</v>
      </c>
      <c r="AL3212" s="5">
        <f t="shared" si="385"/>
        <v>0.46965217391304348</v>
      </c>
    </row>
    <row r="3213" spans="1:38" hidden="1" x14ac:dyDescent="0.2">
      <c r="A3213" s="2">
        <v>2026</v>
      </c>
      <c r="B3213" s="2">
        <v>2</v>
      </c>
      <c r="D3213" s="2" t="s">
        <v>983</v>
      </c>
      <c r="E3213" s="2" t="s">
        <v>109</v>
      </c>
      <c r="F3213" s="2" t="s">
        <v>718</v>
      </c>
      <c r="G3213" s="2">
        <v>500594309</v>
      </c>
      <c r="H3213" s="2" t="s">
        <v>291</v>
      </c>
      <c r="I3213" s="2" t="s">
        <v>984</v>
      </c>
      <c r="J3213" s="2" t="s">
        <v>985</v>
      </c>
      <c r="L3213" s="2" t="s">
        <v>294</v>
      </c>
      <c r="M3213" s="2" t="s">
        <v>81</v>
      </c>
      <c r="O3213" s="2" t="s">
        <v>2575</v>
      </c>
      <c r="P3213" s="2" t="s">
        <v>73</v>
      </c>
      <c r="Q3213" s="2" t="s">
        <v>1037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84"/>
        <v>0.48486363636363639</v>
      </c>
      <c r="Z3213" s="2" t="s">
        <v>3231</v>
      </c>
      <c r="AA3213" s="2" t="s">
        <v>76</v>
      </c>
      <c r="AB3213" s="2" t="s">
        <v>77</v>
      </c>
      <c r="AC3213" s="2" t="s">
        <v>78</v>
      </c>
      <c r="AF3213" s="2">
        <f t="shared" si="387"/>
        <v>0</v>
      </c>
      <c r="AG3213" s="2">
        <v>113.33</v>
      </c>
      <c r="AH3213" s="2">
        <v>220</v>
      </c>
      <c r="AJ3213" s="2">
        <f t="shared" si="388"/>
        <v>0</v>
      </c>
      <c r="AK3213" s="2">
        <f t="shared" si="386"/>
        <v>106.67</v>
      </c>
      <c r="AL3213" s="5">
        <f t="shared" si="385"/>
        <v>0.48486363636363639</v>
      </c>
    </row>
    <row r="3214" spans="1:38" hidden="1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2576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84"/>
        <v>0.11271014492753624</v>
      </c>
      <c r="Z3214" s="2" t="s">
        <v>3231</v>
      </c>
      <c r="AA3214" s="2" t="s">
        <v>76</v>
      </c>
      <c r="AB3214" s="2" t="s">
        <v>77</v>
      </c>
      <c r="AC3214" s="2" t="s">
        <v>78</v>
      </c>
      <c r="AF3214" s="2">
        <f t="shared" si="387"/>
        <v>0</v>
      </c>
      <c r="AG3214" s="2">
        <v>122.446</v>
      </c>
      <c r="AH3214" s="2">
        <v>230</v>
      </c>
      <c r="AJ3214" s="2">
        <f t="shared" si="388"/>
        <v>0</v>
      </c>
      <c r="AK3214" s="2">
        <f t="shared" si="386"/>
        <v>15.554000000000002</v>
      </c>
      <c r="AL3214" s="5">
        <f t="shared" si="385"/>
        <v>0.11271014492753624</v>
      </c>
    </row>
    <row r="3215" spans="1:38" hidden="1" x14ac:dyDescent="0.2">
      <c r="A3215" s="2">
        <v>2026</v>
      </c>
      <c r="B3215" s="2">
        <v>4</v>
      </c>
      <c r="D3215" s="2" t="s">
        <v>690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691</v>
      </c>
      <c r="K3215" s="2">
        <v>913036545</v>
      </c>
      <c r="L3215" s="2" t="s">
        <v>178</v>
      </c>
      <c r="M3215" s="2" t="s">
        <v>40</v>
      </c>
      <c r="O3215" s="2" t="s">
        <v>2445</v>
      </c>
      <c r="P3215" s="2" t="s">
        <v>115</v>
      </c>
      <c r="Q3215" s="2" t="s">
        <v>1426</v>
      </c>
      <c r="R3215" s="2" t="s">
        <v>1427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959</v>
      </c>
      <c r="AC3215" s="2" t="s">
        <v>115</v>
      </c>
      <c r="AF3215" s="2">
        <f t="shared" si="387"/>
        <v>0</v>
      </c>
      <c r="AG3215" s="2">
        <f>868.26+3.61</f>
        <v>871.87</v>
      </c>
      <c r="AJ3215" s="2">
        <f t="shared" si="388"/>
        <v>0</v>
      </c>
    </row>
    <row r="3216" spans="1:38" hidden="1" x14ac:dyDescent="0.2">
      <c r="A3216" s="2">
        <v>2026</v>
      </c>
      <c r="B3216" s="2">
        <v>2</v>
      </c>
      <c r="D3216" s="2" t="s">
        <v>1258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9">(T3216-W3216)/T3216</f>
        <v>0.4729523809523809</v>
      </c>
      <c r="Z3216" s="2" t="s">
        <v>3231</v>
      </c>
      <c r="AA3216" s="2" t="s">
        <v>76</v>
      </c>
      <c r="AB3216" s="2" t="s">
        <v>77</v>
      </c>
      <c r="AC3216" s="2" t="s">
        <v>78</v>
      </c>
      <c r="AF3216" s="2">
        <f t="shared" si="387"/>
        <v>0</v>
      </c>
      <c r="AG3216" s="2">
        <v>110.68</v>
      </c>
      <c r="AH3216" s="2">
        <v>210</v>
      </c>
      <c r="AJ3216" s="2">
        <f t="shared" si="388"/>
        <v>0</v>
      </c>
      <c r="AK3216" s="2">
        <f t="shared" si="386"/>
        <v>99.32</v>
      </c>
      <c r="AL3216" s="5">
        <f t="shared" ref="AL3216:AL3246" si="390">(T3216-W3216)/T3216</f>
        <v>0.4729523809523809</v>
      </c>
    </row>
    <row r="3217" spans="1:38" hidden="1" x14ac:dyDescent="0.2">
      <c r="A3217" s="2">
        <v>2026</v>
      </c>
      <c r="B3217" s="2">
        <v>2</v>
      </c>
      <c r="D3217" s="2" t="s">
        <v>1055</v>
      </c>
      <c r="E3217" s="2" t="s">
        <v>184</v>
      </c>
      <c r="F3217" s="2" t="s">
        <v>1056</v>
      </c>
      <c r="G3217" s="2">
        <v>500199523</v>
      </c>
      <c r="H3217" s="2" t="s">
        <v>291</v>
      </c>
      <c r="I3217" s="2" t="s">
        <v>294</v>
      </c>
      <c r="J3217" s="2" t="s">
        <v>1057</v>
      </c>
      <c r="L3217" s="2" t="s">
        <v>294</v>
      </c>
      <c r="M3217" s="2" t="s">
        <v>81</v>
      </c>
      <c r="O3217" s="2" t="s">
        <v>2577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9"/>
        <v>0.4729523809523809</v>
      </c>
      <c r="Z3217" s="2" t="s">
        <v>3231</v>
      </c>
      <c r="AA3217" s="2" t="s">
        <v>76</v>
      </c>
      <c r="AB3217" s="2" t="s">
        <v>77</v>
      </c>
      <c r="AC3217" s="2" t="s">
        <v>78</v>
      </c>
      <c r="AF3217" s="2">
        <f t="shared" si="387"/>
        <v>0</v>
      </c>
      <c r="AG3217" s="2">
        <v>110.68</v>
      </c>
      <c r="AH3217" s="2">
        <v>210</v>
      </c>
      <c r="AJ3217" s="2">
        <f t="shared" si="388"/>
        <v>0</v>
      </c>
      <c r="AK3217" s="2">
        <f t="shared" si="386"/>
        <v>99.32</v>
      </c>
      <c r="AL3217" s="5">
        <f t="shared" si="390"/>
        <v>0.4729523809523809</v>
      </c>
    </row>
    <row r="3218" spans="1:38" hidden="1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2578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9"/>
        <v>0.37409499358151477</v>
      </c>
      <c r="Z3218" s="2" t="s">
        <v>3231</v>
      </c>
      <c r="AA3218" s="2" t="s">
        <v>76</v>
      </c>
      <c r="AB3218" s="2" t="s">
        <v>77</v>
      </c>
      <c r="AC3218" s="2" t="s">
        <v>78</v>
      </c>
      <c r="AF3218" s="2">
        <f t="shared" si="387"/>
        <v>0</v>
      </c>
      <c r="AG3218" s="2">
        <f>110.125+11.77</f>
        <v>121.895</v>
      </c>
      <c r="AJ3218" s="2">
        <f t="shared" si="388"/>
        <v>0</v>
      </c>
      <c r="AK3218" s="2">
        <f t="shared" si="386"/>
        <v>72.855000000000004</v>
      </c>
      <c r="AL3218" s="5">
        <f t="shared" si="390"/>
        <v>0.37409499358151477</v>
      </c>
    </row>
    <row r="3219" spans="1:38" hidden="1" x14ac:dyDescent="0.2">
      <c r="A3219" s="2">
        <v>2026</v>
      </c>
      <c r="B3219" s="2">
        <v>2</v>
      </c>
      <c r="D3219" s="2" t="s">
        <v>1998</v>
      </c>
      <c r="M3219" s="2" t="s">
        <v>81</v>
      </c>
      <c r="P3219" s="2" t="s">
        <v>73</v>
      </c>
      <c r="Q3219" s="2" t="s">
        <v>1136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9"/>
        <v>0.44431818181818183</v>
      </c>
      <c r="Z3219" s="2" t="s">
        <v>3231</v>
      </c>
      <c r="AA3219" s="2" t="s">
        <v>76</v>
      </c>
      <c r="AB3219" s="2" t="s">
        <v>77</v>
      </c>
      <c r="AC3219" s="2" t="s">
        <v>78</v>
      </c>
      <c r="AF3219" s="2">
        <f t="shared" si="387"/>
        <v>0</v>
      </c>
      <c r="AJ3219" s="2">
        <f t="shared" si="388"/>
        <v>0</v>
      </c>
      <c r="AK3219" s="2">
        <f t="shared" si="386"/>
        <v>97.75</v>
      </c>
      <c r="AL3219" s="5">
        <f t="shared" si="390"/>
        <v>0.44431818181818183</v>
      </c>
    </row>
    <row r="3220" spans="1:38" hidden="1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1027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9"/>
        <v>0.40663819875776402</v>
      </c>
      <c r="Z3220" s="2" t="s">
        <v>3231</v>
      </c>
      <c r="AA3220" s="2" t="s">
        <v>76</v>
      </c>
      <c r="AB3220" s="2" t="s">
        <v>77</v>
      </c>
      <c r="AC3220" s="2" t="s">
        <v>78</v>
      </c>
      <c r="AF3220" s="2">
        <f t="shared" si="387"/>
        <v>0</v>
      </c>
      <c r="AJ3220" s="2">
        <f t="shared" si="388"/>
        <v>0</v>
      </c>
      <c r="AK3220" s="2">
        <f t="shared" si="386"/>
        <v>104.75000000000003</v>
      </c>
      <c r="AL3220" s="5">
        <f t="shared" si="390"/>
        <v>0.40663819875776402</v>
      </c>
    </row>
    <row r="3221" spans="1:38" hidden="1" x14ac:dyDescent="0.2">
      <c r="A3221" s="2">
        <v>2026</v>
      </c>
      <c r="B3221" s="2">
        <v>2</v>
      </c>
      <c r="D3221" s="2" t="s">
        <v>2579</v>
      </c>
      <c r="P3221" s="2" t="s">
        <v>73</v>
      </c>
      <c r="Q3221" s="2" t="s">
        <v>2580</v>
      </c>
      <c r="R3221" s="2" t="s">
        <v>2581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9"/>
        <v>0.46964</v>
      </c>
      <c r="Z3221" s="2" t="s">
        <v>3231</v>
      </c>
      <c r="AA3221" s="2" t="s">
        <v>76</v>
      </c>
      <c r="AB3221" s="2" t="s">
        <v>77</v>
      </c>
      <c r="AC3221" s="2" t="s">
        <v>78</v>
      </c>
      <c r="AF3221" s="2">
        <f t="shared" si="387"/>
        <v>0</v>
      </c>
      <c r="AJ3221" s="2">
        <f t="shared" si="388"/>
        <v>0</v>
      </c>
      <c r="AK3221" s="2">
        <f t="shared" si="386"/>
        <v>117.41</v>
      </c>
      <c r="AL3221" s="5">
        <f t="shared" si="390"/>
        <v>0.46964</v>
      </c>
    </row>
    <row r="3222" spans="1:38" hidden="1" x14ac:dyDescent="0.2">
      <c r="A3222" s="2">
        <v>2026</v>
      </c>
      <c r="B3222" s="2">
        <v>2</v>
      </c>
      <c r="D3222" s="2" t="s">
        <v>2582</v>
      </c>
      <c r="E3222" s="2" t="s">
        <v>184</v>
      </c>
      <c r="F3222" s="2" t="s">
        <v>2583</v>
      </c>
      <c r="G3222" s="2">
        <v>515259144</v>
      </c>
      <c r="H3222" s="2" t="s">
        <v>81</v>
      </c>
      <c r="I3222" s="2" t="s">
        <v>157</v>
      </c>
      <c r="J3222" s="2" t="s">
        <v>2584</v>
      </c>
      <c r="K3222" s="2">
        <v>968626165</v>
      </c>
      <c r="L3222" s="2" t="s">
        <v>100</v>
      </c>
      <c r="M3222" s="2" t="s">
        <v>81</v>
      </c>
      <c r="O3222" s="2" t="s">
        <v>2585</v>
      </c>
      <c r="P3222" s="2" t="s">
        <v>1040</v>
      </c>
      <c r="Q3222" s="2" t="s">
        <v>1957</v>
      </c>
      <c r="R3222" s="2" t="s">
        <v>1958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9"/>
        <v>0.45475543478260871</v>
      </c>
      <c r="Z3222" s="2" t="s">
        <v>3231</v>
      </c>
      <c r="AA3222" s="2" t="s">
        <v>76</v>
      </c>
      <c r="AB3222" s="2" t="s">
        <v>77</v>
      </c>
      <c r="AC3222" s="2" t="s">
        <v>1040</v>
      </c>
      <c r="AF3222" s="2">
        <f t="shared" si="387"/>
        <v>0</v>
      </c>
      <c r="AJ3222" s="2">
        <f t="shared" si="388"/>
        <v>0</v>
      </c>
      <c r="AK3222" s="2">
        <f t="shared" si="386"/>
        <v>803.28000000000009</v>
      </c>
      <c r="AL3222" s="5">
        <f t="shared" si="390"/>
        <v>0.45475543478260871</v>
      </c>
    </row>
    <row r="3223" spans="1:38" hidden="1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1040</v>
      </c>
      <c r="Q3223" s="2" t="s">
        <v>2586</v>
      </c>
      <c r="R3223" s="2" t="s">
        <v>2587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9"/>
        <v>0.48408421052631578</v>
      </c>
      <c r="Z3223" s="2" t="s">
        <v>3231</v>
      </c>
      <c r="AA3223" s="2" t="s">
        <v>76</v>
      </c>
      <c r="AB3223" s="2" t="s">
        <v>77</v>
      </c>
      <c r="AC3223" s="2" t="s">
        <v>1040</v>
      </c>
      <c r="AF3223" s="2">
        <f t="shared" si="387"/>
        <v>0</v>
      </c>
      <c r="AJ3223" s="2">
        <f t="shared" si="388"/>
        <v>0</v>
      </c>
      <c r="AK3223" s="2">
        <f t="shared" ref="AK3223:AK3254" si="391">T3223-W3223</f>
        <v>229.94</v>
      </c>
      <c r="AL3223" s="5">
        <f t="shared" si="390"/>
        <v>0.48408421052631578</v>
      </c>
    </row>
    <row r="3224" spans="1:38" hidden="1" x14ac:dyDescent="0.2">
      <c r="A3224" s="2">
        <v>2026</v>
      </c>
      <c r="B3224" s="2">
        <v>2</v>
      </c>
      <c r="C3224" s="2" t="s">
        <v>3325</v>
      </c>
      <c r="D3224" s="2" t="s">
        <v>1164</v>
      </c>
      <c r="E3224" s="2" t="s">
        <v>753</v>
      </c>
      <c r="G3224" s="2">
        <v>508199280</v>
      </c>
      <c r="H3224" s="2" t="s">
        <v>40</v>
      </c>
      <c r="I3224" s="2" t="s">
        <v>1165</v>
      </c>
      <c r="L3224" s="2" t="s">
        <v>294</v>
      </c>
      <c r="M3224" s="2" t="s">
        <v>81</v>
      </c>
      <c r="P3224" s="2" t="s">
        <v>1040</v>
      </c>
      <c r="Q3224" s="2" t="s">
        <v>2588</v>
      </c>
      <c r="R3224" s="2" t="s">
        <v>2589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9"/>
        <v>0.57005263157894737</v>
      </c>
      <c r="Z3224" s="2" t="s">
        <v>3231</v>
      </c>
      <c r="AA3224" s="2" t="s">
        <v>76</v>
      </c>
      <c r="AB3224" s="2" t="s">
        <v>77</v>
      </c>
      <c r="AC3224" s="2" t="s">
        <v>1040</v>
      </c>
      <c r="AF3224" s="2">
        <f t="shared" si="387"/>
        <v>0</v>
      </c>
      <c r="AJ3224" s="2">
        <f t="shared" si="388"/>
        <v>0</v>
      </c>
      <c r="AK3224" s="2">
        <f t="shared" si="391"/>
        <v>162.465</v>
      </c>
      <c r="AL3224" s="5">
        <f t="shared" si="390"/>
        <v>0.57005263157894737</v>
      </c>
    </row>
    <row r="3225" spans="1:38" hidden="1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9"/>
        <v>0.59743333333333337</v>
      </c>
      <c r="Z3225" s="2" t="s">
        <v>3231</v>
      </c>
      <c r="AA3225" s="2" t="s">
        <v>88</v>
      </c>
      <c r="AB3225" s="2" t="s">
        <v>91</v>
      </c>
      <c r="AC3225" s="2" t="s">
        <v>85</v>
      </c>
      <c r="AF3225" s="2">
        <f t="shared" si="387"/>
        <v>0</v>
      </c>
      <c r="AJ3225" s="2">
        <f t="shared" si="388"/>
        <v>0</v>
      </c>
      <c r="AK3225" s="2">
        <f t="shared" si="391"/>
        <v>3.5846</v>
      </c>
      <c r="AL3225" s="5">
        <f t="shared" si="390"/>
        <v>0.59743333333333337</v>
      </c>
    </row>
    <row r="3226" spans="1:38" hidden="1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9"/>
        <v>0.59743333333333337</v>
      </c>
      <c r="Z3226" s="2" t="s">
        <v>3231</v>
      </c>
      <c r="AA3226" s="2" t="s">
        <v>88</v>
      </c>
      <c r="AB3226" s="2" t="s">
        <v>91</v>
      </c>
      <c r="AC3226" s="2" t="s">
        <v>85</v>
      </c>
      <c r="AF3226" s="2">
        <f t="shared" si="387"/>
        <v>0</v>
      </c>
      <c r="AJ3226" s="2">
        <f t="shared" si="388"/>
        <v>0</v>
      </c>
      <c r="AK3226" s="2">
        <f t="shared" si="391"/>
        <v>3.5846</v>
      </c>
      <c r="AL3226" s="5">
        <f t="shared" si="390"/>
        <v>0.59743333333333337</v>
      </c>
    </row>
    <row r="3227" spans="1:38" hidden="1" x14ac:dyDescent="0.2">
      <c r="A3227" s="2">
        <v>2026</v>
      </c>
      <c r="B3227" s="2">
        <v>2</v>
      </c>
      <c r="D3227" s="2" t="s">
        <v>644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645</v>
      </c>
      <c r="J3227" s="2" t="s">
        <v>646</v>
      </c>
      <c r="K3227" s="2">
        <v>964495536</v>
      </c>
      <c r="L3227" s="2" t="s">
        <v>113</v>
      </c>
      <c r="M3227" s="2" t="s">
        <v>110</v>
      </c>
      <c r="O3227" s="2" t="s">
        <v>2590</v>
      </c>
      <c r="P3227" s="2" t="s">
        <v>85</v>
      </c>
      <c r="Q3227" s="2" t="s">
        <v>2591</v>
      </c>
      <c r="R3227" s="2" t="s">
        <v>2592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9"/>
        <v>1</v>
      </c>
      <c r="Z3227" s="2" t="s">
        <v>3231</v>
      </c>
      <c r="AA3227" s="2" t="s">
        <v>88</v>
      </c>
      <c r="AB3227" s="2" t="s">
        <v>61</v>
      </c>
      <c r="AC3227" s="2" t="s">
        <v>85</v>
      </c>
      <c r="AF3227" s="2">
        <f t="shared" si="387"/>
        <v>0</v>
      </c>
      <c r="AJ3227" s="2">
        <f t="shared" si="388"/>
        <v>0</v>
      </c>
      <c r="AK3227" s="2">
        <f t="shared" si="391"/>
        <v>77</v>
      </c>
      <c r="AL3227" s="5">
        <f t="shared" si="390"/>
        <v>1</v>
      </c>
    </row>
    <row r="3228" spans="1:38" hidden="1" x14ac:dyDescent="0.2">
      <c r="A3228" s="2">
        <v>2026</v>
      </c>
      <c r="B3228" s="2">
        <v>2</v>
      </c>
      <c r="D3228" s="2" t="s">
        <v>644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645</v>
      </c>
      <c r="J3228" s="2" t="s">
        <v>646</v>
      </c>
      <c r="K3228" s="2">
        <v>964495536</v>
      </c>
      <c r="L3228" s="2" t="s">
        <v>113</v>
      </c>
      <c r="M3228" s="2" t="s">
        <v>110</v>
      </c>
      <c r="O3228" s="2" t="s">
        <v>2593</v>
      </c>
      <c r="P3228" s="2" t="s">
        <v>1196</v>
      </c>
      <c r="Q3228" s="2" t="s">
        <v>2594</v>
      </c>
      <c r="R3228" s="2" t="s">
        <v>2595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9"/>
        <v>1</v>
      </c>
      <c r="Z3228" s="2" t="s">
        <v>105</v>
      </c>
      <c r="AA3228" s="2" t="s">
        <v>1201</v>
      </c>
      <c r="AB3228" s="2" t="s">
        <v>120</v>
      </c>
      <c r="AC3228" s="2" t="s">
        <v>1196</v>
      </c>
      <c r="AF3228" s="2">
        <f t="shared" si="387"/>
        <v>0</v>
      </c>
      <c r="AJ3228" s="2">
        <f t="shared" si="388"/>
        <v>0</v>
      </c>
      <c r="AK3228" s="2">
        <f t="shared" si="391"/>
        <v>1020</v>
      </c>
      <c r="AL3228" s="5">
        <f t="shared" si="390"/>
        <v>1</v>
      </c>
    </row>
    <row r="3229" spans="1:38" hidden="1" x14ac:dyDescent="0.2">
      <c r="A3229" s="2">
        <v>2026</v>
      </c>
      <c r="B3229" s="2">
        <v>2</v>
      </c>
      <c r="D3229" s="2" t="s">
        <v>1789</v>
      </c>
      <c r="O3229" s="2" t="s">
        <v>2596</v>
      </c>
      <c r="P3229" s="2" t="s">
        <v>3400</v>
      </c>
      <c r="Q3229" s="2" t="s">
        <v>2597</v>
      </c>
      <c r="R3229" s="2" t="s">
        <v>2598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9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3400</v>
      </c>
      <c r="AF3229" s="2">
        <f t="shared" si="387"/>
        <v>0</v>
      </c>
      <c r="AG3229" s="2">
        <f>527.7299+435.61</f>
        <v>963.33990000000006</v>
      </c>
      <c r="AJ3229" s="2">
        <f t="shared" si="388"/>
        <v>0</v>
      </c>
      <c r="AK3229" s="2">
        <f t="shared" si="391"/>
        <v>1544.1601000000001</v>
      </c>
      <c r="AL3229" s="5">
        <f t="shared" si="390"/>
        <v>0.61581659022931212</v>
      </c>
    </row>
    <row r="3230" spans="1:38" hidden="1" x14ac:dyDescent="0.2">
      <c r="A3230" s="2">
        <v>2026</v>
      </c>
      <c r="B3230" s="2">
        <v>2</v>
      </c>
      <c r="D3230" s="2" t="s">
        <v>2520</v>
      </c>
      <c r="E3230" s="2" t="s">
        <v>753</v>
      </c>
      <c r="F3230" s="2" t="s">
        <v>39</v>
      </c>
      <c r="G3230" s="2">
        <v>515570354</v>
      </c>
      <c r="H3230" s="2" t="s">
        <v>110</v>
      </c>
      <c r="I3230" s="2" t="s">
        <v>2521</v>
      </c>
      <c r="J3230" s="2" t="s">
        <v>2522</v>
      </c>
      <c r="K3230" s="2">
        <v>967032538</v>
      </c>
      <c r="L3230" s="2" t="s">
        <v>399</v>
      </c>
      <c r="M3230" s="2" t="s">
        <v>110</v>
      </c>
      <c r="O3230" s="2" t="s">
        <v>2556</v>
      </c>
      <c r="P3230" s="2" t="s">
        <v>3400</v>
      </c>
      <c r="Q3230" s="2" t="s">
        <v>2599</v>
      </c>
      <c r="R3230" s="2" t="s">
        <v>2600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9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3400</v>
      </c>
      <c r="AF3230" s="2">
        <f t="shared" si="387"/>
        <v>0</v>
      </c>
      <c r="AG3230" s="2">
        <f>729.1005+601.82</f>
        <v>1330.9205000000002</v>
      </c>
      <c r="AJ3230" s="2">
        <f t="shared" si="388"/>
        <v>0</v>
      </c>
      <c r="AK3230" s="2">
        <f t="shared" si="391"/>
        <v>1262.1295000000002</v>
      </c>
      <c r="AL3230" s="5">
        <f t="shared" si="390"/>
        <v>0.48673550452170228</v>
      </c>
    </row>
    <row r="3231" spans="1:38" hidden="1" x14ac:dyDescent="0.2">
      <c r="A3231" s="2">
        <v>2026</v>
      </c>
      <c r="B3231" s="2">
        <v>2</v>
      </c>
      <c r="D3231" s="2" t="s">
        <v>2601</v>
      </c>
      <c r="M3231" s="2" t="s">
        <v>81</v>
      </c>
      <c r="P3231" s="2" t="s">
        <v>1040</v>
      </c>
      <c r="Q3231" s="2" t="s">
        <v>1928</v>
      </c>
      <c r="R3231" s="2" t="s">
        <v>1929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9"/>
        <v>0.37759118341642617</v>
      </c>
      <c r="Z3231" s="2" t="s">
        <v>3231</v>
      </c>
      <c r="AA3231" s="2" t="s">
        <v>1043</v>
      </c>
      <c r="AB3231" s="2" t="s">
        <v>1272</v>
      </c>
      <c r="AC3231" s="2" t="s">
        <v>1040</v>
      </c>
      <c r="AF3231" s="2">
        <f t="shared" si="387"/>
        <v>0</v>
      </c>
      <c r="AJ3231" s="2">
        <f t="shared" si="388"/>
        <v>0</v>
      </c>
      <c r="AK3231" s="2">
        <f t="shared" si="391"/>
        <v>230.24</v>
      </c>
      <c r="AL3231" s="5">
        <f t="shared" si="390"/>
        <v>0.37759118341642617</v>
      </c>
    </row>
    <row r="3232" spans="1:38" hidden="1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1040</v>
      </c>
      <c r="Q3232" s="2" t="s">
        <v>2602</v>
      </c>
      <c r="R3232" s="2" t="s">
        <v>2603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9"/>
        <v>0.37574055472417545</v>
      </c>
      <c r="Z3232" s="2" t="s">
        <v>3231</v>
      </c>
      <c r="AA3232" s="2" t="s">
        <v>1043</v>
      </c>
      <c r="AB3232" s="2" t="s">
        <v>1272</v>
      </c>
      <c r="AC3232" s="2" t="s">
        <v>1040</v>
      </c>
      <c r="AF3232" s="2">
        <f t="shared" si="387"/>
        <v>0</v>
      </c>
      <c r="AJ3232" s="2">
        <f t="shared" si="388"/>
        <v>0</v>
      </c>
      <c r="AK3232" s="2">
        <f t="shared" si="391"/>
        <v>183.29000000000002</v>
      </c>
      <c r="AL3232" s="5">
        <f t="shared" si="390"/>
        <v>0.37574055472417545</v>
      </c>
    </row>
    <row r="3233" spans="1:38" hidden="1" x14ac:dyDescent="0.2">
      <c r="A3233" s="2">
        <v>2026</v>
      </c>
      <c r="B3233" s="2">
        <v>2</v>
      </c>
      <c r="D3233" s="2" t="s">
        <v>2514</v>
      </c>
      <c r="M3233" s="2" t="s">
        <v>81</v>
      </c>
      <c r="P3233" s="2" t="s">
        <v>1040</v>
      </c>
      <c r="Q3233" s="2" t="s">
        <v>2604</v>
      </c>
      <c r="R3233" s="2" t="s">
        <v>2605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9"/>
        <v>0.28744631950350374</v>
      </c>
      <c r="Z3233" s="2" t="s">
        <v>3231</v>
      </c>
      <c r="AA3233" s="2" t="s">
        <v>1043</v>
      </c>
      <c r="AB3233" s="2" t="s">
        <v>2172</v>
      </c>
      <c r="AC3233" s="2" t="s">
        <v>1040</v>
      </c>
      <c r="AF3233" s="2">
        <f t="shared" si="387"/>
        <v>0</v>
      </c>
      <c r="AJ3233" s="2">
        <f t="shared" si="388"/>
        <v>0</v>
      </c>
      <c r="AK3233" s="2">
        <f t="shared" si="391"/>
        <v>408.97</v>
      </c>
      <c r="AL3233" s="5">
        <f t="shared" si="390"/>
        <v>0.28744631950350374</v>
      </c>
    </row>
    <row r="3234" spans="1:38" hidden="1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2606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9"/>
        <v>1</v>
      </c>
      <c r="Z3234" s="2" t="s">
        <v>120</v>
      </c>
      <c r="AA3234" s="2" t="s">
        <v>493</v>
      </c>
      <c r="AF3234" s="2">
        <f t="shared" si="387"/>
        <v>0</v>
      </c>
      <c r="AJ3234" s="2">
        <f t="shared" si="388"/>
        <v>0</v>
      </c>
      <c r="AK3234" s="2">
        <f t="shared" si="391"/>
        <v>664.04</v>
      </c>
      <c r="AL3234" s="5">
        <f t="shared" si="390"/>
        <v>1</v>
      </c>
    </row>
    <row r="3235" spans="1:38" hidden="1" x14ac:dyDescent="0.2">
      <c r="A3235" s="2">
        <v>2026</v>
      </c>
      <c r="B3235" s="2">
        <v>2</v>
      </c>
      <c r="D3235" s="2" t="s">
        <v>2530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9"/>
        <v>1</v>
      </c>
      <c r="Z3235" s="2" t="s">
        <v>118</v>
      </c>
      <c r="AA3235" s="2" t="s">
        <v>318</v>
      </c>
      <c r="AF3235" s="2">
        <f t="shared" si="387"/>
        <v>0</v>
      </c>
      <c r="AJ3235" s="2">
        <f t="shared" si="388"/>
        <v>0</v>
      </c>
      <c r="AK3235" s="2">
        <f t="shared" si="391"/>
        <v>696.5</v>
      </c>
      <c r="AL3235" s="5">
        <f t="shared" si="390"/>
        <v>1</v>
      </c>
    </row>
    <row r="3236" spans="1:38" hidden="1" x14ac:dyDescent="0.2">
      <c r="A3236" s="2">
        <v>2026</v>
      </c>
      <c r="B3236" s="2">
        <v>3</v>
      </c>
      <c r="D3236" s="2" t="s">
        <v>742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9"/>
        <v>0.5</v>
      </c>
      <c r="Z3236" s="2" t="s">
        <v>118</v>
      </c>
      <c r="AA3236" s="2" t="s">
        <v>191</v>
      </c>
      <c r="AB3236" s="2" t="s">
        <v>191</v>
      </c>
      <c r="AC3236" s="2" t="s">
        <v>40</v>
      </c>
      <c r="AF3236" s="2">
        <f t="shared" si="387"/>
        <v>0</v>
      </c>
      <c r="AG3236" s="2">
        <f t="shared" ref="AG3236:AG3267" si="392">W3236</f>
        <v>27.5</v>
      </c>
      <c r="AJ3236" s="2">
        <f t="shared" si="388"/>
        <v>0</v>
      </c>
      <c r="AK3236" s="2">
        <f t="shared" si="391"/>
        <v>27.5</v>
      </c>
      <c r="AL3236" s="5">
        <f t="shared" si="390"/>
        <v>0.5</v>
      </c>
    </row>
    <row r="3237" spans="1:38" hidden="1" x14ac:dyDescent="0.2">
      <c r="A3237" s="2">
        <v>2026</v>
      </c>
      <c r="B3237" s="2">
        <v>2</v>
      </c>
      <c r="D3237" s="2" t="s">
        <v>1356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2504</v>
      </c>
      <c r="J3237" s="2" t="s">
        <v>2505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9"/>
        <v>0.6</v>
      </c>
      <c r="Z3237" s="2" t="s">
        <v>118</v>
      </c>
      <c r="AA3237" s="2" t="s">
        <v>191</v>
      </c>
      <c r="AB3237" s="2" t="s">
        <v>190</v>
      </c>
      <c r="AC3237" s="2" t="s">
        <v>40</v>
      </c>
      <c r="AF3237" s="2">
        <f t="shared" si="387"/>
        <v>0</v>
      </c>
      <c r="AG3237" s="2">
        <f t="shared" si="392"/>
        <v>40</v>
      </c>
      <c r="AJ3237" s="2">
        <f t="shared" si="388"/>
        <v>0</v>
      </c>
      <c r="AK3237" s="2">
        <f t="shared" si="391"/>
        <v>60</v>
      </c>
      <c r="AL3237" s="5">
        <f t="shared" si="390"/>
        <v>0.6</v>
      </c>
    </row>
    <row r="3238" spans="1:38" hidden="1" x14ac:dyDescent="0.2">
      <c r="A3238" s="2">
        <v>2026</v>
      </c>
      <c r="B3238" s="2">
        <v>2</v>
      </c>
      <c r="D3238" s="2" t="s">
        <v>1356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2504</v>
      </c>
      <c r="J3238" s="2" t="s">
        <v>2505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9"/>
        <v>0.5</v>
      </c>
      <c r="Z3238" s="2" t="s">
        <v>118</v>
      </c>
      <c r="AA3238" s="2" t="s">
        <v>191</v>
      </c>
      <c r="AB3238" s="2" t="s">
        <v>191</v>
      </c>
      <c r="AC3238" s="2" t="s">
        <v>40</v>
      </c>
      <c r="AF3238" s="2">
        <f t="shared" si="387"/>
        <v>0</v>
      </c>
      <c r="AG3238" s="2">
        <f t="shared" si="392"/>
        <v>110</v>
      </c>
      <c r="AJ3238" s="2">
        <f t="shared" si="388"/>
        <v>0</v>
      </c>
      <c r="AK3238" s="2">
        <f t="shared" si="391"/>
        <v>110</v>
      </c>
      <c r="AL3238" s="5">
        <f t="shared" si="390"/>
        <v>0.5</v>
      </c>
    </row>
    <row r="3239" spans="1:38" hidden="1" x14ac:dyDescent="0.2">
      <c r="A3239" s="2">
        <v>2026</v>
      </c>
      <c r="B3239" s="2">
        <v>2</v>
      </c>
      <c r="D3239" s="2" t="s">
        <v>745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746</v>
      </c>
      <c r="J3239" s="2" t="s">
        <v>747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9"/>
        <v>0.59999999999999987</v>
      </c>
      <c r="Z3239" s="2" t="s">
        <v>118</v>
      </c>
      <c r="AA3239" s="2" t="s">
        <v>191</v>
      </c>
      <c r="AB3239" s="2" t="s">
        <v>190</v>
      </c>
      <c r="AC3239" s="2" t="s">
        <v>40</v>
      </c>
      <c r="AF3239" s="2">
        <f t="shared" si="387"/>
        <v>0</v>
      </c>
      <c r="AG3239" s="2">
        <f t="shared" si="392"/>
        <v>87.600000000000009</v>
      </c>
      <c r="AJ3239" s="2">
        <f t="shared" si="388"/>
        <v>0</v>
      </c>
      <c r="AK3239" s="2">
        <f t="shared" si="391"/>
        <v>131.39999999999998</v>
      </c>
      <c r="AL3239" s="5">
        <f t="shared" si="390"/>
        <v>0.59999999999999987</v>
      </c>
    </row>
    <row r="3240" spans="1:38" hidden="1" x14ac:dyDescent="0.2">
      <c r="A3240" s="2">
        <v>2026</v>
      </c>
      <c r="B3240" s="2">
        <v>2</v>
      </c>
      <c r="D3240" s="2" t="s">
        <v>745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746</v>
      </c>
      <c r="J3240" s="2" t="s">
        <v>747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9"/>
        <v>0.5</v>
      </c>
      <c r="Z3240" s="2" t="s">
        <v>118</v>
      </c>
      <c r="AA3240" s="2" t="s">
        <v>191</v>
      </c>
      <c r="AB3240" s="2" t="s">
        <v>191</v>
      </c>
      <c r="AC3240" s="2" t="s">
        <v>40</v>
      </c>
      <c r="AF3240" s="2">
        <f t="shared" si="387"/>
        <v>0</v>
      </c>
      <c r="AG3240" s="2">
        <f t="shared" si="392"/>
        <v>82.5</v>
      </c>
      <c r="AJ3240" s="2">
        <f t="shared" si="388"/>
        <v>0</v>
      </c>
      <c r="AK3240" s="2">
        <f t="shared" si="391"/>
        <v>82.5</v>
      </c>
      <c r="AL3240" s="5">
        <f t="shared" si="390"/>
        <v>0.5</v>
      </c>
    </row>
    <row r="3241" spans="1:38" hidden="1" x14ac:dyDescent="0.2">
      <c r="A3241" s="2">
        <v>2026</v>
      </c>
      <c r="B3241" s="2">
        <v>1</v>
      </c>
      <c r="D3241" s="2" t="s">
        <v>2235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9"/>
        <v>0.6</v>
      </c>
      <c r="Z3241" s="2" t="s">
        <v>118</v>
      </c>
      <c r="AA3241" s="2" t="s">
        <v>191</v>
      </c>
      <c r="AB3241" s="2" t="s">
        <v>190</v>
      </c>
      <c r="AC3241" s="2" t="s">
        <v>40</v>
      </c>
      <c r="AF3241" s="2">
        <f t="shared" si="387"/>
        <v>0</v>
      </c>
      <c r="AG3241" s="2">
        <f t="shared" si="392"/>
        <v>55.2</v>
      </c>
      <c r="AJ3241" s="2">
        <f t="shared" si="388"/>
        <v>0</v>
      </c>
      <c r="AK3241" s="2">
        <f t="shared" si="391"/>
        <v>82.8</v>
      </c>
      <c r="AL3241" s="5">
        <f t="shared" si="390"/>
        <v>0.6</v>
      </c>
    </row>
    <row r="3242" spans="1:38" hidden="1" x14ac:dyDescent="0.2">
      <c r="A3242" s="2">
        <v>2026</v>
      </c>
      <c r="B3242" s="2">
        <v>1</v>
      </c>
      <c r="D3242" s="2" t="s">
        <v>2235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9"/>
        <v>0.5</v>
      </c>
      <c r="Z3242" s="2" t="s">
        <v>118</v>
      </c>
      <c r="AA3242" s="2" t="s">
        <v>191</v>
      </c>
      <c r="AB3242" s="2" t="s">
        <v>191</v>
      </c>
      <c r="AC3242" s="2" t="s">
        <v>40</v>
      </c>
      <c r="AF3242" s="2">
        <f t="shared" si="387"/>
        <v>0</v>
      </c>
      <c r="AG3242" s="2">
        <f t="shared" si="392"/>
        <v>18.75</v>
      </c>
      <c r="AJ3242" s="2">
        <f t="shared" si="388"/>
        <v>0</v>
      </c>
      <c r="AK3242" s="2">
        <f t="shared" si="391"/>
        <v>18.75</v>
      </c>
      <c r="AL3242" s="5">
        <f t="shared" si="390"/>
        <v>0.5</v>
      </c>
    </row>
    <row r="3243" spans="1:38" hidden="1" x14ac:dyDescent="0.2">
      <c r="A3243" s="2">
        <v>2026</v>
      </c>
      <c r="B3243" s="2">
        <v>4</v>
      </c>
      <c r="D3243" s="2" t="s">
        <v>1002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1003</v>
      </c>
      <c r="J3243" s="2" t="s">
        <v>1004</v>
      </c>
      <c r="K3243" s="2">
        <v>917233128</v>
      </c>
      <c r="L3243" s="2" t="s">
        <v>100</v>
      </c>
      <c r="M3243" s="2" t="s">
        <v>40</v>
      </c>
      <c r="O3243" s="2" t="s">
        <v>2607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9"/>
        <v>0.6</v>
      </c>
      <c r="Z3243" s="2" t="s">
        <v>118</v>
      </c>
      <c r="AA3243" s="2" t="s">
        <v>191</v>
      </c>
      <c r="AB3243" s="2" t="s">
        <v>190</v>
      </c>
      <c r="AC3243" s="2" t="s">
        <v>40</v>
      </c>
      <c r="AF3243" s="2">
        <f t="shared" si="387"/>
        <v>0</v>
      </c>
      <c r="AG3243" s="2">
        <f t="shared" si="392"/>
        <v>22</v>
      </c>
      <c r="AJ3243" s="2">
        <f t="shared" si="388"/>
        <v>0</v>
      </c>
      <c r="AK3243" s="2">
        <f t="shared" si="391"/>
        <v>33</v>
      </c>
      <c r="AL3243" s="5">
        <f t="shared" si="390"/>
        <v>0.6</v>
      </c>
    </row>
    <row r="3244" spans="1:38" hidden="1" x14ac:dyDescent="0.2">
      <c r="A3244" s="2">
        <v>2026</v>
      </c>
      <c r="B3244" s="2">
        <v>4</v>
      </c>
      <c r="D3244" s="2" t="s">
        <v>1002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1003</v>
      </c>
      <c r="J3244" s="2" t="s">
        <v>1004</v>
      </c>
      <c r="K3244" s="2">
        <v>917233128</v>
      </c>
      <c r="L3244" s="2" t="s">
        <v>100</v>
      </c>
      <c r="M3244" s="2" t="s">
        <v>40</v>
      </c>
      <c r="O3244" s="2" t="s">
        <v>2607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9"/>
        <v>0.5</v>
      </c>
      <c r="Z3244" s="2" t="s">
        <v>118</v>
      </c>
      <c r="AA3244" s="2" t="s">
        <v>191</v>
      </c>
      <c r="AB3244" s="2" t="s">
        <v>191</v>
      </c>
      <c r="AC3244" s="2" t="s">
        <v>40</v>
      </c>
      <c r="AF3244" s="2">
        <f t="shared" si="387"/>
        <v>0</v>
      </c>
      <c r="AG3244" s="2">
        <f t="shared" si="392"/>
        <v>55</v>
      </c>
      <c r="AJ3244" s="2">
        <f t="shared" si="388"/>
        <v>0</v>
      </c>
      <c r="AK3244" s="2">
        <f t="shared" si="391"/>
        <v>55</v>
      </c>
      <c r="AL3244" s="5">
        <f t="shared" si="390"/>
        <v>0.5</v>
      </c>
    </row>
    <row r="3245" spans="1:38" hidden="1" x14ac:dyDescent="0.2">
      <c r="A3245" s="2">
        <v>2026</v>
      </c>
      <c r="B3245" s="2">
        <v>1</v>
      </c>
      <c r="D3245" s="2" t="s">
        <v>2337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9"/>
        <v>0.60000000000000009</v>
      </c>
      <c r="Z3245" s="2" t="s">
        <v>118</v>
      </c>
      <c r="AA3245" s="2" t="s">
        <v>191</v>
      </c>
      <c r="AB3245" s="2" t="s">
        <v>190</v>
      </c>
      <c r="AC3245" s="2" t="s">
        <v>40</v>
      </c>
      <c r="AF3245" s="2">
        <f t="shared" si="387"/>
        <v>0</v>
      </c>
      <c r="AG3245" s="2">
        <f t="shared" si="392"/>
        <v>117.2</v>
      </c>
      <c r="AJ3245" s="2">
        <f t="shared" si="388"/>
        <v>0</v>
      </c>
      <c r="AK3245" s="2">
        <f t="shared" si="391"/>
        <v>175.8</v>
      </c>
      <c r="AL3245" s="5">
        <f t="shared" si="390"/>
        <v>0.60000000000000009</v>
      </c>
    </row>
    <row r="3246" spans="1:38" hidden="1" x14ac:dyDescent="0.2">
      <c r="A3246" s="2">
        <v>2026</v>
      </c>
      <c r="B3246" s="2">
        <v>1</v>
      </c>
      <c r="D3246" s="2" t="s">
        <v>2337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9"/>
        <v>0.5</v>
      </c>
      <c r="Z3246" s="2" t="s">
        <v>118</v>
      </c>
      <c r="AA3246" s="2" t="s">
        <v>191</v>
      </c>
      <c r="AB3246" s="2" t="s">
        <v>191</v>
      </c>
      <c r="AC3246" s="2" t="s">
        <v>40</v>
      </c>
      <c r="AF3246" s="2">
        <f t="shared" si="387"/>
        <v>0</v>
      </c>
      <c r="AG3246" s="2">
        <f t="shared" si="392"/>
        <v>43.75</v>
      </c>
      <c r="AJ3246" s="2">
        <f t="shared" si="388"/>
        <v>0</v>
      </c>
      <c r="AK3246" s="2">
        <f t="shared" si="391"/>
        <v>43.75</v>
      </c>
      <c r="AL3246" s="5">
        <f t="shared" si="390"/>
        <v>0.5</v>
      </c>
    </row>
    <row r="3247" spans="1:38" hidden="1" x14ac:dyDescent="0.2">
      <c r="A3247" s="2">
        <v>2026</v>
      </c>
      <c r="B3247" s="2">
        <v>1</v>
      </c>
      <c r="D3247" s="2" t="s">
        <v>776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777</v>
      </c>
      <c r="J3247" s="2" t="s">
        <v>778</v>
      </c>
      <c r="L3247" s="2" t="s">
        <v>340</v>
      </c>
      <c r="M3247" s="2" t="s">
        <v>40</v>
      </c>
      <c r="O3247" s="2" t="s">
        <v>2308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9"/>
        <v>0.6</v>
      </c>
      <c r="Z3247" s="2" t="s">
        <v>118</v>
      </c>
      <c r="AA3247" s="2" t="s">
        <v>191</v>
      </c>
      <c r="AB3247" s="2" t="s">
        <v>190</v>
      </c>
      <c r="AC3247" s="2" t="s">
        <v>40</v>
      </c>
      <c r="AF3247" s="2">
        <f t="shared" si="387"/>
        <v>0</v>
      </c>
      <c r="AG3247" s="2">
        <f t="shared" si="392"/>
        <v>20</v>
      </c>
      <c r="AJ3247" s="2">
        <f t="shared" si="388"/>
        <v>0</v>
      </c>
      <c r="AK3247" s="2">
        <f t="shared" si="391"/>
        <v>30</v>
      </c>
      <c r="AL3247" s="5">
        <f t="shared" ref="AL3247:AL3261" si="393">(T3247-W3247)/T3247</f>
        <v>0.6</v>
      </c>
    </row>
    <row r="3248" spans="1:38" hidden="1" x14ac:dyDescent="0.2">
      <c r="A3248" s="2">
        <v>2026</v>
      </c>
      <c r="B3248" s="2">
        <v>1</v>
      </c>
      <c r="D3248" s="2" t="s">
        <v>776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777</v>
      </c>
      <c r="J3248" s="2" t="s">
        <v>778</v>
      </c>
      <c r="L3248" s="2" t="s">
        <v>340</v>
      </c>
      <c r="M3248" s="2" t="s">
        <v>40</v>
      </c>
      <c r="O3248" s="2" t="s">
        <v>2308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9"/>
        <v>0.5</v>
      </c>
      <c r="Z3248" s="2" t="s">
        <v>118</v>
      </c>
      <c r="AA3248" s="2" t="s">
        <v>191</v>
      </c>
      <c r="AB3248" s="2" t="s">
        <v>191</v>
      </c>
      <c r="AC3248" s="2" t="s">
        <v>40</v>
      </c>
      <c r="AF3248" s="2">
        <f t="shared" si="387"/>
        <v>0</v>
      </c>
      <c r="AG3248" s="2">
        <f t="shared" si="392"/>
        <v>31.25</v>
      </c>
      <c r="AJ3248" s="2">
        <f t="shared" si="388"/>
        <v>0</v>
      </c>
      <c r="AK3248" s="2">
        <f t="shared" si="391"/>
        <v>31.25</v>
      </c>
      <c r="AL3248" s="5">
        <f t="shared" si="393"/>
        <v>0.5</v>
      </c>
    </row>
    <row r="3249" spans="1:38" hidden="1" x14ac:dyDescent="0.2">
      <c r="A3249" s="2">
        <v>2026</v>
      </c>
      <c r="B3249" s="2">
        <v>2</v>
      </c>
      <c r="D3249" s="2" t="s">
        <v>776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777</v>
      </c>
      <c r="J3249" s="2" t="s">
        <v>778</v>
      </c>
      <c r="L3249" s="2" t="s">
        <v>340</v>
      </c>
      <c r="M3249" s="2" t="s">
        <v>40</v>
      </c>
      <c r="O3249" s="2" t="s">
        <v>2478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9"/>
        <v>0.6</v>
      </c>
      <c r="Z3249" s="2" t="s">
        <v>118</v>
      </c>
      <c r="AA3249" s="2" t="s">
        <v>191</v>
      </c>
      <c r="AB3249" s="2" t="s">
        <v>190</v>
      </c>
      <c r="AC3249" s="2" t="s">
        <v>40</v>
      </c>
      <c r="AF3249" s="2">
        <f t="shared" si="387"/>
        <v>0</v>
      </c>
      <c r="AG3249" s="2">
        <f t="shared" si="392"/>
        <v>22</v>
      </c>
      <c r="AJ3249" s="2">
        <f t="shared" si="388"/>
        <v>0</v>
      </c>
      <c r="AK3249" s="2">
        <f t="shared" si="391"/>
        <v>33</v>
      </c>
      <c r="AL3249" s="5">
        <f t="shared" si="393"/>
        <v>0.6</v>
      </c>
    </row>
    <row r="3250" spans="1:38" hidden="1" x14ac:dyDescent="0.2">
      <c r="A3250" s="2">
        <v>2026</v>
      </c>
      <c r="B3250" s="2">
        <v>2</v>
      </c>
      <c r="D3250" s="2" t="s">
        <v>776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777</v>
      </c>
      <c r="J3250" s="2" t="s">
        <v>778</v>
      </c>
      <c r="L3250" s="2" t="s">
        <v>340</v>
      </c>
      <c r="M3250" s="2" t="s">
        <v>40</v>
      </c>
      <c r="O3250" s="2" t="s">
        <v>2478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9"/>
        <v>0.5</v>
      </c>
      <c r="Z3250" s="2" t="s">
        <v>118</v>
      </c>
      <c r="AA3250" s="2" t="s">
        <v>191</v>
      </c>
      <c r="AB3250" s="2" t="s">
        <v>191</v>
      </c>
      <c r="AC3250" s="2" t="s">
        <v>40</v>
      </c>
      <c r="AF3250" s="2">
        <f t="shared" si="387"/>
        <v>0</v>
      </c>
      <c r="AG3250" s="2">
        <f t="shared" si="392"/>
        <v>27.5</v>
      </c>
      <c r="AJ3250" s="2">
        <f t="shared" si="388"/>
        <v>0</v>
      </c>
      <c r="AK3250" s="2">
        <f t="shared" si="391"/>
        <v>27.5</v>
      </c>
      <c r="AL3250" s="5">
        <f t="shared" si="393"/>
        <v>0.5</v>
      </c>
    </row>
    <row r="3251" spans="1:38" hidden="1" x14ac:dyDescent="0.2">
      <c r="A3251" s="2">
        <v>2026</v>
      </c>
      <c r="B3251" s="2">
        <v>1</v>
      </c>
      <c r="D3251" s="2" t="s">
        <v>1010</v>
      </c>
      <c r="E3251" s="2" t="s">
        <v>109</v>
      </c>
      <c r="F3251" s="2" t="s">
        <v>39</v>
      </c>
      <c r="L3251" s="2" t="s">
        <v>419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9"/>
        <v>0.6</v>
      </c>
      <c r="Z3251" s="2" t="s">
        <v>118</v>
      </c>
      <c r="AA3251" s="2" t="s">
        <v>191</v>
      </c>
      <c r="AB3251" s="2" t="s">
        <v>190</v>
      </c>
      <c r="AC3251" s="2" t="s">
        <v>40</v>
      </c>
      <c r="AF3251" s="2">
        <f t="shared" si="387"/>
        <v>0</v>
      </c>
      <c r="AG3251" s="2">
        <f t="shared" si="392"/>
        <v>35.200000000000003</v>
      </c>
      <c r="AJ3251" s="2">
        <f t="shared" si="388"/>
        <v>0</v>
      </c>
      <c r="AK3251" s="2">
        <f t="shared" si="391"/>
        <v>52.8</v>
      </c>
      <c r="AL3251" s="5">
        <f t="shared" si="393"/>
        <v>0.6</v>
      </c>
    </row>
    <row r="3252" spans="1:38" hidden="1" x14ac:dyDescent="0.2">
      <c r="A3252" s="2">
        <v>2026</v>
      </c>
      <c r="B3252" s="2">
        <v>1</v>
      </c>
      <c r="D3252" s="2" t="s">
        <v>1010</v>
      </c>
      <c r="E3252" s="2" t="s">
        <v>109</v>
      </c>
      <c r="F3252" s="2" t="s">
        <v>39</v>
      </c>
      <c r="L3252" s="2" t="s">
        <v>419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9"/>
        <v>0.5</v>
      </c>
      <c r="Z3252" s="2" t="s">
        <v>118</v>
      </c>
      <c r="AA3252" s="2" t="s">
        <v>191</v>
      </c>
      <c r="AB3252" s="2" t="s">
        <v>191</v>
      </c>
      <c r="AC3252" s="2" t="s">
        <v>40</v>
      </c>
      <c r="AF3252" s="2">
        <f t="shared" si="387"/>
        <v>0</v>
      </c>
      <c r="AG3252" s="2">
        <f t="shared" si="392"/>
        <v>25</v>
      </c>
      <c r="AJ3252" s="2">
        <f t="shared" si="388"/>
        <v>0</v>
      </c>
      <c r="AK3252" s="2">
        <f t="shared" si="391"/>
        <v>25</v>
      </c>
      <c r="AL3252" s="5">
        <f t="shared" si="393"/>
        <v>0.5</v>
      </c>
    </row>
    <row r="3253" spans="1:38" hidden="1" x14ac:dyDescent="0.2">
      <c r="A3253" s="2">
        <v>2026</v>
      </c>
      <c r="B3253" s="2">
        <v>4</v>
      </c>
      <c r="C3253" s="2" t="s">
        <v>3456</v>
      </c>
      <c r="D3253" s="2" t="s">
        <v>1011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1012</v>
      </c>
      <c r="J3253" s="2" t="s">
        <v>1013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9"/>
        <v>0.6</v>
      </c>
      <c r="Z3253" s="2" t="s">
        <v>118</v>
      </c>
      <c r="AA3253" s="2" t="s">
        <v>191</v>
      </c>
      <c r="AB3253" s="2" t="s">
        <v>190</v>
      </c>
      <c r="AC3253" s="2" t="s">
        <v>40</v>
      </c>
      <c r="AF3253" s="2">
        <f t="shared" si="387"/>
        <v>0</v>
      </c>
      <c r="AG3253" s="2">
        <f t="shared" si="392"/>
        <v>24</v>
      </c>
      <c r="AJ3253" s="2">
        <f t="shared" si="388"/>
        <v>0</v>
      </c>
      <c r="AK3253" s="2">
        <f t="shared" si="391"/>
        <v>36</v>
      </c>
      <c r="AL3253" s="5">
        <f t="shared" si="393"/>
        <v>0.6</v>
      </c>
    </row>
    <row r="3254" spans="1:38" hidden="1" x14ac:dyDescent="0.2">
      <c r="A3254" s="2">
        <v>2026</v>
      </c>
      <c r="B3254" s="2">
        <v>4</v>
      </c>
      <c r="C3254" s="2" t="s">
        <v>3456</v>
      </c>
      <c r="D3254" s="2" t="s">
        <v>1011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1012</v>
      </c>
      <c r="J3254" s="2" t="s">
        <v>1013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9"/>
        <v>0.5</v>
      </c>
      <c r="Z3254" s="2" t="s">
        <v>118</v>
      </c>
      <c r="AA3254" s="2" t="s">
        <v>191</v>
      </c>
      <c r="AB3254" s="2" t="s">
        <v>191</v>
      </c>
      <c r="AC3254" s="2" t="s">
        <v>40</v>
      </c>
      <c r="AF3254" s="2">
        <f t="shared" si="387"/>
        <v>0</v>
      </c>
      <c r="AG3254" s="2">
        <f t="shared" si="392"/>
        <v>27.5</v>
      </c>
      <c r="AJ3254" s="2">
        <f t="shared" si="388"/>
        <v>0</v>
      </c>
      <c r="AK3254" s="2">
        <f t="shared" si="391"/>
        <v>27.5</v>
      </c>
      <c r="AL3254" s="5">
        <f t="shared" si="393"/>
        <v>0.5</v>
      </c>
    </row>
    <row r="3255" spans="1:38" hidden="1" x14ac:dyDescent="0.2">
      <c r="A3255" s="2">
        <v>2026</v>
      </c>
      <c r="B3255" s="2">
        <v>4</v>
      </c>
      <c r="D3255" s="2" t="s">
        <v>1243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9"/>
        <v>0.6</v>
      </c>
      <c r="Z3255" s="2" t="s">
        <v>118</v>
      </c>
      <c r="AA3255" s="2" t="s">
        <v>191</v>
      </c>
      <c r="AB3255" s="2" t="s">
        <v>190</v>
      </c>
      <c r="AC3255" s="2" t="s">
        <v>40</v>
      </c>
      <c r="AF3255" s="2">
        <f t="shared" si="387"/>
        <v>0</v>
      </c>
      <c r="AG3255" s="2">
        <f t="shared" si="392"/>
        <v>44</v>
      </c>
      <c r="AJ3255" s="2">
        <f t="shared" si="388"/>
        <v>0</v>
      </c>
      <c r="AK3255" s="2">
        <f t="shared" ref="AK3255:AK3261" si="394">T3255-W3255</f>
        <v>66</v>
      </c>
      <c r="AL3255" s="5">
        <f t="shared" si="393"/>
        <v>0.6</v>
      </c>
    </row>
    <row r="3256" spans="1:38" hidden="1" x14ac:dyDescent="0.2">
      <c r="A3256" s="2">
        <v>2026</v>
      </c>
      <c r="B3256" s="2">
        <v>4</v>
      </c>
      <c r="D3256" s="2" t="s">
        <v>1243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9"/>
        <v>0.5</v>
      </c>
      <c r="Z3256" s="2" t="s">
        <v>118</v>
      </c>
      <c r="AA3256" s="2" t="s">
        <v>191</v>
      </c>
      <c r="AB3256" s="2" t="s">
        <v>191</v>
      </c>
      <c r="AC3256" s="2" t="s">
        <v>40</v>
      </c>
      <c r="AF3256" s="2">
        <f t="shared" si="387"/>
        <v>0</v>
      </c>
      <c r="AG3256" s="2">
        <f t="shared" si="392"/>
        <v>103.125</v>
      </c>
      <c r="AJ3256" s="2">
        <f t="shared" si="388"/>
        <v>0</v>
      </c>
      <c r="AK3256" s="2">
        <f t="shared" si="394"/>
        <v>103.125</v>
      </c>
      <c r="AL3256" s="5">
        <f t="shared" si="393"/>
        <v>0.5</v>
      </c>
    </row>
    <row r="3257" spans="1:38" hidden="1" x14ac:dyDescent="0.2">
      <c r="A3257" s="2">
        <v>2026</v>
      </c>
      <c r="B3257" s="2">
        <v>2</v>
      </c>
      <c r="D3257" s="2" t="s">
        <v>2513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9"/>
        <v>0.6</v>
      </c>
      <c r="Z3257" s="2" t="s">
        <v>118</v>
      </c>
      <c r="AA3257" s="2" t="s">
        <v>191</v>
      </c>
      <c r="AB3257" s="2" t="s">
        <v>190</v>
      </c>
      <c r="AC3257" s="2" t="s">
        <v>40</v>
      </c>
      <c r="AF3257" s="2">
        <f t="shared" si="387"/>
        <v>0</v>
      </c>
      <c r="AG3257" s="2">
        <f t="shared" si="392"/>
        <v>84</v>
      </c>
      <c r="AJ3257" s="2">
        <f t="shared" si="388"/>
        <v>0</v>
      </c>
      <c r="AK3257" s="2">
        <f t="shared" si="394"/>
        <v>126</v>
      </c>
      <c r="AL3257" s="5">
        <f t="shared" si="393"/>
        <v>0.6</v>
      </c>
    </row>
    <row r="3258" spans="1:38" hidden="1" x14ac:dyDescent="0.2">
      <c r="A3258" s="2">
        <v>2026</v>
      </c>
      <c r="B3258" s="2">
        <v>2</v>
      </c>
      <c r="D3258" s="2" t="s">
        <v>2513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9"/>
        <v>0.5</v>
      </c>
      <c r="Z3258" s="2" t="s">
        <v>118</v>
      </c>
      <c r="AA3258" s="2" t="s">
        <v>191</v>
      </c>
      <c r="AB3258" s="2" t="s">
        <v>191</v>
      </c>
      <c r="AC3258" s="2" t="s">
        <v>40</v>
      </c>
      <c r="AF3258" s="2">
        <f t="shared" si="387"/>
        <v>0</v>
      </c>
      <c r="AG3258" s="2">
        <f t="shared" si="392"/>
        <v>37.5</v>
      </c>
      <c r="AJ3258" s="2">
        <f t="shared" si="388"/>
        <v>0</v>
      </c>
      <c r="AK3258" s="2">
        <f t="shared" si="394"/>
        <v>37.5</v>
      </c>
      <c r="AL3258" s="5">
        <f t="shared" si="393"/>
        <v>0.5</v>
      </c>
    </row>
    <row r="3259" spans="1:38" hidden="1" x14ac:dyDescent="0.2">
      <c r="A3259" s="2">
        <v>2026</v>
      </c>
      <c r="B3259" s="2">
        <v>4</v>
      </c>
      <c r="D3259" s="2" t="s">
        <v>2608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2609</v>
      </c>
      <c r="K3259" s="2">
        <v>935402550</v>
      </c>
      <c r="L3259" s="2" t="s">
        <v>113</v>
      </c>
      <c r="M3259" s="2" t="s">
        <v>40</v>
      </c>
      <c r="O3259" s="2" t="s">
        <v>2610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9"/>
        <v>0.6</v>
      </c>
      <c r="Z3259" s="2" t="s">
        <v>118</v>
      </c>
      <c r="AA3259" s="2" t="s">
        <v>191</v>
      </c>
      <c r="AB3259" s="2" t="s">
        <v>190</v>
      </c>
      <c r="AC3259" s="2" t="s">
        <v>40</v>
      </c>
      <c r="AF3259" s="2">
        <f t="shared" si="387"/>
        <v>0</v>
      </c>
      <c r="AG3259" s="2">
        <f t="shared" si="392"/>
        <v>65.600000000000009</v>
      </c>
      <c r="AJ3259" s="2">
        <f t="shared" si="388"/>
        <v>0</v>
      </c>
      <c r="AK3259" s="2">
        <f t="shared" si="394"/>
        <v>98.399999999999991</v>
      </c>
      <c r="AL3259" s="5">
        <f t="shared" si="393"/>
        <v>0.6</v>
      </c>
    </row>
    <row r="3260" spans="1:38" hidden="1" x14ac:dyDescent="0.2">
      <c r="A3260" s="2">
        <v>2026</v>
      </c>
      <c r="B3260" s="2">
        <v>4</v>
      </c>
      <c r="D3260" s="2" t="s">
        <v>2608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2609</v>
      </c>
      <c r="K3260" s="2">
        <v>935402550</v>
      </c>
      <c r="L3260" s="2" t="s">
        <v>113</v>
      </c>
      <c r="M3260" s="2" t="s">
        <v>40</v>
      </c>
      <c r="O3260" s="2" t="s">
        <v>2610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9"/>
        <v>0.5</v>
      </c>
      <c r="Z3260" s="2" t="s">
        <v>118</v>
      </c>
      <c r="AA3260" s="2" t="s">
        <v>191</v>
      </c>
      <c r="AB3260" s="2" t="s">
        <v>191</v>
      </c>
      <c r="AC3260" s="2" t="s">
        <v>40</v>
      </c>
      <c r="AF3260" s="2">
        <f t="shared" si="387"/>
        <v>0</v>
      </c>
      <c r="AG3260" s="2">
        <f t="shared" si="392"/>
        <v>68.75</v>
      </c>
      <c r="AJ3260" s="2">
        <f t="shared" si="388"/>
        <v>0</v>
      </c>
      <c r="AK3260" s="2">
        <f t="shared" si="394"/>
        <v>68.75</v>
      </c>
      <c r="AL3260" s="5">
        <f t="shared" si="393"/>
        <v>0.5</v>
      </c>
    </row>
    <row r="3261" spans="1:38" hidden="1" x14ac:dyDescent="0.2">
      <c r="A3261" s="2">
        <v>2026</v>
      </c>
      <c r="B3261" s="2">
        <v>4</v>
      </c>
      <c r="D3261" s="2" t="s">
        <v>2611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2612</v>
      </c>
      <c r="J3261" s="2" t="s">
        <v>2613</v>
      </c>
      <c r="K3261" s="2">
        <v>912183782</v>
      </c>
      <c r="L3261" s="2" t="s">
        <v>202</v>
      </c>
      <c r="M3261" s="2" t="s">
        <v>40</v>
      </c>
      <c r="O3261" s="2" t="s">
        <v>2614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9"/>
        <v>0.6</v>
      </c>
      <c r="Z3261" s="2" t="s">
        <v>118</v>
      </c>
      <c r="AA3261" s="2" t="s">
        <v>191</v>
      </c>
      <c r="AB3261" s="2" t="s">
        <v>190</v>
      </c>
      <c r="AC3261" s="2" t="s">
        <v>40</v>
      </c>
      <c r="AF3261" s="2">
        <f t="shared" si="387"/>
        <v>0</v>
      </c>
      <c r="AG3261" s="2">
        <f t="shared" si="392"/>
        <v>23.200000000000003</v>
      </c>
      <c r="AJ3261" s="2">
        <f t="shared" si="388"/>
        <v>0</v>
      </c>
      <c r="AK3261" s="2">
        <f t="shared" si="394"/>
        <v>34.799999999999997</v>
      </c>
      <c r="AL3261" s="5">
        <f t="shared" si="393"/>
        <v>0.6</v>
      </c>
    </row>
    <row r="3262" spans="1:38" hidden="1" x14ac:dyDescent="0.2">
      <c r="A3262" s="2">
        <v>2026</v>
      </c>
      <c r="B3262" s="2">
        <v>4</v>
      </c>
      <c r="D3262" s="2" t="s">
        <v>2611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2612</v>
      </c>
      <c r="J3262" s="2" t="s">
        <v>2613</v>
      </c>
      <c r="K3262" s="2">
        <v>912183782</v>
      </c>
      <c r="L3262" s="2" t="s">
        <v>202</v>
      </c>
      <c r="M3262" s="2" t="s">
        <v>40</v>
      </c>
      <c r="O3262" s="2" t="s">
        <v>2614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B3262" s="2" t="s">
        <v>191</v>
      </c>
      <c r="AC3262" s="2" t="s">
        <v>40</v>
      </c>
      <c r="AF3262" s="2">
        <f t="shared" si="387"/>
        <v>0</v>
      </c>
      <c r="AG3262" s="2">
        <f t="shared" si="392"/>
        <v>0</v>
      </c>
      <c r="AJ3262" s="2">
        <f t="shared" si="388"/>
        <v>0</v>
      </c>
      <c r="AK3262" s="2">
        <v>0</v>
      </c>
      <c r="AL3262" s="5">
        <v>0</v>
      </c>
    </row>
    <row r="3263" spans="1:38" hidden="1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95">(T3263-W3263)/T3263</f>
        <v>0.6</v>
      </c>
      <c r="Z3263" s="2" t="s">
        <v>118</v>
      </c>
      <c r="AA3263" s="2" t="s">
        <v>191</v>
      </c>
      <c r="AB3263" s="2" t="s">
        <v>190</v>
      </c>
      <c r="AC3263" s="2" t="s">
        <v>40</v>
      </c>
      <c r="AF3263" s="2">
        <f t="shared" si="387"/>
        <v>0</v>
      </c>
      <c r="AG3263" s="2">
        <f t="shared" si="392"/>
        <v>174</v>
      </c>
      <c r="AJ3263" s="2">
        <f t="shared" si="388"/>
        <v>0</v>
      </c>
      <c r="AK3263" s="2">
        <f t="shared" ref="AK3263:AK3294" si="396">T3263-W3263</f>
        <v>261</v>
      </c>
      <c r="AL3263" s="5">
        <f t="shared" ref="AL3263:AL3294" si="397">(T3263-W3263)/T3263</f>
        <v>0.6</v>
      </c>
    </row>
    <row r="3264" spans="1:38" hidden="1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95"/>
        <v>0.5</v>
      </c>
      <c r="Z3264" s="2" t="s">
        <v>118</v>
      </c>
      <c r="AA3264" s="2" t="s">
        <v>191</v>
      </c>
      <c r="AB3264" s="2" t="s">
        <v>191</v>
      </c>
      <c r="AC3264" s="2" t="s">
        <v>40</v>
      </c>
      <c r="AF3264" s="2">
        <f t="shared" si="387"/>
        <v>0</v>
      </c>
      <c r="AG3264" s="2">
        <f t="shared" si="392"/>
        <v>261.25</v>
      </c>
      <c r="AJ3264" s="2">
        <f t="shared" si="388"/>
        <v>0</v>
      </c>
      <c r="AK3264" s="2">
        <f t="shared" si="396"/>
        <v>261.25</v>
      </c>
      <c r="AL3264" s="5">
        <f t="shared" si="397"/>
        <v>0.5</v>
      </c>
    </row>
    <row r="3265" spans="1:38" hidden="1" x14ac:dyDescent="0.2">
      <c r="A3265" s="2">
        <v>2026</v>
      </c>
      <c r="B3265" s="2">
        <v>3</v>
      </c>
      <c r="D3265" s="2" t="s">
        <v>823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826</v>
      </c>
      <c r="J3265" s="2" t="s">
        <v>827</v>
      </c>
      <c r="L3265" s="2" t="s">
        <v>419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95"/>
        <v>0.6</v>
      </c>
      <c r="Z3265" s="2" t="s">
        <v>118</v>
      </c>
      <c r="AA3265" s="2" t="s">
        <v>191</v>
      </c>
      <c r="AB3265" s="2" t="s">
        <v>190</v>
      </c>
      <c r="AC3265" s="2" t="s">
        <v>40</v>
      </c>
      <c r="AF3265" s="2">
        <f t="shared" si="387"/>
        <v>0</v>
      </c>
      <c r="AG3265" s="2">
        <f t="shared" si="392"/>
        <v>41.2</v>
      </c>
      <c r="AJ3265" s="2">
        <f t="shared" si="388"/>
        <v>0</v>
      </c>
      <c r="AK3265" s="2">
        <f t="shared" si="396"/>
        <v>61.8</v>
      </c>
      <c r="AL3265" s="5">
        <f t="shared" si="397"/>
        <v>0.6</v>
      </c>
    </row>
    <row r="3266" spans="1:38" hidden="1" x14ac:dyDescent="0.2">
      <c r="A3266" s="2">
        <v>2026</v>
      </c>
      <c r="B3266" s="2">
        <v>3</v>
      </c>
      <c r="D3266" s="2" t="s">
        <v>823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826</v>
      </c>
      <c r="J3266" s="2" t="s">
        <v>827</v>
      </c>
      <c r="L3266" s="2" t="s">
        <v>419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95"/>
        <v>0.5</v>
      </c>
      <c r="Z3266" s="2" t="s">
        <v>118</v>
      </c>
      <c r="AA3266" s="2" t="s">
        <v>191</v>
      </c>
      <c r="AB3266" s="2" t="s">
        <v>191</v>
      </c>
      <c r="AC3266" s="2" t="s">
        <v>40</v>
      </c>
      <c r="AF3266" s="2">
        <f t="shared" si="387"/>
        <v>0</v>
      </c>
      <c r="AG3266" s="2">
        <f t="shared" si="392"/>
        <v>20.625</v>
      </c>
      <c r="AJ3266" s="2">
        <f t="shared" si="388"/>
        <v>0</v>
      </c>
      <c r="AK3266" s="2">
        <f t="shared" si="396"/>
        <v>20.625</v>
      </c>
      <c r="AL3266" s="5">
        <f t="shared" si="397"/>
        <v>0.5</v>
      </c>
    </row>
    <row r="3267" spans="1:38" hidden="1" x14ac:dyDescent="0.2">
      <c r="A3267" s="2">
        <v>2026</v>
      </c>
      <c r="B3267" s="2">
        <v>4</v>
      </c>
      <c r="D3267" s="2" t="s">
        <v>823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826</v>
      </c>
      <c r="J3267" s="2" t="s">
        <v>827</v>
      </c>
      <c r="L3267" s="2" t="s">
        <v>419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95"/>
        <v>0.60000000000000009</v>
      </c>
      <c r="Z3267" s="2" t="s">
        <v>118</v>
      </c>
      <c r="AA3267" s="2" t="s">
        <v>191</v>
      </c>
      <c r="AB3267" s="2" t="s">
        <v>190</v>
      </c>
      <c r="AC3267" s="2" t="s">
        <v>40</v>
      </c>
      <c r="AF3267" s="2">
        <f t="shared" ref="AF3267:AF3330" si="398">AJ3267</f>
        <v>0</v>
      </c>
      <c r="AG3267" s="2">
        <f t="shared" si="392"/>
        <v>49.6</v>
      </c>
      <c r="AJ3267" s="2">
        <f t="shared" ref="AJ3267:AJ3330" si="399">AI3267*T3267</f>
        <v>0</v>
      </c>
      <c r="AK3267" s="2">
        <f t="shared" si="396"/>
        <v>74.400000000000006</v>
      </c>
      <c r="AL3267" s="5">
        <f t="shared" si="397"/>
        <v>0.60000000000000009</v>
      </c>
    </row>
    <row r="3268" spans="1:38" hidden="1" x14ac:dyDescent="0.2">
      <c r="A3268" s="2">
        <v>2026</v>
      </c>
      <c r="B3268" s="2">
        <v>2</v>
      </c>
      <c r="C3268" s="2" t="s">
        <v>3325</v>
      </c>
      <c r="D3268" s="2" t="s">
        <v>1164</v>
      </c>
      <c r="E3268" s="2" t="s">
        <v>753</v>
      </c>
      <c r="G3268" s="2">
        <v>508199280</v>
      </c>
      <c r="H3268" s="2" t="s">
        <v>40</v>
      </c>
      <c r="I3268" s="2" t="s">
        <v>1165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95"/>
        <v>-0.53333333333333333</v>
      </c>
      <c r="Z3268" s="2" t="s">
        <v>170</v>
      </c>
      <c r="AA3268" s="2" t="s">
        <v>170</v>
      </c>
      <c r="AF3268" s="2">
        <f t="shared" si="398"/>
        <v>0</v>
      </c>
      <c r="AJ3268" s="2">
        <f t="shared" si="399"/>
        <v>0</v>
      </c>
    </row>
    <row r="3269" spans="1:38" hidden="1" x14ac:dyDescent="0.2">
      <c r="A3269" s="2">
        <v>2026</v>
      </c>
      <c r="B3269" s="2">
        <v>2</v>
      </c>
      <c r="D3269" s="2" t="s">
        <v>2514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95"/>
        <v>0.08</v>
      </c>
      <c r="Z3269" s="2" t="s">
        <v>170</v>
      </c>
      <c r="AA3269" s="2" t="s">
        <v>170</v>
      </c>
      <c r="AF3269" s="2">
        <f t="shared" si="398"/>
        <v>0</v>
      </c>
      <c r="AJ3269" s="2">
        <f t="shared" si="399"/>
        <v>0</v>
      </c>
      <c r="AK3269" s="2">
        <f t="shared" si="396"/>
        <v>4</v>
      </c>
      <c r="AL3269" s="5">
        <f t="shared" si="397"/>
        <v>0.08</v>
      </c>
    </row>
    <row r="3270" spans="1:38" hidden="1" x14ac:dyDescent="0.2">
      <c r="A3270" s="2">
        <v>2026</v>
      </c>
      <c r="B3270" s="2">
        <v>2</v>
      </c>
      <c r="D3270" s="2" t="s">
        <v>2582</v>
      </c>
      <c r="E3270" s="2" t="s">
        <v>184</v>
      </c>
      <c r="F3270" s="2" t="s">
        <v>2583</v>
      </c>
      <c r="G3270" s="2">
        <v>515259144</v>
      </c>
      <c r="H3270" s="2" t="s">
        <v>81</v>
      </c>
      <c r="I3270" s="2" t="s">
        <v>157</v>
      </c>
      <c r="J3270" s="2" t="s">
        <v>2584</v>
      </c>
      <c r="K3270" s="2">
        <v>968626165</v>
      </c>
      <c r="L3270" s="2" t="s">
        <v>100</v>
      </c>
      <c r="M3270" s="2" t="s">
        <v>81</v>
      </c>
      <c r="O3270" s="2" t="s">
        <v>2615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95"/>
        <v>1</v>
      </c>
      <c r="Z3270" s="2" t="s">
        <v>170</v>
      </c>
      <c r="AA3270" s="2" t="s">
        <v>170</v>
      </c>
      <c r="AF3270" s="2">
        <f t="shared" si="398"/>
        <v>0</v>
      </c>
      <c r="AJ3270" s="2">
        <f t="shared" si="399"/>
        <v>0</v>
      </c>
      <c r="AK3270" s="2">
        <f t="shared" si="396"/>
        <v>100</v>
      </c>
      <c r="AL3270" s="5">
        <f t="shared" si="397"/>
        <v>1</v>
      </c>
    </row>
    <row r="3271" spans="1:38" hidden="1" x14ac:dyDescent="0.2">
      <c r="A3271" s="2">
        <v>2026</v>
      </c>
      <c r="B3271" s="2">
        <v>2</v>
      </c>
      <c r="D3271" s="2" t="s">
        <v>1023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1558</v>
      </c>
      <c r="J3271" s="2" t="s">
        <v>2529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95"/>
        <v>1</v>
      </c>
      <c r="Z3271" s="2" t="s">
        <v>170</v>
      </c>
      <c r="AA3271" s="2" t="s">
        <v>170</v>
      </c>
      <c r="AF3271" s="2">
        <f t="shared" si="398"/>
        <v>0</v>
      </c>
      <c r="AJ3271" s="2">
        <f t="shared" si="399"/>
        <v>0</v>
      </c>
      <c r="AK3271" s="2">
        <f t="shared" si="396"/>
        <v>8</v>
      </c>
      <c r="AL3271" s="5">
        <f t="shared" si="397"/>
        <v>1</v>
      </c>
    </row>
    <row r="3272" spans="1:38" hidden="1" x14ac:dyDescent="0.2">
      <c r="A3272" s="2">
        <v>2026</v>
      </c>
      <c r="B3272" s="2">
        <v>2</v>
      </c>
      <c r="D3272" s="2" t="s">
        <v>2540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95"/>
        <v>1</v>
      </c>
      <c r="Z3272" s="2" t="s">
        <v>170</v>
      </c>
      <c r="AA3272" s="2" t="s">
        <v>170</v>
      </c>
      <c r="AF3272" s="2">
        <f t="shared" si="398"/>
        <v>0</v>
      </c>
      <c r="AJ3272" s="2">
        <f t="shared" si="399"/>
        <v>0</v>
      </c>
      <c r="AK3272" s="2">
        <f t="shared" si="396"/>
        <v>8</v>
      </c>
      <c r="AL3272" s="5">
        <f t="shared" si="397"/>
        <v>1</v>
      </c>
    </row>
    <row r="3273" spans="1:38" hidden="1" x14ac:dyDescent="0.2">
      <c r="A3273" s="2">
        <v>2026</v>
      </c>
      <c r="B3273" s="2">
        <v>2</v>
      </c>
      <c r="D3273" s="2" t="s">
        <v>1399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3221</v>
      </c>
      <c r="J3273" s="2" t="s">
        <v>3220</v>
      </c>
      <c r="K3273" s="2">
        <v>913814877</v>
      </c>
      <c r="L3273" s="2" t="s">
        <v>202</v>
      </c>
      <c r="M3273" s="2" t="s">
        <v>81</v>
      </c>
      <c r="O3273" s="2" t="s">
        <v>3217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95"/>
        <v>1</v>
      </c>
      <c r="Z3273" s="2" t="s">
        <v>170</v>
      </c>
      <c r="AA3273" s="2" t="s">
        <v>170</v>
      </c>
      <c r="AF3273" s="2">
        <f t="shared" si="398"/>
        <v>0</v>
      </c>
      <c r="AJ3273" s="2">
        <f t="shared" si="399"/>
        <v>0</v>
      </c>
      <c r="AK3273" s="2">
        <f t="shared" si="396"/>
        <v>8</v>
      </c>
      <c r="AL3273" s="5">
        <f t="shared" si="397"/>
        <v>1</v>
      </c>
    </row>
    <row r="3274" spans="1:38" hidden="1" x14ac:dyDescent="0.2">
      <c r="A3274" s="2">
        <v>2026</v>
      </c>
      <c r="B3274" s="2">
        <v>2</v>
      </c>
      <c r="D3274" s="2" t="s">
        <v>618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619</v>
      </c>
      <c r="J3274" s="2" t="s">
        <v>620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95"/>
        <v>1</v>
      </c>
      <c r="Z3274" s="2" t="s">
        <v>170</v>
      </c>
      <c r="AA3274" s="2" t="s">
        <v>170</v>
      </c>
      <c r="AF3274" s="2">
        <f t="shared" si="398"/>
        <v>0</v>
      </c>
      <c r="AJ3274" s="2">
        <f t="shared" si="399"/>
        <v>0</v>
      </c>
      <c r="AK3274" s="2">
        <f t="shared" si="396"/>
        <v>5</v>
      </c>
      <c r="AL3274" s="5">
        <f t="shared" si="397"/>
        <v>1</v>
      </c>
    </row>
    <row r="3275" spans="1:38" hidden="1" x14ac:dyDescent="0.2">
      <c r="A3275" s="2">
        <v>2026</v>
      </c>
      <c r="B3275" s="2">
        <v>2</v>
      </c>
      <c r="D3275" s="2" t="s">
        <v>644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645</v>
      </c>
      <c r="J3275" s="2" t="s">
        <v>646</v>
      </c>
      <c r="K3275" s="2">
        <v>964495536</v>
      </c>
      <c r="L3275" s="2" t="s">
        <v>113</v>
      </c>
      <c r="M3275" s="2" t="s">
        <v>110</v>
      </c>
      <c r="O3275" s="2" t="s">
        <v>2590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95"/>
        <v>1</v>
      </c>
      <c r="Z3275" s="2" t="s">
        <v>170</v>
      </c>
      <c r="AA3275" s="2" t="s">
        <v>170</v>
      </c>
      <c r="AF3275" s="2">
        <f t="shared" si="398"/>
        <v>0</v>
      </c>
      <c r="AJ3275" s="2">
        <f t="shared" si="399"/>
        <v>0</v>
      </c>
      <c r="AK3275" s="2">
        <f t="shared" si="396"/>
        <v>5</v>
      </c>
      <c r="AL3275" s="5">
        <f t="shared" si="397"/>
        <v>1</v>
      </c>
    </row>
    <row r="3276" spans="1:38" hidden="1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98"/>
        <v>0</v>
      </c>
      <c r="AJ3276" s="2">
        <f t="shared" si="399"/>
        <v>0</v>
      </c>
    </row>
    <row r="3277" spans="1:38" hidden="1" x14ac:dyDescent="0.2">
      <c r="A3277" s="2">
        <v>2026</v>
      </c>
      <c r="B3277" s="2">
        <v>2</v>
      </c>
      <c r="D3277" s="2" t="s">
        <v>2157</v>
      </c>
      <c r="M3277" s="2" t="s">
        <v>40</v>
      </c>
      <c r="P3277" s="2" t="s">
        <v>188</v>
      </c>
      <c r="Q3277" s="2" t="s">
        <v>1310</v>
      </c>
      <c r="R3277" s="2" t="s">
        <v>1311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400">(T3277-W3277)/T3277</f>
        <v>1</v>
      </c>
      <c r="Z3277" s="2" t="s">
        <v>118</v>
      </c>
      <c r="AA3277" s="2" t="s">
        <v>1312</v>
      </c>
      <c r="AF3277" s="2">
        <f t="shared" si="398"/>
        <v>0</v>
      </c>
      <c r="AJ3277" s="2">
        <f t="shared" si="399"/>
        <v>0</v>
      </c>
      <c r="AK3277" s="2">
        <f t="shared" si="396"/>
        <v>477.28</v>
      </c>
      <c r="AL3277" s="5">
        <f t="shared" si="397"/>
        <v>1</v>
      </c>
    </row>
    <row r="3278" spans="1:38" hidden="1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2616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400"/>
        <v>2.000401846171453E-16</v>
      </c>
      <c r="Z3278" s="2" t="s">
        <v>3231</v>
      </c>
      <c r="AA3278" s="2" t="s">
        <v>97</v>
      </c>
      <c r="AB3278" s="2" t="s">
        <v>77</v>
      </c>
      <c r="AC3278" s="2" t="s">
        <v>94</v>
      </c>
      <c r="AF3278" s="2">
        <f t="shared" si="398"/>
        <v>0</v>
      </c>
      <c r="AJ3278" s="2">
        <f t="shared" si="399"/>
        <v>0</v>
      </c>
      <c r="AK3278" s="2">
        <f t="shared" si="396"/>
        <v>0</v>
      </c>
      <c r="AL3278" s="5">
        <f t="shared" si="397"/>
        <v>2.000401846171453E-16</v>
      </c>
    </row>
    <row r="3279" spans="1:38" hidden="1" x14ac:dyDescent="0.2">
      <c r="A3279" s="2">
        <v>2026</v>
      </c>
      <c r="B3279" s="2">
        <v>2</v>
      </c>
      <c r="D3279" s="2" t="s">
        <v>2541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400"/>
        <v>0</v>
      </c>
      <c r="Z3279" s="2" t="s">
        <v>3231</v>
      </c>
      <c r="AA3279" s="2" t="s">
        <v>97</v>
      </c>
      <c r="AB3279" s="2" t="s">
        <v>77</v>
      </c>
      <c r="AC3279" s="2" t="s">
        <v>94</v>
      </c>
      <c r="AF3279" s="2">
        <f t="shared" si="398"/>
        <v>0</v>
      </c>
      <c r="AJ3279" s="2">
        <f t="shared" si="399"/>
        <v>0</v>
      </c>
      <c r="AK3279" s="2">
        <f t="shared" si="396"/>
        <v>0</v>
      </c>
      <c r="AL3279" s="5">
        <f t="shared" si="397"/>
        <v>0</v>
      </c>
    </row>
    <row r="3280" spans="1:38" hidden="1" x14ac:dyDescent="0.2">
      <c r="A3280" s="2">
        <v>2026</v>
      </c>
      <c r="B3280" s="2">
        <v>2</v>
      </c>
      <c r="C3280" s="2" t="s">
        <v>3325</v>
      </c>
      <c r="D3280" s="2" t="s">
        <v>1164</v>
      </c>
      <c r="E3280" s="2" t="s">
        <v>753</v>
      </c>
      <c r="G3280" s="2">
        <v>508199280</v>
      </c>
      <c r="H3280" s="2" t="s">
        <v>40</v>
      </c>
      <c r="I3280" s="2" t="s">
        <v>1165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400"/>
        <v>0</v>
      </c>
      <c r="Z3280" s="2" t="s">
        <v>3231</v>
      </c>
      <c r="AA3280" s="2" t="s">
        <v>97</v>
      </c>
      <c r="AB3280" s="2" t="s">
        <v>77</v>
      </c>
      <c r="AC3280" s="2" t="s">
        <v>94</v>
      </c>
      <c r="AF3280" s="2">
        <f t="shared" si="398"/>
        <v>0</v>
      </c>
      <c r="AJ3280" s="2">
        <f t="shared" si="399"/>
        <v>0</v>
      </c>
      <c r="AK3280" s="2">
        <f t="shared" si="396"/>
        <v>0</v>
      </c>
      <c r="AL3280" s="5">
        <f t="shared" si="397"/>
        <v>0</v>
      </c>
    </row>
    <row r="3281" spans="1:38" hidden="1" x14ac:dyDescent="0.2">
      <c r="A3281" s="2">
        <v>2026</v>
      </c>
      <c r="B3281" s="2">
        <v>2</v>
      </c>
      <c r="D3281" s="2" t="s">
        <v>2579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400"/>
        <v>0</v>
      </c>
      <c r="Z3281" s="2" t="s">
        <v>3231</v>
      </c>
      <c r="AA3281" s="2" t="s">
        <v>97</v>
      </c>
      <c r="AB3281" s="2" t="s">
        <v>77</v>
      </c>
      <c r="AC3281" s="2" t="s">
        <v>94</v>
      </c>
      <c r="AF3281" s="2">
        <f t="shared" si="398"/>
        <v>0</v>
      </c>
      <c r="AJ3281" s="2">
        <f t="shared" si="399"/>
        <v>0</v>
      </c>
      <c r="AK3281" s="2">
        <f t="shared" si="396"/>
        <v>0</v>
      </c>
      <c r="AL3281" s="5">
        <f t="shared" si="397"/>
        <v>0</v>
      </c>
    </row>
    <row r="3282" spans="1:38" hidden="1" x14ac:dyDescent="0.2">
      <c r="A3282" s="2">
        <v>2026</v>
      </c>
      <c r="B3282" s="2">
        <v>4</v>
      </c>
      <c r="D3282" s="2" t="s">
        <v>690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691</v>
      </c>
      <c r="K3282" s="2">
        <v>913036545</v>
      </c>
      <c r="L3282" s="2" t="s">
        <v>178</v>
      </c>
      <c r="M3282" s="2" t="s">
        <v>41</v>
      </c>
      <c r="O3282" s="2" t="s">
        <v>2617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400"/>
        <v>0.55714285714285716</v>
      </c>
      <c r="Z3282" s="2" t="s">
        <v>3231</v>
      </c>
      <c r="AA3282" s="2" t="s">
        <v>46</v>
      </c>
      <c r="AB3282" s="2" t="s">
        <v>47</v>
      </c>
      <c r="AC3282" s="2" t="s">
        <v>48</v>
      </c>
      <c r="AF3282" s="2">
        <f t="shared" si="398"/>
        <v>0</v>
      </c>
      <c r="AG3282" s="2">
        <v>9.3000000000000007</v>
      </c>
      <c r="AH3282" s="2">
        <v>21</v>
      </c>
      <c r="AJ3282" s="2">
        <f t="shared" si="399"/>
        <v>0</v>
      </c>
      <c r="AK3282" s="2">
        <f t="shared" si="396"/>
        <v>23.4</v>
      </c>
      <c r="AL3282" s="5">
        <f t="shared" si="397"/>
        <v>0.55714285714285716</v>
      </c>
    </row>
    <row r="3283" spans="1:38" hidden="1" x14ac:dyDescent="0.2">
      <c r="A3283" s="2">
        <v>2026</v>
      </c>
      <c r="B3283" s="2">
        <v>2</v>
      </c>
      <c r="D3283" s="2" t="s">
        <v>983</v>
      </c>
      <c r="E3283" s="2" t="s">
        <v>109</v>
      </c>
      <c r="F3283" s="2" t="s">
        <v>718</v>
      </c>
      <c r="G3283" s="2">
        <v>500594309</v>
      </c>
      <c r="H3283" s="2" t="s">
        <v>291</v>
      </c>
      <c r="I3283" s="2" t="s">
        <v>984</v>
      </c>
      <c r="J3283" s="2" t="s">
        <v>985</v>
      </c>
      <c r="L3283" s="2" t="s">
        <v>294</v>
      </c>
      <c r="M3283" s="2" t="s">
        <v>81</v>
      </c>
      <c r="O3283" s="2" t="s">
        <v>2575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400"/>
        <v>0</v>
      </c>
      <c r="Z3283" s="2" t="s">
        <v>3231</v>
      </c>
      <c r="AA3283" s="2" t="s">
        <v>97</v>
      </c>
      <c r="AB3283" s="2" t="s">
        <v>77</v>
      </c>
      <c r="AC3283" s="2" t="s">
        <v>94</v>
      </c>
      <c r="AF3283" s="2">
        <f t="shared" si="398"/>
        <v>0</v>
      </c>
      <c r="AG3283" s="2">
        <v>1.48</v>
      </c>
      <c r="AH3283" s="2">
        <v>1.48</v>
      </c>
      <c r="AJ3283" s="2">
        <f t="shared" si="399"/>
        <v>0</v>
      </c>
      <c r="AK3283" s="2">
        <f t="shared" si="396"/>
        <v>0</v>
      </c>
      <c r="AL3283" s="5">
        <f t="shared" si="397"/>
        <v>0</v>
      </c>
    </row>
    <row r="3284" spans="1:38" hidden="1" x14ac:dyDescent="0.2">
      <c r="A3284" s="2">
        <v>2026</v>
      </c>
      <c r="B3284" s="2">
        <v>2</v>
      </c>
      <c r="D3284" s="2" t="s">
        <v>2561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400"/>
        <v>0</v>
      </c>
      <c r="Z3284" s="2" t="s">
        <v>3231</v>
      </c>
      <c r="AA3284" s="2" t="s">
        <v>97</v>
      </c>
      <c r="AB3284" s="2" t="s">
        <v>77</v>
      </c>
      <c r="AC3284" s="2" t="s">
        <v>94</v>
      </c>
      <c r="AF3284" s="2">
        <f t="shared" si="398"/>
        <v>0</v>
      </c>
      <c r="AJ3284" s="2">
        <f t="shared" si="399"/>
        <v>0</v>
      </c>
      <c r="AK3284" s="2">
        <f t="shared" si="396"/>
        <v>0</v>
      </c>
      <c r="AL3284" s="5">
        <f t="shared" si="397"/>
        <v>0</v>
      </c>
    </row>
    <row r="3285" spans="1:38" hidden="1" x14ac:dyDescent="0.2">
      <c r="A3285" s="2">
        <v>2026</v>
      </c>
      <c r="B3285" s="2">
        <v>2</v>
      </c>
      <c r="D3285" s="2" t="s">
        <v>750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751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400"/>
        <v>0</v>
      </c>
      <c r="Z3285" s="2" t="s">
        <v>3231</v>
      </c>
      <c r="AA3285" s="2" t="s">
        <v>97</v>
      </c>
      <c r="AB3285" s="2" t="s">
        <v>77</v>
      </c>
      <c r="AC3285" s="2" t="s">
        <v>94</v>
      </c>
      <c r="AF3285" s="2">
        <f t="shared" si="398"/>
        <v>0</v>
      </c>
      <c r="AJ3285" s="2">
        <f t="shared" si="399"/>
        <v>0</v>
      </c>
      <c r="AK3285" s="2">
        <f t="shared" si="396"/>
        <v>0</v>
      </c>
      <c r="AL3285" s="5">
        <f t="shared" si="397"/>
        <v>0</v>
      </c>
    </row>
    <row r="3286" spans="1:38" hidden="1" x14ac:dyDescent="0.2">
      <c r="A3286" s="2">
        <v>2026</v>
      </c>
      <c r="B3286" s="2">
        <v>2</v>
      </c>
      <c r="D3286" s="2" t="s">
        <v>1998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400"/>
        <v>0</v>
      </c>
      <c r="Z3286" s="2" t="s">
        <v>3231</v>
      </c>
      <c r="AA3286" s="2" t="s">
        <v>97</v>
      </c>
      <c r="AB3286" s="2" t="s">
        <v>77</v>
      </c>
      <c r="AC3286" s="2" t="s">
        <v>94</v>
      </c>
      <c r="AF3286" s="2">
        <f t="shared" si="398"/>
        <v>0</v>
      </c>
      <c r="AJ3286" s="2">
        <f t="shared" si="399"/>
        <v>0</v>
      </c>
      <c r="AK3286" s="2">
        <f t="shared" si="396"/>
        <v>0</v>
      </c>
      <c r="AL3286" s="5">
        <f t="shared" si="397"/>
        <v>0</v>
      </c>
    </row>
    <row r="3287" spans="1:38" hidden="1" x14ac:dyDescent="0.2">
      <c r="A3287" s="2">
        <v>2026</v>
      </c>
      <c r="B3287" s="2">
        <v>2</v>
      </c>
      <c r="D3287" s="2" t="s">
        <v>2582</v>
      </c>
      <c r="E3287" s="2" t="s">
        <v>184</v>
      </c>
      <c r="F3287" s="2" t="s">
        <v>2583</v>
      </c>
      <c r="G3287" s="2">
        <v>515259144</v>
      </c>
      <c r="H3287" s="2" t="s">
        <v>81</v>
      </c>
      <c r="I3287" s="2" t="s">
        <v>157</v>
      </c>
      <c r="J3287" s="2" t="s">
        <v>2584</v>
      </c>
      <c r="K3287" s="2">
        <v>968626165</v>
      </c>
      <c r="L3287" s="2" t="s">
        <v>100</v>
      </c>
      <c r="M3287" s="2" t="s">
        <v>81</v>
      </c>
      <c r="O3287" s="2" t="s">
        <v>2585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400"/>
        <v>0</v>
      </c>
      <c r="Z3287" s="2" t="s">
        <v>3231</v>
      </c>
      <c r="AA3287" s="2" t="s">
        <v>97</v>
      </c>
      <c r="AB3287" s="2" t="s">
        <v>77</v>
      </c>
      <c r="AC3287" s="2" t="s">
        <v>94</v>
      </c>
      <c r="AF3287" s="2">
        <f t="shared" si="398"/>
        <v>0</v>
      </c>
      <c r="AJ3287" s="2">
        <f t="shared" si="399"/>
        <v>0</v>
      </c>
      <c r="AK3287" s="2">
        <f t="shared" si="396"/>
        <v>0</v>
      </c>
      <c r="AL3287" s="5">
        <f t="shared" si="397"/>
        <v>0</v>
      </c>
    </row>
    <row r="3288" spans="1:38" hidden="1" x14ac:dyDescent="0.2">
      <c r="A3288" s="2">
        <v>2026</v>
      </c>
      <c r="B3288" s="2">
        <v>2</v>
      </c>
      <c r="D3288" s="2" t="s">
        <v>1557</v>
      </c>
      <c r="E3288" s="2" t="s">
        <v>109</v>
      </c>
      <c r="F3288" s="2" t="s">
        <v>718</v>
      </c>
      <c r="G3288" s="2">
        <v>500975914</v>
      </c>
      <c r="H3288" s="2" t="s">
        <v>41</v>
      </c>
      <c r="I3288" s="2" t="s">
        <v>1558</v>
      </c>
      <c r="J3288" s="2" t="s">
        <v>1559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400"/>
        <v>0</v>
      </c>
      <c r="Z3288" s="2" t="s">
        <v>3231</v>
      </c>
      <c r="AA3288" s="2" t="s">
        <v>97</v>
      </c>
      <c r="AB3288" s="2" t="s">
        <v>77</v>
      </c>
      <c r="AC3288" s="2" t="s">
        <v>94</v>
      </c>
      <c r="AF3288" s="2">
        <f t="shared" si="398"/>
        <v>0</v>
      </c>
      <c r="AJ3288" s="2">
        <f t="shared" si="399"/>
        <v>0</v>
      </c>
      <c r="AK3288" s="2">
        <f t="shared" si="396"/>
        <v>0</v>
      </c>
      <c r="AL3288" s="5">
        <f t="shared" si="397"/>
        <v>0</v>
      </c>
    </row>
    <row r="3289" spans="1:38" hidden="1" x14ac:dyDescent="0.2">
      <c r="A3289" s="2">
        <v>2026</v>
      </c>
      <c r="B3289" s="2">
        <v>2</v>
      </c>
      <c r="D3289" s="2" t="s">
        <v>1378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400"/>
        <v>0</v>
      </c>
      <c r="Z3289" s="2" t="s">
        <v>3231</v>
      </c>
      <c r="AA3289" s="2" t="s">
        <v>97</v>
      </c>
      <c r="AB3289" s="2" t="s">
        <v>77</v>
      </c>
      <c r="AC3289" s="2" t="s">
        <v>94</v>
      </c>
      <c r="AF3289" s="2">
        <f t="shared" si="398"/>
        <v>0</v>
      </c>
      <c r="AJ3289" s="2">
        <f t="shared" si="399"/>
        <v>0</v>
      </c>
      <c r="AK3289" s="2">
        <f t="shared" si="396"/>
        <v>0</v>
      </c>
      <c r="AL3289" s="5">
        <f t="shared" si="397"/>
        <v>0</v>
      </c>
    </row>
    <row r="3290" spans="1:38" hidden="1" x14ac:dyDescent="0.2">
      <c r="A3290" s="2">
        <v>2026</v>
      </c>
      <c r="B3290" s="2">
        <v>2</v>
      </c>
      <c r="D3290" s="2" t="s">
        <v>2571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400"/>
        <v>0</v>
      </c>
      <c r="Z3290" s="2" t="s">
        <v>3231</v>
      </c>
      <c r="AA3290" s="2" t="s">
        <v>97</v>
      </c>
      <c r="AB3290" s="2" t="s">
        <v>77</v>
      </c>
      <c r="AC3290" s="2" t="s">
        <v>94</v>
      </c>
      <c r="AF3290" s="2">
        <f t="shared" si="398"/>
        <v>0</v>
      </c>
      <c r="AJ3290" s="2">
        <f t="shared" si="399"/>
        <v>0</v>
      </c>
      <c r="AK3290" s="2">
        <f t="shared" si="396"/>
        <v>0</v>
      </c>
      <c r="AL3290" s="5">
        <f t="shared" si="397"/>
        <v>0</v>
      </c>
    </row>
    <row r="3291" spans="1:38" hidden="1" x14ac:dyDescent="0.2">
      <c r="A3291" s="2">
        <v>2026</v>
      </c>
      <c r="B3291" s="2">
        <v>2</v>
      </c>
      <c r="D3291" s="2" t="s">
        <v>848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400"/>
        <v>0</v>
      </c>
      <c r="Z3291" s="2" t="s">
        <v>3231</v>
      </c>
      <c r="AA3291" s="2" t="s">
        <v>97</v>
      </c>
      <c r="AB3291" s="2" t="s">
        <v>77</v>
      </c>
      <c r="AC3291" s="2" t="s">
        <v>94</v>
      </c>
      <c r="AF3291" s="2">
        <f t="shared" si="398"/>
        <v>0</v>
      </c>
      <c r="AJ3291" s="2">
        <f t="shared" si="399"/>
        <v>0</v>
      </c>
      <c r="AK3291" s="2">
        <f t="shared" si="396"/>
        <v>0</v>
      </c>
      <c r="AL3291" s="5">
        <f t="shared" si="397"/>
        <v>0</v>
      </c>
    </row>
    <row r="3292" spans="1:38" hidden="1" x14ac:dyDescent="0.2">
      <c r="A3292" s="2">
        <v>2026</v>
      </c>
      <c r="B3292" s="2">
        <v>2</v>
      </c>
      <c r="D3292" s="2" t="s">
        <v>1258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400"/>
        <v>0</v>
      </c>
      <c r="Z3292" s="2" t="s">
        <v>3231</v>
      </c>
      <c r="AA3292" s="2" t="s">
        <v>97</v>
      </c>
      <c r="AB3292" s="2" t="s">
        <v>77</v>
      </c>
      <c r="AC3292" s="2" t="s">
        <v>94</v>
      </c>
      <c r="AF3292" s="2">
        <f t="shared" si="398"/>
        <v>0</v>
      </c>
      <c r="AJ3292" s="2">
        <f t="shared" si="399"/>
        <v>0</v>
      </c>
      <c r="AK3292" s="2">
        <f t="shared" si="396"/>
        <v>0</v>
      </c>
      <c r="AL3292" s="5">
        <f t="shared" si="397"/>
        <v>0</v>
      </c>
    </row>
    <row r="3293" spans="1:38" hidden="1" x14ac:dyDescent="0.2">
      <c r="A3293" s="2">
        <v>2026</v>
      </c>
      <c r="B3293" s="2">
        <v>2</v>
      </c>
      <c r="D3293" s="2" t="s">
        <v>1055</v>
      </c>
      <c r="E3293" s="2" t="s">
        <v>184</v>
      </c>
      <c r="F3293" s="2" t="s">
        <v>1056</v>
      </c>
      <c r="G3293" s="2">
        <v>500199523</v>
      </c>
      <c r="H3293" s="2" t="s">
        <v>291</v>
      </c>
      <c r="I3293" s="2" t="s">
        <v>294</v>
      </c>
      <c r="J3293" s="2" t="s">
        <v>1057</v>
      </c>
      <c r="L3293" s="2" t="s">
        <v>294</v>
      </c>
      <c r="M3293" s="2" t="s">
        <v>81</v>
      </c>
      <c r="O3293" s="2" t="s">
        <v>2577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400"/>
        <v>0</v>
      </c>
      <c r="Z3293" s="2" t="s">
        <v>3231</v>
      </c>
      <c r="AA3293" s="2" t="s">
        <v>97</v>
      </c>
      <c r="AB3293" s="2" t="s">
        <v>77</v>
      </c>
      <c r="AC3293" s="2" t="s">
        <v>94</v>
      </c>
      <c r="AF3293" s="2">
        <f t="shared" si="398"/>
        <v>0</v>
      </c>
      <c r="AJ3293" s="2">
        <f t="shared" si="399"/>
        <v>0</v>
      </c>
      <c r="AK3293" s="2">
        <f t="shared" si="396"/>
        <v>0</v>
      </c>
      <c r="AL3293" s="5">
        <f t="shared" si="397"/>
        <v>0</v>
      </c>
    </row>
    <row r="3294" spans="1:38" hidden="1" x14ac:dyDescent="0.2">
      <c r="A3294" s="2">
        <v>2026</v>
      </c>
      <c r="B3294" s="2">
        <v>2</v>
      </c>
      <c r="D3294" s="2" t="s">
        <v>1597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1598</v>
      </c>
      <c r="J3294" s="2" t="s">
        <v>1599</v>
      </c>
      <c r="L3294" s="2" t="s">
        <v>202</v>
      </c>
      <c r="M3294" s="2" t="s">
        <v>81</v>
      </c>
      <c r="O3294" s="2" t="s">
        <v>2564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400"/>
        <v>0</v>
      </c>
      <c r="Z3294" s="2" t="s">
        <v>3231</v>
      </c>
      <c r="AA3294" s="2" t="s">
        <v>97</v>
      </c>
      <c r="AB3294" s="2" t="s">
        <v>77</v>
      </c>
      <c r="AC3294" s="2" t="s">
        <v>94</v>
      </c>
      <c r="AF3294" s="2">
        <f t="shared" si="398"/>
        <v>0</v>
      </c>
      <c r="AG3294" s="2">
        <v>1.48</v>
      </c>
      <c r="AH3294" s="2">
        <v>1.48</v>
      </c>
      <c r="AJ3294" s="2">
        <f t="shared" si="399"/>
        <v>0</v>
      </c>
      <c r="AK3294" s="2">
        <f t="shared" si="396"/>
        <v>0</v>
      </c>
      <c r="AL3294" s="5">
        <f t="shared" si="397"/>
        <v>0</v>
      </c>
    </row>
    <row r="3295" spans="1:38" hidden="1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400"/>
        <v>0</v>
      </c>
      <c r="Z3295" s="2" t="s">
        <v>3231</v>
      </c>
      <c r="AA3295" s="2" t="s">
        <v>97</v>
      </c>
      <c r="AB3295" s="2" t="s">
        <v>77</v>
      </c>
      <c r="AC3295" s="2" t="s">
        <v>94</v>
      </c>
      <c r="AF3295" s="2">
        <f t="shared" si="398"/>
        <v>0</v>
      </c>
      <c r="AJ3295" s="2">
        <f t="shared" si="399"/>
        <v>0</v>
      </c>
      <c r="AK3295" s="2">
        <f t="shared" ref="AK3295:AK3316" si="401">T3295-W3295</f>
        <v>0</v>
      </c>
      <c r="AL3295" s="5">
        <f t="shared" ref="AL3295:AL3316" si="402">(T3295-W3295)/T3295</f>
        <v>0</v>
      </c>
    </row>
    <row r="3296" spans="1:38" hidden="1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2562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400"/>
        <v>0</v>
      </c>
      <c r="Z3296" s="2" t="s">
        <v>3231</v>
      </c>
      <c r="AA3296" s="2" t="s">
        <v>97</v>
      </c>
      <c r="AB3296" s="2" t="s">
        <v>77</v>
      </c>
      <c r="AC3296" s="2" t="s">
        <v>94</v>
      </c>
      <c r="AF3296" s="2">
        <f t="shared" si="398"/>
        <v>0</v>
      </c>
      <c r="AG3296" s="2">
        <v>1.48</v>
      </c>
      <c r="AH3296" s="2">
        <v>1.48</v>
      </c>
      <c r="AJ3296" s="2">
        <f t="shared" si="399"/>
        <v>0</v>
      </c>
      <c r="AK3296" s="2">
        <f t="shared" si="401"/>
        <v>0</v>
      </c>
      <c r="AL3296" s="5">
        <f t="shared" si="402"/>
        <v>0</v>
      </c>
    </row>
    <row r="3297" spans="1:38" hidden="1" x14ac:dyDescent="0.2">
      <c r="A3297" s="2">
        <v>2026</v>
      </c>
      <c r="B3297" s="2">
        <v>2</v>
      </c>
      <c r="D3297" s="2" t="s">
        <v>2563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400"/>
        <v>0</v>
      </c>
      <c r="Z3297" s="2" t="s">
        <v>3231</v>
      </c>
      <c r="AA3297" s="2" t="s">
        <v>97</v>
      </c>
      <c r="AB3297" s="2" t="s">
        <v>77</v>
      </c>
      <c r="AC3297" s="2" t="s">
        <v>94</v>
      </c>
      <c r="AF3297" s="2">
        <f t="shared" si="398"/>
        <v>0</v>
      </c>
      <c r="AJ3297" s="2">
        <f t="shared" si="399"/>
        <v>0</v>
      </c>
      <c r="AK3297" s="2">
        <f t="shared" si="401"/>
        <v>0</v>
      </c>
      <c r="AL3297" s="5">
        <f t="shared" si="402"/>
        <v>0</v>
      </c>
    </row>
    <row r="3298" spans="1:38" hidden="1" x14ac:dyDescent="0.2">
      <c r="A3298" s="2">
        <v>2026</v>
      </c>
      <c r="B3298" s="2">
        <v>2</v>
      </c>
      <c r="D3298" s="2" t="s">
        <v>2530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400"/>
        <v>#DIV/0!</v>
      </c>
      <c r="Z3298" s="2" t="s">
        <v>118</v>
      </c>
      <c r="AA3298" s="2" t="s">
        <v>318</v>
      </c>
      <c r="AF3298" s="2">
        <f t="shared" si="398"/>
        <v>0</v>
      </c>
      <c r="AJ3298" s="2">
        <f t="shared" si="399"/>
        <v>0</v>
      </c>
      <c r="AK3298" s="2">
        <f t="shared" si="401"/>
        <v>0</v>
      </c>
      <c r="AL3298" s="5" t="e">
        <f t="shared" si="402"/>
        <v>#DIV/0!</v>
      </c>
    </row>
    <row r="3299" spans="1:38" hidden="1" x14ac:dyDescent="0.2">
      <c r="A3299" s="2">
        <v>2026</v>
      </c>
      <c r="B3299" s="2">
        <v>2</v>
      </c>
      <c r="D3299" s="2" t="s">
        <v>2618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400"/>
        <v>1</v>
      </c>
      <c r="Z3299" s="2" t="s">
        <v>120</v>
      </c>
      <c r="AA3299" s="2" t="s">
        <v>3385</v>
      </c>
      <c r="AF3299" s="2">
        <f t="shared" si="398"/>
        <v>0</v>
      </c>
      <c r="AJ3299" s="2">
        <f t="shared" si="399"/>
        <v>0</v>
      </c>
      <c r="AK3299" s="2">
        <f t="shared" si="401"/>
        <v>200.03</v>
      </c>
      <c r="AL3299" s="5">
        <f t="shared" si="402"/>
        <v>1</v>
      </c>
    </row>
    <row r="3300" spans="1:38" hidden="1" x14ac:dyDescent="0.2">
      <c r="A3300" s="2">
        <v>2026</v>
      </c>
      <c r="B3300" s="2">
        <v>2</v>
      </c>
      <c r="D3300" s="2" t="s">
        <v>1090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1091</v>
      </c>
      <c r="J3300" s="2" t="s">
        <v>1092</v>
      </c>
      <c r="K3300" s="2">
        <v>917523997</v>
      </c>
      <c r="L3300" s="2" t="s">
        <v>113</v>
      </c>
      <c r="M3300" s="2" t="s">
        <v>40</v>
      </c>
      <c r="O3300" s="2" t="s">
        <v>2619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400"/>
        <v>1</v>
      </c>
      <c r="Z3300" s="2" t="s">
        <v>118</v>
      </c>
      <c r="AA3300" s="2" t="s">
        <v>119</v>
      </c>
      <c r="AB3300" s="2" t="s">
        <v>120</v>
      </c>
      <c r="AF3300" s="2">
        <f t="shared" si="398"/>
        <v>0</v>
      </c>
      <c r="AJ3300" s="2">
        <f t="shared" si="399"/>
        <v>0</v>
      </c>
      <c r="AK3300" s="2">
        <f t="shared" si="401"/>
        <v>352.08</v>
      </c>
      <c r="AL3300" s="5">
        <f t="shared" si="402"/>
        <v>1</v>
      </c>
    </row>
    <row r="3301" spans="1:38" hidden="1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2620</v>
      </c>
      <c r="P3301" s="2" t="s">
        <v>115</v>
      </c>
      <c r="Q3301" s="2" t="s">
        <v>2229</v>
      </c>
      <c r="R3301" s="2" t="s">
        <v>2230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400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98"/>
        <v>0</v>
      </c>
      <c r="AG3301" s="2">
        <v>5.35</v>
      </c>
      <c r="AJ3301" s="2">
        <f t="shared" si="399"/>
        <v>0</v>
      </c>
      <c r="AK3301" s="2">
        <f t="shared" si="401"/>
        <v>5.9</v>
      </c>
      <c r="AL3301" s="5">
        <f t="shared" si="402"/>
        <v>0.52444444444444449</v>
      </c>
    </row>
    <row r="3302" spans="1:38" hidden="1" x14ac:dyDescent="0.2">
      <c r="A3302" s="2">
        <v>2026</v>
      </c>
      <c r="B3302" s="2">
        <v>2</v>
      </c>
      <c r="D3302" s="2" t="s">
        <v>2262</v>
      </c>
      <c r="G3302" s="2">
        <v>503636002</v>
      </c>
      <c r="I3302" s="2" t="s">
        <v>2621</v>
      </c>
      <c r="M3302" s="2" t="s">
        <v>40</v>
      </c>
      <c r="O3302" s="2" t="s">
        <v>2622</v>
      </c>
      <c r="P3302" s="2" t="s">
        <v>115</v>
      </c>
      <c r="Q3302" s="2" t="s">
        <v>2231</v>
      </c>
      <c r="R3302" s="2" t="s">
        <v>2232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400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98"/>
        <v>0</v>
      </c>
      <c r="AG3302" s="2">
        <v>28.372499999999999</v>
      </c>
      <c r="AJ3302" s="2">
        <f t="shared" si="399"/>
        <v>0</v>
      </c>
      <c r="AK3302" s="2">
        <f t="shared" si="401"/>
        <v>97.149999999999991</v>
      </c>
      <c r="AL3302" s="5">
        <f t="shared" si="402"/>
        <v>0.46121344473984049</v>
      </c>
    </row>
    <row r="3303" spans="1:38" hidden="1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2623</v>
      </c>
      <c r="P3303" s="2" t="s">
        <v>115</v>
      </c>
      <c r="Q3303" s="2" t="s">
        <v>2624</v>
      </c>
      <c r="R3303" s="2" t="s">
        <v>2625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400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98"/>
        <v>0</v>
      </c>
      <c r="AG3303" s="2">
        <v>3.5</v>
      </c>
      <c r="AJ3303" s="2">
        <f t="shared" si="399"/>
        <v>0</v>
      </c>
      <c r="AK3303" s="2">
        <f t="shared" si="401"/>
        <v>26.560000000000002</v>
      </c>
      <c r="AL3303" s="5">
        <f t="shared" si="402"/>
        <v>0.65483234714003946</v>
      </c>
    </row>
    <row r="3304" spans="1:38" hidden="1" x14ac:dyDescent="0.2">
      <c r="A3304" s="2">
        <v>2026</v>
      </c>
      <c r="B3304" s="2">
        <v>3</v>
      </c>
      <c r="D3304" s="2" t="s">
        <v>2053</v>
      </c>
      <c r="M3304" s="2" t="s">
        <v>40</v>
      </c>
      <c r="O3304" s="2" t="s">
        <v>2626</v>
      </c>
      <c r="P3304" s="2" t="s">
        <v>115</v>
      </c>
      <c r="Q3304" s="2" t="s">
        <v>780</v>
      </c>
      <c r="R3304" s="2" t="s">
        <v>781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400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98"/>
        <v>0</v>
      </c>
      <c r="AG3304" s="2">
        <v>35.931699999999999</v>
      </c>
      <c r="AJ3304" s="2">
        <f t="shared" si="399"/>
        <v>0</v>
      </c>
      <c r="AK3304" s="2">
        <f t="shared" si="401"/>
        <v>85.316600000000008</v>
      </c>
      <c r="AL3304" s="5">
        <f t="shared" si="402"/>
        <v>0.54279552105865891</v>
      </c>
    </row>
    <row r="3305" spans="1:38" hidden="1" x14ac:dyDescent="0.2">
      <c r="A3305" s="2">
        <v>2026</v>
      </c>
      <c r="B3305" s="2">
        <v>2</v>
      </c>
      <c r="D3305" s="2" t="s">
        <v>2262</v>
      </c>
      <c r="M3305" s="2" t="s">
        <v>40</v>
      </c>
      <c r="O3305" s="2" t="s">
        <v>2622</v>
      </c>
      <c r="P3305" s="2" t="s">
        <v>115</v>
      </c>
      <c r="Q3305" s="2" t="s">
        <v>955</v>
      </c>
      <c r="R3305" s="2" t="s">
        <v>956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400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98"/>
        <v>0</v>
      </c>
      <c r="AG3305" s="2">
        <f>14.4+0.27</f>
        <v>14.67</v>
      </c>
      <c r="AJ3305" s="2">
        <f t="shared" si="399"/>
        <v>0</v>
      </c>
      <c r="AK3305" s="2">
        <f t="shared" si="401"/>
        <v>16.649999999999999</v>
      </c>
      <c r="AL3305" s="5">
        <f t="shared" si="402"/>
        <v>0.53160919540229878</v>
      </c>
    </row>
    <row r="3306" spans="1:38" hidden="1" x14ac:dyDescent="0.2">
      <c r="A3306" s="2">
        <v>2026</v>
      </c>
      <c r="B3306" s="2">
        <v>3</v>
      </c>
      <c r="D3306" s="2" t="s">
        <v>1170</v>
      </c>
      <c r="E3306" s="2" t="s">
        <v>753</v>
      </c>
      <c r="F3306" s="2" t="s">
        <v>1171</v>
      </c>
      <c r="G3306" s="2">
        <v>505760088</v>
      </c>
      <c r="H3306" s="2" t="s">
        <v>291</v>
      </c>
      <c r="I3306" s="2" t="s">
        <v>1172</v>
      </c>
      <c r="J3306" s="2" t="s">
        <v>1173</v>
      </c>
      <c r="L3306" s="2" t="s">
        <v>340</v>
      </c>
      <c r="M3306" s="2" t="s">
        <v>40</v>
      </c>
      <c r="O3306" s="2" t="s">
        <v>2449</v>
      </c>
      <c r="P3306" s="2" t="s">
        <v>115</v>
      </c>
      <c r="Q3306" s="2" t="s">
        <v>906</v>
      </c>
      <c r="R3306" s="2" t="s">
        <v>907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400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98"/>
        <v>0</v>
      </c>
      <c r="AG3306" s="2">
        <v>342.22</v>
      </c>
      <c r="AJ3306" s="2">
        <f t="shared" si="399"/>
        <v>0</v>
      </c>
      <c r="AK3306" s="2">
        <f t="shared" si="401"/>
        <v>354.09659999999997</v>
      </c>
      <c r="AL3306" s="5">
        <f t="shared" si="402"/>
        <v>0.50635864435864431</v>
      </c>
    </row>
    <row r="3307" spans="1:38" hidden="1" x14ac:dyDescent="0.2">
      <c r="A3307" s="2">
        <v>2026</v>
      </c>
      <c r="B3307" s="2">
        <v>3</v>
      </c>
      <c r="C3307" s="2" t="s">
        <v>3324</v>
      </c>
      <c r="D3307" s="2" t="s">
        <v>2154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2627</v>
      </c>
      <c r="P3307" s="2" t="s">
        <v>115</v>
      </c>
      <c r="Q3307" s="2" t="s">
        <v>640</v>
      </c>
      <c r="R3307" s="2" t="s">
        <v>641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400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98"/>
        <v>0</v>
      </c>
      <c r="AG3307" s="2">
        <f>597.47+8.18</f>
        <v>605.65</v>
      </c>
      <c r="AJ3307" s="2">
        <f t="shared" si="399"/>
        <v>0</v>
      </c>
      <c r="AK3307" s="2">
        <f t="shared" si="401"/>
        <v>637.11659999999983</v>
      </c>
      <c r="AL3307" s="5">
        <f t="shared" si="402"/>
        <v>0.52132081955945397</v>
      </c>
    </row>
    <row r="3308" spans="1:38" hidden="1" x14ac:dyDescent="0.2">
      <c r="A3308" s="2">
        <v>2026</v>
      </c>
      <c r="B3308" s="2">
        <v>4</v>
      </c>
      <c r="D3308" s="2" t="s">
        <v>690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691</v>
      </c>
      <c r="K3308" s="2">
        <v>913036545</v>
      </c>
      <c r="L3308" s="2" t="s">
        <v>178</v>
      </c>
      <c r="M3308" s="2" t="s">
        <v>41</v>
      </c>
      <c r="O3308" s="2" t="s">
        <v>2617</v>
      </c>
      <c r="P3308" s="2" t="s">
        <v>43</v>
      </c>
      <c r="Q3308" s="2" t="s">
        <v>859</v>
      </c>
      <c r="R3308" s="2" t="s">
        <v>860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400"/>
        <v>0.6267094017094017</v>
      </c>
      <c r="Z3308" s="2" t="s">
        <v>3231</v>
      </c>
      <c r="AA3308" s="2" t="s">
        <v>46</v>
      </c>
      <c r="AB3308" s="2" t="s">
        <v>47</v>
      </c>
      <c r="AC3308" s="2" t="s">
        <v>48</v>
      </c>
      <c r="AF3308" s="2">
        <f t="shared" si="398"/>
        <v>0</v>
      </c>
      <c r="AJ3308" s="2">
        <f t="shared" si="399"/>
        <v>0</v>
      </c>
      <c r="AK3308" s="2">
        <f t="shared" si="401"/>
        <v>29.33</v>
      </c>
      <c r="AL3308" s="5">
        <f t="shared" si="402"/>
        <v>0.6267094017094017</v>
      </c>
    </row>
    <row r="3309" spans="1:38" hidden="1" x14ac:dyDescent="0.2">
      <c r="A3309" s="2">
        <v>2026</v>
      </c>
      <c r="B3309" s="2">
        <v>3</v>
      </c>
      <c r="D3309" s="2" t="s">
        <v>2628</v>
      </c>
      <c r="M3309" s="2" t="s">
        <v>40</v>
      </c>
      <c r="O3309" s="2" t="s">
        <v>2629</v>
      </c>
      <c r="P3309" s="2" t="s">
        <v>115</v>
      </c>
      <c r="Q3309" s="2" t="s">
        <v>2630</v>
      </c>
      <c r="R3309" s="2" t="s">
        <v>2631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400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98"/>
        <v>0</v>
      </c>
      <c r="AG3309" s="2">
        <v>8.77</v>
      </c>
      <c r="AJ3309" s="2">
        <f t="shared" si="399"/>
        <v>0</v>
      </c>
      <c r="AK3309" s="2">
        <f t="shared" si="401"/>
        <v>9.64</v>
      </c>
      <c r="AL3309" s="5">
        <f t="shared" si="402"/>
        <v>0.52362846279196096</v>
      </c>
    </row>
    <row r="3310" spans="1:38" hidden="1" x14ac:dyDescent="0.2">
      <c r="A3310" s="2">
        <v>2026</v>
      </c>
      <c r="B3310" s="2">
        <v>2</v>
      </c>
      <c r="D3310" s="2" t="s">
        <v>742</v>
      </c>
      <c r="P3310" s="2" t="s">
        <v>115</v>
      </c>
      <c r="Q3310" s="2" t="s">
        <v>980</v>
      </c>
      <c r="R3310" s="2" t="s">
        <v>981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400"/>
        <v>1</v>
      </c>
      <c r="Z3310" s="2" t="s">
        <v>118</v>
      </c>
      <c r="AF3310" s="2">
        <f t="shared" si="398"/>
        <v>0</v>
      </c>
      <c r="AJ3310" s="2">
        <f t="shared" si="399"/>
        <v>0</v>
      </c>
      <c r="AK3310" s="2">
        <f t="shared" si="401"/>
        <v>79.819999999999993</v>
      </c>
      <c r="AL3310" s="5">
        <f t="shared" si="402"/>
        <v>1</v>
      </c>
    </row>
    <row r="3311" spans="1:38" hidden="1" x14ac:dyDescent="0.2">
      <c r="A3311" s="2">
        <v>2026</v>
      </c>
      <c r="B3311" s="2">
        <v>2</v>
      </c>
      <c r="D3311" s="2" t="s">
        <v>618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619</v>
      </c>
      <c r="J3311" s="2" t="s">
        <v>620</v>
      </c>
      <c r="L3311" s="2" t="s">
        <v>419</v>
      </c>
      <c r="M3311" s="2" t="s">
        <v>41</v>
      </c>
      <c r="P3311" s="2" t="s">
        <v>115</v>
      </c>
      <c r="Q3311" s="2" t="s">
        <v>980</v>
      </c>
      <c r="R3311" s="2" t="s">
        <v>981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400"/>
        <v>1</v>
      </c>
      <c r="Z3311" s="2" t="s">
        <v>118</v>
      </c>
      <c r="AF3311" s="2">
        <f t="shared" si="398"/>
        <v>0</v>
      </c>
      <c r="AJ3311" s="2">
        <f t="shared" si="399"/>
        <v>0</v>
      </c>
      <c r="AK3311" s="2">
        <f t="shared" si="401"/>
        <v>83.46</v>
      </c>
      <c r="AL3311" s="5">
        <f t="shared" si="402"/>
        <v>1</v>
      </c>
    </row>
    <row r="3312" spans="1:38" hidden="1" x14ac:dyDescent="0.2">
      <c r="A3312" s="2">
        <v>2026</v>
      </c>
      <c r="B3312" s="2">
        <v>2</v>
      </c>
      <c r="D3312" s="2" t="s">
        <v>644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645</v>
      </c>
      <c r="J3312" s="2" t="s">
        <v>646</v>
      </c>
      <c r="K3312" s="2">
        <v>964495536</v>
      </c>
      <c r="L3312" s="2" t="s">
        <v>113</v>
      </c>
      <c r="M3312" s="2" t="s">
        <v>40</v>
      </c>
      <c r="O3312" s="2" t="s">
        <v>2632</v>
      </c>
      <c r="P3312" s="2" t="s">
        <v>115</v>
      </c>
      <c r="Q3312" s="2" t="s">
        <v>980</v>
      </c>
      <c r="R3312" s="2" t="s">
        <v>981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400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98"/>
        <v>0</v>
      </c>
      <c r="AJ3312" s="2">
        <f t="shared" si="399"/>
        <v>0</v>
      </c>
      <c r="AK3312" s="2">
        <f t="shared" si="401"/>
        <v>83.46</v>
      </c>
      <c r="AL3312" s="5">
        <f t="shared" si="402"/>
        <v>1</v>
      </c>
    </row>
    <row r="3313" spans="1:38" hidden="1" x14ac:dyDescent="0.2">
      <c r="A3313" s="2">
        <v>2026</v>
      </c>
      <c r="B3313" s="2">
        <v>2</v>
      </c>
      <c r="D3313" s="2" t="s">
        <v>908</v>
      </c>
      <c r="P3313" s="2" t="s">
        <v>115</v>
      </c>
      <c r="Q3313" s="2" t="s">
        <v>1473</v>
      </c>
      <c r="R3313" s="2" t="s">
        <v>1474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400"/>
        <v>1</v>
      </c>
      <c r="Z3313" s="2" t="s">
        <v>118</v>
      </c>
      <c r="AF3313" s="2">
        <f t="shared" si="398"/>
        <v>0</v>
      </c>
      <c r="AJ3313" s="2">
        <f t="shared" si="399"/>
        <v>0</v>
      </c>
      <c r="AK3313" s="2">
        <f t="shared" si="401"/>
        <v>689.22</v>
      </c>
      <c r="AL3313" s="5">
        <f t="shared" si="402"/>
        <v>1</v>
      </c>
    </row>
    <row r="3314" spans="1:38" hidden="1" x14ac:dyDescent="0.2">
      <c r="A3314" s="2">
        <v>2026</v>
      </c>
      <c r="B3314" s="2">
        <v>2</v>
      </c>
      <c r="D3314" s="2" t="s">
        <v>2628</v>
      </c>
      <c r="P3314" s="2" t="s">
        <v>115</v>
      </c>
      <c r="Q3314" s="2" t="s">
        <v>1473</v>
      </c>
      <c r="R3314" s="2" t="s">
        <v>1474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400"/>
        <v>1</v>
      </c>
      <c r="Z3314" s="2" t="s">
        <v>118</v>
      </c>
      <c r="AF3314" s="2">
        <f t="shared" si="398"/>
        <v>0</v>
      </c>
      <c r="AJ3314" s="2">
        <f t="shared" si="399"/>
        <v>0</v>
      </c>
      <c r="AK3314" s="2">
        <f t="shared" si="401"/>
        <v>699.3</v>
      </c>
      <c r="AL3314" s="5">
        <f t="shared" si="402"/>
        <v>1</v>
      </c>
    </row>
    <row r="3315" spans="1:38" hidden="1" x14ac:dyDescent="0.2">
      <c r="A3315" s="2">
        <v>2026</v>
      </c>
      <c r="B3315" s="2">
        <v>2</v>
      </c>
      <c r="D3315" s="2" t="s">
        <v>2633</v>
      </c>
      <c r="P3315" s="2" t="s">
        <v>115</v>
      </c>
      <c r="Q3315" s="2" t="s">
        <v>2118</v>
      </c>
      <c r="R3315" s="2" t="s">
        <v>2119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400"/>
        <v>1</v>
      </c>
      <c r="Z3315" s="2" t="s">
        <v>118</v>
      </c>
      <c r="AF3315" s="2">
        <f t="shared" si="398"/>
        <v>0</v>
      </c>
      <c r="AJ3315" s="2">
        <f t="shared" si="399"/>
        <v>0</v>
      </c>
      <c r="AK3315" s="2">
        <f t="shared" si="401"/>
        <v>698.4</v>
      </c>
      <c r="AL3315" s="5">
        <f t="shared" si="402"/>
        <v>1</v>
      </c>
    </row>
    <row r="3316" spans="1:38" hidden="1" x14ac:dyDescent="0.2">
      <c r="A3316" s="2">
        <v>2026</v>
      </c>
      <c r="B3316" s="2">
        <v>2</v>
      </c>
      <c r="D3316" s="2" t="s">
        <v>1594</v>
      </c>
      <c r="M3316" s="2" t="s">
        <v>41</v>
      </c>
      <c r="P3316" s="2" t="s">
        <v>115</v>
      </c>
      <c r="Q3316" s="2" t="s">
        <v>2634</v>
      </c>
      <c r="R3316" s="2" t="s">
        <v>2635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400"/>
        <v>1</v>
      </c>
      <c r="Z3316" s="2" t="s">
        <v>118</v>
      </c>
      <c r="AF3316" s="2">
        <f t="shared" si="398"/>
        <v>0</v>
      </c>
      <c r="AJ3316" s="2">
        <f t="shared" si="399"/>
        <v>0</v>
      </c>
      <c r="AK3316" s="2">
        <f t="shared" si="401"/>
        <v>136.22999999999999</v>
      </c>
      <c r="AL3316" s="5">
        <f t="shared" si="402"/>
        <v>1</v>
      </c>
    </row>
    <row r="3317" spans="1:38" hidden="1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1185</v>
      </c>
      <c r="R3317" s="2" t="s">
        <v>1186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98"/>
        <v>0</v>
      </c>
      <c r="AG3317" s="2">
        <v>7437.5950000000003</v>
      </c>
      <c r="AJ3317" s="2">
        <f t="shared" si="399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hidden="1" x14ac:dyDescent="0.2">
      <c r="A3318" s="2">
        <v>2026</v>
      </c>
      <c r="B3318" s="2">
        <v>3</v>
      </c>
      <c r="C3318" s="2" t="s">
        <v>3426</v>
      </c>
      <c r="D3318" s="2" t="s">
        <v>2633</v>
      </c>
      <c r="E3318" s="2" t="s">
        <v>38</v>
      </c>
      <c r="F3318" s="2" t="s">
        <v>39</v>
      </c>
      <c r="M3318" s="2" t="s">
        <v>41</v>
      </c>
      <c r="P3318" s="2" t="s">
        <v>115</v>
      </c>
      <c r="Q3318" s="2" t="s">
        <v>1185</v>
      </c>
      <c r="R3318" s="2" t="s">
        <v>1186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403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98"/>
        <v>0</v>
      </c>
      <c r="AG3318" s="2">
        <v>7437.5950000000003</v>
      </c>
      <c r="AJ3318" s="2">
        <f t="shared" si="399"/>
        <v>0</v>
      </c>
      <c r="AK3318" s="2">
        <f t="shared" ref="AK3318:AK3381" si="404">T3318-W3318</f>
        <v>4862.0050000000001</v>
      </c>
      <c r="AL3318" s="5">
        <f t="shared" ref="AL3318:AL3328" si="405">(T3318-W3318)/T3318</f>
        <v>0.39529781456307522</v>
      </c>
    </row>
    <row r="3319" spans="1:38" hidden="1" x14ac:dyDescent="0.2">
      <c r="A3319" s="2">
        <v>2026</v>
      </c>
      <c r="B3319" s="2">
        <v>3</v>
      </c>
      <c r="C3319" s="2" t="s">
        <v>3426</v>
      </c>
      <c r="D3319" s="2" t="s">
        <v>2636</v>
      </c>
      <c r="E3319" s="2" t="s">
        <v>38</v>
      </c>
      <c r="G3319" s="2">
        <v>508857562</v>
      </c>
      <c r="H3319" s="2" t="s">
        <v>110</v>
      </c>
      <c r="I3319" s="2" t="s">
        <v>2637</v>
      </c>
      <c r="J3319" s="2" t="s">
        <v>2638</v>
      </c>
      <c r="L3319" s="2" t="s">
        <v>462</v>
      </c>
      <c r="M3319" s="2" t="s">
        <v>110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403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98"/>
        <v>0</v>
      </c>
      <c r="AJ3319" s="2">
        <f t="shared" si="399"/>
        <v>0</v>
      </c>
      <c r="AK3319" s="2">
        <f t="shared" si="404"/>
        <v>4320.6000000000004</v>
      </c>
      <c r="AL3319" s="5">
        <f t="shared" si="405"/>
        <v>0.28823215476984659</v>
      </c>
    </row>
    <row r="3320" spans="1:38" hidden="1" x14ac:dyDescent="0.2">
      <c r="A3320" s="2">
        <v>2026</v>
      </c>
      <c r="B3320" s="2">
        <v>3</v>
      </c>
      <c r="D3320" s="2" t="s">
        <v>1888</v>
      </c>
      <c r="M3320" s="2" t="s">
        <v>291</v>
      </c>
      <c r="O3320" s="2" t="s">
        <v>2639</v>
      </c>
      <c r="P3320" s="2" t="s">
        <v>2640</v>
      </c>
      <c r="Q3320" s="2" t="s">
        <v>2641</v>
      </c>
      <c r="R3320" s="2" t="s">
        <v>2642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403"/>
        <v>0.18970189701897019</v>
      </c>
      <c r="Z3320" s="2" t="s">
        <v>3231</v>
      </c>
      <c r="AA3320" s="2" t="s">
        <v>72</v>
      </c>
      <c r="AB3320" s="2" t="s">
        <v>120</v>
      </c>
      <c r="AC3320" s="2" t="s">
        <v>2640</v>
      </c>
      <c r="AF3320" s="2">
        <f t="shared" si="398"/>
        <v>0</v>
      </c>
      <c r="AG3320" s="2">
        <v>299</v>
      </c>
      <c r="AJ3320" s="2">
        <f t="shared" si="399"/>
        <v>0</v>
      </c>
      <c r="AK3320" s="2">
        <f t="shared" si="404"/>
        <v>70</v>
      </c>
      <c r="AL3320" s="5">
        <f t="shared" si="405"/>
        <v>0.18970189701897019</v>
      </c>
    </row>
    <row r="3321" spans="1:38" hidden="1" x14ac:dyDescent="0.2">
      <c r="A3321" s="2">
        <v>2026</v>
      </c>
      <c r="B3321" s="2">
        <v>3</v>
      </c>
      <c r="D3321" s="2" t="s">
        <v>2520</v>
      </c>
      <c r="E3321" s="2" t="s">
        <v>753</v>
      </c>
      <c r="F3321" s="2" t="s">
        <v>39</v>
      </c>
      <c r="G3321" s="2">
        <v>515570354</v>
      </c>
      <c r="H3321" s="2" t="s">
        <v>110</v>
      </c>
      <c r="I3321" s="2" t="s">
        <v>2521</v>
      </c>
      <c r="J3321" s="2" t="s">
        <v>2522</v>
      </c>
      <c r="K3321" s="2">
        <v>967032538</v>
      </c>
      <c r="L3321" s="2" t="s">
        <v>399</v>
      </c>
      <c r="M3321" s="2" t="s">
        <v>110</v>
      </c>
      <c r="O3321" s="2" t="s">
        <v>2643</v>
      </c>
      <c r="P3321" s="2" t="s">
        <v>283</v>
      </c>
      <c r="Q3321" s="2" t="s">
        <v>1207</v>
      </c>
      <c r="R3321" s="2" t="s">
        <v>1208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403"/>
        <v>0.39999999999999997</v>
      </c>
      <c r="Z3321" s="2" t="s">
        <v>3231</v>
      </c>
      <c r="AA3321" s="2" t="s">
        <v>72</v>
      </c>
      <c r="AB3321" s="2" t="s">
        <v>120</v>
      </c>
      <c r="AC3321" s="2" t="s">
        <v>120</v>
      </c>
      <c r="AF3321" s="2">
        <f t="shared" si="398"/>
        <v>0</v>
      </c>
      <c r="AG3321" s="2">
        <v>14.34</v>
      </c>
      <c r="AJ3321" s="2">
        <f t="shared" si="399"/>
        <v>0</v>
      </c>
      <c r="AK3321" s="2">
        <f t="shared" si="404"/>
        <v>9.5599999999999987</v>
      </c>
      <c r="AL3321" s="5">
        <f t="shared" si="405"/>
        <v>0.39999999999999997</v>
      </c>
    </row>
    <row r="3322" spans="1:38" hidden="1" x14ac:dyDescent="0.2">
      <c r="A3322" s="2">
        <v>2026</v>
      </c>
      <c r="B3322" s="2">
        <v>3</v>
      </c>
      <c r="D3322" s="2" t="s">
        <v>2644</v>
      </c>
      <c r="P3322" s="2" t="s">
        <v>283</v>
      </c>
      <c r="Q3322" s="2" t="s">
        <v>1666</v>
      </c>
      <c r="R3322" s="2" t="s">
        <v>1667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403"/>
        <v>0.32857142857142857</v>
      </c>
      <c r="Z3322" s="2" t="s">
        <v>105</v>
      </c>
      <c r="AA3322" s="2" t="s">
        <v>388</v>
      </c>
      <c r="AB3322" s="2" t="s">
        <v>2645</v>
      </c>
      <c r="AC3322" s="2" t="s">
        <v>1329</v>
      </c>
      <c r="AF3322" s="2">
        <f t="shared" si="398"/>
        <v>0</v>
      </c>
      <c r="AJ3322" s="2">
        <f t="shared" si="399"/>
        <v>0</v>
      </c>
      <c r="AK3322" s="2">
        <f t="shared" si="404"/>
        <v>1610</v>
      </c>
      <c r="AL3322" s="5">
        <f t="shared" si="405"/>
        <v>0.32857142857142857</v>
      </c>
    </row>
    <row r="3323" spans="1:38" hidden="1" x14ac:dyDescent="0.2">
      <c r="A3323" s="2">
        <v>2026</v>
      </c>
      <c r="B3323" s="2">
        <v>3</v>
      </c>
      <c r="D3323" s="2" t="s">
        <v>2644</v>
      </c>
      <c r="P3323" s="2" t="s">
        <v>283</v>
      </c>
      <c r="Q3323" s="2" t="s">
        <v>1668</v>
      </c>
      <c r="R3323" s="2" t="s">
        <v>1669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2645</v>
      </c>
      <c r="AC3323" s="2" t="s">
        <v>1329</v>
      </c>
      <c r="AF3323" s="2">
        <f t="shared" si="398"/>
        <v>0</v>
      </c>
      <c r="AJ3323" s="2">
        <f t="shared" si="399"/>
        <v>0</v>
      </c>
      <c r="AK3323" s="2">
        <f t="shared" si="404"/>
        <v>0</v>
      </c>
      <c r="AL3323" s="5" t="e">
        <f t="shared" si="405"/>
        <v>#DIV/0!</v>
      </c>
    </row>
    <row r="3324" spans="1:38" hidden="1" x14ac:dyDescent="0.2">
      <c r="A3324" s="2">
        <v>2026</v>
      </c>
      <c r="B3324" s="2">
        <v>3</v>
      </c>
      <c r="D3324" s="2" t="s">
        <v>2646</v>
      </c>
      <c r="E3324" s="2" t="s">
        <v>38</v>
      </c>
      <c r="G3324" s="2">
        <v>506820378</v>
      </c>
      <c r="H3324" s="2" t="s">
        <v>41</v>
      </c>
      <c r="I3324" s="2" t="s">
        <v>2647</v>
      </c>
      <c r="J3324" s="2" t="s">
        <v>2648</v>
      </c>
      <c r="L3324" s="2" t="s">
        <v>419</v>
      </c>
      <c r="M3324" s="2" t="s">
        <v>41</v>
      </c>
      <c r="O3324" s="2" t="s">
        <v>2649</v>
      </c>
      <c r="P3324" s="2" t="s">
        <v>283</v>
      </c>
      <c r="Q3324" s="2" t="s">
        <v>1783</v>
      </c>
      <c r="R3324" s="2" t="s">
        <v>1784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403"/>
        <v>0.26733668341708544</v>
      </c>
      <c r="Z3324" s="2" t="s">
        <v>105</v>
      </c>
      <c r="AA3324" s="2" t="s">
        <v>388</v>
      </c>
      <c r="AB3324" s="2" t="s">
        <v>1332</v>
      </c>
      <c r="AC3324" s="2" t="s">
        <v>1329</v>
      </c>
      <c r="AF3324" s="2">
        <f t="shared" si="398"/>
        <v>0</v>
      </c>
      <c r="AG3324" s="2">
        <v>1458</v>
      </c>
      <c r="AJ3324" s="2">
        <f t="shared" si="399"/>
        <v>0</v>
      </c>
      <c r="AK3324" s="2">
        <f t="shared" si="404"/>
        <v>532</v>
      </c>
      <c r="AL3324" s="5">
        <f t="shared" si="405"/>
        <v>0.26733668341708544</v>
      </c>
    </row>
    <row r="3325" spans="1:38" hidden="1" x14ac:dyDescent="0.2">
      <c r="A3325" s="2">
        <v>2026</v>
      </c>
      <c r="B3325" s="2">
        <v>3</v>
      </c>
      <c r="D3325" s="2" t="s">
        <v>3262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2650</v>
      </c>
      <c r="L3325" s="2" t="s">
        <v>419</v>
      </c>
      <c r="M3325" s="2" t="s">
        <v>41</v>
      </c>
      <c r="O3325" s="2" t="s">
        <v>3261</v>
      </c>
      <c r="P3325" s="2" t="s">
        <v>283</v>
      </c>
      <c r="Q3325" s="2" t="s">
        <v>2651</v>
      </c>
      <c r="R3325" s="2" t="s">
        <v>2652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1578</v>
      </c>
      <c r="AB3325" s="2" t="s">
        <v>389</v>
      </c>
      <c r="AC3325" s="2" t="s">
        <v>1329</v>
      </c>
      <c r="AF3325" s="2">
        <f t="shared" si="398"/>
        <v>0</v>
      </c>
      <c r="AJ3325" s="2">
        <f t="shared" si="399"/>
        <v>0</v>
      </c>
      <c r="AK3325" s="2">
        <f t="shared" si="404"/>
        <v>0</v>
      </c>
      <c r="AL3325" s="5" t="e">
        <f t="shared" si="405"/>
        <v>#DIV/0!</v>
      </c>
    </row>
    <row r="3326" spans="1:38" hidden="1" x14ac:dyDescent="0.2">
      <c r="A3326" s="2">
        <v>2026</v>
      </c>
      <c r="B3326" s="2">
        <v>3</v>
      </c>
      <c r="D3326" s="2" t="s">
        <v>3262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2650</v>
      </c>
      <c r="L3326" s="2" t="s">
        <v>419</v>
      </c>
      <c r="M3326" s="2" t="s">
        <v>41</v>
      </c>
      <c r="O3326" s="2" t="s">
        <v>3261</v>
      </c>
      <c r="P3326" s="2" t="s">
        <v>283</v>
      </c>
      <c r="Q3326" s="2" t="s">
        <v>2653</v>
      </c>
      <c r="R3326" s="2" t="s">
        <v>2654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1578</v>
      </c>
      <c r="AB3326" s="2" t="s">
        <v>389</v>
      </c>
      <c r="AC3326" s="2" t="s">
        <v>1329</v>
      </c>
      <c r="AF3326" s="2">
        <f t="shared" si="398"/>
        <v>0</v>
      </c>
      <c r="AG3326" s="2">
        <v>10257</v>
      </c>
      <c r="AJ3326" s="2">
        <f t="shared" si="399"/>
        <v>0</v>
      </c>
      <c r="AK3326" s="2">
        <f t="shared" si="404"/>
        <v>2243</v>
      </c>
      <c r="AL3326" s="5">
        <f t="shared" si="405"/>
        <v>0.17943999999999999</v>
      </c>
    </row>
    <row r="3327" spans="1:38" hidden="1" x14ac:dyDescent="0.2">
      <c r="A3327" s="2">
        <v>2026</v>
      </c>
      <c r="B3327" s="2">
        <v>3</v>
      </c>
      <c r="D3327" s="2" t="s">
        <v>3262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2650</v>
      </c>
      <c r="L3327" s="2" t="s">
        <v>419</v>
      </c>
      <c r="M3327" s="2" t="s">
        <v>41</v>
      </c>
      <c r="O3327" s="2" t="s">
        <v>3261</v>
      </c>
      <c r="P3327" s="2" t="s">
        <v>283</v>
      </c>
      <c r="Q3327" s="2" t="s">
        <v>2655</v>
      </c>
      <c r="R3327" s="2" t="s">
        <v>2656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1578</v>
      </c>
      <c r="AB3327" s="2" t="s">
        <v>389</v>
      </c>
      <c r="AC3327" s="2" t="s">
        <v>1329</v>
      </c>
      <c r="AF3327" s="2">
        <f t="shared" si="398"/>
        <v>0</v>
      </c>
      <c r="AJ3327" s="2">
        <f t="shared" si="399"/>
        <v>0</v>
      </c>
      <c r="AK3327" s="2">
        <f t="shared" si="404"/>
        <v>0</v>
      </c>
      <c r="AL3327" s="5" t="e">
        <f t="shared" si="405"/>
        <v>#DIV/0!</v>
      </c>
    </row>
    <row r="3328" spans="1:38" hidden="1" x14ac:dyDescent="0.2">
      <c r="A3328" s="2">
        <v>2026</v>
      </c>
      <c r="B3328" s="2">
        <v>3</v>
      </c>
      <c r="C3328" s="2" t="s">
        <v>3426</v>
      </c>
      <c r="D3328" s="2" t="s">
        <v>3423</v>
      </c>
      <c r="E3328" s="2" t="s">
        <v>3424</v>
      </c>
      <c r="F3328" s="2" t="s">
        <v>3425</v>
      </c>
      <c r="L3328" s="2" t="s">
        <v>294</v>
      </c>
      <c r="M3328" s="2" t="s">
        <v>291</v>
      </c>
      <c r="O3328" s="2" t="s">
        <v>2657</v>
      </c>
      <c r="P3328" s="2" t="s">
        <v>283</v>
      </c>
      <c r="Q3328" s="2" t="s">
        <v>1284</v>
      </c>
      <c r="R3328" s="2" t="s">
        <v>1285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1578</v>
      </c>
      <c r="AB3328" s="2" t="s">
        <v>389</v>
      </c>
      <c r="AC3328" s="2" t="s">
        <v>1329</v>
      </c>
      <c r="AF3328" s="2">
        <f t="shared" si="398"/>
        <v>0</v>
      </c>
      <c r="AG3328" s="2">
        <v>1389</v>
      </c>
      <c r="AJ3328" s="2">
        <f t="shared" si="399"/>
        <v>0</v>
      </c>
      <c r="AK3328" s="2">
        <f t="shared" si="404"/>
        <v>111</v>
      </c>
      <c r="AL3328" s="5">
        <f t="shared" si="405"/>
        <v>7.3999999999999996E-2</v>
      </c>
    </row>
    <row r="3329" spans="1:38" hidden="1" x14ac:dyDescent="0.2">
      <c r="A3329" s="2">
        <v>2026</v>
      </c>
      <c r="B3329" s="2">
        <v>3</v>
      </c>
      <c r="C3329" s="2" t="s">
        <v>3426</v>
      </c>
      <c r="D3329" s="2" t="s">
        <v>3423</v>
      </c>
      <c r="E3329" s="2" t="s">
        <v>3424</v>
      </c>
      <c r="F3329" s="2" t="s">
        <v>3425</v>
      </c>
      <c r="L3329" s="2" t="s">
        <v>294</v>
      </c>
      <c r="M3329" s="2" t="s">
        <v>291</v>
      </c>
      <c r="O3329" s="2" t="s">
        <v>2657</v>
      </c>
      <c r="P3329" s="2" t="s">
        <v>283</v>
      </c>
      <c r="Q3329" s="2" t="s">
        <v>1286</v>
      </c>
      <c r="R3329" s="2" t="s">
        <v>1287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3386</v>
      </c>
      <c r="AC3329" s="2" t="s">
        <v>1329</v>
      </c>
      <c r="AF3329" s="2">
        <f t="shared" si="398"/>
        <v>0</v>
      </c>
      <c r="AJ3329" s="2">
        <f t="shared" si="399"/>
        <v>0</v>
      </c>
      <c r="AK3329" s="2">
        <f t="shared" si="404"/>
        <v>0</v>
      </c>
      <c r="AL3329" s="5">
        <v>0</v>
      </c>
    </row>
    <row r="3330" spans="1:38" hidden="1" x14ac:dyDescent="0.2">
      <c r="A3330" s="2">
        <v>2026</v>
      </c>
      <c r="B3330" s="2">
        <v>3</v>
      </c>
      <c r="C3330" s="2" t="s">
        <v>3426</v>
      </c>
      <c r="D3330" s="2" t="s">
        <v>3423</v>
      </c>
      <c r="E3330" s="2" t="s">
        <v>3424</v>
      </c>
      <c r="F3330" s="2" t="s">
        <v>3425</v>
      </c>
      <c r="L3330" s="2" t="s">
        <v>294</v>
      </c>
      <c r="M3330" s="2" t="s">
        <v>291</v>
      </c>
      <c r="O3330" s="2" t="s">
        <v>2657</v>
      </c>
      <c r="P3330" s="2" t="s">
        <v>283</v>
      </c>
      <c r="Q3330" s="2" t="s">
        <v>1156</v>
      </c>
      <c r="R3330" s="2" t="s">
        <v>1157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1578</v>
      </c>
      <c r="AB3330" s="2" t="s">
        <v>389</v>
      </c>
      <c r="AC3330" s="2" t="s">
        <v>1329</v>
      </c>
      <c r="AF3330" s="2">
        <f t="shared" si="398"/>
        <v>0</v>
      </c>
      <c r="AG3330" s="2">
        <v>2189</v>
      </c>
      <c r="AJ3330" s="2">
        <f t="shared" si="399"/>
        <v>0</v>
      </c>
      <c r="AK3330" s="2">
        <f t="shared" si="404"/>
        <v>800</v>
      </c>
      <c r="AL3330" s="5">
        <f t="shared" ref="AL3330:AL3336" si="406">(T3330-W3330)/T3330</f>
        <v>0.26755852842809363</v>
      </c>
    </row>
    <row r="3331" spans="1:38" hidden="1" x14ac:dyDescent="0.2">
      <c r="A3331" s="2">
        <v>2026</v>
      </c>
      <c r="B3331" s="2">
        <v>3</v>
      </c>
      <c r="D3331" s="2" t="s">
        <v>2658</v>
      </c>
      <c r="E3331" s="2" t="s">
        <v>753</v>
      </c>
      <c r="F3331" s="2" t="s">
        <v>39</v>
      </c>
      <c r="G3331" s="2">
        <v>157409490</v>
      </c>
      <c r="H3331" s="2" t="s">
        <v>40</v>
      </c>
      <c r="I3331" s="2" t="s">
        <v>2659</v>
      </c>
      <c r="J3331" s="2" t="s">
        <v>2660</v>
      </c>
      <c r="K3331" s="2">
        <v>917531684</v>
      </c>
      <c r="L3331" s="2" t="s">
        <v>178</v>
      </c>
      <c r="M3331" s="2" t="s">
        <v>40</v>
      </c>
      <c r="O3331" s="2" t="s">
        <v>2661</v>
      </c>
      <c r="P3331" s="2" t="s">
        <v>283</v>
      </c>
      <c r="Q3331" s="2" t="s">
        <v>1288</v>
      </c>
      <c r="R3331" s="2" t="s">
        <v>1289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1578</v>
      </c>
      <c r="AB3331" s="2" t="s">
        <v>389</v>
      </c>
      <c r="AC3331" s="2" t="s">
        <v>1329</v>
      </c>
      <c r="AF3331" s="2">
        <f t="shared" ref="AF3331:AF3394" si="407">AJ3331</f>
        <v>0</v>
      </c>
      <c r="AG3331" s="2">
        <v>1195</v>
      </c>
      <c r="AJ3331" s="2">
        <f t="shared" ref="AJ3331:AJ3394" si="408">AI3331*T3331</f>
        <v>0</v>
      </c>
      <c r="AK3331" s="2">
        <f t="shared" si="404"/>
        <v>705</v>
      </c>
      <c r="AL3331" s="5">
        <f t="shared" si="406"/>
        <v>0.37105263157894736</v>
      </c>
    </row>
    <row r="3332" spans="1:38" hidden="1" x14ac:dyDescent="0.2">
      <c r="A3332" s="2">
        <v>2026</v>
      </c>
      <c r="B3332" s="2">
        <v>3</v>
      </c>
      <c r="D3332" s="2" t="s">
        <v>2644</v>
      </c>
      <c r="P3332" s="2" t="s">
        <v>283</v>
      </c>
      <c r="Q3332" s="2" t="s">
        <v>1288</v>
      </c>
      <c r="R3332" s="2" t="s">
        <v>1289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1578</v>
      </c>
      <c r="AB3332" s="2" t="s">
        <v>389</v>
      </c>
      <c r="AC3332" s="2" t="s">
        <v>1329</v>
      </c>
      <c r="AF3332" s="2">
        <f t="shared" si="407"/>
        <v>0</v>
      </c>
      <c r="AG3332" s="2">
        <v>1195</v>
      </c>
      <c r="AJ3332" s="2">
        <f t="shared" si="408"/>
        <v>0</v>
      </c>
      <c r="AK3332" s="2">
        <f t="shared" si="404"/>
        <v>695</v>
      </c>
      <c r="AL3332" s="5">
        <f t="shared" si="406"/>
        <v>0.36772486772486773</v>
      </c>
    </row>
    <row r="3333" spans="1:38" hidden="1" x14ac:dyDescent="0.2">
      <c r="A3333" s="2">
        <v>2026</v>
      </c>
      <c r="B3333" s="2">
        <v>3</v>
      </c>
      <c r="D3333" s="2" t="s">
        <v>2662</v>
      </c>
      <c r="P3333" s="2" t="s">
        <v>283</v>
      </c>
      <c r="Q3333" s="2" t="s">
        <v>1288</v>
      </c>
      <c r="R3333" s="2" t="s">
        <v>1289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1578</v>
      </c>
      <c r="AB3333" s="2" t="s">
        <v>389</v>
      </c>
      <c r="AC3333" s="2" t="s">
        <v>1329</v>
      </c>
      <c r="AF3333" s="2">
        <f t="shared" si="407"/>
        <v>0</v>
      </c>
      <c r="AG3333" s="2">
        <v>1195</v>
      </c>
      <c r="AJ3333" s="2">
        <f t="shared" si="408"/>
        <v>0</v>
      </c>
      <c r="AK3333" s="2">
        <f t="shared" si="404"/>
        <v>705</v>
      </c>
      <c r="AL3333" s="5">
        <f t="shared" si="406"/>
        <v>0.37105263157894736</v>
      </c>
    </row>
    <row r="3334" spans="1:38" hidden="1" x14ac:dyDescent="0.2">
      <c r="A3334" s="2">
        <v>2026</v>
      </c>
      <c r="B3334" s="2">
        <v>3</v>
      </c>
      <c r="D3334" s="2" t="s">
        <v>2663</v>
      </c>
      <c r="E3334" s="2" t="s">
        <v>753</v>
      </c>
      <c r="F3334" s="2" t="s">
        <v>39</v>
      </c>
      <c r="G3334" s="2">
        <v>514057190</v>
      </c>
      <c r="H3334" s="2" t="s">
        <v>40</v>
      </c>
      <c r="I3334" s="2" t="s">
        <v>2664</v>
      </c>
      <c r="J3334" s="2" t="s">
        <v>2665</v>
      </c>
      <c r="K3334" s="2">
        <v>934367883</v>
      </c>
      <c r="L3334" s="2" t="s">
        <v>419</v>
      </c>
      <c r="O3334" s="2" t="s">
        <v>2666</v>
      </c>
      <c r="P3334" s="2" t="s">
        <v>283</v>
      </c>
      <c r="Q3334" s="2" t="s">
        <v>1288</v>
      </c>
      <c r="R3334" s="2" t="s">
        <v>1289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1578</v>
      </c>
      <c r="AB3334" s="2" t="s">
        <v>389</v>
      </c>
      <c r="AC3334" s="2" t="s">
        <v>1329</v>
      </c>
      <c r="AF3334" s="2">
        <f t="shared" si="407"/>
        <v>0</v>
      </c>
      <c r="AG3334" s="2">
        <v>1195</v>
      </c>
      <c r="AJ3334" s="2">
        <f t="shared" si="408"/>
        <v>0</v>
      </c>
      <c r="AK3334" s="2">
        <f t="shared" si="404"/>
        <v>705</v>
      </c>
      <c r="AL3334" s="5">
        <f t="shared" si="406"/>
        <v>0.37105263157894736</v>
      </c>
    </row>
    <row r="3335" spans="1:38" hidden="1" x14ac:dyDescent="0.2">
      <c r="A3335" s="2">
        <v>2026</v>
      </c>
      <c r="B3335" s="2">
        <v>3</v>
      </c>
      <c r="D3335" s="2" t="s">
        <v>2658</v>
      </c>
      <c r="E3335" s="2" t="s">
        <v>753</v>
      </c>
      <c r="F3335" s="2" t="s">
        <v>39</v>
      </c>
      <c r="G3335" s="2">
        <v>157409490</v>
      </c>
      <c r="H3335" s="2" t="s">
        <v>40</v>
      </c>
      <c r="I3335" s="2" t="s">
        <v>2659</v>
      </c>
      <c r="J3335" s="2" t="s">
        <v>2660</v>
      </c>
      <c r="K3335" s="2">
        <v>917531684</v>
      </c>
      <c r="L3335" s="2" t="s">
        <v>178</v>
      </c>
      <c r="M3335" s="2" t="s">
        <v>40</v>
      </c>
      <c r="O3335" s="2" t="s">
        <v>2661</v>
      </c>
      <c r="P3335" s="2" t="s">
        <v>283</v>
      </c>
      <c r="Q3335" s="2" t="s">
        <v>1160</v>
      </c>
      <c r="R3335" s="2" t="s">
        <v>1161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1578</v>
      </c>
      <c r="AB3335" s="2" t="s">
        <v>389</v>
      </c>
      <c r="AC3335" s="2" t="s">
        <v>1329</v>
      </c>
      <c r="AF3335" s="2">
        <f t="shared" si="407"/>
        <v>0</v>
      </c>
      <c r="AG3335" s="2">
        <v>0</v>
      </c>
      <c r="AH3335" s="2">
        <v>0</v>
      </c>
      <c r="AJ3335" s="2">
        <f t="shared" si="408"/>
        <v>0</v>
      </c>
      <c r="AK3335" s="2">
        <f t="shared" si="404"/>
        <v>0</v>
      </c>
      <c r="AL3335" s="5" t="e">
        <f t="shared" si="406"/>
        <v>#DIV/0!</v>
      </c>
    </row>
    <row r="3336" spans="1:38" hidden="1" x14ac:dyDescent="0.2">
      <c r="A3336" s="2">
        <v>2026</v>
      </c>
      <c r="B3336" s="2">
        <v>3</v>
      </c>
      <c r="D3336" s="2" t="s">
        <v>2644</v>
      </c>
      <c r="P3336" s="2" t="s">
        <v>283</v>
      </c>
      <c r="Q3336" s="2" t="s">
        <v>1160</v>
      </c>
      <c r="R3336" s="2" t="s">
        <v>1161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1578</v>
      </c>
      <c r="AB3336" s="2" t="s">
        <v>389</v>
      </c>
      <c r="AC3336" s="2" t="s">
        <v>1329</v>
      </c>
      <c r="AF3336" s="2">
        <f t="shared" si="407"/>
        <v>0</v>
      </c>
      <c r="AG3336" s="2">
        <v>0</v>
      </c>
      <c r="AH3336" s="2">
        <v>0</v>
      </c>
      <c r="AJ3336" s="2">
        <f t="shared" si="408"/>
        <v>0</v>
      </c>
      <c r="AK3336" s="2">
        <f t="shared" si="404"/>
        <v>0</v>
      </c>
      <c r="AL3336" s="5" t="e">
        <f t="shared" si="406"/>
        <v>#DIV/0!</v>
      </c>
    </row>
    <row r="3337" spans="1:38" hidden="1" x14ac:dyDescent="0.2">
      <c r="A3337" s="2">
        <v>2026</v>
      </c>
      <c r="B3337" s="2">
        <v>3</v>
      </c>
      <c r="C3337" s="2" t="s">
        <v>3426</v>
      </c>
      <c r="D3337" s="2" t="s">
        <v>3423</v>
      </c>
      <c r="E3337" s="2" t="s">
        <v>3424</v>
      </c>
      <c r="F3337" s="2" t="s">
        <v>3425</v>
      </c>
      <c r="L3337" s="2" t="s">
        <v>294</v>
      </c>
      <c r="M3337" s="2" t="s">
        <v>291</v>
      </c>
      <c r="O3337" s="2" t="s">
        <v>2657</v>
      </c>
      <c r="P3337" s="2" t="s">
        <v>283</v>
      </c>
      <c r="Q3337" s="2" t="s">
        <v>1160</v>
      </c>
      <c r="R3337" s="2" t="s">
        <v>1161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1578</v>
      </c>
      <c r="AB3337" s="2" t="s">
        <v>389</v>
      </c>
      <c r="AC3337" s="2" t="s">
        <v>1329</v>
      </c>
      <c r="AF3337" s="2">
        <f t="shared" si="407"/>
        <v>0</v>
      </c>
      <c r="AG3337" s="2">
        <v>0</v>
      </c>
      <c r="AH3337" s="2">
        <v>0</v>
      </c>
      <c r="AJ3337" s="2">
        <f t="shared" si="408"/>
        <v>0</v>
      </c>
      <c r="AK3337" s="2">
        <f t="shared" si="404"/>
        <v>0</v>
      </c>
      <c r="AL3337" s="5">
        <v>0</v>
      </c>
    </row>
    <row r="3338" spans="1:38" hidden="1" x14ac:dyDescent="0.2">
      <c r="A3338" s="2">
        <v>2026</v>
      </c>
      <c r="B3338" s="2">
        <v>3</v>
      </c>
      <c r="D3338" s="2" t="s">
        <v>2662</v>
      </c>
      <c r="P3338" s="2" t="s">
        <v>283</v>
      </c>
      <c r="Q3338" s="2" t="s">
        <v>1160</v>
      </c>
      <c r="R3338" s="2" t="s">
        <v>1161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1578</v>
      </c>
      <c r="AB3338" s="2" t="s">
        <v>389</v>
      </c>
      <c r="AC3338" s="2" t="s">
        <v>1329</v>
      </c>
      <c r="AF3338" s="2">
        <f t="shared" si="407"/>
        <v>0</v>
      </c>
      <c r="AG3338" s="2">
        <v>0</v>
      </c>
      <c r="AH3338" s="2">
        <v>0</v>
      </c>
      <c r="AJ3338" s="2">
        <f t="shared" si="408"/>
        <v>0</v>
      </c>
      <c r="AK3338" s="2">
        <f t="shared" si="404"/>
        <v>0</v>
      </c>
      <c r="AL3338" s="5" t="e">
        <f t="shared" ref="AL3338:AL3364" si="409">(T3338-W3338)/T3338</f>
        <v>#DIV/0!</v>
      </c>
    </row>
    <row r="3339" spans="1:38" hidden="1" x14ac:dyDescent="0.2">
      <c r="A3339" s="2">
        <v>2026</v>
      </c>
      <c r="B3339" s="2">
        <v>3</v>
      </c>
      <c r="D3339" s="2" t="s">
        <v>2663</v>
      </c>
      <c r="E3339" s="2" t="s">
        <v>753</v>
      </c>
      <c r="F3339" s="2" t="s">
        <v>39</v>
      </c>
      <c r="G3339" s="2">
        <v>514057190</v>
      </c>
      <c r="H3339" s="2" t="s">
        <v>40</v>
      </c>
      <c r="I3339" s="2" t="s">
        <v>2664</v>
      </c>
      <c r="J3339" s="2" t="s">
        <v>2665</v>
      </c>
      <c r="K3339" s="2">
        <v>934367883</v>
      </c>
      <c r="L3339" s="2" t="s">
        <v>419</v>
      </c>
      <c r="O3339" s="2" t="s">
        <v>2666</v>
      </c>
      <c r="P3339" s="2" t="s">
        <v>283</v>
      </c>
      <c r="Q3339" s="2" t="s">
        <v>1160</v>
      </c>
      <c r="R3339" s="2" t="s">
        <v>1161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1578</v>
      </c>
      <c r="AB3339" s="2" t="s">
        <v>389</v>
      </c>
      <c r="AC3339" s="2" t="s">
        <v>1329</v>
      </c>
      <c r="AF3339" s="2">
        <f t="shared" si="407"/>
        <v>0</v>
      </c>
      <c r="AG3339" s="2">
        <v>0</v>
      </c>
      <c r="AH3339" s="2">
        <v>0</v>
      </c>
      <c r="AJ3339" s="2">
        <f t="shared" si="408"/>
        <v>0</v>
      </c>
      <c r="AK3339" s="2">
        <f t="shared" si="404"/>
        <v>0</v>
      </c>
      <c r="AL3339" s="5" t="e">
        <f t="shared" si="409"/>
        <v>#DIV/0!</v>
      </c>
    </row>
    <row r="3340" spans="1:38" hidden="1" x14ac:dyDescent="0.2">
      <c r="A3340" s="2">
        <v>2026</v>
      </c>
      <c r="B3340" s="2">
        <v>3</v>
      </c>
      <c r="D3340" s="2" t="s">
        <v>2658</v>
      </c>
      <c r="E3340" s="2" t="s">
        <v>753</v>
      </c>
      <c r="F3340" s="2" t="s">
        <v>39</v>
      </c>
      <c r="G3340" s="2">
        <v>157409490</v>
      </c>
      <c r="H3340" s="2" t="s">
        <v>40</v>
      </c>
      <c r="I3340" s="2" t="s">
        <v>2659</v>
      </c>
      <c r="J3340" s="2" t="s">
        <v>2660</v>
      </c>
      <c r="K3340" s="2">
        <v>917531684</v>
      </c>
      <c r="L3340" s="2" t="s">
        <v>178</v>
      </c>
      <c r="M3340" s="2" t="s">
        <v>40</v>
      </c>
      <c r="O3340" s="2" t="s">
        <v>2661</v>
      </c>
      <c r="P3340" s="2" t="s">
        <v>283</v>
      </c>
      <c r="Q3340" s="2" t="s">
        <v>1290</v>
      </c>
      <c r="R3340" s="2" t="s">
        <v>1291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1578</v>
      </c>
      <c r="AB3340" s="2" t="s">
        <v>389</v>
      </c>
      <c r="AC3340" s="2" t="s">
        <v>1329</v>
      </c>
      <c r="AF3340" s="2">
        <f t="shared" si="407"/>
        <v>0</v>
      </c>
      <c r="AG3340" s="2">
        <v>0</v>
      </c>
      <c r="AH3340" s="2">
        <v>0</v>
      </c>
      <c r="AJ3340" s="2">
        <f t="shared" si="408"/>
        <v>0</v>
      </c>
      <c r="AK3340" s="2">
        <f t="shared" si="404"/>
        <v>0</v>
      </c>
      <c r="AL3340" s="5" t="e">
        <f t="shared" si="409"/>
        <v>#DIV/0!</v>
      </c>
    </row>
    <row r="3341" spans="1:38" hidden="1" x14ac:dyDescent="0.2">
      <c r="A3341" s="2">
        <v>2026</v>
      </c>
      <c r="B3341" s="2">
        <v>3</v>
      </c>
      <c r="D3341" s="2" t="s">
        <v>2644</v>
      </c>
      <c r="E3341" s="2" t="s">
        <v>753</v>
      </c>
      <c r="G3341" s="2">
        <v>504481991</v>
      </c>
      <c r="H3341" s="2" t="s">
        <v>40</v>
      </c>
      <c r="I3341" s="2" t="s">
        <v>2667</v>
      </c>
      <c r="J3341" s="2" t="s">
        <v>2668</v>
      </c>
      <c r="L3341" s="2" t="s">
        <v>202</v>
      </c>
      <c r="P3341" s="2" t="s">
        <v>283</v>
      </c>
      <c r="Q3341" s="2" t="s">
        <v>1290</v>
      </c>
      <c r="R3341" s="2" t="s">
        <v>1291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1578</v>
      </c>
      <c r="AB3341" s="2" t="s">
        <v>389</v>
      </c>
      <c r="AC3341" s="2" t="s">
        <v>1329</v>
      </c>
      <c r="AF3341" s="2">
        <f t="shared" si="407"/>
        <v>0</v>
      </c>
      <c r="AG3341" s="2">
        <v>0</v>
      </c>
      <c r="AH3341" s="2">
        <v>0</v>
      </c>
      <c r="AJ3341" s="2">
        <f t="shared" si="408"/>
        <v>0</v>
      </c>
      <c r="AK3341" s="2">
        <f t="shared" si="404"/>
        <v>0</v>
      </c>
      <c r="AL3341" s="5" t="e">
        <f t="shared" si="409"/>
        <v>#DIV/0!</v>
      </c>
    </row>
    <row r="3342" spans="1:38" hidden="1" x14ac:dyDescent="0.2">
      <c r="A3342" s="2">
        <v>2026</v>
      </c>
      <c r="B3342" s="2">
        <v>3</v>
      </c>
      <c r="D3342" s="2" t="s">
        <v>2662</v>
      </c>
      <c r="E3342" s="2" t="s">
        <v>753</v>
      </c>
      <c r="G3342" s="2">
        <v>509674658</v>
      </c>
      <c r="H3342" s="2" t="s">
        <v>40</v>
      </c>
      <c r="I3342" s="2" t="s">
        <v>2669</v>
      </c>
      <c r="J3342" s="2" t="s">
        <v>2670</v>
      </c>
      <c r="L3342" s="2" t="s">
        <v>178</v>
      </c>
      <c r="P3342" s="2" t="s">
        <v>283</v>
      </c>
      <c r="Q3342" s="2" t="s">
        <v>1290</v>
      </c>
      <c r="R3342" s="2" t="s">
        <v>1291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1578</v>
      </c>
      <c r="AB3342" s="2" t="s">
        <v>389</v>
      </c>
      <c r="AC3342" s="2" t="s">
        <v>1329</v>
      </c>
      <c r="AF3342" s="2">
        <f t="shared" si="407"/>
        <v>0</v>
      </c>
      <c r="AG3342" s="2">
        <v>0</v>
      </c>
      <c r="AH3342" s="2">
        <v>0</v>
      </c>
      <c r="AJ3342" s="2">
        <f t="shared" si="408"/>
        <v>0</v>
      </c>
      <c r="AK3342" s="2">
        <f t="shared" si="404"/>
        <v>0</v>
      </c>
      <c r="AL3342" s="5" t="e">
        <f t="shared" si="409"/>
        <v>#DIV/0!</v>
      </c>
    </row>
    <row r="3343" spans="1:38" hidden="1" x14ac:dyDescent="0.2">
      <c r="A3343" s="2">
        <v>2026</v>
      </c>
      <c r="B3343" s="2">
        <v>3</v>
      </c>
      <c r="D3343" s="2" t="s">
        <v>2663</v>
      </c>
      <c r="E3343" s="2" t="s">
        <v>753</v>
      </c>
      <c r="F3343" s="2" t="s">
        <v>39</v>
      </c>
      <c r="G3343" s="2">
        <v>514057190</v>
      </c>
      <c r="H3343" s="2" t="s">
        <v>40</v>
      </c>
      <c r="I3343" s="2" t="s">
        <v>2664</v>
      </c>
      <c r="J3343" s="2" t="s">
        <v>2665</v>
      </c>
      <c r="K3343" s="2">
        <v>934367883</v>
      </c>
      <c r="L3343" s="2" t="s">
        <v>419</v>
      </c>
      <c r="O3343" s="2" t="s">
        <v>2666</v>
      </c>
      <c r="P3343" s="2" t="s">
        <v>283</v>
      </c>
      <c r="Q3343" s="2" t="s">
        <v>1290</v>
      </c>
      <c r="R3343" s="2" t="s">
        <v>1291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1578</v>
      </c>
      <c r="AB3343" s="2" t="s">
        <v>389</v>
      </c>
      <c r="AC3343" s="2" t="s">
        <v>1329</v>
      </c>
      <c r="AF3343" s="2">
        <f t="shared" si="407"/>
        <v>0</v>
      </c>
      <c r="AG3343" s="2">
        <v>0</v>
      </c>
      <c r="AH3343" s="2">
        <v>0</v>
      </c>
      <c r="AJ3343" s="2">
        <f t="shared" si="408"/>
        <v>0</v>
      </c>
      <c r="AK3343" s="2">
        <f t="shared" si="404"/>
        <v>0</v>
      </c>
      <c r="AL3343" s="5" t="e">
        <f t="shared" si="409"/>
        <v>#DIV/0!</v>
      </c>
    </row>
    <row r="3344" spans="1:38" hidden="1" x14ac:dyDescent="0.2">
      <c r="A3344" s="2">
        <v>2026</v>
      </c>
      <c r="B3344" s="2">
        <v>3</v>
      </c>
      <c r="D3344" s="2" t="s">
        <v>1888</v>
      </c>
      <c r="P3344" s="2" t="s">
        <v>283</v>
      </c>
      <c r="Q3344" s="2" t="s">
        <v>1954</v>
      </c>
      <c r="R3344" s="2" t="s">
        <v>1955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10">(T3344-W3344)/T3344</f>
        <v>0.46364312267657992</v>
      </c>
      <c r="Z3344" s="2" t="s">
        <v>3231</v>
      </c>
      <c r="AA3344" s="2" t="s">
        <v>72</v>
      </c>
      <c r="AB3344" s="2" t="s">
        <v>120</v>
      </c>
      <c r="AC3344" s="2" t="s">
        <v>120</v>
      </c>
      <c r="AF3344" s="2">
        <f t="shared" si="407"/>
        <v>0</v>
      </c>
      <c r="AJ3344" s="2">
        <f t="shared" si="408"/>
        <v>0</v>
      </c>
      <c r="AK3344" s="2">
        <f t="shared" si="404"/>
        <v>124.72</v>
      </c>
      <c r="AL3344" s="5">
        <f t="shared" si="409"/>
        <v>0.46364312267657992</v>
      </c>
    </row>
    <row r="3345" spans="1:38" hidden="1" x14ac:dyDescent="0.2">
      <c r="A3345" s="2">
        <v>2026</v>
      </c>
      <c r="B3345" s="2">
        <v>3</v>
      </c>
      <c r="D3345" s="2" t="s">
        <v>2671</v>
      </c>
      <c r="P3345" s="2" t="s">
        <v>283</v>
      </c>
      <c r="Q3345" s="2" t="s">
        <v>1438</v>
      </c>
      <c r="R3345" s="2" t="s">
        <v>1439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11">5.135*S3345</f>
        <v>154.04999999999998</v>
      </c>
      <c r="X3345" s="5">
        <f t="shared" si="410"/>
        <v>0.25579710144927542</v>
      </c>
      <c r="Z3345" s="2" t="s">
        <v>3231</v>
      </c>
      <c r="AA3345" s="2" t="s">
        <v>72</v>
      </c>
      <c r="AB3345" s="2" t="s">
        <v>120</v>
      </c>
      <c r="AC3345" s="2" t="s">
        <v>120</v>
      </c>
      <c r="AF3345" s="2">
        <f t="shared" si="407"/>
        <v>0</v>
      </c>
      <c r="AG3345" s="2">
        <v>2.4323999999999999</v>
      </c>
      <c r="AH3345" s="2">
        <v>7.9</v>
      </c>
      <c r="AJ3345" s="2">
        <f t="shared" si="408"/>
        <v>0</v>
      </c>
      <c r="AK3345" s="2">
        <f t="shared" si="404"/>
        <v>52.950000000000017</v>
      </c>
      <c r="AL3345" s="5">
        <f t="shared" si="409"/>
        <v>0.25579710144927542</v>
      </c>
    </row>
    <row r="3346" spans="1:38" hidden="1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2672</v>
      </c>
      <c r="P3346" s="2" t="s">
        <v>283</v>
      </c>
      <c r="Q3346" s="2" t="s">
        <v>1438</v>
      </c>
      <c r="R3346" s="2" t="s">
        <v>1439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11"/>
        <v>10.27</v>
      </c>
      <c r="X3346" s="5">
        <f t="shared" si="410"/>
        <v>0.35000000000000003</v>
      </c>
      <c r="Z3346" s="2" t="s">
        <v>3231</v>
      </c>
      <c r="AA3346" s="2" t="s">
        <v>72</v>
      </c>
      <c r="AB3346" s="2" t="s">
        <v>120</v>
      </c>
      <c r="AC3346" s="2" t="s">
        <v>120</v>
      </c>
      <c r="AF3346" s="2">
        <f t="shared" si="407"/>
        <v>0</v>
      </c>
      <c r="AG3346" s="2">
        <v>2.4323999999999999</v>
      </c>
      <c r="AH3346" s="2">
        <v>7.9</v>
      </c>
      <c r="AJ3346" s="2">
        <f t="shared" si="408"/>
        <v>0</v>
      </c>
      <c r="AK3346" s="2">
        <f t="shared" si="404"/>
        <v>5.5300000000000011</v>
      </c>
      <c r="AL3346" s="5">
        <f t="shared" si="409"/>
        <v>0.35000000000000003</v>
      </c>
    </row>
    <row r="3347" spans="1:38" hidden="1" x14ac:dyDescent="0.2">
      <c r="A3347" s="2">
        <v>2026</v>
      </c>
      <c r="B3347" s="2">
        <v>3</v>
      </c>
      <c r="D3347" s="2" t="s">
        <v>2673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1558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1551</v>
      </c>
      <c r="R3347" s="2" t="s">
        <v>1552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10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407"/>
        <v>0</v>
      </c>
      <c r="AG3347" s="2">
        <v>297</v>
      </c>
      <c r="AH3347" s="2">
        <v>595</v>
      </c>
      <c r="AJ3347" s="2">
        <f t="shared" si="408"/>
        <v>0</v>
      </c>
      <c r="AK3347" s="2">
        <f t="shared" si="404"/>
        <v>198</v>
      </c>
      <c r="AL3347" s="5">
        <f t="shared" si="409"/>
        <v>0.4</v>
      </c>
    </row>
    <row r="3348" spans="1:38" hidden="1" x14ac:dyDescent="0.2">
      <c r="A3348" s="2">
        <v>2026</v>
      </c>
      <c r="B3348" s="2">
        <v>3</v>
      </c>
      <c r="D3348" s="2" t="s">
        <v>3262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2650</v>
      </c>
      <c r="L3348" s="2" t="s">
        <v>419</v>
      </c>
      <c r="M3348" s="2" t="s">
        <v>41</v>
      </c>
      <c r="O3348" s="2" t="s">
        <v>3261</v>
      </c>
      <c r="P3348" s="2" t="s">
        <v>283</v>
      </c>
      <c r="Q3348" s="2" t="s">
        <v>1254</v>
      </c>
      <c r="R3348" s="2" t="s">
        <v>1255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10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407"/>
        <v>0</v>
      </c>
      <c r="AG3348" s="2">
        <v>1239</v>
      </c>
      <c r="AH3348" s="2">
        <v>2950</v>
      </c>
      <c r="AJ3348" s="2">
        <f t="shared" si="408"/>
        <v>0</v>
      </c>
      <c r="AK3348" s="2">
        <f t="shared" si="404"/>
        <v>261</v>
      </c>
      <c r="AL3348" s="5">
        <f t="shared" si="409"/>
        <v>0.17399999999999999</v>
      </c>
    </row>
    <row r="3349" spans="1:38" hidden="1" x14ac:dyDescent="0.2">
      <c r="A3349" s="2">
        <v>2026</v>
      </c>
      <c r="B3349" s="2">
        <v>3</v>
      </c>
      <c r="D3349" s="2" t="s">
        <v>2673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1558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12">14.5099*S3349</f>
        <v>145.09899999999999</v>
      </c>
      <c r="X3349" s="5">
        <f t="shared" si="410"/>
        <v>0.27450500000000005</v>
      </c>
      <c r="Z3349" s="2" t="s">
        <v>3231</v>
      </c>
      <c r="AA3349" s="2" t="s">
        <v>46</v>
      </c>
      <c r="AB3349" s="2" t="s">
        <v>61</v>
      </c>
      <c r="AC3349" s="2" t="s">
        <v>3336</v>
      </c>
      <c r="AF3349" s="2">
        <f t="shared" si="407"/>
        <v>0</v>
      </c>
      <c r="AJ3349" s="2">
        <f t="shared" si="408"/>
        <v>0</v>
      </c>
      <c r="AK3349" s="2">
        <f t="shared" si="404"/>
        <v>54.90100000000001</v>
      </c>
      <c r="AL3349" s="5">
        <f t="shared" si="409"/>
        <v>0.27450500000000005</v>
      </c>
    </row>
    <row r="3350" spans="1:38" hidden="1" x14ac:dyDescent="0.2">
      <c r="A3350" s="2">
        <v>2026</v>
      </c>
      <c r="B3350" s="2">
        <v>3</v>
      </c>
      <c r="D3350" s="2" t="s">
        <v>1357</v>
      </c>
      <c r="E3350" s="2" t="s">
        <v>753</v>
      </c>
      <c r="F3350" s="2" t="s">
        <v>39</v>
      </c>
      <c r="G3350" s="2">
        <v>518238334</v>
      </c>
      <c r="H3350" s="2" t="s">
        <v>41</v>
      </c>
      <c r="I3350" s="2" t="s">
        <v>763</v>
      </c>
      <c r="J3350" s="2" t="s">
        <v>1358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12"/>
        <v>145.09899999999999</v>
      </c>
      <c r="X3350" s="5">
        <f t="shared" si="410"/>
        <v>0.27450500000000005</v>
      </c>
      <c r="Z3350" s="2" t="s">
        <v>3231</v>
      </c>
      <c r="AA3350" s="2" t="s">
        <v>46</v>
      </c>
      <c r="AB3350" s="2" t="s">
        <v>61</v>
      </c>
      <c r="AC3350" s="2" t="s">
        <v>3336</v>
      </c>
      <c r="AF3350" s="2">
        <f t="shared" si="407"/>
        <v>0</v>
      </c>
      <c r="AJ3350" s="2">
        <f t="shared" si="408"/>
        <v>0</v>
      </c>
      <c r="AK3350" s="2">
        <f t="shared" si="404"/>
        <v>54.90100000000001</v>
      </c>
      <c r="AL3350" s="5">
        <f t="shared" si="409"/>
        <v>0.27450500000000005</v>
      </c>
    </row>
    <row r="3351" spans="1:38" hidden="1" x14ac:dyDescent="0.2">
      <c r="A3351" s="2">
        <v>2026</v>
      </c>
      <c r="B3351" s="2">
        <v>3</v>
      </c>
      <c r="D3351" s="2" t="s">
        <v>1008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12"/>
        <v>145.09899999999999</v>
      </c>
      <c r="X3351" s="5">
        <f t="shared" si="410"/>
        <v>0.27450500000000005</v>
      </c>
      <c r="Z3351" s="2" t="s">
        <v>3231</v>
      </c>
      <c r="AA3351" s="2" t="s">
        <v>46</v>
      </c>
      <c r="AB3351" s="2" t="s">
        <v>61</v>
      </c>
      <c r="AC3351" s="2" t="s">
        <v>3336</v>
      </c>
      <c r="AF3351" s="2">
        <f t="shared" si="407"/>
        <v>0</v>
      </c>
      <c r="AJ3351" s="2">
        <f t="shared" si="408"/>
        <v>0</v>
      </c>
      <c r="AK3351" s="2">
        <f t="shared" si="404"/>
        <v>54.90100000000001</v>
      </c>
      <c r="AL3351" s="5">
        <f t="shared" si="409"/>
        <v>0.27450500000000005</v>
      </c>
    </row>
    <row r="3352" spans="1:38" hidden="1" x14ac:dyDescent="0.2">
      <c r="A3352" s="2">
        <v>2026</v>
      </c>
      <c r="B3352" s="2">
        <v>3</v>
      </c>
      <c r="D3352" s="2" t="s">
        <v>1557</v>
      </c>
      <c r="E3352" s="2" t="s">
        <v>109</v>
      </c>
      <c r="F3352" s="2" t="s">
        <v>718</v>
      </c>
      <c r="G3352" s="2">
        <v>500975914</v>
      </c>
      <c r="H3352" s="2" t="s">
        <v>41</v>
      </c>
      <c r="I3352" s="2" t="s">
        <v>1558</v>
      </c>
      <c r="J3352" s="2" t="s">
        <v>1559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12"/>
        <v>290.19799999999998</v>
      </c>
      <c r="X3352" s="5">
        <f t="shared" si="410"/>
        <v>0.27450500000000005</v>
      </c>
      <c r="Z3352" s="2" t="s">
        <v>3231</v>
      </c>
      <c r="AA3352" s="2" t="s">
        <v>46</v>
      </c>
      <c r="AB3352" s="2" t="s">
        <v>61</v>
      </c>
      <c r="AC3352" s="2" t="s">
        <v>3336</v>
      </c>
      <c r="AF3352" s="2">
        <f t="shared" si="407"/>
        <v>0</v>
      </c>
      <c r="AJ3352" s="2">
        <f t="shared" si="408"/>
        <v>0</v>
      </c>
      <c r="AK3352" s="2">
        <f t="shared" si="404"/>
        <v>109.80200000000002</v>
      </c>
      <c r="AL3352" s="5">
        <f t="shared" si="409"/>
        <v>0.27450500000000005</v>
      </c>
    </row>
    <row r="3353" spans="1:38" hidden="1" x14ac:dyDescent="0.2">
      <c r="A3353" s="2">
        <v>2026</v>
      </c>
      <c r="B3353" s="2">
        <v>3</v>
      </c>
      <c r="D3353" s="2" t="s">
        <v>2673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1558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12"/>
        <v>145.09899999999999</v>
      </c>
      <c r="X3353" s="5">
        <f t="shared" si="410"/>
        <v>0.27450500000000005</v>
      </c>
      <c r="Z3353" s="2" t="s">
        <v>3231</v>
      </c>
      <c r="AA3353" s="2" t="s">
        <v>46</v>
      </c>
      <c r="AB3353" s="2" t="s">
        <v>61</v>
      </c>
      <c r="AC3353" s="2" t="s">
        <v>3336</v>
      </c>
      <c r="AF3353" s="2">
        <f t="shared" si="407"/>
        <v>0</v>
      </c>
      <c r="AJ3353" s="2">
        <f t="shared" si="408"/>
        <v>0</v>
      </c>
      <c r="AK3353" s="2">
        <f t="shared" si="404"/>
        <v>54.90100000000001</v>
      </c>
      <c r="AL3353" s="5">
        <f t="shared" si="409"/>
        <v>0.27450500000000005</v>
      </c>
    </row>
    <row r="3354" spans="1:38" hidden="1" x14ac:dyDescent="0.2">
      <c r="A3354" s="2">
        <v>2026</v>
      </c>
      <c r="B3354" s="2">
        <v>3</v>
      </c>
      <c r="D3354" s="2" t="s">
        <v>1357</v>
      </c>
      <c r="E3354" s="2" t="s">
        <v>753</v>
      </c>
      <c r="F3354" s="2" t="s">
        <v>39</v>
      </c>
      <c r="G3354" s="2">
        <v>518238334</v>
      </c>
      <c r="H3354" s="2" t="s">
        <v>41</v>
      </c>
      <c r="I3354" s="2" t="s">
        <v>763</v>
      </c>
      <c r="J3354" s="2" t="s">
        <v>1358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12"/>
        <v>145.09899999999999</v>
      </c>
      <c r="X3354" s="5">
        <f t="shared" si="410"/>
        <v>0.27450500000000005</v>
      </c>
      <c r="Z3354" s="2" t="s">
        <v>3231</v>
      </c>
      <c r="AA3354" s="2" t="s">
        <v>46</v>
      </c>
      <c r="AB3354" s="2" t="s">
        <v>61</v>
      </c>
      <c r="AC3354" s="2" t="s">
        <v>3336</v>
      </c>
      <c r="AF3354" s="2">
        <f t="shared" si="407"/>
        <v>0</v>
      </c>
      <c r="AJ3354" s="2">
        <f t="shared" si="408"/>
        <v>0</v>
      </c>
      <c r="AK3354" s="2">
        <f t="shared" si="404"/>
        <v>54.90100000000001</v>
      </c>
      <c r="AL3354" s="5">
        <f t="shared" si="409"/>
        <v>0.27450500000000005</v>
      </c>
    </row>
    <row r="3355" spans="1:38" hidden="1" x14ac:dyDescent="0.2">
      <c r="A3355" s="2">
        <v>2026</v>
      </c>
      <c r="B3355" s="2">
        <v>3</v>
      </c>
      <c r="D3355" s="2" t="s">
        <v>1008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12"/>
        <v>145.09899999999999</v>
      </c>
      <c r="X3355" s="5">
        <f t="shared" si="410"/>
        <v>0.27450500000000005</v>
      </c>
      <c r="Z3355" s="2" t="s">
        <v>3231</v>
      </c>
      <c r="AA3355" s="2" t="s">
        <v>46</v>
      </c>
      <c r="AB3355" s="2" t="s">
        <v>61</v>
      </c>
      <c r="AC3355" s="2" t="s">
        <v>3336</v>
      </c>
      <c r="AF3355" s="2">
        <f t="shared" si="407"/>
        <v>0</v>
      </c>
      <c r="AJ3355" s="2">
        <f t="shared" si="408"/>
        <v>0</v>
      </c>
      <c r="AK3355" s="2">
        <f t="shared" si="404"/>
        <v>54.90100000000001</v>
      </c>
      <c r="AL3355" s="5">
        <f t="shared" si="409"/>
        <v>0.27450500000000005</v>
      </c>
    </row>
    <row r="3356" spans="1:38" hidden="1" x14ac:dyDescent="0.2">
      <c r="A3356" s="2">
        <v>2026</v>
      </c>
      <c r="B3356" s="2">
        <v>3</v>
      </c>
      <c r="D3356" s="2" t="s">
        <v>1557</v>
      </c>
      <c r="E3356" s="2" t="s">
        <v>109</v>
      </c>
      <c r="F3356" s="2" t="s">
        <v>718</v>
      </c>
      <c r="G3356" s="2">
        <v>500975914</v>
      </c>
      <c r="H3356" s="2" t="s">
        <v>41</v>
      </c>
      <c r="I3356" s="2" t="s">
        <v>1558</v>
      </c>
      <c r="J3356" s="2" t="s">
        <v>1559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12"/>
        <v>290.19799999999998</v>
      </c>
      <c r="X3356" s="5">
        <f t="shared" si="410"/>
        <v>0.27450500000000005</v>
      </c>
      <c r="Z3356" s="2" t="s">
        <v>3231</v>
      </c>
      <c r="AA3356" s="2" t="s">
        <v>46</v>
      </c>
      <c r="AB3356" s="2" t="s">
        <v>61</v>
      </c>
      <c r="AC3356" s="2" t="s">
        <v>3336</v>
      </c>
      <c r="AF3356" s="2">
        <f t="shared" si="407"/>
        <v>0</v>
      </c>
      <c r="AJ3356" s="2">
        <f t="shared" si="408"/>
        <v>0</v>
      </c>
      <c r="AK3356" s="2">
        <f t="shared" si="404"/>
        <v>109.80200000000002</v>
      </c>
      <c r="AL3356" s="5">
        <f t="shared" si="409"/>
        <v>0.27450500000000005</v>
      </c>
    </row>
    <row r="3357" spans="1:38" hidden="1" x14ac:dyDescent="0.2">
      <c r="A3357" s="2">
        <v>2026</v>
      </c>
      <c r="B3357" s="2">
        <v>3</v>
      </c>
      <c r="D3357" s="2" t="s">
        <v>2520</v>
      </c>
      <c r="E3357" s="2" t="s">
        <v>753</v>
      </c>
      <c r="F3357" s="2" t="s">
        <v>39</v>
      </c>
      <c r="G3357" s="2">
        <v>515570354</v>
      </c>
      <c r="H3357" s="2" t="s">
        <v>110</v>
      </c>
      <c r="I3357" s="2" t="s">
        <v>2521</v>
      </c>
      <c r="J3357" s="2" t="s">
        <v>2522</v>
      </c>
      <c r="K3357" s="2">
        <v>967032538</v>
      </c>
      <c r="L3357" s="2" t="s">
        <v>399</v>
      </c>
      <c r="M3357" s="2" t="s">
        <v>110</v>
      </c>
      <c r="O3357" s="2" t="s">
        <v>2643</v>
      </c>
      <c r="P3357" s="2" t="s">
        <v>43</v>
      </c>
      <c r="Q3357" s="2" t="s">
        <v>1106</v>
      </c>
      <c r="R3357" s="2" t="s">
        <v>1107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10"/>
        <v>0.52380952380952384</v>
      </c>
      <c r="Z3357" s="2" t="s">
        <v>3231</v>
      </c>
      <c r="AA3357" s="2" t="s">
        <v>46</v>
      </c>
      <c r="AB3357" s="2" t="s">
        <v>47</v>
      </c>
      <c r="AC3357" s="2" t="s">
        <v>48</v>
      </c>
      <c r="AF3357" s="2">
        <f t="shared" si="407"/>
        <v>0</v>
      </c>
      <c r="AG3357" s="2">
        <v>10</v>
      </c>
      <c r="AH3357" s="2">
        <v>21</v>
      </c>
      <c r="AJ3357" s="2">
        <f t="shared" si="408"/>
        <v>0</v>
      </c>
      <c r="AK3357" s="2">
        <f t="shared" si="404"/>
        <v>11</v>
      </c>
      <c r="AL3357" s="5">
        <f t="shared" si="409"/>
        <v>0.52380952380952384</v>
      </c>
    </row>
    <row r="3358" spans="1:38" hidden="1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10"/>
        <v>0.49025384615384621</v>
      </c>
      <c r="Z3358" s="2" t="s">
        <v>3231</v>
      </c>
      <c r="AA3358" s="2" t="s">
        <v>46</v>
      </c>
      <c r="AB3358" s="2" t="s">
        <v>47</v>
      </c>
      <c r="AC3358" s="2" t="s">
        <v>48</v>
      </c>
      <c r="AF3358" s="2">
        <f t="shared" si="407"/>
        <v>0</v>
      </c>
      <c r="AG3358" s="2">
        <v>6.6266999999999996</v>
      </c>
      <c r="AH3358" s="2">
        <v>12</v>
      </c>
      <c r="AJ3358" s="2">
        <f t="shared" si="408"/>
        <v>0</v>
      </c>
      <c r="AK3358" s="2">
        <f t="shared" si="404"/>
        <v>12.746600000000001</v>
      </c>
      <c r="AL3358" s="5">
        <f t="shared" si="409"/>
        <v>0.49025384615384621</v>
      </c>
    </row>
    <row r="3359" spans="1:38" hidden="1" x14ac:dyDescent="0.2">
      <c r="A3359" s="2">
        <v>2026</v>
      </c>
      <c r="B3359" s="2">
        <v>3</v>
      </c>
      <c r="D3359" s="2" t="s">
        <v>2520</v>
      </c>
      <c r="E3359" s="2" t="s">
        <v>753</v>
      </c>
      <c r="F3359" s="2" t="s">
        <v>39</v>
      </c>
      <c r="G3359" s="2">
        <v>515570354</v>
      </c>
      <c r="H3359" s="2" t="s">
        <v>110</v>
      </c>
      <c r="I3359" s="2" t="s">
        <v>2521</v>
      </c>
      <c r="J3359" s="2" t="s">
        <v>2522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10"/>
        <v>0.44777500000000003</v>
      </c>
      <c r="Z3359" s="2" t="s">
        <v>3231</v>
      </c>
      <c r="AA3359" s="2" t="s">
        <v>46</v>
      </c>
      <c r="AB3359" s="2" t="s">
        <v>47</v>
      </c>
      <c r="AC3359" s="2" t="s">
        <v>48</v>
      </c>
      <c r="AF3359" s="2">
        <f t="shared" si="407"/>
        <v>0</v>
      </c>
      <c r="AG3359" s="2">
        <v>6.6266999999999996</v>
      </c>
      <c r="AH3359" s="2">
        <v>12</v>
      </c>
      <c r="AJ3359" s="2">
        <f t="shared" si="408"/>
        <v>0</v>
      </c>
      <c r="AK3359" s="2">
        <f t="shared" si="404"/>
        <v>5.3733000000000004</v>
      </c>
      <c r="AL3359" s="5">
        <f t="shared" si="409"/>
        <v>0.44777500000000003</v>
      </c>
    </row>
    <row r="3360" spans="1:38" hidden="1" x14ac:dyDescent="0.2">
      <c r="A3360" s="2">
        <v>2026</v>
      </c>
      <c r="B3360" s="2">
        <v>3</v>
      </c>
      <c r="D3360" s="2" t="s">
        <v>1010</v>
      </c>
      <c r="E3360" s="2" t="s">
        <v>109</v>
      </c>
      <c r="F3360" s="2" t="s">
        <v>39</v>
      </c>
      <c r="L3360" s="2" t="s">
        <v>419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10"/>
        <v>0.49025384615384621</v>
      </c>
      <c r="Z3360" s="2" t="s">
        <v>3231</v>
      </c>
      <c r="AA3360" s="2" t="s">
        <v>46</v>
      </c>
      <c r="AB3360" s="2" t="s">
        <v>47</v>
      </c>
      <c r="AC3360" s="2" t="s">
        <v>48</v>
      </c>
      <c r="AF3360" s="2">
        <f t="shared" si="407"/>
        <v>0</v>
      </c>
      <c r="AG3360" s="2">
        <v>6.6266999999999996</v>
      </c>
      <c r="AH3360" s="2">
        <v>12</v>
      </c>
      <c r="AJ3360" s="2">
        <f t="shared" si="408"/>
        <v>0</v>
      </c>
      <c r="AK3360" s="2">
        <f t="shared" si="404"/>
        <v>6.3733000000000004</v>
      </c>
      <c r="AL3360" s="5">
        <f t="shared" si="409"/>
        <v>0.49025384615384621</v>
      </c>
    </row>
    <row r="3361" spans="1:38" hidden="1" x14ac:dyDescent="0.2">
      <c r="A3361" s="2">
        <v>2026</v>
      </c>
      <c r="B3361" s="2">
        <v>3</v>
      </c>
      <c r="D3361" s="2" t="s">
        <v>845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846</v>
      </c>
      <c r="L3361" s="2" t="s">
        <v>419</v>
      </c>
      <c r="M3361" s="2" t="s">
        <v>41</v>
      </c>
      <c r="O3361" s="2" t="s">
        <v>2674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10"/>
        <v>0.49025384615384621</v>
      </c>
      <c r="Z3361" s="2" t="s">
        <v>3231</v>
      </c>
      <c r="AA3361" s="2" t="s">
        <v>46</v>
      </c>
      <c r="AB3361" s="2" t="s">
        <v>47</v>
      </c>
      <c r="AC3361" s="2" t="s">
        <v>48</v>
      </c>
      <c r="AF3361" s="2">
        <f t="shared" si="407"/>
        <v>0</v>
      </c>
      <c r="AG3361" s="2">
        <v>6.6266999999999996</v>
      </c>
      <c r="AH3361" s="2">
        <v>12</v>
      </c>
      <c r="AJ3361" s="2">
        <f t="shared" si="408"/>
        <v>0</v>
      </c>
      <c r="AK3361" s="2">
        <f t="shared" si="404"/>
        <v>6.3733000000000004</v>
      </c>
      <c r="AL3361" s="5">
        <f t="shared" si="409"/>
        <v>0.49025384615384621</v>
      </c>
    </row>
    <row r="3362" spans="1:38" hidden="1" x14ac:dyDescent="0.2">
      <c r="A3362" s="2">
        <v>2026</v>
      </c>
      <c r="B3362" s="2">
        <v>4</v>
      </c>
      <c r="D3362" s="2" t="s">
        <v>690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691</v>
      </c>
      <c r="K3362" s="2">
        <v>913036545</v>
      </c>
      <c r="L3362" s="2" t="s">
        <v>178</v>
      </c>
      <c r="M3362" s="2" t="s">
        <v>41</v>
      </c>
      <c r="O3362" s="2" t="s">
        <v>2617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10"/>
        <v>0.31428571428571428</v>
      </c>
      <c r="Z3362" s="2" t="s">
        <v>3231</v>
      </c>
      <c r="AA3362" s="2" t="s">
        <v>46</v>
      </c>
      <c r="AB3362" s="2" t="s">
        <v>47</v>
      </c>
      <c r="AC3362" s="2" t="s">
        <v>48</v>
      </c>
      <c r="AF3362" s="2">
        <f t="shared" si="407"/>
        <v>0</v>
      </c>
      <c r="AG3362" s="2">
        <v>14.4</v>
      </c>
      <c r="AH3362" s="2">
        <v>21</v>
      </c>
      <c r="AJ3362" s="2">
        <f t="shared" si="408"/>
        <v>0</v>
      </c>
      <c r="AK3362" s="2">
        <f t="shared" si="404"/>
        <v>13.2</v>
      </c>
      <c r="AL3362" s="5">
        <f t="shared" si="409"/>
        <v>0.31428571428571428</v>
      </c>
    </row>
    <row r="3363" spans="1:38" hidden="1" x14ac:dyDescent="0.2">
      <c r="A3363" s="2">
        <v>2026</v>
      </c>
      <c r="B3363" s="2">
        <v>3</v>
      </c>
      <c r="D3363" s="2" t="s">
        <v>866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2675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10"/>
        <v>0.44777500000000003</v>
      </c>
      <c r="Z3363" s="2" t="s">
        <v>3231</v>
      </c>
      <c r="AA3363" s="2" t="s">
        <v>46</v>
      </c>
      <c r="AB3363" s="2" t="s">
        <v>47</v>
      </c>
      <c r="AC3363" s="2" t="s">
        <v>48</v>
      </c>
      <c r="AF3363" s="2">
        <f t="shared" si="407"/>
        <v>0</v>
      </c>
      <c r="AG3363" s="2">
        <v>6.6266999999999996</v>
      </c>
      <c r="AH3363" s="2">
        <v>12</v>
      </c>
      <c r="AJ3363" s="2">
        <f t="shared" si="408"/>
        <v>0</v>
      </c>
      <c r="AK3363" s="2">
        <f t="shared" si="404"/>
        <v>5.3733000000000004</v>
      </c>
      <c r="AL3363" s="5">
        <f t="shared" si="409"/>
        <v>0.44777500000000003</v>
      </c>
    </row>
    <row r="3364" spans="1:38" hidden="1" x14ac:dyDescent="0.2">
      <c r="A3364" s="2">
        <v>2026</v>
      </c>
      <c r="B3364" s="2">
        <v>3</v>
      </c>
      <c r="D3364" s="2" t="s">
        <v>1094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2676</v>
      </c>
      <c r="J3364" s="2" t="s">
        <v>2677</v>
      </c>
      <c r="K3364" s="2">
        <v>962939747</v>
      </c>
      <c r="L3364" s="2" t="s">
        <v>100</v>
      </c>
      <c r="M3364" s="2" t="s">
        <v>41</v>
      </c>
      <c r="O3364" s="2" t="s">
        <v>2678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10"/>
        <v>0.3975727272727273</v>
      </c>
      <c r="Z3364" s="2" t="s">
        <v>3231</v>
      </c>
      <c r="AA3364" s="2" t="s">
        <v>46</v>
      </c>
      <c r="AB3364" s="2" t="s">
        <v>47</v>
      </c>
      <c r="AC3364" s="2" t="s">
        <v>48</v>
      </c>
      <c r="AF3364" s="2">
        <f t="shared" si="407"/>
        <v>0</v>
      </c>
      <c r="AG3364" s="2">
        <v>6.6266999999999996</v>
      </c>
      <c r="AH3364" s="2">
        <v>12</v>
      </c>
      <c r="AJ3364" s="2">
        <f t="shared" si="408"/>
        <v>0</v>
      </c>
      <c r="AK3364" s="2">
        <f t="shared" si="404"/>
        <v>43.733000000000004</v>
      </c>
      <c r="AL3364" s="5">
        <f t="shared" si="409"/>
        <v>0.3975727272727273</v>
      </c>
    </row>
    <row r="3365" spans="1:38" hidden="1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2679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3231</v>
      </c>
      <c r="AA3365" s="2" t="s">
        <v>46</v>
      </c>
      <c r="AB3365" s="2" t="s">
        <v>47</v>
      </c>
      <c r="AC3365" s="2" t="s">
        <v>48</v>
      </c>
      <c r="AF3365" s="2">
        <f t="shared" si="407"/>
        <v>0</v>
      </c>
      <c r="AG3365" s="2">
        <v>6.6266999999999996</v>
      </c>
      <c r="AH3365" s="2">
        <v>12</v>
      </c>
      <c r="AJ3365" s="2">
        <f t="shared" si="408"/>
        <v>0</v>
      </c>
      <c r="AK3365" s="2">
        <f t="shared" si="404"/>
        <v>-13.253399999999999</v>
      </c>
      <c r="AL3365" s="18">
        <f>IF(T3365=0,IF(W3365&gt;0,-100%,0%),(T3365-W3365)/T3365)</f>
        <v>-1</v>
      </c>
    </row>
    <row r="3366" spans="1:38" hidden="1" x14ac:dyDescent="0.2">
      <c r="A3366" s="2">
        <v>2026</v>
      </c>
      <c r="B3366" s="2">
        <v>3</v>
      </c>
      <c r="D3366" s="2" t="s">
        <v>1314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1315</v>
      </c>
      <c r="L3366" s="2" t="s">
        <v>178</v>
      </c>
      <c r="M3366" s="2" t="s">
        <v>41</v>
      </c>
      <c r="O3366" s="2" t="s">
        <v>2680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13">(T3366-W3366)/T3366</f>
        <v>0.68624999999999992</v>
      </c>
      <c r="Z3366" s="2" t="s">
        <v>3231</v>
      </c>
      <c r="AA3366" s="2" t="s">
        <v>46</v>
      </c>
      <c r="AB3366" s="2" t="s">
        <v>47</v>
      </c>
      <c r="AC3366" s="2" t="s">
        <v>48</v>
      </c>
      <c r="AF3366" s="2">
        <f t="shared" si="407"/>
        <v>0</v>
      </c>
      <c r="AG3366" s="2">
        <v>11.76</v>
      </c>
      <c r="AH3366" s="2">
        <v>36</v>
      </c>
      <c r="AJ3366" s="2">
        <f t="shared" si="408"/>
        <v>0</v>
      </c>
      <c r="AK3366" s="2">
        <f t="shared" si="404"/>
        <v>24.704999999999998</v>
      </c>
      <c r="AL3366" s="5">
        <f t="shared" ref="AL3366:AL3373" si="414">(T3366-W3366)/T3366</f>
        <v>0.68624999999999992</v>
      </c>
    </row>
    <row r="3367" spans="1:38" hidden="1" x14ac:dyDescent="0.2">
      <c r="A3367" s="2">
        <v>2026</v>
      </c>
      <c r="B3367" s="2">
        <v>3</v>
      </c>
      <c r="D3367" s="2" t="s">
        <v>814</v>
      </c>
      <c r="E3367" s="2" t="s">
        <v>38</v>
      </c>
      <c r="F3367" s="2" t="s">
        <v>39</v>
      </c>
      <c r="G3367" s="2" t="s">
        <v>815</v>
      </c>
      <c r="H3367" s="2" t="s">
        <v>41</v>
      </c>
      <c r="I3367" s="2" t="s">
        <v>627</v>
      </c>
      <c r="L3367" s="2" t="s">
        <v>627</v>
      </c>
      <c r="M3367" s="2" t="s">
        <v>41</v>
      </c>
      <c r="O3367" s="2" t="s">
        <v>2681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13"/>
        <v>0.31428571428571428</v>
      </c>
      <c r="Z3367" s="2" t="s">
        <v>3231</v>
      </c>
      <c r="AA3367" s="2" t="s">
        <v>46</v>
      </c>
      <c r="AB3367" s="2" t="s">
        <v>47</v>
      </c>
      <c r="AC3367" s="2" t="s">
        <v>48</v>
      </c>
      <c r="AF3367" s="2">
        <f t="shared" si="407"/>
        <v>0</v>
      </c>
      <c r="AG3367" s="2">
        <v>14.4</v>
      </c>
      <c r="AH3367" s="2">
        <v>21</v>
      </c>
      <c r="AJ3367" s="2">
        <f t="shared" si="408"/>
        <v>0</v>
      </c>
      <c r="AK3367" s="2">
        <f t="shared" si="404"/>
        <v>6.6</v>
      </c>
      <c r="AL3367" s="5">
        <f t="shared" si="414"/>
        <v>0.31428571428571428</v>
      </c>
    </row>
    <row r="3368" spans="1:38" hidden="1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13"/>
        <v>0.58491111111111116</v>
      </c>
      <c r="Z3368" s="2" t="s">
        <v>3231</v>
      </c>
      <c r="AA3368" s="2" t="s">
        <v>46</v>
      </c>
      <c r="AB3368" s="2" t="s">
        <v>47</v>
      </c>
      <c r="AC3368" s="2" t="s">
        <v>48</v>
      </c>
      <c r="AF3368" s="2">
        <f t="shared" si="407"/>
        <v>0</v>
      </c>
      <c r="AG3368" s="2">
        <v>3.7357999999999998</v>
      </c>
      <c r="AH3368" s="2">
        <v>9</v>
      </c>
      <c r="AJ3368" s="2">
        <f t="shared" si="408"/>
        <v>0</v>
      </c>
      <c r="AK3368" s="2">
        <f t="shared" si="404"/>
        <v>5.2642000000000007</v>
      </c>
      <c r="AL3368" s="5">
        <f t="shared" si="414"/>
        <v>0.58491111111111116</v>
      </c>
    </row>
    <row r="3369" spans="1:38" hidden="1" x14ac:dyDescent="0.2">
      <c r="A3369" s="2">
        <v>2026</v>
      </c>
      <c r="B3369" s="2">
        <v>3</v>
      </c>
      <c r="D3369" s="2" t="s">
        <v>814</v>
      </c>
      <c r="E3369" s="2" t="s">
        <v>38</v>
      </c>
      <c r="F3369" s="2" t="s">
        <v>39</v>
      </c>
      <c r="G3369" s="2" t="s">
        <v>815</v>
      </c>
      <c r="H3369" s="2" t="s">
        <v>41</v>
      </c>
      <c r="I3369" s="2" t="s">
        <v>627</v>
      </c>
      <c r="L3369" s="2" t="s">
        <v>627</v>
      </c>
      <c r="M3369" s="2" t="s">
        <v>41</v>
      </c>
      <c r="O3369" s="2" t="s">
        <v>2681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13"/>
        <v>0.58491111111111116</v>
      </c>
      <c r="Z3369" s="2" t="s">
        <v>3231</v>
      </c>
      <c r="AA3369" s="2" t="s">
        <v>46</v>
      </c>
      <c r="AB3369" s="2" t="s">
        <v>47</v>
      </c>
      <c r="AC3369" s="2" t="s">
        <v>48</v>
      </c>
      <c r="AF3369" s="2">
        <f t="shared" si="407"/>
        <v>0</v>
      </c>
      <c r="AG3369" s="2">
        <v>3.7357999999999998</v>
      </c>
      <c r="AH3369" s="2">
        <v>9</v>
      </c>
      <c r="AJ3369" s="2">
        <f t="shared" si="408"/>
        <v>0</v>
      </c>
      <c r="AK3369" s="2">
        <f t="shared" si="404"/>
        <v>5.2642000000000007</v>
      </c>
      <c r="AL3369" s="5">
        <f t="shared" si="414"/>
        <v>0.58491111111111116</v>
      </c>
    </row>
    <row r="3370" spans="1:38" hidden="1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3180</v>
      </c>
      <c r="K3370" s="2">
        <v>911577458</v>
      </c>
      <c r="L3370" s="2" t="s">
        <v>178</v>
      </c>
      <c r="M3370" s="2" t="s">
        <v>41</v>
      </c>
      <c r="O3370" s="2" t="s">
        <v>3184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13"/>
        <v>0.58491111111111116</v>
      </c>
      <c r="Z3370" s="2" t="s">
        <v>3231</v>
      </c>
      <c r="AA3370" s="2" t="s">
        <v>46</v>
      </c>
      <c r="AB3370" s="2" t="s">
        <v>47</v>
      </c>
      <c r="AC3370" s="2" t="s">
        <v>48</v>
      </c>
      <c r="AF3370" s="2">
        <f t="shared" si="407"/>
        <v>0</v>
      </c>
      <c r="AG3370" s="2">
        <v>3.7357999999999998</v>
      </c>
      <c r="AH3370" s="2">
        <v>9</v>
      </c>
      <c r="AJ3370" s="2">
        <f t="shared" si="408"/>
        <v>0</v>
      </c>
      <c r="AK3370" s="2">
        <f t="shared" si="404"/>
        <v>10.528400000000001</v>
      </c>
      <c r="AL3370" s="5">
        <f t="shared" si="414"/>
        <v>0.58491111111111116</v>
      </c>
    </row>
    <row r="3371" spans="1:38" hidden="1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13"/>
        <v>0.58491111111111116</v>
      </c>
      <c r="Z3371" s="2" t="s">
        <v>3231</v>
      </c>
      <c r="AA3371" s="2" t="s">
        <v>46</v>
      </c>
      <c r="AB3371" s="2" t="s">
        <v>47</v>
      </c>
      <c r="AC3371" s="2" t="s">
        <v>48</v>
      </c>
      <c r="AF3371" s="2">
        <f t="shared" si="407"/>
        <v>0</v>
      </c>
      <c r="AG3371" s="2">
        <v>3.7357999999999998</v>
      </c>
      <c r="AH3371" s="2">
        <v>9</v>
      </c>
      <c r="AJ3371" s="2">
        <f t="shared" si="408"/>
        <v>0</v>
      </c>
      <c r="AK3371" s="2">
        <f t="shared" si="404"/>
        <v>5.2642000000000007</v>
      </c>
      <c r="AL3371" s="5">
        <f t="shared" si="414"/>
        <v>0.58491111111111116</v>
      </c>
    </row>
    <row r="3372" spans="1:38" hidden="1" x14ac:dyDescent="0.2">
      <c r="A3372" s="2">
        <v>2026</v>
      </c>
      <c r="B3372" s="2">
        <v>3</v>
      </c>
      <c r="D3372" s="2" t="s">
        <v>2520</v>
      </c>
      <c r="E3372" s="2" t="s">
        <v>753</v>
      </c>
      <c r="F3372" s="2" t="s">
        <v>39</v>
      </c>
      <c r="G3372" s="2">
        <v>515570354</v>
      </c>
      <c r="H3372" s="2" t="s">
        <v>110</v>
      </c>
      <c r="I3372" s="2" t="s">
        <v>2521</v>
      </c>
      <c r="J3372" s="2" t="s">
        <v>2522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13"/>
        <v>0.50950925925925927</v>
      </c>
      <c r="Z3372" s="2" t="s">
        <v>3231</v>
      </c>
      <c r="AA3372" s="2" t="s">
        <v>46</v>
      </c>
      <c r="AB3372" s="2" t="s">
        <v>47</v>
      </c>
      <c r="AC3372" s="2" t="s">
        <v>48</v>
      </c>
      <c r="AF3372" s="2">
        <f t="shared" si="407"/>
        <v>0</v>
      </c>
      <c r="AG3372" s="2">
        <v>5.2972999999999999</v>
      </c>
      <c r="AH3372" s="2">
        <v>10.8</v>
      </c>
      <c r="AJ3372" s="2">
        <f t="shared" si="408"/>
        <v>0</v>
      </c>
      <c r="AK3372" s="2">
        <f t="shared" si="404"/>
        <v>5.5027000000000008</v>
      </c>
      <c r="AL3372" s="5">
        <f t="shared" si="414"/>
        <v>0.50950925925925927</v>
      </c>
    </row>
    <row r="3373" spans="1:38" hidden="1" x14ac:dyDescent="0.2">
      <c r="A3373" s="2">
        <v>2026</v>
      </c>
      <c r="B3373" s="2">
        <v>3</v>
      </c>
      <c r="D3373" s="2" t="s">
        <v>866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2682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13"/>
        <v>0.50950925925925927</v>
      </c>
      <c r="Z3373" s="2" t="s">
        <v>3231</v>
      </c>
      <c r="AA3373" s="2" t="s">
        <v>46</v>
      </c>
      <c r="AB3373" s="2" t="s">
        <v>47</v>
      </c>
      <c r="AC3373" s="2" t="s">
        <v>48</v>
      </c>
      <c r="AF3373" s="2">
        <f t="shared" si="407"/>
        <v>0</v>
      </c>
      <c r="AG3373" s="2">
        <v>5.2972999999999999</v>
      </c>
      <c r="AH3373" s="2">
        <v>10.8</v>
      </c>
      <c r="AJ3373" s="2">
        <f t="shared" si="408"/>
        <v>0</v>
      </c>
      <c r="AK3373" s="2">
        <f t="shared" si="404"/>
        <v>5.5027000000000008</v>
      </c>
      <c r="AL3373" s="5">
        <f t="shared" si="414"/>
        <v>0.50950925925925927</v>
      </c>
    </row>
    <row r="3374" spans="1:38" hidden="1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2679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3231</v>
      </c>
      <c r="AA3374" s="2" t="s">
        <v>46</v>
      </c>
      <c r="AB3374" s="2" t="s">
        <v>47</v>
      </c>
      <c r="AC3374" s="2" t="s">
        <v>48</v>
      </c>
      <c r="AF3374" s="2">
        <f t="shared" si="407"/>
        <v>0</v>
      </c>
      <c r="AG3374" s="2">
        <v>5.2972999999999999</v>
      </c>
      <c r="AH3374" s="2">
        <v>10.8</v>
      </c>
      <c r="AJ3374" s="2">
        <f t="shared" si="408"/>
        <v>0</v>
      </c>
      <c r="AK3374" s="2">
        <f t="shared" si="404"/>
        <v>-5.2972999999999999</v>
      </c>
      <c r="AL3374" s="18">
        <f>IF(T3374=0,IF(W3374&gt;0,-100%,0%),(T3374-W3374)/T3374)</f>
        <v>-1</v>
      </c>
    </row>
    <row r="3375" spans="1:38" hidden="1" x14ac:dyDescent="0.2">
      <c r="A3375" s="2">
        <v>2026</v>
      </c>
      <c r="B3375" s="2">
        <v>3</v>
      </c>
      <c r="D3375" s="2" t="s">
        <v>891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892</v>
      </c>
      <c r="J3375" s="2" t="s">
        <v>893</v>
      </c>
      <c r="L3375" s="2" t="s">
        <v>100</v>
      </c>
      <c r="M3375" s="2" t="s">
        <v>41</v>
      </c>
      <c r="O3375" s="2" t="s">
        <v>2683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15">(T3375-W3375)/T3375</f>
        <v>0.47233333333333333</v>
      </c>
      <c r="Z3375" s="2" t="s">
        <v>3231</v>
      </c>
      <c r="AA3375" s="2" t="s">
        <v>46</v>
      </c>
      <c r="AB3375" s="2" t="s">
        <v>57</v>
      </c>
      <c r="AC3375" s="2" t="s">
        <v>58</v>
      </c>
      <c r="AF3375" s="2">
        <f t="shared" si="407"/>
        <v>0</v>
      </c>
      <c r="AJ3375" s="2">
        <f t="shared" si="408"/>
        <v>0</v>
      </c>
      <c r="AK3375" s="2">
        <f t="shared" si="404"/>
        <v>7.085</v>
      </c>
      <c r="AL3375" s="5">
        <f t="shared" ref="AL3375:AL3406" si="416">(T3375-W3375)/T3375</f>
        <v>0.47233333333333333</v>
      </c>
    </row>
    <row r="3376" spans="1:38" hidden="1" x14ac:dyDescent="0.2">
      <c r="A3376" s="2">
        <v>2026</v>
      </c>
      <c r="B3376" s="2">
        <v>3</v>
      </c>
      <c r="D3376" s="2" t="s">
        <v>891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892</v>
      </c>
      <c r="J3376" s="2" t="s">
        <v>893</v>
      </c>
      <c r="L3376" s="2" t="s">
        <v>100</v>
      </c>
      <c r="M3376" s="2" t="s">
        <v>41</v>
      </c>
      <c r="O3376" s="2" t="s">
        <v>2683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15"/>
        <v>0.47734374999999996</v>
      </c>
      <c r="Z3376" s="2" t="s">
        <v>3231</v>
      </c>
      <c r="AA3376" s="2" t="s">
        <v>46</v>
      </c>
      <c r="AB3376" s="2" t="s">
        <v>57</v>
      </c>
      <c r="AC3376" s="2" t="s">
        <v>58</v>
      </c>
      <c r="AF3376" s="2">
        <f t="shared" si="407"/>
        <v>0</v>
      </c>
      <c r="AJ3376" s="2">
        <f t="shared" si="408"/>
        <v>0</v>
      </c>
      <c r="AK3376" s="2">
        <f t="shared" si="404"/>
        <v>9.1649999999999991</v>
      </c>
      <c r="AL3376" s="5">
        <f t="shared" si="416"/>
        <v>0.47734374999999996</v>
      </c>
    </row>
    <row r="3377" spans="1:38" hidden="1" x14ac:dyDescent="0.2">
      <c r="A3377" s="2">
        <v>2026</v>
      </c>
      <c r="B3377" s="2">
        <v>3</v>
      </c>
      <c r="D3377" s="2" t="s">
        <v>982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15"/>
        <v>0.46177536231884059</v>
      </c>
      <c r="Z3377" s="2" t="s">
        <v>3231</v>
      </c>
      <c r="AA3377" s="2" t="s">
        <v>46</v>
      </c>
      <c r="AB3377" s="2" t="s">
        <v>57</v>
      </c>
      <c r="AC3377" s="2" t="s">
        <v>58</v>
      </c>
      <c r="AF3377" s="2">
        <f t="shared" si="407"/>
        <v>0</v>
      </c>
      <c r="AJ3377" s="2">
        <f t="shared" si="408"/>
        <v>0</v>
      </c>
      <c r="AK3377" s="2">
        <f t="shared" si="404"/>
        <v>12.745000000000001</v>
      </c>
      <c r="AL3377" s="5">
        <f t="shared" si="416"/>
        <v>0.46177536231884059</v>
      </c>
    </row>
    <row r="3378" spans="1:38" hidden="1" x14ac:dyDescent="0.2">
      <c r="A3378" s="2">
        <v>2026</v>
      </c>
      <c r="B3378" s="2">
        <v>3</v>
      </c>
      <c r="D3378" s="2" t="s">
        <v>982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15"/>
        <v>1</v>
      </c>
      <c r="Z3378" s="2" t="s">
        <v>3231</v>
      </c>
      <c r="AA3378" s="2" t="s">
        <v>46</v>
      </c>
      <c r="AB3378" s="2" t="s">
        <v>57</v>
      </c>
      <c r="AC3378" s="2" t="s">
        <v>58</v>
      </c>
      <c r="AF3378" s="2">
        <f t="shared" si="407"/>
        <v>0</v>
      </c>
      <c r="AJ3378" s="2">
        <f t="shared" si="408"/>
        <v>0</v>
      </c>
      <c r="AK3378" s="2">
        <f t="shared" si="404"/>
        <v>49.2</v>
      </c>
      <c r="AL3378" s="5">
        <f t="shared" si="416"/>
        <v>1</v>
      </c>
    </row>
    <row r="3379" spans="1:38" hidden="1" x14ac:dyDescent="0.2">
      <c r="A3379" s="2">
        <v>2026</v>
      </c>
      <c r="B3379" s="2">
        <v>3</v>
      </c>
      <c r="D3379" s="2" t="s">
        <v>891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892</v>
      </c>
      <c r="J3379" s="2" t="s">
        <v>893</v>
      </c>
      <c r="L3379" s="2" t="s">
        <v>100</v>
      </c>
      <c r="M3379" s="2" t="s">
        <v>41</v>
      </c>
      <c r="O3379" s="2" t="s">
        <v>2683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15"/>
        <v>1</v>
      </c>
      <c r="Z3379" s="2" t="s">
        <v>3231</v>
      </c>
      <c r="AA3379" s="2" t="s">
        <v>46</v>
      </c>
      <c r="AB3379" s="2" t="s">
        <v>57</v>
      </c>
      <c r="AC3379" s="2" t="s">
        <v>58</v>
      </c>
      <c r="AF3379" s="2">
        <f t="shared" si="407"/>
        <v>0</v>
      </c>
      <c r="AJ3379" s="2">
        <f t="shared" si="408"/>
        <v>0</v>
      </c>
      <c r="AK3379" s="2">
        <f t="shared" si="404"/>
        <v>30</v>
      </c>
      <c r="AL3379" s="5">
        <f t="shared" si="416"/>
        <v>1</v>
      </c>
    </row>
    <row r="3380" spans="1:38" hidden="1" x14ac:dyDescent="0.2">
      <c r="A3380" s="2">
        <v>2026</v>
      </c>
      <c r="B3380" s="2">
        <v>3</v>
      </c>
      <c r="D3380" s="2" t="s">
        <v>891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892</v>
      </c>
      <c r="J3380" s="2" t="s">
        <v>893</v>
      </c>
      <c r="L3380" s="2" t="s">
        <v>100</v>
      </c>
      <c r="M3380" s="2" t="s">
        <v>41</v>
      </c>
      <c r="O3380" s="2" t="s">
        <v>2683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15"/>
        <v>1</v>
      </c>
      <c r="Z3380" s="2" t="s">
        <v>3231</v>
      </c>
      <c r="AA3380" s="2" t="s">
        <v>46</v>
      </c>
      <c r="AB3380" s="2" t="s">
        <v>57</v>
      </c>
      <c r="AC3380" s="2" t="s">
        <v>58</v>
      </c>
      <c r="AF3380" s="2">
        <f t="shared" si="407"/>
        <v>0</v>
      </c>
      <c r="AJ3380" s="2">
        <f t="shared" si="408"/>
        <v>0</v>
      </c>
      <c r="AK3380" s="2">
        <f t="shared" si="404"/>
        <v>13.2</v>
      </c>
      <c r="AL3380" s="5">
        <f t="shared" si="416"/>
        <v>1</v>
      </c>
    </row>
    <row r="3381" spans="1:38" hidden="1" x14ac:dyDescent="0.2">
      <c r="A3381" s="2">
        <v>2026</v>
      </c>
      <c r="B3381" s="2">
        <v>3</v>
      </c>
      <c r="D3381" s="2" t="s">
        <v>2520</v>
      </c>
      <c r="E3381" s="2" t="s">
        <v>753</v>
      </c>
      <c r="F3381" s="2" t="s">
        <v>39</v>
      </c>
      <c r="G3381" s="2">
        <v>515570354</v>
      </c>
      <c r="H3381" s="2" t="s">
        <v>110</v>
      </c>
      <c r="I3381" s="2" t="s">
        <v>2521</v>
      </c>
      <c r="J3381" s="2" t="s">
        <v>2522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15"/>
        <v>0.53121428571428575</v>
      </c>
      <c r="Z3381" s="2" t="s">
        <v>3231</v>
      </c>
      <c r="AA3381" s="2" t="s">
        <v>46</v>
      </c>
      <c r="AB3381" s="2" t="s">
        <v>57</v>
      </c>
      <c r="AC3381" s="2" t="s">
        <v>58</v>
      </c>
      <c r="AF3381" s="2">
        <f t="shared" si="407"/>
        <v>0</v>
      </c>
      <c r="AG3381" s="2">
        <v>5.9066999999999998</v>
      </c>
      <c r="AH3381" s="2">
        <v>12.6</v>
      </c>
      <c r="AJ3381" s="2">
        <f t="shared" si="408"/>
        <v>0</v>
      </c>
      <c r="AK3381" s="2">
        <f t="shared" si="404"/>
        <v>6.6932999999999998</v>
      </c>
      <c r="AL3381" s="5">
        <f t="shared" si="416"/>
        <v>0.53121428571428575</v>
      </c>
    </row>
    <row r="3382" spans="1:38" hidden="1" x14ac:dyDescent="0.2">
      <c r="A3382" s="2">
        <v>2026</v>
      </c>
      <c r="B3382" s="2">
        <v>3</v>
      </c>
      <c r="D3382" s="2" t="s">
        <v>891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892</v>
      </c>
      <c r="J3382" s="2" t="s">
        <v>893</v>
      </c>
      <c r="L3382" s="2" t="s">
        <v>100</v>
      </c>
      <c r="M3382" s="2" t="s">
        <v>41</v>
      </c>
      <c r="O3382" s="2" t="s">
        <v>2683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15"/>
        <v>0.53121428571428575</v>
      </c>
      <c r="Z3382" s="2" t="s">
        <v>3231</v>
      </c>
      <c r="AA3382" s="2" t="s">
        <v>46</v>
      </c>
      <c r="AB3382" s="2" t="s">
        <v>57</v>
      </c>
      <c r="AC3382" s="2" t="s">
        <v>58</v>
      </c>
      <c r="AF3382" s="2">
        <f t="shared" si="407"/>
        <v>0</v>
      </c>
      <c r="AG3382" s="2">
        <v>5.9066999999999998</v>
      </c>
      <c r="AH3382" s="2">
        <v>12.6</v>
      </c>
      <c r="AJ3382" s="2">
        <f t="shared" si="408"/>
        <v>0</v>
      </c>
      <c r="AK3382" s="2">
        <f t="shared" ref="AK3382:AK3445" si="417">T3382-W3382</f>
        <v>6.6932999999999998</v>
      </c>
      <c r="AL3382" s="5">
        <f t="shared" si="416"/>
        <v>0.53121428571428575</v>
      </c>
    </row>
    <row r="3383" spans="1:38" hidden="1" x14ac:dyDescent="0.2">
      <c r="A3383" s="2">
        <v>2026</v>
      </c>
      <c r="B3383" s="2">
        <v>3</v>
      </c>
      <c r="D3383" s="2" t="s">
        <v>1421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1274</v>
      </c>
      <c r="J3383" s="2" t="s">
        <v>2398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15"/>
        <v>0.49849305555555556</v>
      </c>
      <c r="Z3383" s="2" t="s">
        <v>3231</v>
      </c>
      <c r="AA3383" s="2" t="s">
        <v>46</v>
      </c>
      <c r="AB3383" s="2" t="s">
        <v>57</v>
      </c>
      <c r="AC3383" s="2" t="s">
        <v>58</v>
      </c>
      <c r="AF3383" s="2">
        <f t="shared" si="407"/>
        <v>0</v>
      </c>
      <c r="AG3383" s="2">
        <v>7.2217000000000002</v>
      </c>
      <c r="AH3383" s="2">
        <v>14.4</v>
      </c>
      <c r="AJ3383" s="2">
        <f t="shared" si="408"/>
        <v>0</v>
      </c>
      <c r="AK3383" s="2">
        <f t="shared" si="417"/>
        <v>14.3566</v>
      </c>
      <c r="AL3383" s="5">
        <f t="shared" si="416"/>
        <v>0.49849305555555556</v>
      </c>
    </row>
    <row r="3384" spans="1:38" hidden="1" x14ac:dyDescent="0.2">
      <c r="A3384" s="2">
        <v>2026</v>
      </c>
      <c r="B3384" s="2">
        <v>3</v>
      </c>
      <c r="D3384" s="2" t="s">
        <v>891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892</v>
      </c>
      <c r="J3384" s="2" t="s">
        <v>893</v>
      </c>
      <c r="L3384" s="2" t="s">
        <v>100</v>
      </c>
      <c r="M3384" s="2" t="s">
        <v>41</v>
      </c>
      <c r="O3384" s="2" t="s">
        <v>2683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15"/>
        <v>0.49849305555555556</v>
      </c>
      <c r="Z3384" s="2" t="s">
        <v>3231</v>
      </c>
      <c r="AA3384" s="2" t="s">
        <v>46</v>
      </c>
      <c r="AB3384" s="2" t="s">
        <v>57</v>
      </c>
      <c r="AC3384" s="2" t="s">
        <v>58</v>
      </c>
      <c r="AF3384" s="2">
        <f t="shared" si="407"/>
        <v>0</v>
      </c>
      <c r="AG3384" s="2">
        <v>7.2217000000000002</v>
      </c>
      <c r="AH3384" s="2">
        <v>14.4</v>
      </c>
      <c r="AJ3384" s="2">
        <f t="shared" si="408"/>
        <v>0</v>
      </c>
      <c r="AK3384" s="2">
        <f t="shared" si="417"/>
        <v>7.1783000000000001</v>
      </c>
      <c r="AL3384" s="5">
        <f t="shared" si="416"/>
        <v>0.49849305555555556</v>
      </c>
    </row>
    <row r="3385" spans="1:38" hidden="1" x14ac:dyDescent="0.2">
      <c r="A3385" s="2">
        <v>2026</v>
      </c>
      <c r="B3385" s="2">
        <v>3</v>
      </c>
      <c r="D3385" s="2" t="s">
        <v>2520</v>
      </c>
      <c r="E3385" s="2" t="s">
        <v>753</v>
      </c>
      <c r="F3385" s="2" t="s">
        <v>39</v>
      </c>
      <c r="G3385" s="2">
        <v>515570354</v>
      </c>
      <c r="H3385" s="2" t="s">
        <v>110</v>
      </c>
      <c r="I3385" s="2" t="s">
        <v>2521</v>
      </c>
      <c r="J3385" s="2" t="s">
        <v>2522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 t="shared" ref="W3385:W3387" si="418">9.075*S3385</f>
        <v>9.0749999999999993</v>
      </c>
      <c r="X3385" s="5">
        <f t="shared" si="415"/>
        <v>0.47844827586206895</v>
      </c>
      <c r="Z3385" s="2" t="s">
        <v>3231</v>
      </c>
      <c r="AA3385" s="2" t="s">
        <v>46</v>
      </c>
      <c r="AB3385" s="2" t="s">
        <v>57</v>
      </c>
      <c r="AC3385" s="2" t="s">
        <v>58</v>
      </c>
      <c r="AF3385" s="2">
        <f t="shared" si="407"/>
        <v>0</v>
      </c>
      <c r="AJ3385" s="2">
        <f t="shared" si="408"/>
        <v>0</v>
      </c>
      <c r="AK3385" s="2">
        <f t="shared" si="417"/>
        <v>8.3249999999999993</v>
      </c>
      <c r="AL3385" s="5">
        <f t="shared" si="416"/>
        <v>0.47844827586206895</v>
      </c>
    </row>
    <row r="3386" spans="1:38" hidden="1" x14ac:dyDescent="0.2">
      <c r="A3386" s="2">
        <v>2026</v>
      </c>
      <c r="B3386" s="2">
        <v>3</v>
      </c>
      <c r="D3386" s="2" t="s">
        <v>1421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1274</v>
      </c>
      <c r="J3386" s="2" t="s">
        <v>2398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 t="shared" si="418"/>
        <v>18.149999999999999</v>
      </c>
      <c r="X3386" s="5">
        <f t="shared" si="415"/>
        <v>0.47844827586206895</v>
      </c>
      <c r="Z3386" s="2" t="s">
        <v>3231</v>
      </c>
      <c r="AA3386" s="2" t="s">
        <v>46</v>
      </c>
      <c r="AB3386" s="2" t="s">
        <v>57</v>
      </c>
      <c r="AC3386" s="2" t="s">
        <v>58</v>
      </c>
      <c r="AF3386" s="2">
        <f t="shared" si="407"/>
        <v>0</v>
      </c>
      <c r="AJ3386" s="2">
        <f t="shared" si="408"/>
        <v>0</v>
      </c>
      <c r="AK3386" s="2">
        <f t="shared" si="417"/>
        <v>16.649999999999999</v>
      </c>
      <c r="AL3386" s="5">
        <f t="shared" si="416"/>
        <v>0.47844827586206895</v>
      </c>
    </row>
    <row r="3387" spans="1:38" hidden="1" x14ac:dyDescent="0.2">
      <c r="A3387" s="2">
        <v>2026</v>
      </c>
      <c r="B3387" s="2">
        <v>3</v>
      </c>
      <c r="D3387" s="2" t="s">
        <v>891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892</v>
      </c>
      <c r="J3387" s="2" t="s">
        <v>893</v>
      </c>
      <c r="L3387" s="2" t="s">
        <v>100</v>
      </c>
      <c r="M3387" s="2" t="s">
        <v>41</v>
      </c>
      <c r="O3387" s="2" t="s">
        <v>2684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 t="shared" si="418"/>
        <v>9.0749999999999993</v>
      </c>
      <c r="X3387" s="5">
        <f t="shared" si="415"/>
        <v>0.47844827586206895</v>
      </c>
      <c r="Z3387" s="2" t="s">
        <v>3231</v>
      </c>
      <c r="AA3387" s="2" t="s">
        <v>46</v>
      </c>
      <c r="AB3387" s="2" t="s">
        <v>57</v>
      </c>
      <c r="AC3387" s="2" t="s">
        <v>58</v>
      </c>
      <c r="AF3387" s="2">
        <f t="shared" si="407"/>
        <v>0</v>
      </c>
      <c r="AJ3387" s="2">
        <f t="shared" si="408"/>
        <v>0</v>
      </c>
      <c r="AK3387" s="2">
        <f t="shared" si="417"/>
        <v>8.3249999999999993</v>
      </c>
      <c r="AL3387" s="5">
        <f t="shared" si="416"/>
        <v>0.47844827586206895</v>
      </c>
    </row>
    <row r="3388" spans="1:38" hidden="1" x14ac:dyDescent="0.2">
      <c r="A3388" s="2">
        <v>2026</v>
      </c>
      <c r="B3388" s="2">
        <v>3</v>
      </c>
      <c r="D3388" s="2" t="s">
        <v>2520</v>
      </c>
      <c r="E3388" s="2" t="s">
        <v>753</v>
      </c>
      <c r="F3388" s="2" t="s">
        <v>39</v>
      </c>
      <c r="G3388" s="2">
        <v>515570354</v>
      </c>
      <c r="H3388" s="2" t="s">
        <v>110</v>
      </c>
      <c r="I3388" s="2" t="s">
        <v>2521</v>
      </c>
      <c r="J3388" s="2" t="s">
        <v>2522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15"/>
        <v>1</v>
      </c>
      <c r="Z3388" s="2" t="s">
        <v>3231</v>
      </c>
      <c r="AA3388" s="2" t="s">
        <v>46</v>
      </c>
      <c r="AB3388" s="2" t="s">
        <v>57</v>
      </c>
      <c r="AC3388" s="2" t="s">
        <v>58</v>
      </c>
      <c r="AF3388" s="2">
        <f t="shared" si="407"/>
        <v>0</v>
      </c>
      <c r="AJ3388" s="2">
        <f t="shared" si="408"/>
        <v>0</v>
      </c>
      <c r="AK3388" s="2">
        <f t="shared" si="417"/>
        <v>21</v>
      </c>
      <c r="AL3388" s="5">
        <f t="shared" si="416"/>
        <v>1</v>
      </c>
    </row>
    <row r="3389" spans="1:38" hidden="1" x14ac:dyDescent="0.2">
      <c r="A3389" s="2">
        <v>2026</v>
      </c>
      <c r="B3389" s="2">
        <v>3</v>
      </c>
      <c r="D3389" s="2" t="s">
        <v>1421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1274</v>
      </c>
      <c r="J3389" s="2" t="s">
        <v>2398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15"/>
        <v>1</v>
      </c>
      <c r="Z3389" s="2" t="s">
        <v>3231</v>
      </c>
      <c r="AA3389" s="2" t="s">
        <v>46</v>
      </c>
      <c r="AB3389" s="2" t="s">
        <v>57</v>
      </c>
      <c r="AC3389" s="2" t="s">
        <v>58</v>
      </c>
      <c r="AF3389" s="2">
        <f t="shared" si="407"/>
        <v>0</v>
      </c>
      <c r="AJ3389" s="2">
        <f t="shared" si="408"/>
        <v>0</v>
      </c>
      <c r="AK3389" s="2">
        <f t="shared" si="417"/>
        <v>42</v>
      </c>
      <c r="AL3389" s="5">
        <f t="shared" si="416"/>
        <v>1</v>
      </c>
    </row>
    <row r="3390" spans="1:38" hidden="1" x14ac:dyDescent="0.2">
      <c r="A3390" s="2">
        <v>2026</v>
      </c>
      <c r="B3390" s="2">
        <v>3</v>
      </c>
      <c r="D3390" s="2" t="s">
        <v>1421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1274</v>
      </c>
      <c r="J3390" s="2" t="s">
        <v>2398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15"/>
        <v>1</v>
      </c>
      <c r="Z3390" s="2" t="s">
        <v>3231</v>
      </c>
      <c r="AA3390" s="2" t="s">
        <v>46</v>
      </c>
      <c r="AB3390" s="2" t="s">
        <v>57</v>
      </c>
      <c r="AC3390" s="2" t="s">
        <v>58</v>
      </c>
      <c r="AF3390" s="2">
        <f t="shared" si="407"/>
        <v>0</v>
      </c>
      <c r="AJ3390" s="2">
        <f t="shared" si="408"/>
        <v>0</v>
      </c>
      <c r="AK3390" s="2">
        <f t="shared" si="417"/>
        <v>50.4</v>
      </c>
      <c r="AL3390" s="5">
        <f t="shared" si="416"/>
        <v>1</v>
      </c>
    </row>
    <row r="3391" spans="1:38" hidden="1" x14ac:dyDescent="0.2">
      <c r="A3391" s="2">
        <v>2026</v>
      </c>
      <c r="B3391" s="2">
        <v>3</v>
      </c>
      <c r="D3391" s="2" t="s">
        <v>891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892</v>
      </c>
      <c r="J3391" s="2" t="s">
        <v>893</v>
      </c>
      <c r="L3391" s="2" t="s">
        <v>100</v>
      </c>
      <c r="M3391" s="2" t="s">
        <v>41</v>
      </c>
      <c r="O3391" s="2" t="s">
        <v>2684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15"/>
        <v>1</v>
      </c>
      <c r="Z3391" s="2" t="s">
        <v>3231</v>
      </c>
      <c r="AA3391" s="2" t="s">
        <v>46</v>
      </c>
      <c r="AB3391" s="2" t="s">
        <v>57</v>
      </c>
      <c r="AC3391" s="2" t="s">
        <v>58</v>
      </c>
      <c r="AF3391" s="2">
        <f t="shared" si="407"/>
        <v>0</v>
      </c>
      <c r="AJ3391" s="2">
        <f t="shared" si="408"/>
        <v>0</v>
      </c>
      <c r="AK3391" s="2">
        <f t="shared" si="417"/>
        <v>25.2</v>
      </c>
      <c r="AL3391" s="5">
        <f t="shared" si="416"/>
        <v>1</v>
      </c>
    </row>
    <row r="3392" spans="1:38" hidden="1" x14ac:dyDescent="0.2">
      <c r="A3392" s="2">
        <v>2026</v>
      </c>
      <c r="B3392" s="2">
        <v>3</v>
      </c>
      <c r="D3392" s="2" t="s">
        <v>1421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1274</v>
      </c>
      <c r="J3392" s="2" t="s">
        <v>2398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15"/>
        <v>1</v>
      </c>
      <c r="Z3392" s="2" t="s">
        <v>3231</v>
      </c>
      <c r="AA3392" s="2" t="s">
        <v>46</v>
      </c>
      <c r="AB3392" s="2" t="s">
        <v>57</v>
      </c>
      <c r="AC3392" s="2" t="s">
        <v>58</v>
      </c>
      <c r="AF3392" s="2">
        <f t="shared" si="407"/>
        <v>0</v>
      </c>
      <c r="AJ3392" s="2">
        <f t="shared" si="408"/>
        <v>0</v>
      </c>
      <c r="AK3392" s="2">
        <f t="shared" si="417"/>
        <v>60</v>
      </c>
      <c r="AL3392" s="5">
        <f t="shared" si="416"/>
        <v>1</v>
      </c>
    </row>
    <row r="3393" spans="1:38" hidden="1" x14ac:dyDescent="0.2">
      <c r="A3393" s="2">
        <v>2026</v>
      </c>
      <c r="B3393" s="2">
        <v>3</v>
      </c>
      <c r="D3393" s="2" t="s">
        <v>891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892</v>
      </c>
      <c r="J3393" s="2" t="s">
        <v>893</v>
      </c>
      <c r="L3393" s="2" t="s">
        <v>100</v>
      </c>
      <c r="M3393" s="2" t="s">
        <v>41</v>
      </c>
      <c r="O3393" s="2" t="s">
        <v>2683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15"/>
        <v>1</v>
      </c>
      <c r="Z3393" s="2" t="s">
        <v>3231</v>
      </c>
      <c r="AA3393" s="2" t="s">
        <v>46</v>
      </c>
      <c r="AB3393" s="2" t="s">
        <v>57</v>
      </c>
      <c r="AC3393" s="2" t="s">
        <v>58</v>
      </c>
      <c r="AF3393" s="2">
        <f t="shared" si="407"/>
        <v>0</v>
      </c>
      <c r="AJ3393" s="2">
        <f t="shared" si="408"/>
        <v>0</v>
      </c>
      <c r="AK3393" s="2">
        <f t="shared" si="417"/>
        <v>30</v>
      </c>
      <c r="AL3393" s="5">
        <f t="shared" si="416"/>
        <v>1</v>
      </c>
    </row>
    <row r="3394" spans="1:38" hidden="1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15"/>
        <v>1</v>
      </c>
      <c r="Z3394" s="2" t="s">
        <v>3231</v>
      </c>
      <c r="AA3394" s="2" t="s">
        <v>46</v>
      </c>
      <c r="AB3394" s="2" t="s">
        <v>57</v>
      </c>
      <c r="AC3394" s="2" t="s">
        <v>58</v>
      </c>
      <c r="AF3394" s="2">
        <f t="shared" si="407"/>
        <v>0</v>
      </c>
      <c r="AJ3394" s="2">
        <f t="shared" si="408"/>
        <v>0</v>
      </c>
      <c r="AK3394" s="2">
        <f t="shared" si="417"/>
        <v>18</v>
      </c>
      <c r="AL3394" s="5">
        <f t="shared" si="416"/>
        <v>1</v>
      </c>
    </row>
    <row r="3395" spans="1:38" hidden="1" x14ac:dyDescent="0.2">
      <c r="A3395" s="2">
        <v>2026</v>
      </c>
      <c r="B3395" s="2">
        <v>3</v>
      </c>
      <c r="D3395" s="2" t="s">
        <v>1421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1274</v>
      </c>
      <c r="J3395" s="2" t="s">
        <v>2398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15"/>
        <v>1</v>
      </c>
      <c r="Z3395" s="2" t="s">
        <v>3231</v>
      </c>
      <c r="AA3395" s="2" t="s">
        <v>46</v>
      </c>
      <c r="AB3395" s="2" t="s">
        <v>57</v>
      </c>
      <c r="AC3395" s="2" t="s">
        <v>58</v>
      </c>
      <c r="AF3395" s="2">
        <f t="shared" ref="AF3395:AF3458" si="419">AJ3395</f>
        <v>0</v>
      </c>
      <c r="AJ3395" s="2">
        <f t="shared" ref="AJ3395:AJ3458" si="420">AI3395*T3395</f>
        <v>0</v>
      </c>
      <c r="AK3395" s="2">
        <f t="shared" si="417"/>
        <v>36</v>
      </c>
      <c r="AL3395" s="5">
        <f t="shared" si="416"/>
        <v>1</v>
      </c>
    </row>
    <row r="3396" spans="1:38" hidden="1" x14ac:dyDescent="0.2">
      <c r="A3396" s="2">
        <v>2026</v>
      </c>
      <c r="B3396" s="2">
        <v>3</v>
      </c>
      <c r="D3396" s="2" t="s">
        <v>1421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1274</v>
      </c>
      <c r="J3396" s="2" t="s">
        <v>2398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15"/>
        <v>1</v>
      </c>
      <c r="Z3396" s="2" t="s">
        <v>3231</v>
      </c>
      <c r="AA3396" s="2" t="s">
        <v>46</v>
      </c>
      <c r="AB3396" s="2" t="s">
        <v>57</v>
      </c>
      <c r="AC3396" s="2" t="s">
        <v>58</v>
      </c>
      <c r="AF3396" s="2">
        <f t="shared" si="419"/>
        <v>0</v>
      </c>
      <c r="AJ3396" s="2">
        <f t="shared" si="420"/>
        <v>0</v>
      </c>
      <c r="AK3396" s="2">
        <f t="shared" si="417"/>
        <v>39.6</v>
      </c>
      <c r="AL3396" s="5">
        <f t="shared" si="416"/>
        <v>1</v>
      </c>
    </row>
    <row r="3397" spans="1:38" hidden="1" x14ac:dyDescent="0.2">
      <c r="A3397" s="2">
        <v>2026</v>
      </c>
      <c r="B3397" s="2">
        <v>3</v>
      </c>
      <c r="D3397" s="2" t="s">
        <v>1421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1274</v>
      </c>
      <c r="J3397" s="2" t="s">
        <v>2398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15"/>
        <v>1</v>
      </c>
      <c r="Z3397" s="2" t="s">
        <v>3231</v>
      </c>
      <c r="AA3397" s="2" t="s">
        <v>46</v>
      </c>
      <c r="AB3397" s="2" t="s">
        <v>57</v>
      </c>
      <c r="AC3397" s="2" t="s">
        <v>58</v>
      </c>
      <c r="AF3397" s="2">
        <f t="shared" si="419"/>
        <v>0</v>
      </c>
      <c r="AJ3397" s="2">
        <f t="shared" si="420"/>
        <v>0</v>
      </c>
      <c r="AK3397" s="2">
        <f t="shared" si="417"/>
        <v>45.6</v>
      </c>
      <c r="AL3397" s="5">
        <f t="shared" si="416"/>
        <v>1</v>
      </c>
    </row>
    <row r="3398" spans="1:38" hidden="1" x14ac:dyDescent="0.2">
      <c r="A3398" s="2">
        <v>2026</v>
      </c>
      <c r="B3398" s="2">
        <v>3</v>
      </c>
      <c r="D3398" s="2" t="s">
        <v>1421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1274</v>
      </c>
      <c r="J3398" s="2" t="s">
        <v>2398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15"/>
        <v>0.47041666666666665</v>
      </c>
      <c r="Z3398" s="2" t="s">
        <v>3231</v>
      </c>
      <c r="AA3398" s="2" t="s">
        <v>46</v>
      </c>
      <c r="AB3398" s="2" t="s">
        <v>57</v>
      </c>
      <c r="AC3398" s="2" t="s">
        <v>58</v>
      </c>
      <c r="AF3398" s="2">
        <f t="shared" si="419"/>
        <v>0</v>
      </c>
      <c r="AJ3398" s="2">
        <f t="shared" si="420"/>
        <v>0</v>
      </c>
      <c r="AK3398" s="2">
        <f t="shared" si="417"/>
        <v>22.58</v>
      </c>
      <c r="AL3398" s="5">
        <f t="shared" si="416"/>
        <v>0.47041666666666665</v>
      </c>
    </row>
    <row r="3399" spans="1:38" hidden="1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21">10.6*S3399</f>
        <v>106</v>
      </c>
      <c r="X3399" s="5">
        <f t="shared" si="415"/>
        <v>0.26896551724137929</v>
      </c>
      <c r="Z3399" s="2" t="s">
        <v>3231</v>
      </c>
      <c r="AA3399" s="2" t="s">
        <v>46</v>
      </c>
      <c r="AB3399" s="2" t="s">
        <v>57</v>
      </c>
      <c r="AC3399" s="2" t="s">
        <v>58</v>
      </c>
      <c r="AF3399" s="2">
        <f t="shared" si="419"/>
        <v>0</v>
      </c>
      <c r="AG3399" s="2">
        <v>10.6</v>
      </c>
      <c r="AH3399" s="2">
        <v>18</v>
      </c>
      <c r="AJ3399" s="2">
        <f t="shared" si="420"/>
        <v>0</v>
      </c>
      <c r="AK3399" s="2">
        <f t="shared" si="417"/>
        <v>39</v>
      </c>
      <c r="AL3399" s="5">
        <f t="shared" si="416"/>
        <v>0.26896551724137929</v>
      </c>
    </row>
    <row r="3400" spans="1:38" hidden="1" x14ac:dyDescent="0.2">
      <c r="A3400" s="2">
        <v>2026</v>
      </c>
      <c r="B3400" s="2">
        <v>3</v>
      </c>
      <c r="D3400" s="2" t="s">
        <v>1147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1148</v>
      </c>
      <c r="J3400" s="2" t="s">
        <v>1149</v>
      </c>
      <c r="L3400" s="2" t="s">
        <v>134</v>
      </c>
      <c r="M3400" s="2" t="s">
        <v>41</v>
      </c>
      <c r="O3400" s="2" t="s">
        <v>2685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21"/>
        <v>127.19999999999999</v>
      </c>
      <c r="X3400" s="5">
        <f t="shared" si="415"/>
        <v>0.29333333333333339</v>
      </c>
      <c r="Z3400" s="2" t="s">
        <v>3231</v>
      </c>
      <c r="AA3400" s="2" t="s">
        <v>46</v>
      </c>
      <c r="AB3400" s="2" t="s">
        <v>57</v>
      </c>
      <c r="AC3400" s="2" t="s">
        <v>58</v>
      </c>
      <c r="AF3400" s="2">
        <f t="shared" si="419"/>
        <v>0</v>
      </c>
      <c r="AG3400" s="2">
        <v>10.6</v>
      </c>
      <c r="AH3400" s="2">
        <v>18</v>
      </c>
      <c r="AJ3400" s="2">
        <f t="shared" si="420"/>
        <v>0</v>
      </c>
      <c r="AK3400" s="2">
        <f t="shared" si="417"/>
        <v>52.800000000000011</v>
      </c>
      <c r="AL3400" s="5">
        <f t="shared" si="416"/>
        <v>0.29333333333333339</v>
      </c>
    </row>
    <row r="3401" spans="1:38" hidden="1" x14ac:dyDescent="0.2">
      <c r="A3401" s="2">
        <v>2026</v>
      </c>
      <c r="B3401" s="2">
        <v>3</v>
      </c>
      <c r="D3401" s="2" t="s">
        <v>2686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21"/>
        <v>21.2</v>
      </c>
      <c r="X3401" s="5">
        <f t="shared" si="415"/>
        <v>0.41111111111111115</v>
      </c>
      <c r="Z3401" s="2" t="s">
        <v>3231</v>
      </c>
      <c r="AA3401" s="2" t="s">
        <v>46</v>
      </c>
      <c r="AB3401" s="2" t="s">
        <v>57</v>
      </c>
      <c r="AC3401" s="2" t="s">
        <v>58</v>
      </c>
      <c r="AF3401" s="2">
        <f t="shared" si="419"/>
        <v>0</v>
      </c>
      <c r="AG3401" s="2">
        <v>10.6</v>
      </c>
      <c r="AH3401" s="2">
        <v>18</v>
      </c>
      <c r="AJ3401" s="2">
        <f t="shared" si="420"/>
        <v>0</v>
      </c>
      <c r="AK3401" s="2">
        <f t="shared" si="417"/>
        <v>14.8</v>
      </c>
      <c r="AL3401" s="5">
        <f t="shared" si="416"/>
        <v>0.41111111111111115</v>
      </c>
    </row>
    <row r="3402" spans="1:38" hidden="1" x14ac:dyDescent="0.2">
      <c r="A3402" s="2">
        <v>2026</v>
      </c>
      <c r="B3402" s="2">
        <v>3</v>
      </c>
      <c r="D3402" s="2" t="s">
        <v>1010</v>
      </c>
      <c r="E3402" s="2" t="s">
        <v>109</v>
      </c>
      <c r="F3402" s="2" t="s">
        <v>39</v>
      </c>
      <c r="L3402" s="2" t="s">
        <v>419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21"/>
        <v>21.2</v>
      </c>
      <c r="X3402" s="5">
        <f t="shared" si="415"/>
        <v>0.41111111111111115</v>
      </c>
      <c r="Z3402" s="2" t="s">
        <v>3231</v>
      </c>
      <c r="AA3402" s="2" t="s">
        <v>46</v>
      </c>
      <c r="AB3402" s="2" t="s">
        <v>57</v>
      </c>
      <c r="AC3402" s="2" t="s">
        <v>58</v>
      </c>
      <c r="AF3402" s="2">
        <f t="shared" si="419"/>
        <v>0</v>
      </c>
      <c r="AG3402" s="2">
        <v>10.6</v>
      </c>
      <c r="AH3402" s="2">
        <v>18</v>
      </c>
      <c r="AJ3402" s="2">
        <f t="shared" si="420"/>
        <v>0</v>
      </c>
      <c r="AK3402" s="2">
        <f t="shared" si="417"/>
        <v>14.8</v>
      </c>
      <c r="AL3402" s="5">
        <f t="shared" si="416"/>
        <v>0.41111111111111115</v>
      </c>
    </row>
    <row r="3403" spans="1:38" hidden="1" x14ac:dyDescent="0.2">
      <c r="A3403" s="2">
        <v>2026</v>
      </c>
      <c r="B3403" s="2">
        <v>3</v>
      </c>
      <c r="D3403" s="2" t="s">
        <v>782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783</v>
      </c>
      <c r="J3403" s="2" t="s">
        <v>784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21"/>
        <v>10.6</v>
      </c>
      <c r="X3403" s="5">
        <f t="shared" si="415"/>
        <v>0.41111111111111115</v>
      </c>
      <c r="Z3403" s="2" t="s">
        <v>3231</v>
      </c>
      <c r="AA3403" s="2" t="s">
        <v>46</v>
      </c>
      <c r="AB3403" s="2" t="s">
        <v>57</v>
      </c>
      <c r="AC3403" s="2" t="s">
        <v>58</v>
      </c>
      <c r="AF3403" s="2">
        <f t="shared" si="419"/>
        <v>0</v>
      </c>
      <c r="AG3403" s="2">
        <v>10.6</v>
      </c>
      <c r="AH3403" s="2">
        <v>18</v>
      </c>
      <c r="AJ3403" s="2">
        <f t="shared" si="420"/>
        <v>0</v>
      </c>
      <c r="AK3403" s="2">
        <f t="shared" si="417"/>
        <v>7.4</v>
      </c>
      <c r="AL3403" s="5">
        <f t="shared" si="416"/>
        <v>0.41111111111111115</v>
      </c>
    </row>
    <row r="3404" spans="1:38" hidden="1" x14ac:dyDescent="0.2">
      <c r="A3404" s="2">
        <v>2026</v>
      </c>
      <c r="B3404" s="2">
        <v>3</v>
      </c>
      <c r="D3404" s="2" t="s">
        <v>845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846</v>
      </c>
      <c r="L3404" s="2" t="s">
        <v>419</v>
      </c>
      <c r="M3404" s="2" t="s">
        <v>41</v>
      </c>
      <c r="O3404" s="2" t="s">
        <v>2674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21"/>
        <v>21.2</v>
      </c>
      <c r="X3404" s="5">
        <f t="shared" si="415"/>
        <v>0.41111111111111115</v>
      </c>
      <c r="Z3404" s="2" t="s">
        <v>3231</v>
      </c>
      <c r="AA3404" s="2" t="s">
        <v>46</v>
      </c>
      <c r="AB3404" s="2" t="s">
        <v>57</v>
      </c>
      <c r="AC3404" s="2" t="s">
        <v>58</v>
      </c>
      <c r="AF3404" s="2">
        <f t="shared" si="419"/>
        <v>0</v>
      </c>
      <c r="AG3404" s="2">
        <v>10.6</v>
      </c>
      <c r="AH3404" s="2">
        <v>18</v>
      </c>
      <c r="AJ3404" s="2">
        <f t="shared" si="420"/>
        <v>0</v>
      </c>
      <c r="AK3404" s="2">
        <f t="shared" si="417"/>
        <v>14.8</v>
      </c>
      <c r="AL3404" s="5">
        <f t="shared" si="416"/>
        <v>0.41111111111111115</v>
      </c>
    </row>
    <row r="3405" spans="1:38" hidden="1" x14ac:dyDescent="0.2">
      <c r="A3405" s="2">
        <v>2026</v>
      </c>
      <c r="B3405" s="2">
        <v>4</v>
      </c>
      <c r="D3405" s="2" t="s">
        <v>690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691</v>
      </c>
      <c r="K3405" s="2">
        <v>913036545</v>
      </c>
      <c r="L3405" s="2" t="s">
        <v>178</v>
      </c>
      <c r="M3405" s="2" t="s">
        <v>41</v>
      </c>
      <c r="O3405" s="2" t="s">
        <v>2617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15"/>
        <v>0.46666666666666662</v>
      </c>
      <c r="Z3405" s="2" t="s">
        <v>3231</v>
      </c>
      <c r="AA3405" s="2" t="s">
        <v>46</v>
      </c>
      <c r="AB3405" s="2" t="s">
        <v>47</v>
      </c>
      <c r="AC3405" s="2" t="s">
        <v>48</v>
      </c>
      <c r="AF3405" s="2">
        <f t="shared" si="419"/>
        <v>0</v>
      </c>
      <c r="AJ3405" s="2">
        <f t="shared" si="420"/>
        <v>0</v>
      </c>
      <c r="AK3405" s="2">
        <f t="shared" si="417"/>
        <v>22.4</v>
      </c>
      <c r="AL3405" s="5">
        <f t="shared" si="416"/>
        <v>0.46666666666666662</v>
      </c>
    </row>
    <row r="3406" spans="1:38" hidden="1" x14ac:dyDescent="0.2">
      <c r="A3406" s="2">
        <v>2026</v>
      </c>
      <c r="B3406" s="2">
        <v>3</v>
      </c>
      <c r="D3406" s="2" t="s">
        <v>1399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3221</v>
      </c>
      <c r="J3406" s="2" t="s">
        <v>3220</v>
      </c>
      <c r="K3406" s="2">
        <v>913814877</v>
      </c>
      <c r="L3406" s="2" t="s">
        <v>202</v>
      </c>
      <c r="M3406" s="2" t="s">
        <v>81</v>
      </c>
      <c r="O3406" s="2" t="s">
        <v>3218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22">10.6*S3406</f>
        <v>31.799999999999997</v>
      </c>
      <c r="X3406" s="5">
        <f t="shared" si="415"/>
        <v>0.41111111111111115</v>
      </c>
      <c r="Z3406" s="2" t="s">
        <v>3231</v>
      </c>
      <c r="AA3406" s="2" t="s">
        <v>46</v>
      </c>
      <c r="AB3406" s="2" t="s">
        <v>57</v>
      </c>
      <c r="AC3406" s="2" t="s">
        <v>58</v>
      </c>
      <c r="AF3406" s="2">
        <f t="shared" si="419"/>
        <v>0</v>
      </c>
      <c r="AG3406" s="2">
        <v>10.6</v>
      </c>
      <c r="AH3406" s="2">
        <v>18</v>
      </c>
      <c r="AJ3406" s="2">
        <f t="shared" si="420"/>
        <v>0</v>
      </c>
      <c r="AK3406" s="2">
        <f t="shared" si="417"/>
        <v>22.200000000000003</v>
      </c>
      <c r="AL3406" s="5">
        <f t="shared" si="416"/>
        <v>0.41111111111111115</v>
      </c>
    </row>
    <row r="3407" spans="1:38" hidden="1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22"/>
        <v>42.4</v>
      </c>
      <c r="X3407" s="5">
        <f t="shared" ref="X3407:X3425" si="423">(T3407-W3407)/T3407</f>
        <v>0.33750000000000002</v>
      </c>
      <c r="Z3407" s="2" t="s">
        <v>3231</v>
      </c>
      <c r="AA3407" s="2" t="s">
        <v>46</v>
      </c>
      <c r="AB3407" s="2" t="s">
        <v>57</v>
      </c>
      <c r="AC3407" s="2" t="s">
        <v>58</v>
      </c>
      <c r="AF3407" s="2">
        <f t="shared" si="419"/>
        <v>0</v>
      </c>
      <c r="AG3407" s="2">
        <v>10.6</v>
      </c>
      <c r="AH3407" s="2">
        <v>18</v>
      </c>
      <c r="AJ3407" s="2">
        <f t="shared" si="420"/>
        <v>0</v>
      </c>
      <c r="AK3407" s="2">
        <f t="shared" si="417"/>
        <v>21.6</v>
      </c>
      <c r="AL3407" s="5">
        <f t="shared" ref="AL3407:AL3425" si="424">(T3407-W3407)/T3407</f>
        <v>0.33750000000000002</v>
      </c>
    </row>
    <row r="3408" spans="1:38" hidden="1" x14ac:dyDescent="0.2">
      <c r="A3408" s="2">
        <v>2026</v>
      </c>
      <c r="B3408" s="2">
        <v>3</v>
      </c>
      <c r="D3408" s="2" t="s">
        <v>866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2675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22"/>
        <v>10.6</v>
      </c>
      <c r="X3408" s="5">
        <f t="shared" si="423"/>
        <v>0.41111111111111115</v>
      </c>
      <c r="Z3408" s="2" t="s">
        <v>3231</v>
      </c>
      <c r="AA3408" s="2" t="s">
        <v>46</v>
      </c>
      <c r="AB3408" s="2" t="s">
        <v>57</v>
      </c>
      <c r="AC3408" s="2" t="s">
        <v>58</v>
      </c>
      <c r="AF3408" s="2">
        <f t="shared" si="419"/>
        <v>0</v>
      </c>
      <c r="AG3408" s="2">
        <v>10.6</v>
      </c>
      <c r="AH3408" s="2">
        <v>18</v>
      </c>
      <c r="AJ3408" s="2">
        <f t="shared" si="420"/>
        <v>0</v>
      </c>
      <c r="AK3408" s="2">
        <f t="shared" si="417"/>
        <v>7.4</v>
      </c>
      <c r="AL3408" s="5">
        <f t="shared" si="424"/>
        <v>0.41111111111111115</v>
      </c>
    </row>
    <row r="3409" spans="1:38" hidden="1" x14ac:dyDescent="0.2">
      <c r="A3409" s="2">
        <v>2026</v>
      </c>
      <c r="B3409" s="2">
        <v>3</v>
      </c>
      <c r="D3409" s="2" t="s">
        <v>891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892</v>
      </c>
      <c r="J3409" s="2" t="s">
        <v>893</v>
      </c>
      <c r="L3409" s="2" t="s">
        <v>100</v>
      </c>
      <c r="M3409" s="2" t="s">
        <v>41</v>
      </c>
      <c r="O3409" s="2" t="s">
        <v>2687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22"/>
        <v>106</v>
      </c>
      <c r="X3409" s="5">
        <f t="shared" si="423"/>
        <v>0.29333333333333333</v>
      </c>
      <c r="Z3409" s="2" t="s">
        <v>3231</v>
      </c>
      <c r="AA3409" s="2" t="s">
        <v>46</v>
      </c>
      <c r="AB3409" s="2" t="s">
        <v>57</v>
      </c>
      <c r="AC3409" s="2" t="s">
        <v>58</v>
      </c>
      <c r="AF3409" s="2">
        <f t="shared" si="419"/>
        <v>0</v>
      </c>
      <c r="AG3409" s="2">
        <v>10.6</v>
      </c>
      <c r="AH3409" s="2">
        <v>18</v>
      </c>
      <c r="AJ3409" s="2">
        <f t="shared" si="420"/>
        <v>0</v>
      </c>
      <c r="AK3409" s="2">
        <f t="shared" si="417"/>
        <v>44</v>
      </c>
      <c r="AL3409" s="5">
        <f t="shared" si="424"/>
        <v>0.29333333333333333</v>
      </c>
    </row>
    <row r="3410" spans="1:38" hidden="1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22"/>
        <v>106</v>
      </c>
      <c r="X3410" s="5">
        <f t="shared" si="423"/>
        <v>0.26896551724137929</v>
      </c>
      <c r="Z3410" s="2" t="s">
        <v>3231</v>
      </c>
      <c r="AA3410" s="2" t="s">
        <v>46</v>
      </c>
      <c r="AB3410" s="2" t="s">
        <v>57</v>
      </c>
      <c r="AC3410" s="2" t="s">
        <v>58</v>
      </c>
      <c r="AF3410" s="2">
        <f t="shared" si="419"/>
        <v>0</v>
      </c>
      <c r="AG3410" s="2">
        <v>10.6</v>
      </c>
      <c r="AH3410" s="2">
        <v>18</v>
      </c>
      <c r="AJ3410" s="2">
        <f t="shared" si="420"/>
        <v>0</v>
      </c>
      <c r="AK3410" s="2">
        <f t="shared" si="417"/>
        <v>39</v>
      </c>
      <c r="AL3410" s="5">
        <f t="shared" si="424"/>
        <v>0.26896551724137929</v>
      </c>
    </row>
    <row r="3411" spans="1:38" hidden="1" x14ac:dyDescent="0.2">
      <c r="A3411" s="2">
        <v>2026</v>
      </c>
      <c r="B3411" s="2">
        <v>3</v>
      </c>
      <c r="D3411" s="2" t="s">
        <v>919</v>
      </c>
      <c r="E3411" s="2" t="s">
        <v>753</v>
      </c>
      <c r="F3411" s="2" t="s">
        <v>920</v>
      </c>
      <c r="G3411" s="2">
        <v>505973960</v>
      </c>
      <c r="H3411" s="2" t="s">
        <v>40</v>
      </c>
      <c r="I3411" s="2" t="s">
        <v>157</v>
      </c>
      <c r="J3411" s="2" t="s">
        <v>921</v>
      </c>
      <c r="L3411" s="2" t="s">
        <v>100</v>
      </c>
      <c r="M3411" s="2" t="s">
        <v>81</v>
      </c>
      <c r="O3411" s="2" t="s">
        <v>2688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22"/>
        <v>10.6</v>
      </c>
      <c r="X3411" s="5">
        <f t="shared" si="423"/>
        <v>0.41111111111111115</v>
      </c>
      <c r="Z3411" s="2" t="s">
        <v>3231</v>
      </c>
      <c r="AA3411" s="2" t="s">
        <v>46</v>
      </c>
      <c r="AB3411" s="2" t="s">
        <v>57</v>
      </c>
      <c r="AC3411" s="2" t="s">
        <v>58</v>
      </c>
      <c r="AF3411" s="2">
        <f t="shared" si="419"/>
        <v>0</v>
      </c>
      <c r="AG3411" s="2">
        <v>10.6</v>
      </c>
      <c r="AH3411" s="2">
        <v>18</v>
      </c>
      <c r="AJ3411" s="2">
        <f t="shared" si="420"/>
        <v>0</v>
      </c>
      <c r="AK3411" s="2">
        <f t="shared" si="417"/>
        <v>7.4</v>
      </c>
      <c r="AL3411" s="5">
        <f t="shared" si="424"/>
        <v>0.41111111111111115</v>
      </c>
    </row>
    <row r="3412" spans="1:38" hidden="1" x14ac:dyDescent="0.2">
      <c r="A3412" s="2">
        <v>2026</v>
      </c>
      <c r="B3412" s="2">
        <v>3</v>
      </c>
      <c r="D3412" s="2" t="s">
        <v>1314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1315</v>
      </c>
      <c r="L3412" s="2" t="s">
        <v>178</v>
      </c>
      <c r="M3412" s="2" t="s">
        <v>41</v>
      </c>
      <c r="O3412" s="2" t="s">
        <v>2680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22"/>
        <v>21.2</v>
      </c>
      <c r="X3412" s="5">
        <f t="shared" si="423"/>
        <v>0.41111111111111115</v>
      </c>
      <c r="Z3412" s="2" t="s">
        <v>3231</v>
      </c>
      <c r="AA3412" s="2" t="s">
        <v>46</v>
      </c>
      <c r="AB3412" s="2" t="s">
        <v>57</v>
      </c>
      <c r="AC3412" s="2" t="s">
        <v>58</v>
      </c>
      <c r="AF3412" s="2">
        <f t="shared" si="419"/>
        <v>0</v>
      </c>
      <c r="AG3412" s="2">
        <v>10.6</v>
      </c>
      <c r="AH3412" s="2">
        <v>18</v>
      </c>
      <c r="AJ3412" s="2">
        <f t="shared" si="420"/>
        <v>0</v>
      </c>
      <c r="AK3412" s="2">
        <f t="shared" si="417"/>
        <v>14.8</v>
      </c>
      <c r="AL3412" s="5">
        <f t="shared" si="424"/>
        <v>0.41111111111111115</v>
      </c>
    </row>
    <row r="3413" spans="1:38" hidden="1" x14ac:dyDescent="0.2">
      <c r="A3413" s="2">
        <v>2026</v>
      </c>
      <c r="B3413" s="2">
        <v>3</v>
      </c>
      <c r="D3413" s="2" t="s">
        <v>866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2689</v>
      </c>
      <c r="P3413" s="2" t="s">
        <v>43</v>
      </c>
      <c r="Q3413" s="2" t="s">
        <v>670</v>
      </c>
      <c r="R3413" s="2" t="s">
        <v>671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23"/>
        <v>0.51216666666666666</v>
      </c>
      <c r="Z3413" s="2" t="s">
        <v>3231</v>
      </c>
      <c r="AA3413" s="2" t="s">
        <v>46</v>
      </c>
      <c r="AB3413" s="2" t="s">
        <v>57</v>
      </c>
      <c r="AC3413" s="2" t="s">
        <v>58</v>
      </c>
      <c r="AF3413" s="2">
        <f t="shared" si="419"/>
        <v>0</v>
      </c>
      <c r="AG3413" s="2">
        <v>29.27</v>
      </c>
      <c r="AH3413" s="2">
        <v>60</v>
      </c>
      <c r="AJ3413" s="2">
        <f t="shared" si="420"/>
        <v>0</v>
      </c>
      <c r="AK3413" s="2">
        <f t="shared" si="417"/>
        <v>30.73</v>
      </c>
      <c r="AL3413" s="5">
        <f t="shared" si="424"/>
        <v>0.51216666666666666</v>
      </c>
    </row>
    <row r="3414" spans="1:38" hidden="1" x14ac:dyDescent="0.2">
      <c r="A3414" s="2">
        <v>2026</v>
      </c>
      <c r="B3414" s="2">
        <v>3</v>
      </c>
      <c r="D3414" s="2" t="s">
        <v>1314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1315</v>
      </c>
      <c r="L3414" s="2" t="s">
        <v>178</v>
      </c>
      <c r="M3414" s="2" t="s">
        <v>41</v>
      </c>
      <c r="O3414" s="2" t="s">
        <v>2690</v>
      </c>
      <c r="P3414" s="2" t="s">
        <v>43</v>
      </c>
      <c r="Q3414" s="2" t="s">
        <v>670</v>
      </c>
      <c r="R3414" s="2" t="s">
        <v>671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23"/>
        <v>0.51216666666666666</v>
      </c>
      <c r="Z3414" s="2" t="s">
        <v>3231</v>
      </c>
      <c r="AA3414" s="2" t="s">
        <v>46</v>
      </c>
      <c r="AB3414" s="2" t="s">
        <v>57</v>
      </c>
      <c r="AC3414" s="2" t="s">
        <v>58</v>
      </c>
      <c r="AF3414" s="2">
        <f t="shared" si="419"/>
        <v>0</v>
      </c>
      <c r="AG3414" s="2">
        <v>29.27</v>
      </c>
      <c r="AH3414" s="2">
        <v>60</v>
      </c>
      <c r="AJ3414" s="2">
        <f t="shared" si="420"/>
        <v>0</v>
      </c>
      <c r="AK3414" s="2">
        <f t="shared" si="417"/>
        <v>30.73</v>
      </c>
      <c r="AL3414" s="5">
        <f t="shared" si="424"/>
        <v>0.51216666666666666</v>
      </c>
    </row>
    <row r="3415" spans="1:38" hidden="1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2691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23"/>
        <v>0.29692307692307701</v>
      </c>
      <c r="Z3415" s="2" t="s">
        <v>3231</v>
      </c>
      <c r="AA3415" s="2" t="s">
        <v>46</v>
      </c>
      <c r="AB3415" s="2" t="s">
        <v>61</v>
      </c>
      <c r="AC3415" s="2" t="s">
        <v>58</v>
      </c>
      <c r="AF3415" s="2">
        <f t="shared" si="419"/>
        <v>0</v>
      </c>
      <c r="AG3415" s="2">
        <v>9.14</v>
      </c>
      <c r="AH3415" s="2">
        <v>16</v>
      </c>
      <c r="AJ3415" s="2">
        <f t="shared" si="420"/>
        <v>0</v>
      </c>
      <c r="AK3415" s="2">
        <f t="shared" si="417"/>
        <v>19.300000000000004</v>
      </c>
      <c r="AL3415" s="5">
        <f t="shared" si="424"/>
        <v>0.29692307692307701</v>
      </c>
    </row>
    <row r="3416" spans="1:38" hidden="1" x14ac:dyDescent="0.2">
      <c r="A3416" s="2">
        <v>2026</v>
      </c>
      <c r="B3416" s="2">
        <v>3</v>
      </c>
      <c r="D3416" s="2" t="s">
        <v>2520</v>
      </c>
      <c r="E3416" s="2" t="s">
        <v>753</v>
      </c>
      <c r="F3416" s="2" t="s">
        <v>39</v>
      </c>
      <c r="G3416" s="2">
        <v>515570354</v>
      </c>
      <c r="H3416" s="2" t="s">
        <v>110</v>
      </c>
      <c r="I3416" s="2" t="s">
        <v>2521</v>
      </c>
      <c r="J3416" s="2" t="s">
        <v>2522</v>
      </c>
      <c r="K3416" s="2">
        <v>967032538</v>
      </c>
      <c r="L3416" s="2" t="s">
        <v>399</v>
      </c>
      <c r="M3416" s="2" t="s">
        <v>110</v>
      </c>
      <c r="O3416" s="2" t="s">
        <v>2643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23"/>
        <v>0.39066666666666677</v>
      </c>
      <c r="Z3416" s="2" t="s">
        <v>3231</v>
      </c>
      <c r="AA3416" s="2" t="s">
        <v>46</v>
      </c>
      <c r="AB3416" s="2" t="s">
        <v>61</v>
      </c>
      <c r="AC3416" s="2" t="s">
        <v>58</v>
      </c>
      <c r="AF3416" s="2">
        <f t="shared" si="419"/>
        <v>0</v>
      </c>
      <c r="AG3416" s="2">
        <v>9.14</v>
      </c>
      <c r="AH3416" s="2">
        <v>16</v>
      </c>
      <c r="AJ3416" s="2">
        <f t="shared" si="420"/>
        <v>0</v>
      </c>
      <c r="AK3416" s="2">
        <f t="shared" si="417"/>
        <v>5.8600000000000012</v>
      </c>
      <c r="AL3416" s="5">
        <f t="shared" si="424"/>
        <v>0.39066666666666677</v>
      </c>
    </row>
    <row r="3417" spans="1:38" hidden="1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23"/>
        <v>0.26666666666666666</v>
      </c>
      <c r="Z3417" s="2" t="s">
        <v>3231</v>
      </c>
      <c r="AA3417" s="2" t="s">
        <v>46</v>
      </c>
      <c r="AB3417" s="2" t="s">
        <v>61</v>
      </c>
      <c r="AC3417" s="2" t="s">
        <v>58</v>
      </c>
      <c r="AF3417" s="2">
        <f t="shared" si="419"/>
        <v>0</v>
      </c>
      <c r="AG3417" s="2">
        <v>8.1999999999999993</v>
      </c>
      <c r="AH3417" s="2">
        <v>13</v>
      </c>
      <c r="AJ3417" s="2">
        <f t="shared" si="420"/>
        <v>0</v>
      </c>
      <c r="AK3417" s="2">
        <f t="shared" si="417"/>
        <v>65.599999999999994</v>
      </c>
      <c r="AL3417" s="5">
        <f t="shared" si="424"/>
        <v>0.26666666666666666</v>
      </c>
    </row>
    <row r="3418" spans="1:38" hidden="1" x14ac:dyDescent="0.2">
      <c r="A3418" s="2">
        <v>2026</v>
      </c>
      <c r="B3418" s="2">
        <v>3</v>
      </c>
      <c r="D3418" s="2" t="s">
        <v>2686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23"/>
        <v>0.36923076923076914</v>
      </c>
      <c r="Z3418" s="2" t="s">
        <v>3231</v>
      </c>
      <c r="AA3418" s="2" t="s">
        <v>46</v>
      </c>
      <c r="AB3418" s="2" t="s">
        <v>61</v>
      </c>
      <c r="AC3418" s="2" t="s">
        <v>58</v>
      </c>
      <c r="AF3418" s="2">
        <f t="shared" si="419"/>
        <v>0</v>
      </c>
      <c r="AG3418" s="2">
        <v>8.1999999999999993</v>
      </c>
      <c r="AH3418" s="2">
        <v>13</v>
      </c>
      <c r="AJ3418" s="2">
        <f t="shared" si="420"/>
        <v>0</v>
      </c>
      <c r="AK3418" s="2">
        <f t="shared" si="417"/>
        <v>4.7999999999999989</v>
      </c>
      <c r="AL3418" s="5">
        <f t="shared" si="424"/>
        <v>0.36923076923076914</v>
      </c>
    </row>
    <row r="3419" spans="1:38" hidden="1" x14ac:dyDescent="0.2">
      <c r="A3419" s="2">
        <v>2026</v>
      </c>
      <c r="B3419" s="2">
        <v>3</v>
      </c>
      <c r="D3419" s="2" t="s">
        <v>2520</v>
      </c>
      <c r="E3419" s="2" t="s">
        <v>753</v>
      </c>
      <c r="F3419" s="2" t="s">
        <v>39</v>
      </c>
      <c r="G3419" s="2">
        <v>515570354</v>
      </c>
      <c r="H3419" s="2" t="s">
        <v>110</v>
      </c>
      <c r="I3419" s="2" t="s">
        <v>2521</v>
      </c>
      <c r="J3419" s="2" t="s">
        <v>2522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23"/>
        <v>0.36923076923076914</v>
      </c>
      <c r="Z3419" s="2" t="s">
        <v>3231</v>
      </c>
      <c r="AA3419" s="2" t="s">
        <v>46</v>
      </c>
      <c r="AB3419" s="2" t="s">
        <v>61</v>
      </c>
      <c r="AC3419" s="2" t="s">
        <v>58</v>
      </c>
      <c r="AF3419" s="2">
        <f t="shared" si="419"/>
        <v>0</v>
      </c>
      <c r="AG3419" s="2">
        <v>8.1999999999999993</v>
      </c>
      <c r="AH3419" s="2">
        <v>13</v>
      </c>
      <c r="AJ3419" s="2">
        <f t="shared" si="420"/>
        <v>0</v>
      </c>
      <c r="AK3419" s="2">
        <f t="shared" si="417"/>
        <v>4.7999999999999989</v>
      </c>
      <c r="AL3419" s="5">
        <f t="shared" si="424"/>
        <v>0.36923076923076914</v>
      </c>
    </row>
    <row r="3420" spans="1:38" hidden="1" x14ac:dyDescent="0.2">
      <c r="A3420" s="2">
        <v>2026</v>
      </c>
      <c r="B3420" s="2">
        <v>3</v>
      </c>
      <c r="D3420" s="2" t="s">
        <v>1010</v>
      </c>
      <c r="E3420" s="2" t="s">
        <v>109</v>
      </c>
      <c r="F3420" s="2" t="s">
        <v>39</v>
      </c>
      <c r="L3420" s="2" t="s">
        <v>419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23"/>
        <v>0.36923076923076914</v>
      </c>
      <c r="Z3420" s="2" t="s">
        <v>3231</v>
      </c>
      <c r="AA3420" s="2" t="s">
        <v>46</v>
      </c>
      <c r="AB3420" s="2" t="s">
        <v>61</v>
      </c>
      <c r="AC3420" s="2" t="s">
        <v>58</v>
      </c>
      <c r="AF3420" s="2">
        <f t="shared" si="419"/>
        <v>0</v>
      </c>
      <c r="AG3420" s="2">
        <v>8.1999999999999993</v>
      </c>
      <c r="AH3420" s="2">
        <v>13</v>
      </c>
      <c r="AJ3420" s="2">
        <f t="shared" si="420"/>
        <v>0</v>
      </c>
      <c r="AK3420" s="2">
        <f t="shared" si="417"/>
        <v>4.7999999999999989</v>
      </c>
      <c r="AL3420" s="5">
        <f t="shared" si="424"/>
        <v>0.36923076923076914</v>
      </c>
    </row>
    <row r="3421" spans="1:38" hidden="1" x14ac:dyDescent="0.2">
      <c r="A3421" s="2">
        <v>2026</v>
      </c>
      <c r="B3421" s="2">
        <v>3</v>
      </c>
      <c r="D3421" s="2" t="s">
        <v>782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783</v>
      </c>
      <c r="J3421" s="2" t="s">
        <v>784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23"/>
        <v>0.36923076923076914</v>
      </c>
      <c r="Z3421" s="2" t="s">
        <v>3231</v>
      </c>
      <c r="AA3421" s="2" t="s">
        <v>46</v>
      </c>
      <c r="AB3421" s="2" t="s">
        <v>61</v>
      </c>
      <c r="AC3421" s="2" t="s">
        <v>58</v>
      </c>
      <c r="AF3421" s="2">
        <f t="shared" si="419"/>
        <v>0</v>
      </c>
      <c r="AG3421" s="2">
        <v>8.1999999999999993</v>
      </c>
      <c r="AH3421" s="2">
        <v>13</v>
      </c>
      <c r="AJ3421" s="2">
        <f t="shared" si="420"/>
        <v>0</v>
      </c>
      <c r="AK3421" s="2">
        <f t="shared" si="417"/>
        <v>4.7999999999999989</v>
      </c>
      <c r="AL3421" s="5">
        <f t="shared" si="424"/>
        <v>0.36923076923076914</v>
      </c>
    </row>
    <row r="3422" spans="1:38" hidden="1" x14ac:dyDescent="0.2">
      <c r="A3422" s="2">
        <v>2026</v>
      </c>
      <c r="B3422" s="2">
        <v>4</v>
      </c>
      <c r="D3422" s="2" t="s">
        <v>690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691</v>
      </c>
      <c r="K3422" s="2">
        <v>913036545</v>
      </c>
      <c r="L3422" s="2" t="s">
        <v>178</v>
      </c>
      <c r="M3422" s="2" t="s">
        <v>41</v>
      </c>
      <c r="O3422" s="2" t="s">
        <v>2617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23"/>
        <v>0.53121428571428575</v>
      </c>
      <c r="Z3422" s="2" t="s">
        <v>3231</v>
      </c>
      <c r="AA3422" s="2" t="s">
        <v>46</v>
      </c>
      <c r="AB3422" s="2" t="s">
        <v>57</v>
      </c>
      <c r="AC3422" s="2" t="s">
        <v>58</v>
      </c>
      <c r="AF3422" s="2">
        <f t="shared" si="419"/>
        <v>0</v>
      </c>
      <c r="AG3422" s="2">
        <v>5.9066999999999998</v>
      </c>
      <c r="AH3422" s="2">
        <v>12.6</v>
      </c>
      <c r="AJ3422" s="2">
        <f t="shared" si="420"/>
        <v>0</v>
      </c>
      <c r="AK3422" s="2">
        <f t="shared" si="417"/>
        <v>13.3866</v>
      </c>
      <c r="AL3422" s="5">
        <f t="shared" si="424"/>
        <v>0.53121428571428575</v>
      </c>
    </row>
    <row r="3423" spans="1:38" hidden="1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23"/>
        <v>0.3166666666666666</v>
      </c>
      <c r="Z3423" s="2" t="s">
        <v>3231</v>
      </c>
      <c r="AA3423" s="2" t="s">
        <v>46</v>
      </c>
      <c r="AB3423" s="2" t="s">
        <v>61</v>
      </c>
      <c r="AC3423" s="2" t="s">
        <v>58</v>
      </c>
      <c r="AF3423" s="2">
        <f t="shared" si="419"/>
        <v>0</v>
      </c>
      <c r="AG3423" s="2">
        <v>8.1999999999999993</v>
      </c>
      <c r="AH3423" s="2">
        <v>13</v>
      </c>
      <c r="AJ3423" s="2">
        <f t="shared" si="420"/>
        <v>0</v>
      </c>
      <c r="AK3423" s="2">
        <f t="shared" si="417"/>
        <v>7.5999999999999979</v>
      </c>
      <c r="AL3423" s="5">
        <f t="shared" si="424"/>
        <v>0.3166666666666666</v>
      </c>
    </row>
    <row r="3424" spans="1:38" hidden="1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23"/>
        <v>0.36923076923076914</v>
      </c>
      <c r="Z3424" s="2" t="s">
        <v>3231</v>
      </c>
      <c r="AA3424" s="2" t="s">
        <v>46</v>
      </c>
      <c r="AB3424" s="2" t="s">
        <v>61</v>
      </c>
      <c r="AC3424" s="2" t="s">
        <v>58</v>
      </c>
      <c r="AF3424" s="2">
        <f t="shared" si="419"/>
        <v>0</v>
      </c>
      <c r="AG3424" s="2">
        <v>8.1999999999999993</v>
      </c>
      <c r="AH3424" s="2">
        <v>13</v>
      </c>
      <c r="AJ3424" s="2">
        <f t="shared" si="420"/>
        <v>0</v>
      </c>
      <c r="AK3424" s="2">
        <f t="shared" si="417"/>
        <v>9.5999999999999979</v>
      </c>
      <c r="AL3424" s="5">
        <f t="shared" si="424"/>
        <v>0.36923076923076914</v>
      </c>
    </row>
    <row r="3425" spans="1:38" hidden="1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23"/>
        <v>0.25454545454545452</v>
      </c>
      <c r="Z3425" s="2" t="s">
        <v>3231</v>
      </c>
      <c r="AA3425" s="2" t="s">
        <v>46</v>
      </c>
      <c r="AB3425" s="2" t="s">
        <v>61</v>
      </c>
      <c r="AC3425" s="2" t="s">
        <v>58</v>
      </c>
      <c r="AF3425" s="2">
        <f t="shared" si="419"/>
        <v>0</v>
      </c>
      <c r="AG3425" s="2">
        <v>8.1999999999999993</v>
      </c>
      <c r="AH3425" s="2">
        <v>13</v>
      </c>
      <c r="AJ3425" s="2">
        <f t="shared" si="420"/>
        <v>0</v>
      </c>
      <c r="AK3425" s="2">
        <f t="shared" si="417"/>
        <v>28</v>
      </c>
      <c r="AL3425" s="5">
        <f t="shared" si="424"/>
        <v>0.25454545454545452</v>
      </c>
    </row>
    <row r="3426" spans="1:38" hidden="1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2679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3231</v>
      </c>
      <c r="AA3426" s="2" t="s">
        <v>46</v>
      </c>
      <c r="AB3426" s="2" t="s">
        <v>61</v>
      </c>
      <c r="AC3426" s="2" t="s">
        <v>58</v>
      </c>
      <c r="AF3426" s="2">
        <f t="shared" si="419"/>
        <v>0</v>
      </c>
      <c r="AG3426" s="2">
        <v>8.1999999999999993</v>
      </c>
      <c r="AH3426" s="2">
        <v>13</v>
      </c>
      <c r="AJ3426" s="2">
        <f t="shared" si="420"/>
        <v>0</v>
      </c>
      <c r="AK3426" s="2">
        <f t="shared" si="417"/>
        <v>-16.400000000000002</v>
      </c>
      <c r="AL3426" s="19">
        <f>IF(T3426=0,IF(W3426&gt;0,-100%,0%),(T3426-W3426)/T3426)</f>
        <v>-1</v>
      </c>
    </row>
    <row r="3427" spans="1:38" hidden="1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25">(T3427-W3427)/T3427</f>
        <v>0.21904761904761905</v>
      </c>
      <c r="Z3427" s="2" t="s">
        <v>3231</v>
      </c>
      <c r="AA3427" s="2" t="s">
        <v>46</v>
      </c>
      <c r="AB3427" s="2" t="s">
        <v>61</v>
      </c>
      <c r="AC3427" s="2" t="s">
        <v>58</v>
      </c>
      <c r="AF3427" s="2">
        <f t="shared" si="419"/>
        <v>0</v>
      </c>
      <c r="AG3427" s="2">
        <v>8.1999999999999993</v>
      </c>
      <c r="AH3427" s="2">
        <v>13</v>
      </c>
      <c r="AJ3427" s="2">
        <f t="shared" si="420"/>
        <v>0</v>
      </c>
      <c r="AK3427" s="2">
        <f t="shared" si="417"/>
        <v>23</v>
      </c>
      <c r="AL3427" s="5">
        <f t="shared" ref="AL3427:AL3437" si="426">(T3427-W3427)/T3427</f>
        <v>0.21904761904761905</v>
      </c>
    </row>
    <row r="3428" spans="1:38" hidden="1" x14ac:dyDescent="0.2">
      <c r="A3428" s="2">
        <v>2026</v>
      </c>
      <c r="B3428" s="2">
        <v>3</v>
      </c>
      <c r="D3428" s="2" t="s">
        <v>2686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27">0.0914*S3428</f>
        <v>9.1399999999999988</v>
      </c>
      <c r="X3428" s="5">
        <f t="shared" si="425"/>
        <v>0.39066666666666677</v>
      </c>
      <c r="Z3428" s="2" t="s">
        <v>3231</v>
      </c>
      <c r="AA3428" s="2" t="s">
        <v>46</v>
      </c>
      <c r="AB3428" s="2" t="s">
        <v>61</v>
      </c>
      <c r="AC3428" s="2" t="s">
        <v>58</v>
      </c>
      <c r="AF3428" s="2">
        <f t="shared" si="419"/>
        <v>0</v>
      </c>
      <c r="AJ3428" s="2">
        <f t="shared" si="420"/>
        <v>0</v>
      </c>
      <c r="AK3428" s="2">
        <f t="shared" si="417"/>
        <v>5.8600000000000012</v>
      </c>
      <c r="AL3428" s="5">
        <f t="shared" si="426"/>
        <v>0.39066666666666677</v>
      </c>
    </row>
    <row r="3429" spans="1:38" hidden="1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27"/>
        <v>45.699999999999996</v>
      </c>
      <c r="X3429" s="5">
        <f t="shared" si="425"/>
        <v>0.29692307692307701</v>
      </c>
      <c r="Z3429" s="2" t="s">
        <v>3231</v>
      </c>
      <c r="AA3429" s="2" t="s">
        <v>46</v>
      </c>
      <c r="AB3429" s="2" t="s">
        <v>61</v>
      </c>
      <c r="AC3429" s="2" t="s">
        <v>58</v>
      </c>
      <c r="AF3429" s="2">
        <f t="shared" si="419"/>
        <v>0</v>
      </c>
      <c r="AJ3429" s="2">
        <f t="shared" si="420"/>
        <v>0</v>
      </c>
      <c r="AK3429" s="2">
        <f t="shared" si="417"/>
        <v>19.300000000000004</v>
      </c>
      <c r="AL3429" s="5">
        <f t="shared" si="426"/>
        <v>0.29692307692307701</v>
      </c>
    </row>
    <row r="3430" spans="1:38" hidden="1" x14ac:dyDescent="0.2">
      <c r="A3430" s="2">
        <v>2026</v>
      </c>
      <c r="B3430" s="2">
        <v>3</v>
      </c>
      <c r="D3430" s="2" t="s">
        <v>982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27"/>
        <v>9.1399999999999988</v>
      </c>
      <c r="X3430" s="5">
        <f t="shared" si="425"/>
        <v>0.34714285714285725</v>
      </c>
      <c r="Z3430" s="2" t="s">
        <v>3231</v>
      </c>
      <c r="AA3430" s="2" t="s">
        <v>46</v>
      </c>
      <c r="AB3430" s="2" t="s">
        <v>61</v>
      </c>
      <c r="AC3430" s="2" t="s">
        <v>58</v>
      </c>
      <c r="AF3430" s="2">
        <f t="shared" si="419"/>
        <v>0</v>
      </c>
      <c r="AJ3430" s="2">
        <f t="shared" si="420"/>
        <v>0</v>
      </c>
      <c r="AK3430" s="2">
        <f t="shared" si="417"/>
        <v>4.8600000000000012</v>
      </c>
      <c r="AL3430" s="5">
        <f t="shared" si="426"/>
        <v>0.34714285714285725</v>
      </c>
    </row>
    <row r="3431" spans="1:38" hidden="1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25"/>
        <v>1</v>
      </c>
      <c r="Z3431" s="2" t="s">
        <v>3231</v>
      </c>
      <c r="AA3431" s="2" t="s">
        <v>46</v>
      </c>
      <c r="AB3431" s="2" t="s">
        <v>91</v>
      </c>
      <c r="AC3431" s="2" t="s">
        <v>58</v>
      </c>
      <c r="AF3431" s="2">
        <f t="shared" si="419"/>
        <v>0</v>
      </c>
      <c r="AJ3431" s="2">
        <f t="shared" si="420"/>
        <v>0</v>
      </c>
      <c r="AK3431" s="2">
        <f t="shared" si="417"/>
        <v>6</v>
      </c>
      <c r="AL3431" s="5">
        <f t="shared" si="426"/>
        <v>1</v>
      </c>
    </row>
    <row r="3432" spans="1:38" hidden="1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3138</v>
      </c>
      <c r="L3432" s="2" t="s">
        <v>178</v>
      </c>
      <c r="M3432" s="2" t="s">
        <v>41</v>
      </c>
      <c r="O3432" s="2" t="s">
        <v>3146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25"/>
        <v>1</v>
      </c>
      <c r="Z3432" s="2" t="s">
        <v>3231</v>
      </c>
      <c r="AA3432" s="2" t="s">
        <v>46</v>
      </c>
      <c r="AB3432" s="2" t="s">
        <v>47</v>
      </c>
      <c r="AC3432" s="2" t="s">
        <v>48</v>
      </c>
      <c r="AF3432" s="2">
        <f t="shared" si="419"/>
        <v>0</v>
      </c>
      <c r="AJ3432" s="2">
        <f t="shared" si="420"/>
        <v>0</v>
      </c>
      <c r="AK3432" s="2">
        <f t="shared" si="417"/>
        <v>21</v>
      </c>
      <c r="AL3432" s="5">
        <f t="shared" si="426"/>
        <v>1</v>
      </c>
    </row>
    <row r="3433" spans="1:38" hidden="1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25"/>
        <v>0.23666666666666661</v>
      </c>
      <c r="Z3433" s="2" t="s">
        <v>3231</v>
      </c>
      <c r="AA3433" s="2" t="s">
        <v>46</v>
      </c>
      <c r="AB3433" s="2" t="s">
        <v>61</v>
      </c>
      <c r="AC3433" s="2" t="s">
        <v>58</v>
      </c>
      <c r="AF3433" s="2">
        <f t="shared" si="419"/>
        <v>0</v>
      </c>
      <c r="AG3433" s="2">
        <v>1.8320000000000001</v>
      </c>
      <c r="AH3433" s="2">
        <v>2.4</v>
      </c>
      <c r="AJ3433" s="2">
        <f t="shared" si="420"/>
        <v>0</v>
      </c>
      <c r="AK3433" s="2">
        <f t="shared" si="417"/>
        <v>1.1359999999999997</v>
      </c>
      <c r="AL3433" s="5">
        <f t="shared" si="426"/>
        <v>0.23666666666666661</v>
      </c>
    </row>
    <row r="3434" spans="1:38" hidden="1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2692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25"/>
        <v>0.47838888888888892</v>
      </c>
      <c r="Z3434" s="2" t="s">
        <v>3231</v>
      </c>
      <c r="AA3434" s="2" t="s">
        <v>46</v>
      </c>
      <c r="AB3434" s="2" t="s">
        <v>61</v>
      </c>
      <c r="AC3434" s="2" t="s">
        <v>58</v>
      </c>
      <c r="AF3434" s="2">
        <f t="shared" si="419"/>
        <v>0</v>
      </c>
      <c r="AG3434" s="2">
        <v>3.7555999999999998</v>
      </c>
      <c r="AH3434" s="2">
        <v>7.2</v>
      </c>
      <c r="AJ3434" s="2">
        <f t="shared" si="420"/>
        <v>0</v>
      </c>
      <c r="AK3434" s="2">
        <f t="shared" si="417"/>
        <v>68.888000000000005</v>
      </c>
      <c r="AL3434" s="5">
        <f t="shared" si="426"/>
        <v>0.47838888888888892</v>
      </c>
    </row>
    <row r="3435" spans="1:38" hidden="1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25"/>
        <v>0.5243888888888889</v>
      </c>
      <c r="Z3435" s="2" t="s">
        <v>3231</v>
      </c>
      <c r="AA3435" s="2" t="s">
        <v>46</v>
      </c>
      <c r="AB3435" s="2" t="s">
        <v>61</v>
      </c>
      <c r="AC3435" s="2" t="s">
        <v>58</v>
      </c>
      <c r="AF3435" s="2">
        <f t="shared" si="419"/>
        <v>0</v>
      </c>
      <c r="AG3435" s="2">
        <v>0.85609999999999997</v>
      </c>
      <c r="AH3435" s="2">
        <v>1.8</v>
      </c>
      <c r="AJ3435" s="2">
        <f t="shared" si="420"/>
        <v>0</v>
      </c>
      <c r="AK3435" s="2">
        <f t="shared" si="417"/>
        <v>18.878</v>
      </c>
      <c r="AL3435" s="5">
        <f t="shared" si="426"/>
        <v>0.5243888888888889</v>
      </c>
    </row>
    <row r="3436" spans="1:38" hidden="1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25"/>
        <v>0.62926666666666664</v>
      </c>
      <c r="Z3436" s="2" t="s">
        <v>3231</v>
      </c>
      <c r="AA3436" s="2" t="s">
        <v>46</v>
      </c>
      <c r="AB3436" s="2" t="s">
        <v>61</v>
      </c>
      <c r="AC3436" s="2" t="s">
        <v>58</v>
      </c>
      <c r="AF3436" s="2">
        <f t="shared" si="419"/>
        <v>0</v>
      </c>
      <c r="AG3436" s="2">
        <v>1.1122000000000001</v>
      </c>
      <c r="AH3436" s="2">
        <v>3</v>
      </c>
      <c r="AJ3436" s="2">
        <f t="shared" si="420"/>
        <v>0</v>
      </c>
      <c r="AK3436" s="2">
        <f t="shared" si="417"/>
        <v>75.512</v>
      </c>
      <c r="AL3436" s="5">
        <f t="shared" si="426"/>
        <v>0.62926666666666664</v>
      </c>
    </row>
    <row r="3437" spans="1:38" hidden="1" x14ac:dyDescent="0.2">
      <c r="A3437" s="2">
        <v>2026</v>
      </c>
      <c r="B3437" s="2">
        <v>3</v>
      </c>
      <c r="D3437" s="2" t="s">
        <v>694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696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25"/>
        <v>0.5295333333333333</v>
      </c>
      <c r="Z3437" s="2" t="s">
        <v>3231</v>
      </c>
      <c r="AA3437" s="2" t="s">
        <v>46</v>
      </c>
      <c r="AB3437" s="2" t="s">
        <v>61</v>
      </c>
      <c r="AC3437" s="2" t="s">
        <v>58</v>
      </c>
      <c r="AF3437" s="2">
        <f t="shared" si="419"/>
        <v>0</v>
      </c>
      <c r="AG3437" s="2">
        <v>1.4114</v>
      </c>
      <c r="AH3437" s="2">
        <v>3</v>
      </c>
      <c r="AJ3437" s="2">
        <f t="shared" si="420"/>
        <v>0</v>
      </c>
      <c r="AK3437" s="2">
        <f t="shared" si="417"/>
        <v>31.771999999999998</v>
      </c>
      <c r="AL3437" s="5">
        <f t="shared" si="426"/>
        <v>0.5295333333333333</v>
      </c>
    </row>
    <row r="3438" spans="1:38" hidden="1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2679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3231</v>
      </c>
      <c r="AA3438" s="2" t="s">
        <v>46</v>
      </c>
      <c r="AB3438" s="2" t="s">
        <v>61</v>
      </c>
      <c r="AC3438" s="2" t="s">
        <v>58</v>
      </c>
      <c r="AF3438" s="2">
        <f t="shared" si="419"/>
        <v>0</v>
      </c>
      <c r="AJ3438" s="2">
        <f t="shared" si="420"/>
        <v>0</v>
      </c>
      <c r="AK3438" s="2">
        <f t="shared" si="417"/>
        <v>-5.7539999999999996</v>
      </c>
      <c r="AL3438" s="18">
        <v>-1</v>
      </c>
    </row>
    <row r="3439" spans="1:38" hidden="1" x14ac:dyDescent="0.2">
      <c r="A3439" s="2">
        <v>2026</v>
      </c>
      <c r="B3439" s="2">
        <v>3</v>
      </c>
      <c r="D3439" s="2" t="s">
        <v>766</v>
      </c>
      <c r="E3439" s="2" t="s">
        <v>38</v>
      </c>
      <c r="G3439" s="2">
        <v>513686231</v>
      </c>
      <c r="H3439" s="2" t="s">
        <v>291</v>
      </c>
      <c r="I3439" s="2" t="s">
        <v>767</v>
      </c>
      <c r="J3439" s="2" t="s">
        <v>768</v>
      </c>
      <c r="L3439" s="2" t="s">
        <v>481</v>
      </c>
      <c r="M3439" s="2" t="s">
        <v>81</v>
      </c>
      <c r="O3439" s="2" t="s">
        <v>2693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28">(T3439-W3439)/T3439</f>
        <v>0.45283848797250864</v>
      </c>
      <c r="Z3439" s="2" t="s">
        <v>3231</v>
      </c>
      <c r="AA3439" s="2" t="s">
        <v>46</v>
      </c>
      <c r="AB3439" s="2" t="s">
        <v>68</v>
      </c>
      <c r="AC3439" s="2" t="s">
        <v>58</v>
      </c>
      <c r="AF3439" s="2">
        <f t="shared" si="419"/>
        <v>0</v>
      </c>
      <c r="AG3439" s="2">
        <v>7.9611999999999998</v>
      </c>
      <c r="AH3439" s="2">
        <v>14.4</v>
      </c>
      <c r="AJ3439" s="2">
        <f t="shared" si="420"/>
        <v>0</v>
      </c>
      <c r="AK3439" s="2">
        <f t="shared" si="417"/>
        <v>52.710400000000007</v>
      </c>
      <c r="AL3439" s="5">
        <f t="shared" ref="AL3439:AL3502" si="429">(T3439-W3439)/T3439</f>
        <v>0.45283848797250864</v>
      </c>
    </row>
    <row r="3440" spans="1:38" hidden="1" x14ac:dyDescent="0.2">
      <c r="A3440" s="2">
        <v>2026</v>
      </c>
      <c r="B3440" s="2">
        <v>3</v>
      </c>
      <c r="D3440" s="2" t="s">
        <v>2520</v>
      </c>
      <c r="E3440" s="2" t="s">
        <v>753</v>
      </c>
      <c r="F3440" s="2" t="s">
        <v>39</v>
      </c>
      <c r="G3440" s="2">
        <v>515570354</v>
      </c>
      <c r="H3440" s="2" t="s">
        <v>110</v>
      </c>
      <c r="I3440" s="2" t="s">
        <v>2521</v>
      </c>
      <c r="J3440" s="2" t="s">
        <v>2522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28"/>
        <v>0.45578623188405798</v>
      </c>
      <c r="Z3440" s="2" t="s">
        <v>3231</v>
      </c>
      <c r="AA3440" s="2" t="s">
        <v>46</v>
      </c>
      <c r="AB3440" s="2" t="s">
        <v>68</v>
      </c>
      <c r="AC3440" s="2" t="s">
        <v>58</v>
      </c>
      <c r="AF3440" s="2">
        <f t="shared" si="419"/>
        <v>0</v>
      </c>
      <c r="AG3440" s="2">
        <v>15.020300000000001</v>
      </c>
      <c r="AH3440" s="2">
        <v>27.6</v>
      </c>
      <c r="AJ3440" s="2">
        <f t="shared" si="420"/>
        <v>0</v>
      </c>
      <c r="AK3440" s="2">
        <f t="shared" si="417"/>
        <v>12.579700000000001</v>
      </c>
      <c r="AL3440" s="5">
        <f t="shared" si="429"/>
        <v>0.45578623188405798</v>
      </c>
    </row>
    <row r="3441" spans="1:38" hidden="1" x14ac:dyDescent="0.2">
      <c r="A3441" s="2">
        <v>2026</v>
      </c>
      <c r="B3441" s="2">
        <v>3</v>
      </c>
      <c r="D3441" s="2" t="s">
        <v>1010</v>
      </c>
      <c r="E3441" s="2" t="s">
        <v>109</v>
      </c>
      <c r="F3441" s="2" t="s">
        <v>39</v>
      </c>
      <c r="L3441" s="2" t="s">
        <v>419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28"/>
        <v>0.3608382978723404</v>
      </c>
      <c r="Z3441" s="2" t="s">
        <v>3231</v>
      </c>
      <c r="AA3441" s="2" t="s">
        <v>46</v>
      </c>
      <c r="AB3441" s="2" t="s">
        <v>68</v>
      </c>
      <c r="AC3441" s="2" t="s">
        <v>58</v>
      </c>
      <c r="AF3441" s="2">
        <f t="shared" si="419"/>
        <v>0</v>
      </c>
      <c r="AG3441" s="2">
        <v>15.020300000000001</v>
      </c>
      <c r="AH3441" s="2">
        <v>27.6</v>
      </c>
      <c r="AJ3441" s="2">
        <f t="shared" si="420"/>
        <v>0</v>
      </c>
      <c r="AK3441" s="2">
        <f t="shared" si="417"/>
        <v>8.4796999999999993</v>
      </c>
      <c r="AL3441" s="5">
        <f t="shared" si="429"/>
        <v>0.3608382978723404</v>
      </c>
    </row>
    <row r="3442" spans="1:38" hidden="1" x14ac:dyDescent="0.2">
      <c r="A3442" s="2">
        <v>2026</v>
      </c>
      <c r="B3442" s="2">
        <v>3</v>
      </c>
      <c r="D3442" s="2" t="s">
        <v>814</v>
      </c>
      <c r="E3442" s="2" t="s">
        <v>38</v>
      </c>
      <c r="F3442" s="2" t="s">
        <v>39</v>
      </c>
      <c r="G3442" s="2" t="s">
        <v>815</v>
      </c>
      <c r="H3442" s="2" t="s">
        <v>41</v>
      </c>
      <c r="I3442" s="2" t="s">
        <v>627</v>
      </c>
      <c r="L3442" s="2" t="s">
        <v>627</v>
      </c>
      <c r="M3442" s="2" t="s">
        <v>41</v>
      </c>
      <c r="O3442" s="2" t="s">
        <v>2681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28"/>
        <v>0.3608382978723404</v>
      </c>
      <c r="Z3442" s="2" t="s">
        <v>3231</v>
      </c>
      <c r="AA3442" s="2" t="s">
        <v>46</v>
      </c>
      <c r="AB3442" s="2" t="s">
        <v>68</v>
      </c>
      <c r="AC3442" s="2" t="s">
        <v>58</v>
      </c>
      <c r="AF3442" s="2">
        <f t="shared" si="419"/>
        <v>0</v>
      </c>
      <c r="AG3442" s="2">
        <v>15.020300000000001</v>
      </c>
      <c r="AH3442" s="2">
        <v>27.6</v>
      </c>
      <c r="AJ3442" s="2">
        <f t="shared" si="420"/>
        <v>0</v>
      </c>
      <c r="AK3442" s="2">
        <f t="shared" si="417"/>
        <v>8.4796999999999993</v>
      </c>
      <c r="AL3442" s="5">
        <f t="shared" si="429"/>
        <v>0.3608382978723404</v>
      </c>
    </row>
    <row r="3443" spans="1:38" hidden="1" x14ac:dyDescent="0.2">
      <c r="A3443" s="2">
        <v>2026</v>
      </c>
      <c r="B3443" s="2">
        <v>3</v>
      </c>
      <c r="C3443" s="2" t="s">
        <v>3449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28"/>
        <v>0.31725909090909088</v>
      </c>
      <c r="Z3443" s="2" t="s">
        <v>3231</v>
      </c>
      <c r="AA3443" s="2" t="s">
        <v>46</v>
      </c>
      <c r="AB3443" s="2" t="s">
        <v>68</v>
      </c>
      <c r="AC3443" s="2" t="s">
        <v>58</v>
      </c>
      <c r="AF3443" s="2">
        <f t="shared" si="419"/>
        <v>0</v>
      </c>
      <c r="AG3443" s="2">
        <v>15.020300000000001</v>
      </c>
      <c r="AH3443" s="2">
        <v>27.6</v>
      </c>
      <c r="AJ3443" s="2">
        <f t="shared" si="420"/>
        <v>0</v>
      </c>
      <c r="AK3443" s="2">
        <f t="shared" si="417"/>
        <v>27.918799999999997</v>
      </c>
      <c r="AL3443" s="5">
        <f t="shared" si="429"/>
        <v>0.31725909090909088</v>
      </c>
    </row>
    <row r="3444" spans="1:38" hidden="1" x14ac:dyDescent="0.2">
      <c r="A3444" s="2">
        <v>2026</v>
      </c>
      <c r="B3444" s="2">
        <v>3</v>
      </c>
      <c r="D3444" s="2" t="s">
        <v>2694</v>
      </c>
      <c r="M3444" s="2" t="s">
        <v>40</v>
      </c>
      <c r="P3444" s="2" t="s">
        <v>2695</v>
      </c>
      <c r="Q3444" s="2" t="s">
        <v>2696</v>
      </c>
      <c r="R3444" s="2" t="s">
        <v>2697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28"/>
        <v>1</v>
      </c>
      <c r="Z3444" s="2" t="s">
        <v>3231</v>
      </c>
      <c r="AF3444" s="2">
        <f t="shared" si="419"/>
        <v>0</v>
      </c>
      <c r="AJ3444" s="2">
        <f t="shared" si="420"/>
        <v>0</v>
      </c>
      <c r="AK3444" s="2">
        <f t="shared" si="417"/>
        <v>4620</v>
      </c>
      <c r="AL3444" s="5">
        <f t="shared" si="429"/>
        <v>1</v>
      </c>
    </row>
    <row r="3445" spans="1:38" hidden="1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2698</v>
      </c>
      <c r="P3445" s="2" t="s">
        <v>3234</v>
      </c>
      <c r="Q3445" s="2" t="s">
        <v>2699</v>
      </c>
      <c r="R3445" s="2" t="s">
        <v>2700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28"/>
        <v>0.4891828571428572</v>
      </c>
      <c r="Z3445" s="2" t="s">
        <v>105</v>
      </c>
      <c r="AA3445" s="2" t="s">
        <v>2701</v>
      </c>
      <c r="AB3445" s="2" t="s">
        <v>2702</v>
      </c>
      <c r="AC3445" s="2" t="s">
        <v>3234</v>
      </c>
      <c r="AF3445" s="2">
        <f t="shared" si="419"/>
        <v>0</v>
      </c>
      <c r="AG3445" s="2">
        <v>893.93</v>
      </c>
      <c r="AJ3445" s="2">
        <f t="shared" si="420"/>
        <v>0</v>
      </c>
      <c r="AK3445" s="2">
        <f t="shared" si="417"/>
        <v>856.07</v>
      </c>
      <c r="AL3445" s="5">
        <f t="shared" si="429"/>
        <v>0.4891828571428572</v>
      </c>
    </row>
    <row r="3446" spans="1:38" hidden="1" x14ac:dyDescent="0.2">
      <c r="A3446" s="2">
        <v>2026</v>
      </c>
      <c r="B3446" s="2">
        <v>3</v>
      </c>
      <c r="D3446" s="2" t="s">
        <v>1888</v>
      </c>
      <c r="P3446" s="2" t="s">
        <v>3234</v>
      </c>
      <c r="Q3446" s="2" t="s">
        <v>1790</v>
      </c>
      <c r="R3446" s="2" t="s">
        <v>1791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28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3234</v>
      </c>
      <c r="AF3446" s="2">
        <f t="shared" si="419"/>
        <v>0</v>
      </c>
      <c r="AJ3446" s="2">
        <f t="shared" si="420"/>
        <v>0</v>
      </c>
      <c r="AK3446" s="2">
        <f t="shared" ref="AK3446:AK3509" si="430">T3446-W3446</f>
        <v>1023.04</v>
      </c>
      <c r="AL3446" s="5">
        <f t="shared" si="429"/>
        <v>0.49662135922330097</v>
      </c>
    </row>
    <row r="3447" spans="1:38" hidden="1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2703</v>
      </c>
      <c r="P3447" s="2" t="s">
        <v>3234</v>
      </c>
      <c r="Q3447" s="2" t="s">
        <v>2704</v>
      </c>
      <c r="R3447" s="2" t="s">
        <v>2705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28"/>
        <v>0.49175806451612902</v>
      </c>
      <c r="Z3447" s="2" t="s">
        <v>105</v>
      </c>
      <c r="AA3447" s="2" t="s">
        <v>265</v>
      </c>
      <c r="AB3447" s="2" t="s">
        <v>1097</v>
      </c>
      <c r="AC3447" s="2" t="s">
        <v>3234</v>
      </c>
      <c r="AF3447" s="2">
        <f t="shared" si="419"/>
        <v>0</v>
      </c>
      <c r="AJ3447" s="2">
        <f t="shared" si="420"/>
        <v>0</v>
      </c>
      <c r="AK3447" s="2">
        <f t="shared" si="430"/>
        <v>1524.45</v>
      </c>
      <c r="AL3447" s="5">
        <f t="shared" si="429"/>
        <v>0.49175806451612902</v>
      </c>
    </row>
    <row r="3448" spans="1:38" hidden="1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2703</v>
      </c>
      <c r="P3448" s="2" t="s">
        <v>3234</v>
      </c>
      <c r="Q3448" s="2" t="s">
        <v>1949</v>
      </c>
      <c r="R3448" s="2" t="s">
        <v>1950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28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3234</v>
      </c>
      <c r="AF3448" s="2">
        <f t="shared" si="419"/>
        <v>0</v>
      </c>
      <c r="AJ3448" s="2">
        <f t="shared" si="420"/>
        <v>0</v>
      </c>
      <c r="AK3448" s="2">
        <f t="shared" si="430"/>
        <v>5837.69</v>
      </c>
      <c r="AL3448" s="5">
        <f t="shared" si="429"/>
        <v>0.58435335335335337</v>
      </c>
    </row>
    <row r="3449" spans="1:38" hidden="1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2706</v>
      </c>
      <c r="R3449" s="2" t="s">
        <v>2707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28"/>
        <v>1</v>
      </c>
      <c r="Z3449" s="2" t="s">
        <v>3231</v>
      </c>
      <c r="AC3449" s="2" t="s">
        <v>3235</v>
      </c>
      <c r="AF3449" s="2">
        <f t="shared" si="419"/>
        <v>0</v>
      </c>
      <c r="AJ3449" s="2">
        <f t="shared" si="420"/>
        <v>0</v>
      </c>
      <c r="AK3449" s="2">
        <f t="shared" si="430"/>
        <v>60</v>
      </c>
      <c r="AL3449" s="5">
        <f t="shared" si="429"/>
        <v>1</v>
      </c>
    </row>
    <row r="3450" spans="1:38" hidden="1" x14ac:dyDescent="0.2">
      <c r="A3450" s="2">
        <v>2026</v>
      </c>
      <c r="B3450" s="2">
        <v>3</v>
      </c>
      <c r="D3450" s="2" t="s">
        <v>1959</v>
      </c>
      <c r="M3450" s="2" t="s">
        <v>40</v>
      </c>
      <c r="P3450" s="2" t="s">
        <v>69</v>
      </c>
      <c r="Q3450" s="2" t="s">
        <v>2708</v>
      </c>
      <c r="R3450" s="2" t="s">
        <v>2709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28"/>
        <v>1</v>
      </c>
      <c r="Z3450" s="2" t="s">
        <v>3231</v>
      </c>
      <c r="AC3450" s="2" t="s">
        <v>3235</v>
      </c>
      <c r="AF3450" s="2">
        <f t="shared" si="419"/>
        <v>0</v>
      </c>
      <c r="AJ3450" s="2">
        <f t="shared" si="420"/>
        <v>0</v>
      </c>
      <c r="AK3450" s="2">
        <f t="shared" si="430"/>
        <v>98</v>
      </c>
      <c r="AL3450" s="5">
        <f t="shared" si="429"/>
        <v>1</v>
      </c>
    </row>
    <row r="3451" spans="1:38" hidden="1" x14ac:dyDescent="0.2">
      <c r="A3451" s="2">
        <v>2026</v>
      </c>
      <c r="B3451" s="2">
        <v>3</v>
      </c>
      <c r="D3451" s="2" t="s">
        <v>1699</v>
      </c>
      <c r="P3451" s="2" t="s">
        <v>69</v>
      </c>
      <c r="Q3451" s="2" t="s">
        <v>2710</v>
      </c>
      <c r="R3451" s="2" t="s">
        <v>2711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28"/>
        <v>1</v>
      </c>
      <c r="Z3451" s="2" t="s">
        <v>3231</v>
      </c>
      <c r="AC3451" s="2" t="s">
        <v>3235</v>
      </c>
      <c r="AF3451" s="2">
        <f t="shared" si="419"/>
        <v>0</v>
      </c>
      <c r="AJ3451" s="2">
        <f t="shared" si="420"/>
        <v>0</v>
      </c>
      <c r="AK3451" s="2">
        <f t="shared" si="430"/>
        <v>300</v>
      </c>
      <c r="AL3451" s="5">
        <f t="shared" si="429"/>
        <v>1</v>
      </c>
    </row>
    <row r="3452" spans="1:38" hidden="1" x14ac:dyDescent="0.2">
      <c r="A3452" s="2">
        <v>2026</v>
      </c>
      <c r="B3452" s="2">
        <v>3</v>
      </c>
      <c r="C3452" s="2" t="s">
        <v>3324</v>
      </c>
      <c r="D3452" s="2" t="s">
        <v>2636</v>
      </c>
      <c r="E3452" s="2" t="s">
        <v>38</v>
      </c>
      <c r="G3452" s="2">
        <v>508857562</v>
      </c>
      <c r="H3452" s="2" t="s">
        <v>110</v>
      </c>
      <c r="I3452" s="2" t="s">
        <v>2637</v>
      </c>
      <c r="J3452" s="2" t="s">
        <v>2638</v>
      </c>
      <c r="L3452" s="2" t="s">
        <v>462</v>
      </c>
      <c r="M3452" s="2" t="s">
        <v>110</v>
      </c>
      <c r="P3452" s="2" t="s">
        <v>69</v>
      </c>
      <c r="Q3452" s="2" t="s">
        <v>1162</v>
      </c>
      <c r="R3452" s="2" t="s">
        <v>1163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28"/>
        <v>0.3228571428571429</v>
      </c>
      <c r="Z3452" s="2" t="s">
        <v>3231</v>
      </c>
      <c r="AA3452" s="2" t="s">
        <v>72</v>
      </c>
      <c r="AB3452" s="2" t="s">
        <v>69</v>
      </c>
      <c r="AC3452" s="2" t="s">
        <v>3235</v>
      </c>
      <c r="AF3452" s="2">
        <f t="shared" si="419"/>
        <v>0</v>
      </c>
      <c r="AJ3452" s="2">
        <f t="shared" si="420"/>
        <v>0</v>
      </c>
      <c r="AK3452" s="2">
        <f t="shared" si="430"/>
        <v>22.6</v>
      </c>
      <c r="AL3452" s="5">
        <f t="shared" si="429"/>
        <v>0.3228571428571429</v>
      </c>
    </row>
    <row r="3453" spans="1:38" hidden="1" x14ac:dyDescent="0.2">
      <c r="A3453" s="2">
        <v>2026</v>
      </c>
      <c r="B3453" s="2">
        <v>3</v>
      </c>
      <c r="D3453" s="2" t="s">
        <v>1888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28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3235</v>
      </c>
      <c r="AF3453" s="2">
        <f t="shared" si="419"/>
        <v>0</v>
      </c>
      <c r="AG3453" s="2">
        <v>1130.74</v>
      </c>
      <c r="AJ3453" s="2">
        <f t="shared" si="420"/>
        <v>0</v>
      </c>
      <c r="AK3453" s="2">
        <f t="shared" si="430"/>
        <v>639.26</v>
      </c>
      <c r="AL3453" s="5">
        <f t="shared" si="429"/>
        <v>0.36116384180790961</v>
      </c>
    </row>
    <row r="3454" spans="1:38" hidden="1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2712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28"/>
        <v>0.42947272727272723</v>
      </c>
      <c r="Z3454" s="2" t="s">
        <v>3231</v>
      </c>
      <c r="AA3454" s="2" t="s">
        <v>76</v>
      </c>
      <c r="AB3454" s="2" t="s">
        <v>77</v>
      </c>
      <c r="AC3454" s="2" t="s">
        <v>78</v>
      </c>
      <c r="AF3454" s="2">
        <f t="shared" si="419"/>
        <v>0</v>
      </c>
      <c r="AG3454" s="2">
        <v>125.51600000000001</v>
      </c>
      <c r="AH3454" s="2">
        <v>220</v>
      </c>
      <c r="AJ3454" s="2">
        <f t="shared" si="420"/>
        <v>0</v>
      </c>
      <c r="AK3454" s="2">
        <f t="shared" si="430"/>
        <v>94.483999999999995</v>
      </c>
      <c r="AL3454" s="5">
        <f t="shared" si="429"/>
        <v>0.42947272727272723</v>
      </c>
    </row>
    <row r="3455" spans="1:38" hidden="1" x14ac:dyDescent="0.2">
      <c r="A3455" s="2">
        <v>2026</v>
      </c>
      <c r="B3455" s="2">
        <v>3</v>
      </c>
      <c r="D3455" s="2" t="s">
        <v>998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28"/>
        <v>0.4076190476190476</v>
      </c>
      <c r="Z3455" s="2" t="s">
        <v>3231</v>
      </c>
      <c r="AA3455" s="2" t="s">
        <v>76</v>
      </c>
      <c r="AB3455" s="2" t="s">
        <v>77</v>
      </c>
      <c r="AC3455" s="2" t="s">
        <v>78</v>
      </c>
      <c r="AF3455" s="2">
        <f t="shared" si="419"/>
        <v>0</v>
      </c>
      <c r="AG3455" s="2">
        <v>124.4</v>
      </c>
      <c r="AH3455" s="2">
        <v>200</v>
      </c>
      <c r="AJ3455" s="2">
        <f t="shared" si="420"/>
        <v>0</v>
      </c>
      <c r="AK3455" s="2">
        <f t="shared" si="430"/>
        <v>85.6</v>
      </c>
      <c r="AL3455" s="5">
        <f t="shared" si="429"/>
        <v>0.4076190476190476</v>
      </c>
    </row>
    <row r="3456" spans="1:38" hidden="1" x14ac:dyDescent="0.2">
      <c r="A3456" s="2">
        <v>2026</v>
      </c>
      <c r="B3456" s="2">
        <v>3</v>
      </c>
      <c r="D3456" s="2" t="s">
        <v>652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653</v>
      </c>
      <c r="J3456" s="2" t="s">
        <v>654</v>
      </c>
      <c r="L3456" s="2" t="s">
        <v>419</v>
      </c>
      <c r="M3456" s="2" t="s">
        <v>41</v>
      </c>
      <c r="O3456" s="2" t="s">
        <v>2713</v>
      </c>
      <c r="P3456" s="2" t="s">
        <v>73</v>
      </c>
      <c r="Q3456" s="2" t="s">
        <v>833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28"/>
        <v>0.45165454545454548</v>
      </c>
      <c r="Z3456" s="2" t="s">
        <v>3231</v>
      </c>
      <c r="AA3456" s="2" t="s">
        <v>76</v>
      </c>
      <c r="AB3456" s="2" t="s">
        <v>77</v>
      </c>
      <c r="AC3456" s="2" t="s">
        <v>78</v>
      </c>
      <c r="AF3456" s="2">
        <f t="shared" si="419"/>
        <v>0</v>
      </c>
      <c r="AG3456" s="2">
        <v>120.636</v>
      </c>
      <c r="AH3456" s="2">
        <v>220</v>
      </c>
      <c r="AJ3456" s="2">
        <f t="shared" si="420"/>
        <v>0</v>
      </c>
      <c r="AK3456" s="2">
        <f t="shared" si="430"/>
        <v>99.364000000000004</v>
      </c>
      <c r="AL3456" s="5">
        <f t="shared" si="429"/>
        <v>0.45165454545454548</v>
      </c>
    </row>
    <row r="3457" spans="1:38" hidden="1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2714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28"/>
        <v>0.3549081129538324</v>
      </c>
      <c r="Z3457" s="2" t="s">
        <v>3231</v>
      </c>
      <c r="AA3457" s="2" t="s">
        <v>76</v>
      </c>
      <c r="AB3457" s="2" t="s">
        <v>77</v>
      </c>
      <c r="AC3457" s="2" t="s">
        <v>78</v>
      </c>
      <c r="AF3457" s="2">
        <f t="shared" si="419"/>
        <v>0</v>
      </c>
      <c r="AG3457" s="2">
        <v>143.91999999999999</v>
      </c>
      <c r="AJ3457" s="2">
        <f t="shared" si="420"/>
        <v>0</v>
      </c>
      <c r="AK3457" s="2">
        <f t="shared" si="430"/>
        <v>79.180000000000007</v>
      </c>
      <c r="AL3457" s="5">
        <f t="shared" si="429"/>
        <v>0.3549081129538324</v>
      </c>
    </row>
    <row r="3458" spans="1:38" hidden="1" x14ac:dyDescent="0.2">
      <c r="A3458" s="2">
        <v>2026</v>
      </c>
      <c r="B3458" s="2">
        <v>3</v>
      </c>
      <c r="D3458" s="2" t="s">
        <v>1257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2715</v>
      </c>
      <c r="J3458" s="2" t="s">
        <v>2716</v>
      </c>
      <c r="K3458" s="2">
        <v>935047029</v>
      </c>
      <c r="L3458" s="2" t="s">
        <v>447</v>
      </c>
      <c r="M3458" s="2" t="s">
        <v>81</v>
      </c>
      <c r="O3458" s="2" t="s">
        <v>2717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28"/>
        <v>0.42432000000000003</v>
      </c>
      <c r="Z3458" s="2" t="s">
        <v>3231</v>
      </c>
      <c r="AA3458" s="2" t="s">
        <v>76</v>
      </c>
      <c r="AB3458" s="2" t="s">
        <v>77</v>
      </c>
      <c r="AC3458" s="2" t="s">
        <v>78</v>
      </c>
      <c r="AF3458" s="2">
        <f t="shared" si="419"/>
        <v>0</v>
      </c>
      <c r="AG3458" s="2">
        <v>143.91999999999999</v>
      </c>
      <c r="AJ3458" s="2">
        <f t="shared" si="420"/>
        <v>0</v>
      </c>
      <c r="AK3458" s="2">
        <f t="shared" si="430"/>
        <v>106.08000000000001</v>
      </c>
      <c r="AL3458" s="5">
        <f t="shared" si="429"/>
        <v>0.42432000000000003</v>
      </c>
    </row>
    <row r="3459" spans="1:38" hidden="1" x14ac:dyDescent="0.2">
      <c r="A3459" s="2">
        <v>2026</v>
      </c>
      <c r="B3459" s="2">
        <v>3</v>
      </c>
      <c r="C3459" s="2" t="s">
        <v>3324</v>
      </c>
      <c r="D3459" s="2" t="s">
        <v>1164</v>
      </c>
      <c r="E3459" s="2" t="s">
        <v>753</v>
      </c>
      <c r="G3459" s="2">
        <v>508199280</v>
      </c>
      <c r="H3459" s="2" t="s">
        <v>40</v>
      </c>
      <c r="I3459" s="2" t="s">
        <v>1165</v>
      </c>
      <c r="L3459" s="2" t="s">
        <v>294</v>
      </c>
      <c r="M3459" s="2" t="s">
        <v>81</v>
      </c>
      <c r="P3459" s="2" t="s">
        <v>73</v>
      </c>
      <c r="Q3459" s="2" t="s">
        <v>1450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3231</v>
      </c>
      <c r="AA3459" s="2" t="s">
        <v>76</v>
      </c>
      <c r="AB3459" s="2" t="s">
        <v>77</v>
      </c>
      <c r="AC3459" s="2" t="s">
        <v>78</v>
      </c>
      <c r="AF3459" s="2">
        <f t="shared" ref="AF3459:AF3522" si="431">AJ3459</f>
        <v>0</v>
      </c>
      <c r="AJ3459" s="2">
        <f t="shared" ref="AJ3459:AJ3522" si="432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hidden="1" x14ac:dyDescent="0.2">
      <c r="A3460" s="2">
        <v>2026</v>
      </c>
      <c r="B3460" s="2">
        <v>3</v>
      </c>
      <c r="C3460" s="2" t="s">
        <v>3426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33">(T3460-W3460)/T3460</f>
        <v>0.39365217391304347</v>
      </c>
      <c r="Z3460" s="2" t="s">
        <v>3231</v>
      </c>
      <c r="AA3460" s="2" t="s">
        <v>76</v>
      </c>
      <c r="AB3460" s="2" t="s">
        <v>77</v>
      </c>
      <c r="AC3460" s="2" t="s">
        <v>78</v>
      </c>
      <c r="AF3460" s="2">
        <f t="shared" si="431"/>
        <v>0</v>
      </c>
      <c r="AJ3460" s="2">
        <f t="shared" si="432"/>
        <v>0</v>
      </c>
      <c r="AK3460" s="2">
        <f t="shared" si="430"/>
        <v>90.539999999999992</v>
      </c>
      <c r="AL3460" s="5">
        <f t="shared" si="429"/>
        <v>0.39365217391304347</v>
      </c>
    </row>
    <row r="3461" spans="1:38" hidden="1" x14ac:dyDescent="0.2">
      <c r="A3461" s="2">
        <v>2026</v>
      </c>
      <c r="B3461" s="2">
        <v>3</v>
      </c>
      <c r="D3461" s="2" t="s">
        <v>2718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2719</v>
      </c>
      <c r="J3461" s="2" t="s">
        <v>2720</v>
      </c>
      <c r="K3461" s="2">
        <v>962576243</v>
      </c>
      <c r="L3461" s="2" t="s">
        <v>447</v>
      </c>
      <c r="M3461" s="2" t="s">
        <v>81</v>
      </c>
      <c r="O3461" s="2" t="s">
        <v>2721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33"/>
        <v>0.42639130434782607</v>
      </c>
      <c r="Z3461" s="2" t="s">
        <v>3231</v>
      </c>
      <c r="AA3461" s="2" t="s">
        <v>76</v>
      </c>
      <c r="AB3461" s="2" t="s">
        <v>77</v>
      </c>
      <c r="AC3461" s="2" t="s">
        <v>78</v>
      </c>
      <c r="AF3461" s="2">
        <f t="shared" si="431"/>
        <v>0</v>
      </c>
      <c r="AG3461" s="2">
        <v>131.93</v>
      </c>
      <c r="AH3461" s="2">
        <v>220</v>
      </c>
      <c r="AJ3461" s="2">
        <f t="shared" si="432"/>
        <v>0</v>
      </c>
      <c r="AK3461" s="2">
        <f t="shared" si="430"/>
        <v>98.07</v>
      </c>
      <c r="AL3461" s="5">
        <f t="shared" si="429"/>
        <v>0.42639130434782607</v>
      </c>
    </row>
    <row r="3462" spans="1:38" hidden="1" x14ac:dyDescent="0.2">
      <c r="A3462" s="2">
        <v>2026</v>
      </c>
      <c r="B3462" s="2">
        <v>3</v>
      </c>
      <c r="D3462" s="2" t="s">
        <v>1420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2415</v>
      </c>
      <c r="J3462" s="2" t="s">
        <v>2416</v>
      </c>
      <c r="L3462" s="2" t="s">
        <v>202</v>
      </c>
      <c r="M3462" s="2" t="s">
        <v>81</v>
      </c>
      <c r="O3462" s="2" t="s">
        <v>2722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33"/>
        <v>0.39620137299771163</v>
      </c>
      <c r="Z3462" s="2" t="s">
        <v>3231</v>
      </c>
      <c r="AA3462" s="2" t="s">
        <v>76</v>
      </c>
      <c r="AB3462" s="2" t="s">
        <v>77</v>
      </c>
      <c r="AC3462" s="2" t="s">
        <v>78</v>
      </c>
      <c r="AF3462" s="2">
        <f t="shared" si="431"/>
        <v>0</v>
      </c>
      <c r="AG3462" s="2">
        <v>131.93</v>
      </c>
      <c r="AH3462" s="2">
        <v>220</v>
      </c>
      <c r="AJ3462" s="2">
        <f t="shared" si="432"/>
        <v>0</v>
      </c>
      <c r="AK3462" s="2">
        <f t="shared" si="430"/>
        <v>86.57</v>
      </c>
      <c r="AL3462" s="5">
        <f t="shared" si="429"/>
        <v>0.39620137299771163</v>
      </c>
    </row>
    <row r="3463" spans="1:38" hidden="1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2723</v>
      </c>
      <c r="P3463" s="2" t="s">
        <v>73</v>
      </c>
      <c r="Q3463" s="2" t="s">
        <v>914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34">115.92+6.06</f>
        <v>121.98</v>
      </c>
      <c r="X3463" s="5">
        <f t="shared" si="433"/>
        <v>0.56908185254530674</v>
      </c>
      <c r="Z3463" s="2" t="s">
        <v>3231</v>
      </c>
      <c r="AA3463" s="2" t="s">
        <v>76</v>
      </c>
      <c r="AB3463" s="2" t="s">
        <v>77</v>
      </c>
      <c r="AC3463" s="2" t="s">
        <v>78</v>
      </c>
      <c r="AF3463" s="2">
        <f t="shared" si="431"/>
        <v>0</v>
      </c>
      <c r="AJ3463" s="2">
        <f t="shared" si="432"/>
        <v>0</v>
      </c>
      <c r="AK3463" s="2">
        <f t="shared" si="430"/>
        <v>161.08999999999997</v>
      </c>
      <c r="AL3463" s="5">
        <f t="shared" si="429"/>
        <v>0.56908185254530674</v>
      </c>
    </row>
    <row r="3464" spans="1:38" hidden="1" x14ac:dyDescent="0.2">
      <c r="A3464" s="2">
        <v>2026</v>
      </c>
      <c r="B3464" s="2">
        <v>3</v>
      </c>
      <c r="D3464" s="2" t="s">
        <v>775</v>
      </c>
      <c r="P3464" s="2" t="s">
        <v>73</v>
      </c>
      <c r="Q3464" s="2" t="s">
        <v>914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34"/>
        <v>121.98</v>
      </c>
      <c r="X3464" s="5">
        <f t="shared" si="433"/>
        <v>0.42353497164461246</v>
      </c>
      <c r="Z3464" s="2" t="s">
        <v>3231</v>
      </c>
      <c r="AA3464" s="2" t="s">
        <v>76</v>
      </c>
      <c r="AB3464" s="2" t="s">
        <v>77</v>
      </c>
      <c r="AC3464" s="2" t="s">
        <v>78</v>
      </c>
      <c r="AF3464" s="2">
        <f t="shared" si="431"/>
        <v>0</v>
      </c>
      <c r="AJ3464" s="2">
        <f t="shared" si="432"/>
        <v>0</v>
      </c>
      <c r="AK3464" s="2">
        <f t="shared" si="430"/>
        <v>89.61999999999999</v>
      </c>
      <c r="AL3464" s="5">
        <f t="shared" si="429"/>
        <v>0.42353497164461246</v>
      </c>
    </row>
    <row r="3465" spans="1:38" hidden="1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2724</v>
      </c>
      <c r="P3465" s="2" t="s">
        <v>73</v>
      </c>
      <c r="Q3465" s="2" t="s">
        <v>2725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33"/>
        <v>0.46942307692307683</v>
      </c>
      <c r="Z3465" s="2" t="s">
        <v>3231</v>
      </c>
      <c r="AA3465" s="2" t="s">
        <v>76</v>
      </c>
      <c r="AB3465" s="2" t="s">
        <v>77</v>
      </c>
      <c r="AC3465" s="2" t="s">
        <v>78</v>
      </c>
      <c r="AF3465" s="2">
        <f t="shared" si="431"/>
        <v>0</v>
      </c>
      <c r="AJ3465" s="2">
        <f t="shared" si="432"/>
        <v>0</v>
      </c>
      <c r="AK3465" s="2">
        <f t="shared" si="430"/>
        <v>122.04999999999998</v>
      </c>
      <c r="AL3465" s="5">
        <f t="shared" si="429"/>
        <v>0.46942307692307683</v>
      </c>
    </row>
    <row r="3466" spans="1:38" hidden="1" x14ac:dyDescent="0.2">
      <c r="A3466" s="2">
        <v>2026</v>
      </c>
      <c r="B3466" s="2">
        <v>3</v>
      </c>
      <c r="D3466" s="2" t="s">
        <v>1421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1274</v>
      </c>
      <c r="J3466" s="2" t="s">
        <v>2398</v>
      </c>
      <c r="L3466" s="2" t="s">
        <v>178</v>
      </c>
      <c r="M3466" s="2" t="s">
        <v>41</v>
      </c>
      <c r="P3466" s="2" t="s">
        <v>73</v>
      </c>
      <c r="Q3466" s="2" t="s">
        <v>2725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33"/>
        <v>0.44819999999999993</v>
      </c>
      <c r="Z3466" s="2" t="s">
        <v>3231</v>
      </c>
      <c r="AA3466" s="2" t="s">
        <v>76</v>
      </c>
      <c r="AB3466" s="2" t="s">
        <v>77</v>
      </c>
      <c r="AC3466" s="2" t="s">
        <v>78</v>
      </c>
      <c r="AF3466" s="2">
        <f t="shared" si="431"/>
        <v>0</v>
      </c>
      <c r="AJ3466" s="2">
        <f t="shared" si="432"/>
        <v>0</v>
      </c>
      <c r="AK3466" s="2">
        <f t="shared" si="430"/>
        <v>112.04999999999998</v>
      </c>
      <c r="AL3466" s="5">
        <f t="shared" si="429"/>
        <v>0.44819999999999993</v>
      </c>
    </row>
    <row r="3467" spans="1:38" hidden="1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33"/>
        <v>0.12642752562225473</v>
      </c>
      <c r="Z3467" s="2" t="s">
        <v>3231</v>
      </c>
      <c r="AA3467" s="2" t="s">
        <v>76</v>
      </c>
      <c r="AB3467" s="2" t="s">
        <v>77</v>
      </c>
      <c r="AC3467" s="2" t="s">
        <v>78</v>
      </c>
      <c r="AF3467" s="2">
        <f t="shared" si="431"/>
        <v>0</v>
      </c>
      <c r="AG3467" s="2">
        <v>119.33</v>
      </c>
      <c r="AH3467" s="2">
        <v>220</v>
      </c>
      <c r="AJ3467" s="2">
        <f t="shared" si="432"/>
        <v>0</v>
      </c>
      <c r="AK3467" s="2">
        <f t="shared" si="430"/>
        <v>17.269999999999996</v>
      </c>
      <c r="AL3467" s="5">
        <f t="shared" si="429"/>
        <v>0.12642752562225473</v>
      </c>
    </row>
    <row r="3468" spans="1:38" hidden="1" x14ac:dyDescent="0.2">
      <c r="A3468" s="2">
        <v>2026</v>
      </c>
      <c r="B3468" s="2">
        <v>3</v>
      </c>
      <c r="D3468" s="2" t="s">
        <v>1127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1128</v>
      </c>
      <c r="J3468" s="2" t="s">
        <v>1129</v>
      </c>
      <c r="L3468" s="2" t="s">
        <v>462</v>
      </c>
      <c r="M3468" s="2" t="s">
        <v>81</v>
      </c>
      <c r="O3468" s="2" t="s">
        <v>2726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33"/>
        <v>0.4575909090909091</v>
      </c>
      <c r="Z3468" s="2" t="s">
        <v>3231</v>
      </c>
      <c r="AA3468" s="2" t="s">
        <v>76</v>
      </c>
      <c r="AB3468" s="2" t="s">
        <v>77</v>
      </c>
      <c r="AC3468" s="2" t="s">
        <v>78</v>
      </c>
      <c r="AF3468" s="2">
        <f t="shared" si="431"/>
        <v>0</v>
      </c>
      <c r="AG3468" s="2">
        <v>119.33</v>
      </c>
      <c r="AH3468" s="2">
        <v>220</v>
      </c>
      <c r="AJ3468" s="2">
        <f t="shared" si="432"/>
        <v>0</v>
      </c>
      <c r="AK3468" s="2">
        <f t="shared" si="430"/>
        <v>100.67</v>
      </c>
      <c r="AL3468" s="5">
        <f t="shared" si="429"/>
        <v>0.4575909090909091</v>
      </c>
    </row>
    <row r="3469" spans="1:38" hidden="1" x14ac:dyDescent="0.2">
      <c r="A3469" s="2">
        <v>2026</v>
      </c>
      <c r="B3469" s="2">
        <v>3</v>
      </c>
      <c r="D3469" s="2" t="s">
        <v>661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662</v>
      </c>
      <c r="J3469" s="2" t="s">
        <v>663</v>
      </c>
      <c r="L3469" s="2" t="s">
        <v>345</v>
      </c>
      <c r="M3469" s="2" t="s">
        <v>81</v>
      </c>
      <c r="P3469" s="2" t="s">
        <v>73</v>
      </c>
      <c r="Q3469" s="2" t="s">
        <v>1037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33"/>
        <v>0.48486363636363639</v>
      </c>
      <c r="Z3469" s="2" t="s">
        <v>3231</v>
      </c>
      <c r="AA3469" s="2" t="s">
        <v>76</v>
      </c>
      <c r="AB3469" s="2" t="s">
        <v>77</v>
      </c>
      <c r="AC3469" s="2" t="s">
        <v>78</v>
      </c>
      <c r="AF3469" s="2">
        <f t="shared" si="431"/>
        <v>0</v>
      </c>
      <c r="AG3469" s="2">
        <v>113.33</v>
      </c>
      <c r="AH3469" s="2">
        <v>220</v>
      </c>
      <c r="AJ3469" s="2">
        <f t="shared" si="432"/>
        <v>0</v>
      </c>
      <c r="AK3469" s="2">
        <f t="shared" si="430"/>
        <v>106.67</v>
      </c>
      <c r="AL3469" s="5">
        <f t="shared" si="429"/>
        <v>0.48486363636363639</v>
      </c>
    </row>
    <row r="3470" spans="1:38" hidden="1" x14ac:dyDescent="0.2">
      <c r="A3470" s="2">
        <v>2026</v>
      </c>
      <c r="B3470" s="2">
        <v>3</v>
      </c>
      <c r="D3470" s="2" t="s">
        <v>2727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33"/>
        <v>0.46762608695652175</v>
      </c>
      <c r="Z3470" s="2" t="s">
        <v>3231</v>
      </c>
      <c r="AA3470" s="2" t="s">
        <v>76</v>
      </c>
      <c r="AB3470" s="2" t="s">
        <v>77</v>
      </c>
      <c r="AC3470" s="2" t="s">
        <v>78</v>
      </c>
      <c r="AF3470" s="2">
        <f t="shared" si="431"/>
        <v>0</v>
      </c>
      <c r="AG3470" s="2">
        <v>122.446</v>
      </c>
      <c r="AH3470" s="2">
        <v>230</v>
      </c>
      <c r="AJ3470" s="2">
        <f t="shared" si="432"/>
        <v>0</v>
      </c>
      <c r="AK3470" s="2">
        <f t="shared" si="430"/>
        <v>107.554</v>
      </c>
      <c r="AL3470" s="5">
        <f t="shared" si="429"/>
        <v>0.46762608695652175</v>
      </c>
    </row>
    <row r="3471" spans="1:38" hidden="1" x14ac:dyDescent="0.2">
      <c r="A3471" s="2">
        <v>2026</v>
      </c>
      <c r="B3471" s="2">
        <v>3</v>
      </c>
      <c r="D3471" s="2" t="s">
        <v>1055</v>
      </c>
      <c r="E3471" s="2" t="s">
        <v>184</v>
      </c>
      <c r="F3471" s="2" t="s">
        <v>1056</v>
      </c>
      <c r="G3471" s="2">
        <v>500199523</v>
      </c>
      <c r="H3471" s="2" t="s">
        <v>291</v>
      </c>
      <c r="I3471" s="2" t="s">
        <v>294</v>
      </c>
      <c r="J3471" s="2" t="s">
        <v>1057</v>
      </c>
      <c r="L3471" s="2" t="s">
        <v>294</v>
      </c>
      <c r="M3471" s="2" t="s">
        <v>81</v>
      </c>
      <c r="O3471" s="2" t="s">
        <v>2728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33"/>
        <v>0.46762608695652175</v>
      </c>
      <c r="Z3471" s="2" t="s">
        <v>3231</v>
      </c>
      <c r="AA3471" s="2" t="s">
        <v>76</v>
      </c>
      <c r="AB3471" s="2" t="s">
        <v>77</v>
      </c>
      <c r="AC3471" s="2" t="s">
        <v>78</v>
      </c>
      <c r="AF3471" s="2">
        <f t="shared" si="431"/>
        <v>0</v>
      </c>
      <c r="AG3471" s="2">
        <v>122.446</v>
      </c>
      <c r="AH3471" s="2">
        <v>230</v>
      </c>
      <c r="AJ3471" s="2">
        <f t="shared" si="432"/>
        <v>0</v>
      </c>
      <c r="AK3471" s="2">
        <f t="shared" si="430"/>
        <v>215.108</v>
      </c>
      <c r="AL3471" s="5">
        <f t="shared" si="429"/>
        <v>0.46762608695652175</v>
      </c>
    </row>
    <row r="3472" spans="1:38" hidden="1" x14ac:dyDescent="0.2">
      <c r="A3472" s="2">
        <v>2026</v>
      </c>
      <c r="B3472" s="2">
        <v>3</v>
      </c>
      <c r="D3472" s="2" t="s">
        <v>2729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33"/>
        <v>0.46762608695652175</v>
      </c>
      <c r="Z3472" s="2" t="s">
        <v>3231</v>
      </c>
      <c r="AA3472" s="2" t="s">
        <v>76</v>
      </c>
      <c r="AB3472" s="2" t="s">
        <v>77</v>
      </c>
      <c r="AC3472" s="2" t="s">
        <v>78</v>
      </c>
      <c r="AF3472" s="2">
        <f t="shared" si="431"/>
        <v>0</v>
      </c>
      <c r="AG3472" s="2">
        <v>122.446</v>
      </c>
      <c r="AH3472" s="2">
        <v>230</v>
      </c>
      <c r="AJ3472" s="2">
        <f t="shared" si="432"/>
        <v>0</v>
      </c>
      <c r="AK3472" s="2">
        <f t="shared" si="430"/>
        <v>107.554</v>
      </c>
      <c r="AL3472" s="5">
        <f t="shared" si="429"/>
        <v>0.46762608695652175</v>
      </c>
    </row>
    <row r="3473" spans="1:38" hidden="1" x14ac:dyDescent="0.2">
      <c r="A3473" s="2">
        <v>2026</v>
      </c>
      <c r="B3473" s="2">
        <v>3</v>
      </c>
      <c r="D3473" s="2" t="s">
        <v>2563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33"/>
        <v>0.46762608695652175</v>
      </c>
      <c r="Z3473" s="2" t="s">
        <v>3231</v>
      </c>
      <c r="AA3473" s="2" t="s">
        <v>76</v>
      </c>
      <c r="AB3473" s="2" t="s">
        <v>77</v>
      </c>
      <c r="AC3473" s="2" t="s">
        <v>78</v>
      </c>
      <c r="AF3473" s="2">
        <f t="shared" si="431"/>
        <v>0</v>
      </c>
      <c r="AG3473" s="2">
        <v>122.446</v>
      </c>
      <c r="AH3473" s="2">
        <v>230</v>
      </c>
      <c r="AJ3473" s="2">
        <f t="shared" si="432"/>
        <v>0</v>
      </c>
      <c r="AK3473" s="2">
        <f t="shared" si="430"/>
        <v>107.554</v>
      </c>
      <c r="AL3473" s="5">
        <f t="shared" si="429"/>
        <v>0.46762608695652175</v>
      </c>
    </row>
    <row r="3474" spans="1:38" hidden="1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1451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33"/>
        <v>0.46762608695652175</v>
      </c>
      <c r="Z3474" s="2" t="s">
        <v>3231</v>
      </c>
      <c r="AA3474" s="2" t="s">
        <v>76</v>
      </c>
      <c r="AB3474" s="2" t="s">
        <v>77</v>
      </c>
      <c r="AC3474" s="2" t="s">
        <v>78</v>
      </c>
      <c r="AF3474" s="2">
        <f t="shared" si="431"/>
        <v>0</v>
      </c>
      <c r="AG3474" s="2">
        <v>122.446</v>
      </c>
      <c r="AH3474" s="2">
        <v>230</v>
      </c>
      <c r="AJ3474" s="2">
        <f t="shared" si="432"/>
        <v>0</v>
      </c>
      <c r="AK3474" s="2">
        <f t="shared" si="430"/>
        <v>107.554</v>
      </c>
      <c r="AL3474" s="5">
        <f t="shared" si="429"/>
        <v>0.46762608695652175</v>
      </c>
    </row>
    <row r="3475" spans="1:38" hidden="1" x14ac:dyDescent="0.2">
      <c r="A3475" s="2">
        <v>2026</v>
      </c>
      <c r="B3475" s="2">
        <v>3</v>
      </c>
      <c r="D3475" s="2" t="s">
        <v>1258</v>
      </c>
      <c r="P3475" s="2" t="s">
        <v>73</v>
      </c>
      <c r="Q3475" s="2" t="s">
        <v>1451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33"/>
        <v>0.46762608695652175</v>
      </c>
      <c r="Z3475" s="2" t="s">
        <v>3231</v>
      </c>
      <c r="AA3475" s="2" t="s">
        <v>76</v>
      </c>
      <c r="AB3475" s="2" t="s">
        <v>77</v>
      </c>
      <c r="AC3475" s="2" t="s">
        <v>78</v>
      </c>
      <c r="AF3475" s="2">
        <f t="shared" si="431"/>
        <v>0</v>
      </c>
      <c r="AG3475" s="2">
        <v>122.446</v>
      </c>
      <c r="AH3475" s="2">
        <v>230</v>
      </c>
      <c r="AJ3475" s="2">
        <f t="shared" si="432"/>
        <v>0</v>
      </c>
      <c r="AK3475" s="2">
        <f t="shared" si="430"/>
        <v>107.554</v>
      </c>
      <c r="AL3475" s="5">
        <f t="shared" si="429"/>
        <v>0.46762608695652175</v>
      </c>
    </row>
    <row r="3476" spans="1:38" hidden="1" x14ac:dyDescent="0.2">
      <c r="A3476" s="2">
        <v>2026</v>
      </c>
      <c r="B3476" s="2">
        <v>3</v>
      </c>
      <c r="D3476" s="2" t="s">
        <v>1055</v>
      </c>
      <c r="E3476" s="2" t="s">
        <v>184</v>
      </c>
      <c r="F3476" s="2" t="s">
        <v>1056</v>
      </c>
      <c r="G3476" s="2">
        <v>500199523</v>
      </c>
      <c r="H3476" s="2" t="s">
        <v>291</v>
      </c>
      <c r="I3476" s="2" t="s">
        <v>294</v>
      </c>
      <c r="J3476" s="2" t="s">
        <v>1057</v>
      </c>
      <c r="L3476" s="2" t="s">
        <v>294</v>
      </c>
      <c r="M3476" s="2" t="s">
        <v>81</v>
      </c>
      <c r="O3476" s="2" t="s">
        <v>2730</v>
      </c>
      <c r="P3476" s="2" t="s">
        <v>73</v>
      </c>
      <c r="Q3476" s="2" t="s">
        <v>1451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33"/>
        <v>0.46762608695652175</v>
      </c>
      <c r="Z3476" s="2" t="s">
        <v>3231</v>
      </c>
      <c r="AA3476" s="2" t="s">
        <v>76</v>
      </c>
      <c r="AB3476" s="2" t="s">
        <v>77</v>
      </c>
      <c r="AC3476" s="2" t="s">
        <v>78</v>
      </c>
      <c r="AF3476" s="2">
        <f t="shared" si="431"/>
        <v>0</v>
      </c>
      <c r="AG3476" s="2">
        <v>122.446</v>
      </c>
      <c r="AH3476" s="2">
        <v>230</v>
      </c>
      <c r="AJ3476" s="2">
        <f t="shared" si="432"/>
        <v>0</v>
      </c>
      <c r="AK3476" s="2">
        <f t="shared" si="430"/>
        <v>107.554</v>
      </c>
      <c r="AL3476" s="5">
        <f t="shared" si="429"/>
        <v>0.46762608695652175</v>
      </c>
    </row>
    <row r="3477" spans="1:38" hidden="1" x14ac:dyDescent="0.2">
      <c r="A3477" s="2">
        <v>2026</v>
      </c>
      <c r="B3477" s="2">
        <v>3</v>
      </c>
      <c r="D3477" s="2" t="s">
        <v>2731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33"/>
        <v>0.44659999999999994</v>
      </c>
      <c r="Z3477" s="2" t="s">
        <v>3231</v>
      </c>
      <c r="AA3477" s="2" t="s">
        <v>76</v>
      </c>
      <c r="AB3477" s="2" t="s">
        <v>77</v>
      </c>
      <c r="AC3477" s="2" t="s">
        <v>78</v>
      </c>
      <c r="AF3477" s="2">
        <f t="shared" si="431"/>
        <v>0</v>
      </c>
      <c r="AG3477" s="2">
        <v>110.68</v>
      </c>
      <c r="AH3477" s="2">
        <v>210</v>
      </c>
      <c r="AJ3477" s="2">
        <f t="shared" si="432"/>
        <v>0</v>
      </c>
      <c r="AK3477" s="2">
        <f t="shared" si="430"/>
        <v>89.32</v>
      </c>
      <c r="AL3477" s="5">
        <f t="shared" si="429"/>
        <v>0.44659999999999994</v>
      </c>
    </row>
    <row r="3478" spans="1:38" hidden="1" x14ac:dyDescent="0.2">
      <c r="A3478" s="2">
        <v>2026</v>
      </c>
      <c r="B3478" s="2">
        <v>3</v>
      </c>
      <c r="D3478" s="2" t="s">
        <v>1257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33"/>
        <v>0.44659999999999994</v>
      </c>
      <c r="Z3478" s="2" t="s">
        <v>3231</v>
      </c>
      <c r="AA3478" s="2" t="s">
        <v>76</v>
      </c>
      <c r="AB3478" s="2" t="s">
        <v>77</v>
      </c>
      <c r="AC3478" s="2" t="s">
        <v>78</v>
      </c>
      <c r="AF3478" s="2">
        <f t="shared" si="431"/>
        <v>0</v>
      </c>
      <c r="AG3478" s="2">
        <v>110.68</v>
      </c>
      <c r="AH3478" s="2">
        <v>210</v>
      </c>
      <c r="AJ3478" s="2">
        <f t="shared" si="432"/>
        <v>0</v>
      </c>
      <c r="AK3478" s="2">
        <f t="shared" si="430"/>
        <v>89.32</v>
      </c>
      <c r="AL3478" s="5">
        <f t="shared" si="429"/>
        <v>0.44659999999999994</v>
      </c>
    </row>
    <row r="3479" spans="1:38" hidden="1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2732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33"/>
        <v>0.37409499358151477</v>
      </c>
      <c r="Z3479" s="2" t="s">
        <v>3231</v>
      </c>
      <c r="AA3479" s="2" t="s">
        <v>76</v>
      </c>
      <c r="AB3479" s="2" t="s">
        <v>77</v>
      </c>
      <c r="AC3479" s="2" t="s">
        <v>78</v>
      </c>
      <c r="AF3479" s="2">
        <f t="shared" si="431"/>
        <v>0</v>
      </c>
      <c r="AG3479" s="2">
        <f>110.125+11.77</f>
        <v>121.895</v>
      </c>
      <c r="AJ3479" s="2">
        <f t="shared" si="432"/>
        <v>0</v>
      </c>
      <c r="AK3479" s="2">
        <f t="shared" si="430"/>
        <v>72.855000000000004</v>
      </c>
      <c r="AL3479" s="5">
        <f t="shared" si="429"/>
        <v>0.37409499358151477</v>
      </c>
    </row>
    <row r="3480" spans="1:38" hidden="1" x14ac:dyDescent="0.2">
      <c r="A3480" s="2">
        <v>2026</v>
      </c>
      <c r="B3480" s="2">
        <v>3</v>
      </c>
      <c r="D3480" s="2" t="s">
        <v>2733</v>
      </c>
      <c r="P3480" s="2" t="s">
        <v>73</v>
      </c>
      <c r="Q3480" s="2" t="s">
        <v>2734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33"/>
        <v>0.49354545454545456</v>
      </c>
      <c r="Z3480" s="2" t="s">
        <v>3231</v>
      </c>
      <c r="AA3480" s="2" t="s">
        <v>76</v>
      </c>
      <c r="AB3480" s="2" t="s">
        <v>77</v>
      </c>
      <c r="AC3480" s="2" t="s">
        <v>78</v>
      </c>
      <c r="AF3480" s="2">
        <f t="shared" si="431"/>
        <v>0</v>
      </c>
      <c r="AJ3480" s="2">
        <f t="shared" si="432"/>
        <v>0</v>
      </c>
      <c r="AK3480" s="2">
        <f t="shared" si="430"/>
        <v>108.58</v>
      </c>
      <c r="AL3480" s="5">
        <f t="shared" si="429"/>
        <v>0.49354545454545456</v>
      </c>
    </row>
    <row r="3481" spans="1:38" hidden="1" x14ac:dyDescent="0.2">
      <c r="A3481" s="2">
        <v>2026</v>
      </c>
      <c r="B3481" s="2">
        <v>3</v>
      </c>
      <c r="D3481" s="2" t="s">
        <v>750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751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1194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33"/>
        <v>0.45100000000000001</v>
      </c>
      <c r="Z3481" s="2" t="s">
        <v>3231</v>
      </c>
      <c r="AA3481" s="2" t="s">
        <v>76</v>
      </c>
      <c r="AB3481" s="2" t="s">
        <v>77</v>
      </c>
      <c r="AC3481" s="2" t="s">
        <v>78</v>
      </c>
      <c r="AF3481" s="2">
        <f t="shared" si="431"/>
        <v>0</v>
      </c>
      <c r="AJ3481" s="2">
        <f t="shared" si="432"/>
        <v>0</v>
      </c>
      <c r="AK3481" s="2">
        <f t="shared" si="430"/>
        <v>121.77000000000001</v>
      </c>
      <c r="AL3481" s="5">
        <f t="shared" si="429"/>
        <v>0.45100000000000001</v>
      </c>
    </row>
    <row r="3482" spans="1:38" hidden="1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3138</v>
      </c>
      <c r="L3482" s="2" t="s">
        <v>178</v>
      </c>
      <c r="M3482" s="2" t="s">
        <v>41</v>
      </c>
      <c r="O3482" s="2" t="s">
        <v>2735</v>
      </c>
      <c r="P3482" s="2" t="s">
        <v>73</v>
      </c>
      <c r="Q3482" s="2" t="s">
        <v>1077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33"/>
        <v>0.33525000000000005</v>
      </c>
      <c r="Z3482" s="2" t="s">
        <v>3231</v>
      </c>
      <c r="AA3482" s="2" t="s">
        <v>76</v>
      </c>
      <c r="AB3482" s="2" t="s">
        <v>77</v>
      </c>
      <c r="AC3482" s="2" t="s">
        <v>78</v>
      </c>
      <c r="AF3482" s="2">
        <f t="shared" si="431"/>
        <v>0</v>
      </c>
      <c r="AG3482" s="2">
        <f>144.14+15.4</f>
        <v>159.54</v>
      </c>
      <c r="AH3482" s="2">
        <v>280</v>
      </c>
      <c r="AJ3482" s="2">
        <f t="shared" si="432"/>
        <v>0</v>
      </c>
      <c r="AK3482" s="2">
        <f t="shared" si="430"/>
        <v>80.460000000000008</v>
      </c>
      <c r="AL3482" s="5">
        <f t="shared" si="429"/>
        <v>0.33525000000000005</v>
      </c>
    </row>
    <row r="3483" spans="1:38" hidden="1" x14ac:dyDescent="0.2">
      <c r="A3483" s="2">
        <v>2026</v>
      </c>
      <c r="B3483" s="2">
        <v>3</v>
      </c>
      <c r="D3483" s="2" t="s">
        <v>2563</v>
      </c>
      <c r="M3483" s="2" t="s">
        <v>81</v>
      </c>
      <c r="O3483" s="2" t="s">
        <v>2736</v>
      </c>
      <c r="P3483" s="2" t="s">
        <v>73</v>
      </c>
      <c r="Q3483" s="2" t="s">
        <v>1077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33"/>
        <v>0.43021428571428572</v>
      </c>
      <c r="Z3483" s="2" t="s">
        <v>3231</v>
      </c>
      <c r="AA3483" s="2" t="s">
        <v>76</v>
      </c>
      <c r="AB3483" s="2" t="s">
        <v>77</v>
      </c>
      <c r="AC3483" s="2" t="s">
        <v>78</v>
      </c>
      <c r="AF3483" s="2">
        <f t="shared" si="431"/>
        <v>0</v>
      </c>
      <c r="AG3483" s="2">
        <f>144.14+15.4</f>
        <v>159.54</v>
      </c>
      <c r="AH3483" s="2">
        <v>280</v>
      </c>
      <c r="AJ3483" s="2">
        <f t="shared" si="432"/>
        <v>0</v>
      </c>
      <c r="AK3483" s="2">
        <f t="shared" si="430"/>
        <v>120.46000000000001</v>
      </c>
      <c r="AL3483" s="5">
        <f t="shared" si="429"/>
        <v>0.43021428571428572</v>
      </c>
    </row>
    <row r="3484" spans="1:38" hidden="1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2737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33"/>
        <v>0.51566906429227799</v>
      </c>
      <c r="Z3484" s="2" t="s">
        <v>3231</v>
      </c>
      <c r="AA3484" s="2" t="s">
        <v>76</v>
      </c>
      <c r="AB3484" s="2" t="s">
        <v>77</v>
      </c>
      <c r="AC3484" s="2" t="s">
        <v>78</v>
      </c>
      <c r="AF3484" s="2">
        <f t="shared" si="431"/>
        <v>0</v>
      </c>
      <c r="AG3484" s="2">
        <v>152.85</v>
      </c>
      <c r="AH3484" s="2">
        <v>260</v>
      </c>
      <c r="AJ3484" s="2">
        <f t="shared" si="432"/>
        <v>0</v>
      </c>
      <c r="AK3484" s="2">
        <f t="shared" si="430"/>
        <v>162.73999999999998</v>
      </c>
      <c r="AL3484" s="5">
        <f t="shared" si="429"/>
        <v>0.51566906429227799</v>
      </c>
    </row>
    <row r="3485" spans="1:38" hidden="1" x14ac:dyDescent="0.2">
      <c r="A3485" s="2">
        <v>2026</v>
      </c>
      <c r="B3485" s="2">
        <v>3</v>
      </c>
      <c r="D3485" s="2" t="s">
        <v>1152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2482</v>
      </c>
      <c r="J3485" s="2" t="s">
        <v>1475</v>
      </c>
      <c r="K3485" s="2">
        <v>938183284</v>
      </c>
      <c r="L3485" s="2" t="s">
        <v>134</v>
      </c>
      <c r="M3485" s="2" t="s">
        <v>110</v>
      </c>
      <c r="O3485" s="2" t="s">
        <v>2738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33"/>
        <v>0.38117408906882594</v>
      </c>
      <c r="Z3485" s="2" t="s">
        <v>3231</v>
      </c>
      <c r="AA3485" s="2" t="s">
        <v>76</v>
      </c>
      <c r="AB3485" s="2" t="s">
        <v>77</v>
      </c>
      <c r="AC3485" s="2" t="s">
        <v>78</v>
      </c>
      <c r="AF3485" s="2">
        <f t="shared" si="431"/>
        <v>0</v>
      </c>
      <c r="AG3485" s="2">
        <v>152.85</v>
      </c>
      <c r="AH3485" s="2">
        <v>260</v>
      </c>
      <c r="AJ3485" s="2">
        <f t="shared" si="432"/>
        <v>0</v>
      </c>
      <c r="AK3485" s="2">
        <f t="shared" si="430"/>
        <v>94.15</v>
      </c>
      <c r="AL3485" s="5">
        <f t="shared" si="429"/>
        <v>0.38117408906882594</v>
      </c>
    </row>
    <row r="3486" spans="1:38" hidden="1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2739</v>
      </c>
      <c r="R3486" s="2" t="s">
        <v>964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33"/>
        <v>0.32854691075514875</v>
      </c>
      <c r="Z3486" s="2" t="s">
        <v>3231</v>
      </c>
      <c r="AA3486" s="2" t="s">
        <v>76</v>
      </c>
      <c r="AB3486" s="2" t="s">
        <v>77</v>
      </c>
      <c r="AC3486" s="2" t="s">
        <v>78</v>
      </c>
      <c r="AF3486" s="2">
        <f t="shared" si="431"/>
        <v>0</v>
      </c>
      <c r="AJ3486" s="2">
        <f t="shared" si="432"/>
        <v>0</v>
      </c>
      <c r="AK3486" s="2">
        <f t="shared" si="430"/>
        <v>114.86000000000001</v>
      </c>
      <c r="AL3486" s="5">
        <f t="shared" si="429"/>
        <v>0.32854691075514875</v>
      </c>
    </row>
    <row r="3487" spans="1:38" hidden="1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33"/>
        <v>0.1089142193564161</v>
      </c>
      <c r="Z3487" s="2" t="s">
        <v>3231</v>
      </c>
      <c r="AA3487" s="2" t="s">
        <v>76</v>
      </c>
      <c r="AB3487" s="2" t="s">
        <v>77</v>
      </c>
      <c r="AC3487" s="2" t="s">
        <v>78</v>
      </c>
      <c r="AF3487" s="2">
        <f t="shared" si="431"/>
        <v>0</v>
      </c>
      <c r="AG3487" s="2">
        <v>291.58999999999997</v>
      </c>
      <c r="AH3487" s="2">
        <v>450</v>
      </c>
      <c r="AJ3487" s="2">
        <f t="shared" si="432"/>
        <v>0</v>
      </c>
      <c r="AK3487" s="2">
        <f t="shared" si="430"/>
        <v>35.640000000000043</v>
      </c>
      <c r="AL3487" s="5">
        <f t="shared" si="429"/>
        <v>0.1089142193564161</v>
      </c>
    </row>
    <row r="3488" spans="1:38" hidden="1" x14ac:dyDescent="0.2">
      <c r="A3488" s="2">
        <v>2026</v>
      </c>
      <c r="B3488" s="2">
        <v>3</v>
      </c>
      <c r="D3488" s="2" t="s">
        <v>2147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2740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33"/>
        <v>0.47452830188679246</v>
      </c>
      <c r="Z3488" s="2" t="s">
        <v>3231</v>
      </c>
      <c r="AA3488" s="2" t="s">
        <v>76</v>
      </c>
      <c r="AB3488" s="2" t="s">
        <v>77</v>
      </c>
      <c r="AC3488" s="2" t="s">
        <v>78</v>
      </c>
      <c r="AF3488" s="2">
        <f t="shared" si="431"/>
        <v>0</v>
      </c>
      <c r="AJ3488" s="2">
        <f t="shared" si="432"/>
        <v>0</v>
      </c>
      <c r="AK3488" s="2">
        <f t="shared" si="430"/>
        <v>251.5</v>
      </c>
      <c r="AL3488" s="5">
        <f t="shared" si="429"/>
        <v>0.47452830188679246</v>
      </c>
    </row>
    <row r="3489" spans="1:38" hidden="1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1040</v>
      </c>
      <c r="Q3489" s="2" t="s">
        <v>2741</v>
      </c>
      <c r="R3489" s="2" t="s">
        <v>2742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33"/>
        <v>0.36257777777777783</v>
      </c>
      <c r="Z3489" s="2" t="s">
        <v>3231</v>
      </c>
      <c r="AA3489" s="2" t="s">
        <v>76</v>
      </c>
      <c r="AB3489" s="2" t="s">
        <v>77</v>
      </c>
      <c r="AC3489" s="2" t="s">
        <v>1040</v>
      </c>
      <c r="AF3489" s="2">
        <f t="shared" si="431"/>
        <v>0</v>
      </c>
      <c r="AJ3489" s="2">
        <f t="shared" si="432"/>
        <v>0</v>
      </c>
      <c r="AK3489" s="2">
        <f t="shared" si="430"/>
        <v>163.16000000000003</v>
      </c>
      <c r="AL3489" s="5">
        <f t="shared" si="429"/>
        <v>0.36257777777777783</v>
      </c>
    </row>
    <row r="3490" spans="1:38" hidden="1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3159</v>
      </c>
      <c r="L3490" s="2" t="s">
        <v>100</v>
      </c>
      <c r="M3490" s="2" t="s">
        <v>81</v>
      </c>
      <c r="O3490" s="2" t="s">
        <v>3158</v>
      </c>
      <c r="P3490" s="2" t="s">
        <v>1040</v>
      </c>
      <c r="Q3490" s="2" t="s">
        <v>1837</v>
      </c>
      <c r="R3490" s="2" t="s">
        <v>1838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33"/>
        <v>0.56678650821966681</v>
      </c>
      <c r="Z3490" s="2" t="s">
        <v>3231</v>
      </c>
      <c r="AA3490" s="2" t="s">
        <v>76</v>
      </c>
      <c r="AB3490" s="2" t="s">
        <v>77</v>
      </c>
      <c r="AC3490" s="2" t="s">
        <v>1040</v>
      </c>
      <c r="AF3490" s="2">
        <f t="shared" si="431"/>
        <v>0</v>
      </c>
      <c r="AG3490" s="2">
        <v>157.85</v>
      </c>
      <c r="AJ3490" s="2">
        <f t="shared" si="432"/>
        <v>0</v>
      </c>
      <c r="AK3490" s="2">
        <f t="shared" si="430"/>
        <v>206.52</v>
      </c>
      <c r="AL3490" s="5">
        <f t="shared" si="429"/>
        <v>0.56678650821966681</v>
      </c>
    </row>
    <row r="3491" spans="1:38" hidden="1" x14ac:dyDescent="0.2">
      <c r="A3491" s="2">
        <v>2026</v>
      </c>
      <c r="B3491" s="2">
        <v>3</v>
      </c>
      <c r="D3491" s="2" t="s">
        <v>1557</v>
      </c>
      <c r="E3491" s="2" t="s">
        <v>109</v>
      </c>
      <c r="F3491" s="2" t="s">
        <v>718</v>
      </c>
      <c r="G3491" s="2">
        <v>500975914</v>
      </c>
      <c r="H3491" s="2" t="s">
        <v>41</v>
      </c>
      <c r="I3491" s="2" t="s">
        <v>1558</v>
      </c>
      <c r="J3491" s="2" t="s">
        <v>1559</v>
      </c>
      <c r="L3491" s="2" t="s">
        <v>100</v>
      </c>
      <c r="M3491" s="2" t="s">
        <v>41</v>
      </c>
      <c r="P3491" s="2" t="s">
        <v>1040</v>
      </c>
      <c r="Q3491" s="2" t="s">
        <v>2743</v>
      </c>
      <c r="R3491" s="2" t="s">
        <v>2744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33"/>
        <v>0.47124137931034482</v>
      </c>
      <c r="Z3491" s="2" t="s">
        <v>3231</v>
      </c>
      <c r="AA3491" s="2" t="s">
        <v>76</v>
      </c>
      <c r="AB3491" s="2" t="s">
        <v>77</v>
      </c>
      <c r="AC3491" s="2" t="s">
        <v>1040</v>
      </c>
      <c r="AF3491" s="2">
        <f t="shared" si="431"/>
        <v>0</v>
      </c>
      <c r="AJ3491" s="2">
        <f t="shared" si="432"/>
        <v>0</v>
      </c>
      <c r="AK3491" s="2">
        <f t="shared" si="430"/>
        <v>136.66</v>
      </c>
      <c r="AL3491" s="5">
        <f t="shared" si="429"/>
        <v>0.47124137931034482</v>
      </c>
    </row>
    <row r="3492" spans="1:38" hidden="1" x14ac:dyDescent="0.2">
      <c r="A3492" s="2">
        <v>2026</v>
      </c>
      <c r="B3492" s="2">
        <v>3</v>
      </c>
      <c r="D3492" s="2" t="s">
        <v>938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939</v>
      </c>
      <c r="J3492" s="2" t="s">
        <v>940</v>
      </c>
      <c r="K3492" s="2">
        <v>964771057</v>
      </c>
      <c r="L3492" s="2" t="s">
        <v>340</v>
      </c>
      <c r="M3492" s="2" t="s">
        <v>81</v>
      </c>
      <c r="O3492" s="2" t="s">
        <v>2745</v>
      </c>
      <c r="P3492" s="2" t="s">
        <v>1040</v>
      </c>
      <c r="Q3492" s="2" t="s">
        <v>1858</v>
      </c>
      <c r="R3492" s="2" t="s">
        <v>1859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35">(T3492-W3492)/T3492</f>
        <v>0.45986046511627909</v>
      </c>
      <c r="Z3492" s="2" t="s">
        <v>3231</v>
      </c>
      <c r="AA3492" s="2" t="s">
        <v>76</v>
      </c>
      <c r="AB3492" s="2" t="s">
        <v>77</v>
      </c>
      <c r="AC3492" s="2" t="s">
        <v>1040</v>
      </c>
      <c r="AF3492" s="2">
        <f t="shared" si="431"/>
        <v>0</v>
      </c>
      <c r="AG3492" s="2">
        <v>232.26</v>
      </c>
      <c r="AJ3492" s="2">
        <f t="shared" si="432"/>
        <v>0</v>
      </c>
      <c r="AK3492" s="2">
        <f t="shared" si="430"/>
        <v>197.74</v>
      </c>
      <c r="AL3492" s="5">
        <f t="shared" si="429"/>
        <v>0.45986046511627909</v>
      </c>
    </row>
    <row r="3493" spans="1:38" hidden="1" x14ac:dyDescent="0.2">
      <c r="A3493" s="2">
        <v>2026</v>
      </c>
      <c r="B3493" s="2">
        <v>3</v>
      </c>
      <c r="D3493" s="2" t="s">
        <v>2561</v>
      </c>
      <c r="M3493" s="2" t="s">
        <v>81</v>
      </c>
      <c r="O3493" s="2" t="s">
        <v>3165</v>
      </c>
      <c r="P3493" s="2" t="s">
        <v>1040</v>
      </c>
      <c r="Q3493" s="2" t="s">
        <v>2746</v>
      </c>
      <c r="R3493" s="2" t="s">
        <v>2747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35"/>
        <v>0.32349999999999995</v>
      </c>
      <c r="Z3493" s="2" t="s">
        <v>3231</v>
      </c>
      <c r="AA3493" s="2" t="s">
        <v>76</v>
      </c>
      <c r="AB3493" s="2" t="s">
        <v>77</v>
      </c>
      <c r="AC3493" s="2" t="s">
        <v>1040</v>
      </c>
      <c r="AF3493" s="2">
        <f t="shared" si="431"/>
        <v>0</v>
      </c>
      <c r="AG3493" s="2">
        <v>270.60000000000002</v>
      </c>
      <c r="AJ3493" s="2">
        <f t="shared" si="432"/>
        <v>0</v>
      </c>
      <c r="AK3493" s="2">
        <f t="shared" si="430"/>
        <v>129.39999999999998</v>
      </c>
      <c r="AL3493" s="5">
        <f t="shared" si="429"/>
        <v>0.32349999999999995</v>
      </c>
    </row>
    <row r="3494" spans="1:38" hidden="1" x14ac:dyDescent="0.2">
      <c r="A3494" s="2">
        <v>2026</v>
      </c>
      <c r="B3494" s="2">
        <v>3</v>
      </c>
      <c r="D3494" s="2" t="s">
        <v>2520</v>
      </c>
      <c r="E3494" s="2" t="s">
        <v>753</v>
      </c>
      <c r="F3494" s="2" t="s">
        <v>39</v>
      </c>
      <c r="G3494" s="2">
        <v>515570354</v>
      </c>
      <c r="H3494" s="2" t="s">
        <v>110</v>
      </c>
      <c r="I3494" s="2" t="s">
        <v>2521</v>
      </c>
      <c r="J3494" s="2" t="s">
        <v>2522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35"/>
        <v>0.65494285714285716</v>
      </c>
      <c r="Z3494" s="2" t="s">
        <v>3231</v>
      </c>
      <c r="AA3494" s="2" t="s">
        <v>88</v>
      </c>
      <c r="AB3494" s="2" t="s">
        <v>91</v>
      </c>
      <c r="AC3494" s="2" t="s">
        <v>85</v>
      </c>
      <c r="AF3494" s="2">
        <f t="shared" si="431"/>
        <v>0</v>
      </c>
      <c r="AJ3494" s="2">
        <f t="shared" si="432"/>
        <v>0</v>
      </c>
      <c r="AK3494" s="2">
        <f t="shared" si="430"/>
        <v>4.5846</v>
      </c>
      <c r="AL3494" s="5">
        <f t="shared" si="429"/>
        <v>0.65494285714285716</v>
      </c>
    </row>
    <row r="3495" spans="1:38" hidden="1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2679</v>
      </c>
      <c r="P3495" s="2" t="s">
        <v>85</v>
      </c>
      <c r="Q3495" s="2" t="s">
        <v>623</v>
      </c>
      <c r="R3495" s="2" t="s">
        <v>624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35"/>
        <v>#DIV/0!</v>
      </c>
      <c r="Z3495" s="2" t="s">
        <v>3231</v>
      </c>
      <c r="AA3495" s="2" t="s">
        <v>88</v>
      </c>
      <c r="AB3495" s="2" t="s">
        <v>61</v>
      </c>
      <c r="AC3495" s="2" t="s">
        <v>85</v>
      </c>
      <c r="AF3495" s="2">
        <f t="shared" si="431"/>
        <v>0</v>
      </c>
      <c r="AJ3495" s="2">
        <f t="shared" si="432"/>
        <v>0</v>
      </c>
      <c r="AK3495" s="2">
        <f t="shared" si="430"/>
        <v>0</v>
      </c>
      <c r="AL3495" s="5" t="e">
        <f t="shared" si="429"/>
        <v>#DIV/0!</v>
      </c>
    </row>
    <row r="3496" spans="1:38" hidden="1" x14ac:dyDescent="0.2">
      <c r="A3496" s="2">
        <v>2026</v>
      </c>
      <c r="B3496" s="2">
        <v>3</v>
      </c>
      <c r="D3496" s="2" t="s">
        <v>2520</v>
      </c>
      <c r="E3496" s="2" t="s">
        <v>753</v>
      </c>
      <c r="F3496" s="2" t="s">
        <v>39</v>
      </c>
      <c r="G3496" s="2">
        <v>515570354</v>
      </c>
      <c r="H3496" s="2" t="s">
        <v>110</v>
      </c>
      <c r="I3496" s="2" t="s">
        <v>2521</v>
      </c>
      <c r="J3496" s="2" t="s">
        <v>2522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35"/>
        <v>0.58000000000000007</v>
      </c>
      <c r="Z3496" s="2" t="s">
        <v>3231</v>
      </c>
      <c r="AA3496" s="2" t="s">
        <v>88</v>
      </c>
      <c r="AB3496" s="2" t="s">
        <v>91</v>
      </c>
      <c r="AC3496" s="2" t="s">
        <v>85</v>
      </c>
      <c r="AF3496" s="2">
        <f t="shared" si="431"/>
        <v>0</v>
      </c>
      <c r="AJ3496" s="2">
        <f t="shared" si="432"/>
        <v>0</v>
      </c>
      <c r="AK3496" s="2">
        <f t="shared" si="430"/>
        <v>4.0600000000000005</v>
      </c>
      <c r="AL3496" s="5">
        <f t="shared" si="429"/>
        <v>0.58000000000000007</v>
      </c>
    </row>
    <row r="3497" spans="1:38" hidden="1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35"/>
        <v>1</v>
      </c>
      <c r="Z3497" s="2" t="s">
        <v>3231</v>
      </c>
      <c r="AA3497" s="2" t="s">
        <v>88</v>
      </c>
      <c r="AB3497" s="2" t="s">
        <v>91</v>
      </c>
      <c r="AC3497" s="2" t="s">
        <v>85</v>
      </c>
      <c r="AF3497" s="2">
        <f t="shared" si="431"/>
        <v>0</v>
      </c>
      <c r="AJ3497" s="2">
        <f t="shared" si="432"/>
        <v>0</v>
      </c>
      <c r="AK3497" s="2">
        <f t="shared" si="430"/>
        <v>8.4</v>
      </c>
      <c r="AL3497" s="5">
        <f t="shared" si="429"/>
        <v>1</v>
      </c>
    </row>
    <row r="3498" spans="1:38" hidden="1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35"/>
        <v>1</v>
      </c>
      <c r="Z3498" s="2" t="s">
        <v>3231</v>
      </c>
      <c r="AA3498" s="2" t="s">
        <v>88</v>
      </c>
      <c r="AB3498" s="2" t="s">
        <v>91</v>
      </c>
      <c r="AC3498" s="2" t="s">
        <v>85</v>
      </c>
      <c r="AF3498" s="2">
        <f t="shared" si="431"/>
        <v>0</v>
      </c>
      <c r="AJ3498" s="2">
        <f t="shared" si="432"/>
        <v>0</v>
      </c>
      <c r="AK3498" s="2">
        <f t="shared" si="430"/>
        <v>8.4</v>
      </c>
      <c r="AL3498" s="5">
        <f t="shared" si="429"/>
        <v>1</v>
      </c>
    </row>
    <row r="3499" spans="1:38" hidden="1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2698</v>
      </c>
      <c r="P3499" s="2" t="s">
        <v>85</v>
      </c>
      <c r="Q3499" s="2" t="s">
        <v>2748</v>
      </c>
      <c r="R3499" s="2" t="s">
        <v>2749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35"/>
        <v>0.15862011173184362</v>
      </c>
      <c r="Z3499" s="2" t="s">
        <v>3231</v>
      </c>
      <c r="AA3499" s="2" t="s">
        <v>88</v>
      </c>
      <c r="AC3499" s="2" t="s">
        <v>85</v>
      </c>
      <c r="AF3499" s="2">
        <f t="shared" si="431"/>
        <v>0</v>
      </c>
      <c r="AG3499" s="2">
        <v>1506.07</v>
      </c>
      <c r="AJ3499" s="2">
        <f t="shared" si="432"/>
        <v>0</v>
      </c>
      <c r="AK3499" s="2">
        <f t="shared" si="430"/>
        <v>283.93000000000006</v>
      </c>
      <c r="AL3499" s="5">
        <f t="shared" si="429"/>
        <v>0.15862011173184362</v>
      </c>
    </row>
    <row r="3500" spans="1:38" hidden="1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2703</v>
      </c>
      <c r="P3500" s="2" t="s">
        <v>1196</v>
      </c>
      <c r="Q3500" s="2" t="s">
        <v>1715</v>
      </c>
      <c r="R3500" s="2" t="s">
        <v>1716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35"/>
        <v>0.27828915662650605</v>
      </c>
      <c r="Z3500" s="2" t="s">
        <v>105</v>
      </c>
      <c r="AA3500" s="2" t="s">
        <v>2750</v>
      </c>
      <c r="AB3500" s="2" t="s">
        <v>2751</v>
      </c>
      <c r="AC3500" s="2" t="s">
        <v>1196</v>
      </c>
      <c r="AF3500" s="2">
        <f t="shared" si="431"/>
        <v>0</v>
      </c>
      <c r="AG3500" s="2">
        <f>1477+320.06</f>
        <v>1797.06</v>
      </c>
      <c r="AJ3500" s="2">
        <f t="shared" si="432"/>
        <v>0</v>
      </c>
      <c r="AK3500" s="2">
        <f t="shared" si="430"/>
        <v>692.94</v>
      </c>
      <c r="AL3500" s="5">
        <f t="shared" si="429"/>
        <v>0.27828915662650605</v>
      </c>
    </row>
    <row r="3501" spans="1:38" hidden="1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2703</v>
      </c>
      <c r="P3501" s="2" t="s">
        <v>1196</v>
      </c>
      <c r="Q3501" s="2" t="s">
        <v>1199</v>
      </c>
      <c r="R3501" s="2" t="s">
        <v>1200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35"/>
        <v>0.36459999999999998</v>
      </c>
      <c r="Z3501" s="2" t="s">
        <v>105</v>
      </c>
      <c r="AA3501" s="2" t="s">
        <v>1201</v>
      </c>
      <c r="AB3501" s="2" t="s">
        <v>120</v>
      </c>
      <c r="AC3501" s="2" t="s">
        <v>1196</v>
      </c>
      <c r="AF3501" s="2">
        <f t="shared" si="431"/>
        <v>0</v>
      </c>
      <c r="AG3501" s="2">
        <f>235+50.93</f>
        <v>285.93</v>
      </c>
      <c r="AJ3501" s="2">
        <f t="shared" si="432"/>
        <v>0</v>
      </c>
      <c r="AK3501" s="2">
        <f t="shared" si="430"/>
        <v>328.14</v>
      </c>
      <c r="AL3501" s="5">
        <f t="shared" si="429"/>
        <v>0.36459999999999998</v>
      </c>
    </row>
    <row r="3502" spans="1:38" hidden="1" x14ac:dyDescent="0.2">
      <c r="A3502" s="2">
        <v>2026</v>
      </c>
      <c r="B3502" s="2">
        <v>3</v>
      </c>
      <c r="D3502" s="2" t="s">
        <v>2752</v>
      </c>
      <c r="M3502" s="2" t="s">
        <v>41</v>
      </c>
      <c r="P3502" s="2" t="s">
        <v>1040</v>
      </c>
      <c r="Q3502" s="2" t="s">
        <v>2753</v>
      </c>
      <c r="R3502" s="2" t="s">
        <v>2754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35"/>
        <v>0.35858218533413194</v>
      </c>
      <c r="Z3502" s="2" t="s">
        <v>3231</v>
      </c>
      <c r="AA3502" s="2" t="s">
        <v>1043</v>
      </c>
      <c r="AB3502" s="2" t="s">
        <v>2755</v>
      </c>
      <c r="AC3502" s="2" t="s">
        <v>1040</v>
      </c>
      <c r="AF3502" s="2">
        <f t="shared" si="431"/>
        <v>0</v>
      </c>
      <c r="AJ3502" s="2">
        <f t="shared" si="432"/>
        <v>0</v>
      </c>
      <c r="AK3502" s="2">
        <f t="shared" si="430"/>
        <v>335.26</v>
      </c>
      <c r="AL3502" s="5">
        <f t="shared" si="429"/>
        <v>0.35858218533413194</v>
      </c>
    </row>
    <row r="3503" spans="1:38" hidden="1" x14ac:dyDescent="0.2">
      <c r="A3503" s="2">
        <v>2026</v>
      </c>
      <c r="B3503" s="2">
        <v>3</v>
      </c>
      <c r="C3503" s="2" t="s">
        <v>3449</v>
      </c>
      <c r="D3503" s="2" t="s">
        <v>2756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2757</v>
      </c>
      <c r="J3503" s="2" t="s">
        <v>2758</v>
      </c>
      <c r="K3503" s="2">
        <v>962332957</v>
      </c>
      <c r="L3503" s="2" t="s">
        <v>113</v>
      </c>
      <c r="M3503" s="2" t="s">
        <v>110</v>
      </c>
      <c r="O3503" s="2" t="s">
        <v>2759</v>
      </c>
      <c r="P3503" s="2" t="s">
        <v>40</v>
      </c>
      <c r="Q3503" s="2" t="s">
        <v>2760</v>
      </c>
      <c r="R3503" s="2" t="s">
        <v>2761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435"/>
        <v>0.25000000000000006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31"/>
        <v>0</v>
      </c>
      <c r="AJ3503" s="2">
        <f t="shared" si="432"/>
        <v>0</v>
      </c>
      <c r="AK3503" s="2">
        <f t="shared" si="430"/>
        <v>813.00750000000016</v>
      </c>
      <c r="AL3503" s="5">
        <f t="shared" ref="AL3503:AL3566" si="436">(T3503-W3503)/T3503</f>
        <v>0.25000000000000006</v>
      </c>
    </row>
    <row r="3504" spans="1:38" hidden="1" x14ac:dyDescent="0.2">
      <c r="A3504" s="2">
        <v>2026</v>
      </c>
      <c r="B3504" s="2">
        <v>3</v>
      </c>
      <c r="C3504" s="2" t="s">
        <v>3449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291</v>
      </c>
      <c r="O3504" s="2" t="s">
        <v>2703</v>
      </c>
      <c r="P3504" s="2" t="s">
        <v>40</v>
      </c>
      <c r="Q3504" s="2" t="s">
        <v>2121</v>
      </c>
      <c r="R3504" s="2" t="s">
        <v>2122</v>
      </c>
      <c r="S3504" s="2">
        <v>1</v>
      </c>
      <c r="T3504" s="2">
        <v>1000</v>
      </c>
      <c r="U3504" s="2">
        <v>230</v>
      </c>
      <c r="V3504" s="2">
        <v>1230</v>
      </c>
      <c r="W3504" s="2">
        <f t="shared" ref="W3504:W3507" si="437">T3504*75%</f>
        <v>750</v>
      </c>
      <c r="X3504" s="5">
        <f t="shared" si="435"/>
        <v>0.25</v>
      </c>
      <c r="Z3504" s="2" t="s">
        <v>105</v>
      </c>
      <c r="AA3504" s="2" t="s">
        <v>120</v>
      </c>
      <c r="AB3504" s="2" t="s">
        <v>476</v>
      </c>
      <c r="AC3504" s="2" t="s">
        <v>476</v>
      </c>
      <c r="AF3504" s="2">
        <f t="shared" si="431"/>
        <v>0</v>
      </c>
      <c r="AJ3504" s="2">
        <f t="shared" si="432"/>
        <v>0</v>
      </c>
      <c r="AK3504" s="2">
        <f t="shared" si="430"/>
        <v>250</v>
      </c>
      <c r="AL3504" s="5">
        <f t="shared" si="436"/>
        <v>0.25</v>
      </c>
    </row>
    <row r="3505" spans="1:38" hidden="1" x14ac:dyDescent="0.2">
      <c r="A3505" s="2">
        <v>2026</v>
      </c>
      <c r="B3505" s="2">
        <v>3</v>
      </c>
      <c r="C3505" s="2" t="s">
        <v>3449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291</v>
      </c>
      <c r="O3505" s="2" t="s">
        <v>2703</v>
      </c>
      <c r="P3505" s="2" t="s">
        <v>40</v>
      </c>
      <c r="Q3505" s="2" t="s">
        <v>2762</v>
      </c>
      <c r="R3505" s="2" t="s">
        <v>2763</v>
      </c>
      <c r="S3505" s="2">
        <v>1</v>
      </c>
      <c r="T3505" s="2">
        <v>1500</v>
      </c>
      <c r="U3505" s="2">
        <v>345</v>
      </c>
      <c r="V3505" s="2">
        <v>1845</v>
      </c>
      <c r="W3505" s="2">
        <f t="shared" si="437"/>
        <v>1125</v>
      </c>
      <c r="X3505" s="5">
        <f t="shared" si="435"/>
        <v>0.25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31"/>
        <v>0</v>
      </c>
      <c r="AJ3505" s="2">
        <f t="shared" si="432"/>
        <v>0</v>
      </c>
      <c r="AK3505" s="2">
        <f t="shared" si="430"/>
        <v>375</v>
      </c>
      <c r="AL3505" s="5">
        <f t="shared" si="436"/>
        <v>0.25</v>
      </c>
    </row>
    <row r="3506" spans="1:38" hidden="1" x14ac:dyDescent="0.2">
      <c r="A3506" s="2">
        <v>2026</v>
      </c>
      <c r="B3506" s="2">
        <v>3</v>
      </c>
      <c r="C3506" s="2" t="s">
        <v>3449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291</v>
      </c>
      <c r="O3506" s="2" t="s">
        <v>2703</v>
      </c>
      <c r="P3506" s="2" t="s">
        <v>40</v>
      </c>
      <c r="Q3506" s="2" t="s">
        <v>821</v>
      </c>
      <c r="R3506" s="2" t="s">
        <v>822</v>
      </c>
      <c r="S3506" s="2">
        <v>1</v>
      </c>
      <c r="T3506" s="2">
        <v>2000</v>
      </c>
      <c r="U3506" s="2">
        <v>460</v>
      </c>
      <c r="V3506" s="2">
        <v>2460</v>
      </c>
      <c r="W3506" s="2">
        <f t="shared" si="437"/>
        <v>1500</v>
      </c>
      <c r="X3506" s="5">
        <f t="shared" si="435"/>
        <v>0.25</v>
      </c>
      <c r="Z3506" s="2" t="s">
        <v>105</v>
      </c>
      <c r="AA3506" s="2" t="s">
        <v>617</v>
      </c>
      <c r="AB3506" s="2" t="s">
        <v>476</v>
      </c>
      <c r="AC3506" s="2" t="s">
        <v>476</v>
      </c>
      <c r="AF3506" s="2">
        <f t="shared" si="431"/>
        <v>0</v>
      </c>
      <c r="AJ3506" s="2">
        <f t="shared" si="432"/>
        <v>0</v>
      </c>
      <c r="AK3506" s="2">
        <f t="shared" si="430"/>
        <v>500</v>
      </c>
      <c r="AL3506" s="5">
        <f t="shared" si="436"/>
        <v>0.25</v>
      </c>
    </row>
    <row r="3507" spans="1:38" hidden="1" x14ac:dyDescent="0.2">
      <c r="A3507" s="2">
        <v>2026</v>
      </c>
      <c r="B3507" s="2">
        <v>3</v>
      </c>
      <c r="D3507" s="2" t="s">
        <v>1911</v>
      </c>
      <c r="P3507" s="2" t="s">
        <v>40</v>
      </c>
      <c r="Q3507" s="2" t="s">
        <v>2764</v>
      </c>
      <c r="R3507" s="2" t="s">
        <v>2765</v>
      </c>
      <c r="S3507" s="2">
        <v>1</v>
      </c>
      <c r="T3507" s="2">
        <v>2000</v>
      </c>
      <c r="U3507" s="2">
        <v>460</v>
      </c>
      <c r="V3507" s="2">
        <v>2460</v>
      </c>
      <c r="W3507" s="2">
        <f t="shared" si="437"/>
        <v>1500</v>
      </c>
      <c r="X3507" s="5">
        <f t="shared" si="435"/>
        <v>0.25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31"/>
        <v>0</v>
      </c>
      <c r="AJ3507" s="2">
        <f t="shared" si="432"/>
        <v>0</v>
      </c>
      <c r="AK3507" s="2">
        <f t="shared" si="430"/>
        <v>500</v>
      </c>
      <c r="AL3507" s="5">
        <f t="shared" si="436"/>
        <v>0.25</v>
      </c>
    </row>
    <row r="3508" spans="1:38" hidden="1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2766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35"/>
        <v>1</v>
      </c>
      <c r="Z3508" s="2" t="s">
        <v>120</v>
      </c>
      <c r="AA3508" s="2" t="s">
        <v>493</v>
      </c>
      <c r="AF3508" s="2">
        <f t="shared" si="431"/>
        <v>0</v>
      </c>
      <c r="AJ3508" s="2">
        <f t="shared" si="432"/>
        <v>0</v>
      </c>
      <c r="AK3508" s="2">
        <f t="shared" si="430"/>
        <v>678.91</v>
      </c>
      <c r="AL3508" s="5">
        <f t="shared" si="436"/>
        <v>1</v>
      </c>
    </row>
    <row r="3509" spans="1:38" hidden="1" x14ac:dyDescent="0.2">
      <c r="A3509" s="2">
        <v>2026</v>
      </c>
      <c r="B3509" s="2">
        <v>4</v>
      </c>
      <c r="D3509" s="2" t="s">
        <v>823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826</v>
      </c>
      <c r="J3509" s="2" t="s">
        <v>827</v>
      </c>
      <c r="L3509" s="2" t="s">
        <v>419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35"/>
        <v>0.5</v>
      </c>
      <c r="Z3509" s="2" t="s">
        <v>118</v>
      </c>
      <c r="AA3509" s="2" t="s">
        <v>191</v>
      </c>
      <c r="AB3509" s="2" t="s">
        <v>191</v>
      </c>
      <c r="AC3509" s="2" t="s">
        <v>40</v>
      </c>
      <c r="AF3509" s="2">
        <f t="shared" si="431"/>
        <v>0</v>
      </c>
      <c r="AG3509" s="2">
        <f t="shared" ref="AG3509:AG3519" si="438">W3509</f>
        <v>13.75</v>
      </c>
      <c r="AJ3509" s="2">
        <f t="shared" si="432"/>
        <v>0</v>
      </c>
      <c r="AK3509" s="2">
        <f t="shared" si="430"/>
        <v>13.75</v>
      </c>
      <c r="AL3509" s="5">
        <f t="shared" si="436"/>
        <v>0.5</v>
      </c>
    </row>
    <row r="3510" spans="1:38" hidden="1" x14ac:dyDescent="0.2">
      <c r="A3510" s="2">
        <v>2026</v>
      </c>
      <c r="B3510" s="2">
        <v>2</v>
      </c>
      <c r="D3510" s="2" t="s">
        <v>2767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35"/>
        <v>0.60000000000000009</v>
      </c>
      <c r="Z3510" s="2" t="s">
        <v>118</v>
      </c>
      <c r="AA3510" s="2" t="s">
        <v>191</v>
      </c>
      <c r="AB3510" s="2" t="s">
        <v>190</v>
      </c>
      <c r="AC3510" s="2" t="s">
        <v>40</v>
      </c>
      <c r="AF3510" s="2">
        <f t="shared" si="431"/>
        <v>0</v>
      </c>
      <c r="AG3510" s="2">
        <f t="shared" si="438"/>
        <v>51.6</v>
      </c>
      <c r="AJ3510" s="2">
        <f t="shared" si="432"/>
        <v>0</v>
      </c>
      <c r="AK3510" s="2">
        <f t="shared" ref="AK3510:AK3573" si="439">T3510-W3510</f>
        <v>77.400000000000006</v>
      </c>
      <c r="AL3510" s="5">
        <f t="shared" si="436"/>
        <v>0.60000000000000009</v>
      </c>
    </row>
    <row r="3511" spans="1:38" hidden="1" x14ac:dyDescent="0.2">
      <c r="A3511" s="2">
        <v>2026</v>
      </c>
      <c r="B3511" s="2">
        <v>2</v>
      </c>
      <c r="D3511" s="2" t="s">
        <v>2767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35"/>
        <v>0.5</v>
      </c>
      <c r="Z3511" s="2" t="s">
        <v>118</v>
      </c>
      <c r="AA3511" s="2" t="s">
        <v>191</v>
      </c>
      <c r="AB3511" s="2" t="s">
        <v>191</v>
      </c>
      <c r="AC3511" s="2" t="s">
        <v>40</v>
      </c>
      <c r="AF3511" s="2">
        <f t="shared" si="431"/>
        <v>0</v>
      </c>
      <c r="AG3511" s="2">
        <f t="shared" si="438"/>
        <v>27.5</v>
      </c>
      <c r="AJ3511" s="2">
        <f t="shared" si="432"/>
        <v>0</v>
      </c>
      <c r="AK3511" s="2">
        <f t="shared" si="439"/>
        <v>27.5</v>
      </c>
      <c r="AL3511" s="5">
        <f t="shared" si="436"/>
        <v>0.5</v>
      </c>
    </row>
    <row r="3512" spans="1:38" hidden="1" x14ac:dyDescent="0.2">
      <c r="A3512" s="2">
        <v>2026</v>
      </c>
      <c r="B3512" s="2">
        <v>1</v>
      </c>
      <c r="D3512" s="2" t="s">
        <v>2768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35"/>
        <v>0.6</v>
      </c>
      <c r="Z3512" s="2" t="s">
        <v>118</v>
      </c>
      <c r="AA3512" s="2" t="s">
        <v>191</v>
      </c>
      <c r="AB3512" s="2" t="s">
        <v>190</v>
      </c>
      <c r="AC3512" s="2" t="s">
        <v>40</v>
      </c>
      <c r="AF3512" s="2">
        <f t="shared" si="431"/>
        <v>0</v>
      </c>
      <c r="AG3512" s="2">
        <f t="shared" si="438"/>
        <v>106.80000000000001</v>
      </c>
      <c r="AJ3512" s="2">
        <f t="shared" si="432"/>
        <v>0</v>
      </c>
      <c r="AK3512" s="2">
        <f t="shared" si="439"/>
        <v>160.19999999999999</v>
      </c>
      <c r="AL3512" s="5">
        <f t="shared" si="436"/>
        <v>0.6</v>
      </c>
    </row>
    <row r="3513" spans="1:38" hidden="1" x14ac:dyDescent="0.2">
      <c r="A3513" s="2">
        <v>2026</v>
      </c>
      <c r="B3513" s="2">
        <v>1</v>
      </c>
      <c r="D3513" s="2" t="s">
        <v>2768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35"/>
        <v>0.5</v>
      </c>
      <c r="Z3513" s="2" t="s">
        <v>118</v>
      </c>
      <c r="AA3513" s="2" t="s">
        <v>191</v>
      </c>
      <c r="AB3513" s="2" t="s">
        <v>191</v>
      </c>
      <c r="AC3513" s="2" t="s">
        <v>40</v>
      </c>
      <c r="AF3513" s="2">
        <f t="shared" si="431"/>
        <v>0</v>
      </c>
      <c r="AG3513" s="2">
        <f t="shared" si="438"/>
        <v>37.5</v>
      </c>
      <c r="AJ3513" s="2">
        <f t="shared" si="432"/>
        <v>0</v>
      </c>
      <c r="AK3513" s="2">
        <f t="shared" si="439"/>
        <v>37.5</v>
      </c>
      <c r="AL3513" s="5">
        <f t="shared" si="436"/>
        <v>0.5</v>
      </c>
    </row>
    <row r="3514" spans="1:38" hidden="1" x14ac:dyDescent="0.2">
      <c r="A3514" s="2">
        <v>2026</v>
      </c>
      <c r="B3514" s="2">
        <v>4</v>
      </c>
      <c r="D3514" s="2" t="s">
        <v>2769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35"/>
        <v>0.6</v>
      </c>
      <c r="Z3514" s="2" t="s">
        <v>118</v>
      </c>
      <c r="AA3514" s="2" t="s">
        <v>191</v>
      </c>
      <c r="AB3514" s="2" t="s">
        <v>190</v>
      </c>
      <c r="AC3514" s="2" t="s">
        <v>40</v>
      </c>
      <c r="AF3514" s="2">
        <f t="shared" si="431"/>
        <v>0</v>
      </c>
      <c r="AG3514" s="2">
        <f t="shared" si="438"/>
        <v>72</v>
      </c>
      <c r="AJ3514" s="2">
        <f t="shared" si="432"/>
        <v>0</v>
      </c>
      <c r="AK3514" s="2">
        <f t="shared" si="439"/>
        <v>108</v>
      </c>
      <c r="AL3514" s="5">
        <f t="shared" si="436"/>
        <v>0.6</v>
      </c>
    </row>
    <row r="3515" spans="1:38" hidden="1" x14ac:dyDescent="0.2">
      <c r="A3515" s="2">
        <v>2026</v>
      </c>
      <c r="B3515" s="2">
        <v>4</v>
      </c>
      <c r="D3515" s="2" t="s">
        <v>2769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35"/>
        <v>0.5</v>
      </c>
      <c r="Z3515" s="2" t="s">
        <v>118</v>
      </c>
      <c r="AA3515" s="2" t="s">
        <v>191</v>
      </c>
      <c r="AB3515" s="2" t="s">
        <v>191</v>
      </c>
      <c r="AC3515" s="2" t="s">
        <v>40</v>
      </c>
      <c r="AF3515" s="2">
        <f t="shared" si="431"/>
        <v>0</v>
      </c>
      <c r="AG3515" s="2">
        <f t="shared" si="438"/>
        <v>20.625</v>
      </c>
      <c r="AJ3515" s="2">
        <f t="shared" si="432"/>
        <v>0</v>
      </c>
      <c r="AK3515" s="2">
        <f t="shared" si="439"/>
        <v>20.625</v>
      </c>
      <c r="AL3515" s="5">
        <f t="shared" si="436"/>
        <v>0.5</v>
      </c>
    </row>
    <row r="3516" spans="1:38" hidden="1" x14ac:dyDescent="0.2">
      <c r="A3516" s="2">
        <v>2026</v>
      </c>
      <c r="B3516" s="2">
        <v>4</v>
      </c>
      <c r="D3516" s="2" t="s">
        <v>2770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35"/>
        <v>0.6</v>
      </c>
      <c r="Z3516" s="2" t="s">
        <v>118</v>
      </c>
      <c r="AA3516" s="2" t="s">
        <v>191</v>
      </c>
      <c r="AB3516" s="2" t="s">
        <v>190</v>
      </c>
      <c r="AC3516" s="2" t="s">
        <v>40</v>
      </c>
      <c r="AF3516" s="2">
        <f t="shared" si="431"/>
        <v>0</v>
      </c>
      <c r="AG3516" s="2">
        <f t="shared" si="438"/>
        <v>48</v>
      </c>
      <c r="AJ3516" s="2">
        <f t="shared" si="432"/>
        <v>0</v>
      </c>
      <c r="AK3516" s="2">
        <f t="shared" si="439"/>
        <v>72</v>
      </c>
      <c r="AL3516" s="5">
        <f t="shared" si="436"/>
        <v>0.6</v>
      </c>
    </row>
    <row r="3517" spans="1:38" hidden="1" x14ac:dyDescent="0.2">
      <c r="A3517" s="2">
        <v>2026</v>
      </c>
      <c r="B3517" s="2">
        <v>4</v>
      </c>
      <c r="D3517" s="2" t="s">
        <v>2770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35"/>
        <v>0.5</v>
      </c>
      <c r="Z3517" s="2" t="s">
        <v>118</v>
      </c>
      <c r="AA3517" s="2" t="s">
        <v>191</v>
      </c>
      <c r="AB3517" s="2" t="s">
        <v>191</v>
      </c>
      <c r="AC3517" s="2" t="s">
        <v>40</v>
      </c>
      <c r="AF3517" s="2">
        <f t="shared" si="431"/>
        <v>0</v>
      </c>
      <c r="AG3517" s="2">
        <f t="shared" si="438"/>
        <v>27.5</v>
      </c>
      <c r="AJ3517" s="2">
        <f t="shared" si="432"/>
        <v>0</v>
      </c>
      <c r="AK3517" s="2">
        <f t="shared" si="439"/>
        <v>27.5</v>
      </c>
      <c r="AL3517" s="5">
        <f t="shared" si="436"/>
        <v>0.5</v>
      </c>
    </row>
    <row r="3518" spans="1:38" hidden="1" x14ac:dyDescent="0.2">
      <c r="A3518" s="2">
        <v>2026</v>
      </c>
      <c r="B3518" s="2">
        <v>1</v>
      </c>
      <c r="D3518" s="2" t="s">
        <v>1399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3221</v>
      </c>
      <c r="J3518" s="2" t="s">
        <v>3220</v>
      </c>
      <c r="K3518" s="2">
        <v>913814877</v>
      </c>
      <c r="L3518" s="2" t="s">
        <v>202</v>
      </c>
      <c r="M3518" s="2" t="s">
        <v>40</v>
      </c>
      <c r="O3518" s="2" t="s">
        <v>3216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35"/>
        <v>0.6</v>
      </c>
      <c r="Z3518" s="2" t="s">
        <v>118</v>
      </c>
      <c r="AA3518" s="2" t="s">
        <v>191</v>
      </c>
      <c r="AB3518" s="2" t="s">
        <v>190</v>
      </c>
      <c r="AC3518" s="2" t="s">
        <v>40</v>
      </c>
      <c r="AF3518" s="2">
        <f t="shared" si="431"/>
        <v>0</v>
      </c>
      <c r="AG3518" s="2">
        <f t="shared" si="438"/>
        <v>22</v>
      </c>
      <c r="AJ3518" s="2">
        <f t="shared" si="432"/>
        <v>0</v>
      </c>
      <c r="AK3518" s="2">
        <f t="shared" si="439"/>
        <v>33</v>
      </c>
      <c r="AL3518" s="5">
        <f t="shared" si="436"/>
        <v>0.6</v>
      </c>
    </row>
    <row r="3519" spans="1:38" hidden="1" x14ac:dyDescent="0.2">
      <c r="A3519" s="2">
        <v>2026</v>
      </c>
      <c r="B3519" s="2">
        <v>1</v>
      </c>
      <c r="D3519" s="2" t="s">
        <v>1399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3221</v>
      </c>
      <c r="J3519" s="2" t="s">
        <v>3220</v>
      </c>
      <c r="K3519" s="2">
        <v>913814877</v>
      </c>
      <c r="L3519" s="2" t="s">
        <v>202</v>
      </c>
      <c r="M3519" s="2" t="s">
        <v>40</v>
      </c>
      <c r="O3519" s="2" t="s">
        <v>3216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35"/>
        <v>0.5</v>
      </c>
      <c r="Z3519" s="2" t="s">
        <v>118</v>
      </c>
      <c r="AA3519" s="2" t="s">
        <v>191</v>
      </c>
      <c r="AB3519" s="2" t="s">
        <v>191</v>
      </c>
      <c r="AC3519" s="2" t="s">
        <v>40</v>
      </c>
      <c r="AF3519" s="2">
        <f>AJ3519</f>
        <v>0</v>
      </c>
      <c r="AG3519" s="2">
        <f t="shared" si="438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hidden="1" x14ac:dyDescent="0.2">
      <c r="A3520" s="2">
        <v>2026</v>
      </c>
      <c r="B3520" s="2">
        <v>3</v>
      </c>
      <c r="D3520" s="2" t="s">
        <v>2771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2772</v>
      </c>
      <c r="L3520" s="2" t="s">
        <v>134</v>
      </c>
      <c r="M3520" s="2" t="s">
        <v>81</v>
      </c>
      <c r="O3520" s="2" t="s">
        <v>2773</v>
      </c>
      <c r="P3520" s="2" t="s">
        <v>1040</v>
      </c>
      <c r="Q3520" s="2" t="s">
        <v>1270</v>
      </c>
      <c r="R3520" s="2" t="s">
        <v>1271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35"/>
        <v>0.40327485380116956</v>
      </c>
      <c r="Z3520" s="2" t="s">
        <v>3231</v>
      </c>
      <c r="AA3520" s="2" t="s">
        <v>1043</v>
      </c>
      <c r="AB3520" s="2" t="s">
        <v>1272</v>
      </c>
      <c r="AC3520" s="2" t="s">
        <v>1040</v>
      </c>
      <c r="AF3520" s="2">
        <f t="shared" si="431"/>
        <v>0</v>
      </c>
      <c r="AJ3520" s="2">
        <f t="shared" si="432"/>
        <v>0</v>
      </c>
      <c r="AK3520" s="2">
        <f t="shared" si="439"/>
        <v>275.83999999999997</v>
      </c>
      <c r="AL3520" s="5">
        <f t="shared" si="436"/>
        <v>0.40327485380116956</v>
      </c>
    </row>
    <row r="3521" spans="1:38" hidden="1" x14ac:dyDescent="0.2">
      <c r="A3521" s="2">
        <v>2026</v>
      </c>
      <c r="B3521" s="2">
        <v>4</v>
      </c>
      <c r="D3521" s="2" t="s">
        <v>1051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1052</v>
      </c>
      <c r="J3521" s="2" t="s">
        <v>1053</v>
      </c>
      <c r="L3521" s="2" t="s">
        <v>340</v>
      </c>
      <c r="M3521" s="2" t="s">
        <v>40</v>
      </c>
      <c r="O3521" s="2" t="s">
        <v>2774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35"/>
        <v>0.6</v>
      </c>
      <c r="Z3521" s="2" t="s">
        <v>118</v>
      </c>
      <c r="AA3521" s="2" t="s">
        <v>191</v>
      </c>
      <c r="AB3521" s="2" t="s">
        <v>190</v>
      </c>
      <c r="AC3521" s="2" t="s">
        <v>40</v>
      </c>
      <c r="AF3521" s="2">
        <f t="shared" si="431"/>
        <v>0</v>
      </c>
      <c r="AG3521" s="2">
        <f t="shared" ref="AG3521:AG3532" si="440">W3521</f>
        <v>24</v>
      </c>
      <c r="AJ3521" s="2">
        <f t="shared" si="432"/>
        <v>0</v>
      </c>
      <c r="AK3521" s="2">
        <f t="shared" si="439"/>
        <v>36</v>
      </c>
      <c r="AL3521" s="5">
        <f t="shared" si="436"/>
        <v>0.6</v>
      </c>
    </row>
    <row r="3522" spans="1:38" hidden="1" x14ac:dyDescent="0.2">
      <c r="A3522" s="2">
        <v>2026</v>
      </c>
      <c r="B3522" s="2">
        <v>4</v>
      </c>
      <c r="D3522" s="2" t="s">
        <v>1051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1052</v>
      </c>
      <c r="J3522" s="2" t="s">
        <v>1053</v>
      </c>
      <c r="L3522" s="2" t="s">
        <v>340</v>
      </c>
      <c r="M3522" s="2" t="s">
        <v>40</v>
      </c>
      <c r="O3522" s="2" t="s">
        <v>2774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41">T3522*50%</f>
        <v>55</v>
      </c>
      <c r="X3522" s="5">
        <f t="shared" si="435"/>
        <v>0.5</v>
      </c>
      <c r="Z3522" s="2" t="s">
        <v>118</v>
      </c>
      <c r="AA3522" s="2" t="s">
        <v>191</v>
      </c>
      <c r="AB3522" s="2" t="s">
        <v>191</v>
      </c>
      <c r="AC3522" s="2" t="s">
        <v>40</v>
      </c>
      <c r="AF3522" s="2">
        <f t="shared" si="431"/>
        <v>0</v>
      </c>
      <c r="AG3522" s="2">
        <f t="shared" si="440"/>
        <v>55</v>
      </c>
      <c r="AJ3522" s="2">
        <f t="shared" si="432"/>
        <v>0</v>
      </c>
      <c r="AK3522" s="2">
        <f t="shared" si="439"/>
        <v>55</v>
      </c>
      <c r="AL3522" s="5">
        <f t="shared" si="436"/>
        <v>0.5</v>
      </c>
    </row>
    <row r="3523" spans="1:38" hidden="1" x14ac:dyDescent="0.2">
      <c r="A3523" s="2">
        <v>2026</v>
      </c>
      <c r="B3523" s="2">
        <v>3</v>
      </c>
      <c r="C3523" s="2" t="s">
        <v>3324</v>
      </c>
      <c r="D3523" s="2" t="s">
        <v>2154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41"/>
        <v>25</v>
      </c>
      <c r="X3523" s="5">
        <f t="shared" si="435"/>
        <v>0.5</v>
      </c>
      <c r="Z3523" s="2" t="s">
        <v>118</v>
      </c>
      <c r="AA3523" s="2" t="s">
        <v>191</v>
      </c>
      <c r="AB3523" s="2" t="s">
        <v>191</v>
      </c>
      <c r="AC3523" s="2" t="s">
        <v>40</v>
      </c>
      <c r="AF3523" s="2">
        <f t="shared" ref="AF3523:AF3586" si="442">AJ3523</f>
        <v>0</v>
      </c>
      <c r="AG3523" s="2">
        <f t="shared" si="440"/>
        <v>25</v>
      </c>
      <c r="AJ3523" s="2">
        <f t="shared" ref="AJ3523:AJ3586" si="443">AI3523*T3523</f>
        <v>0</v>
      </c>
      <c r="AK3523" s="2">
        <f t="shared" si="439"/>
        <v>25</v>
      </c>
      <c r="AL3523" s="5">
        <f t="shared" si="436"/>
        <v>0.5</v>
      </c>
    </row>
    <row r="3524" spans="1:38" hidden="1" x14ac:dyDescent="0.2">
      <c r="A3524" s="2">
        <v>2026</v>
      </c>
      <c r="B3524" s="2">
        <v>4</v>
      </c>
      <c r="D3524" s="2" t="s">
        <v>2775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44">(T3524-W3524)/T3524</f>
        <v>0.6</v>
      </c>
      <c r="Z3524" s="2" t="s">
        <v>118</v>
      </c>
      <c r="AA3524" s="2" t="s">
        <v>191</v>
      </c>
      <c r="AB3524" s="2" t="s">
        <v>190</v>
      </c>
      <c r="AC3524" s="2" t="s">
        <v>40</v>
      </c>
      <c r="AF3524" s="2">
        <f t="shared" si="442"/>
        <v>0</v>
      </c>
      <c r="AG3524" s="2">
        <f t="shared" si="440"/>
        <v>149.6</v>
      </c>
      <c r="AJ3524" s="2">
        <f t="shared" si="443"/>
        <v>0</v>
      </c>
      <c r="AK3524" s="2">
        <f t="shared" si="439"/>
        <v>224.4</v>
      </c>
      <c r="AL3524" s="5">
        <f t="shared" si="436"/>
        <v>0.6</v>
      </c>
    </row>
    <row r="3525" spans="1:38" hidden="1" x14ac:dyDescent="0.2">
      <c r="A3525" s="2">
        <v>2026</v>
      </c>
      <c r="B3525" s="2">
        <v>4</v>
      </c>
      <c r="D3525" s="2" t="s">
        <v>2775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44"/>
        <v>0.5</v>
      </c>
      <c r="Z3525" s="2" t="s">
        <v>118</v>
      </c>
      <c r="AA3525" s="2" t="s">
        <v>191</v>
      </c>
      <c r="AB3525" s="2" t="s">
        <v>191</v>
      </c>
      <c r="AC3525" s="2" t="s">
        <v>40</v>
      </c>
      <c r="AF3525" s="2">
        <f t="shared" si="442"/>
        <v>0</v>
      </c>
      <c r="AG3525" s="2">
        <f t="shared" si="440"/>
        <v>110</v>
      </c>
      <c r="AJ3525" s="2">
        <f t="shared" si="443"/>
        <v>0</v>
      </c>
      <c r="AK3525" s="2">
        <f t="shared" si="439"/>
        <v>110</v>
      </c>
      <c r="AL3525" s="5">
        <f t="shared" si="436"/>
        <v>0.5</v>
      </c>
    </row>
    <row r="3526" spans="1:38" hidden="1" x14ac:dyDescent="0.2">
      <c r="A3526" s="2">
        <v>2026</v>
      </c>
      <c r="B3526" s="2">
        <v>1</v>
      </c>
      <c r="D3526" s="2" t="s">
        <v>1586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44"/>
        <v>0.6</v>
      </c>
      <c r="Z3526" s="2" t="s">
        <v>118</v>
      </c>
      <c r="AA3526" s="2" t="s">
        <v>191</v>
      </c>
      <c r="AB3526" s="2" t="s">
        <v>190</v>
      </c>
      <c r="AC3526" s="2" t="s">
        <v>40</v>
      </c>
      <c r="AF3526" s="2">
        <f t="shared" si="442"/>
        <v>0</v>
      </c>
      <c r="AG3526" s="2">
        <f t="shared" si="440"/>
        <v>20</v>
      </c>
      <c r="AJ3526" s="2">
        <f t="shared" si="443"/>
        <v>0</v>
      </c>
      <c r="AK3526" s="2">
        <f t="shared" si="439"/>
        <v>30</v>
      </c>
      <c r="AL3526" s="5">
        <f t="shared" si="436"/>
        <v>0.6</v>
      </c>
    </row>
    <row r="3527" spans="1:38" hidden="1" x14ac:dyDescent="0.2">
      <c r="A3527" s="2">
        <v>2026</v>
      </c>
      <c r="B3527" s="2">
        <v>1</v>
      </c>
      <c r="D3527" s="2" t="s">
        <v>1586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44"/>
        <v>0.5</v>
      </c>
      <c r="Z3527" s="2" t="s">
        <v>118</v>
      </c>
      <c r="AA3527" s="2" t="s">
        <v>191</v>
      </c>
      <c r="AB3527" s="2" t="s">
        <v>191</v>
      </c>
      <c r="AC3527" s="2" t="s">
        <v>40</v>
      </c>
      <c r="AF3527" s="2">
        <f t="shared" si="442"/>
        <v>0</v>
      </c>
      <c r="AG3527" s="2">
        <f t="shared" si="440"/>
        <v>31.25</v>
      </c>
      <c r="AJ3527" s="2">
        <f t="shared" si="443"/>
        <v>0</v>
      </c>
      <c r="AK3527" s="2">
        <f t="shared" si="439"/>
        <v>31.25</v>
      </c>
      <c r="AL3527" s="5">
        <f t="shared" si="436"/>
        <v>0.5</v>
      </c>
    </row>
    <row r="3528" spans="1:38" hidden="1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44"/>
        <v>0.6</v>
      </c>
      <c r="Z3528" s="2" t="s">
        <v>118</v>
      </c>
      <c r="AA3528" s="2" t="s">
        <v>191</v>
      </c>
      <c r="AB3528" s="2" t="s">
        <v>190</v>
      </c>
      <c r="AC3528" s="2" t="s">
        <v>40</v>
      </c>
      <c r="AF3528" s="2">
        <f t="shared" si="442"/>
        <v>0</v>
      </c>
      <c r="AG3528" s="2">
        <f t="shared" si="440"/>
        <v>20</v>
      </c>
      <c r="AJ3528" s="2">
        <f t="shared" si="443"/>
        <v>0</v>
      </c>
      <c r="AK3528" s="2">
        <f t="shared" si="439"/>
        <v>30</v>
      </c>
      <c r="AL3528" s="5">
        <f t="shared" si="436"/>
        <v>0.6</v>
      </c>
    </row>
    <row r="3529" spans="1:38" hidden="1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44"/>
        <v>0.5</v>
      </c>
      <c r="Z3529" s="2" t="s">
        <v>118</v>
      </c>
      <c r="AA3529" s="2" t="s">
        <v>191</v>
      </c>
      <c r="AB3529" s="2" t="s">
        <v>191</v>
      </c>
      <c r="AC3529" s="2" t="s">
        <v>40</v>
      </c>
      <c r="AF3529" s="2">
        <f t="shared" si="442"/>
        <v>0</v>
      </c>
      <c r="AG3529" s="2">
        <f t="shared" si="440"/>
        <v>75</v>
      </c>
      <c r="AJ3529" s="2">
        <f t="shared" si="443"/>
        <v>0</v>
      </c>
      <c r="AK3529" s="2">
        <f t="shared" si="439"/>
        <v>75</v>
      </c>
      <c r="AL3529" s="5">
        <f t="shared" si="436"/>
        <v>0.5</v>
      </c>
    </row>
    <row r="3530" spans="1:38" hidden="1" x14ac:dyDescent="0.2">
      <c r="A3530" s="2">
        <v>2026</v>
      </c>
      <c r="B3530" s="2">
        <v>2</v>
      </c>
      <c r="D3530" s="2" t="s">
        <v>2157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44"/>
        <v>0.6</v>
      </c>
      <c r="Z3530" s="2" t="s">
        <v>118</v>
      </c>
      <c r="AA3530" s="2" t="s">
        <v>191</v>
      </c>
      <c r="AB3530" s="2" t="s">
        <v>190</v>
      </c>
      <c r="AC3530" s="2" t="s">
        <v>40</v>
      </c>
      <c r="AF3530" s="2">
        <f t="shared" si="442"/>
        <v>0</v>
      </c>
      <c r="AG3530" s="2">
        <f t="shared" si="440"/>
        <v>96</v>
      </c>
      <c r="AJ3530" s="2">
        <f t="shared" si="443"/>
        <v>0</v>
      </c>
      <c r="AK3530" s="2">
        <f t="shared" si="439"/>
        <v>144</v>
      </c>
      <c r="AL3530" s="5">
        <f t="shared" si="436"/>
        <v>0.6</v>
      </c>
    </row>
    <row r="3531" spans="1:38" hidden="1" x14ac:dyDescent="0.2">
      <c r="A3531" s="2">
        <v>2026</v>
      </c>
      <c r="B3531" s="2">
        <v>2</v>
      </c>
      <c r="D3531" s="2" t="s">
        <v>2157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44"/>
        <v>0.5</v>
      </c>
      <c r="Z3531" s="2" t="s">
        <v>118</v>
      </c>
      <c r="AA3531" s="2" t="s">
        <v>191</v>
      </c>
      <c r="AB3531" s="2" t="s">
        <v>191</v>
      </c>
      <c r="AC3531" s="2" t="s">
        <v>40</v>
      </c>
      <c r="AF3531" s="2">
        <f t="shared" si="442"/>
        <v>0</v>
      </c>
      <c r="AG3531" s="2">
        <f t="shared" si="440"/>
        <v>200</v>
      </c>
      <c r="AJ3531" s="2">
        <f t="shared" si="443"/>
        <v>0</v>
      </c>
      <c r="AK3531" s="2">
        <f t="shared" si="439"/>
        <v>200</v>
      </c>
      <c r="AL3531" s="5">
        <f t="shared" si="436"/>
        <v>0.5</v>
      </c>
    </row>
    <row r="3532" spans="1:38" hidden="1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44"/>
        <v>0.6</v>
      </c>
      <c r="Z3532" s="2" t="s">
        <v>118</v>
      </c>
      <c r="AA3532" s="2" t="s">
        <v>191</v>
      </c>
      <c r="AB3532" s="2" t="s">
        <v>190</v>
      </c>
      <c r="AC3532" s="2" t="s">
        <v>40</v>
      </c>
      <c r="AF3532" s="2">
        <f t="shared" si="442"/>
        <v>0</v>
      </c>
      <c r="AG3532" s="2">
        <f t="shared" si="440"/>
        <v>44</v>
      </c>
      <c r="AJ3532" s="2">
        <f t="shared" si="443"/>
        <v>0</v>
      </c>
      <c r="AK3532" s="2">
        <f t="shared" si="439"/>
        <v>66</v>
      </c>
      <c r="AL3532" s="5">
        <f t="shared" si="436"/>
        <v>0.6</v>
      </c>
    </row>
    <row r="3533" spans="1:38" hidden="1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44"/>
        <v>1</v>
      </c>
      <c r="Z3533" s="2" t="s">
        <v>170</v>
      </c>
      <c r="AA3533" s="2" t="s">
        <v>170</v>
      </c>
      <c r="AF3533" s="2">
        <f t="shared" si="442"/>
        <v>0</v>
      </c>
      <c r="AJ3533" s="2">
        <f t="shared" si="443"/>
        <v>0</v>
      </c>
      <c r="AK3533" s="2">
        <f t="shared" si="439"/>
        <v>39.39</v>
      </c>
      <c r="AL3533" s="5">
        <f t="shared" si="436"/>
        <v>1</v>
      </c>
    </row>
    <row r="3534" spans="1:38" hidden="1" x14ac:dyDescent="0.2">
      <c r="A3534" s="2">
        <v>2026</v>
      </c>
      <c r="B3534" s="2">
        <v>3</v>
      </c>
      <c r="D3534" s="2" t="s">
        <v>938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939</v>
      </c>
      <c r="J3534" s="2" t="s">
        <v>940</v>
      </c>
      <c r="K3534" s="2">
        <v>964771057</v>
      </c>
      <c r="L3534" s="2" t="s">
        <v>340</v>
      </c>
      <c r="M3534" s="2" t="s">
        <v>81</v>
      </c>
      <c r="O3534" s="2" t="s">
        <v>2745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44"/>
        <v>0.23333333333333334</v>
      </c>
      <c r="Z3534" s="2" t="s">
        <v>170</v>
      </c>
      <c r="AA3534" s="2" t="s">
        <v>170</v>
      </c>
      <c r="AF3534" s="2">
        <f t="shared" si="442"/>
        <v>0</v>
      </c>
      <c r="AG3534" s="2">
        <v>23</v>
      </c>
      <c r="AJ3534" s="2">
        <f t="shared" si="443"/>
        <v>0</v>
      </c>
      <c r="AK3534" s="2">
        <f t="shared" si="439"/>
        <v>7</v>
      </c>
      <c r="AL3534" s="5">
        <f t="shared" si="436"/>
        <v>0.23333333333333334</v>
      </c>
    </row>
    <row r="3535" spans="1:38" hidden="1" x14ac:dyDescent="0.2">
      <c r="A3535" s="2">
        <v>2026</v>
      </c>
      <c r="B3535" s="2">
        <v>3</v>
      </c>
      <c r="D3535" s="2" t="s">
        <v>2561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44"/>
        <v>1</v>
      </c>
      <c r="Z3535" s="2" t="s">
        <v>170</v>
      </c>
      <c r="AA3535" s="2" t="s">
        <v>170</v>
      </c>
      <c r="AF3535" s="2">
        <f t="shared" si="442"/>
        <v>0</v>
      </c>
      <c r="AJ3535" s="2">
        <f t="shared" si="443"/>
        <v>0</v>
      </c>
      <c r="AK3535" s="2">
        <f t="shared" si="439"/>
        <v>15</v>
      </c>
      <c r="AL3535" s="5">
        <f t="shared" si="436"/>
        <v>1</v>
      </c>
    </row>
    <row r="3536" spans="1:38" hidden="1" x14ac:dyDescent="0.2">
      <c r="A3536" s="2">
        <v>2026</v>
      </c>
      <c r="B3536" s="2">
        <v>3</v>
      </c>
      <c r="D3536" s="2" t="s">
        <v>845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846</v>
      </c>
      <c r="L3536" s="2" t="s">
        <v>419</v>
      </c>
      <c r="M3536" s="2" t="s">
        <v>41</v>
      </c>
      <c r="O3536" s="2" t="s">
        <v>2674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44"/>
        <v>1</v>
      </c>
      <c r="Z3536" s="2" t="s">
        <v>170</v>
      </c>
      <c r="AA3536" s="2" t="s">
        <v>170</v>
      </c>
      <c r="AF3536" s="2">
        <f t="shared" si="442"/>
        <v>0</v>
      </c>
      <c r="AJ3536" s="2">
        <f t="shared" si="443"/>
        <v>0</v>
      </c>
      <c r="AK3536" s="2">
        <f t="shared" si="439"/>
        <v>5</v>
      </c>
      <c r="AL3536" s="5">
        <f t="shared" si="436"/>
        <v>1</v>
      </c>
    </row>
    <row r="3537" spans="1:38" hidden="1" x14ac:dyDescent="0.2">
      <c r="A3537" s="2">
        <v>2026</v>
      </c>
      <c r="B3537" s="2">
        <v>4</v>
      </c>
      <c r="D3537" s="2" t="s">
        <v>690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691</v>
      </c>
      <c r="K3537" s="2">
        <v>913036545</v>
      </c>
      <c r="L3537" s="2" t="s">
        <v>178</v>
      </c>
      <c r="M3537" s="2" t="s">
        <v>41</v>
      </c>
      <c r="O3537" s="2" t="s">
        <v>2617</v>
      </c>
      <c r="P3537" s="2" t="s">
        <v>85</v>
      </c>
      <c r="Q3537" s="2" t="s">
        <v>1213</v>
      </c>
      <c r="R3537" s="2" t="s">
        <v>1214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44"/>
        <v>1</v>
      </c>
      <c r="Z3537" s="2" t="s">
        <v>3231</v>
      </c>
      <c r="AA3537" s="2" t="s">
        <v>88</v>
      </c>
      <c r="AB3537" s="2" t="s">
        <v>91</v>
      </c>
      <c r="AC3537" s="2" t="s">
        <v>85</v>
      </c>
      <c r="AF3537" s="2">
        <f t="shared" si="442"/>
        <v>0</v>
      </c>
      <c r="AJ3537" s="2">
        <f t="shared" si="443"/>
        <v>0</v>
      </c>
      <c r="AK3537" s="2">
        <f t="shared" si="439"/>
        <v>15.4</v>
      </c>
      <c r="AL3537" s="5">
        <f t="shared" si="436"/>
        <v>1</v>
      </c>
    </row>
    <row r="3538" spans="1:38" hidden="1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44"/>
        <v>1</v>
      </c>
      <c r="Z3538" s="2" t="s">
        <v>170</v>
      </c>
      <c r="AA3538" s="2" t="s">
        <v>170</v>
      </c>
      <c r="AF3538" s="2">
        <f t="shared" si="442"/>
        <v>0</v>
      </c>
      <c r="AJ3538" s="2">
        <f t="shared" si="443"/>
        <v>0</v>
      </c>
      <c r="AK3538" s="2">
        <f t="shared" si="439"/>
        <v>5</v>
      </c>
      <c r="AL3538" s="5">
        <f t="shared" si="436"/>
        <v>1</v>
      </c>
    </row>
    <row r="3539" spans="1:38" hidden="1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42"/>
        <v>0</v>
      </c>
      <c r="AJ3539" s="2">
        <f t="shared" si="443"/>
        <v>0</v>
      </c>
    </row>
    <row r="3540" spans="1:38" hidden="1" x14ac:dyDescent="0.2">
      <c r="A3540" s="2">
        <v>2026</v>
      </c>
      <c r="B3540" s="2">
        <v>3</v>
      </c>
      <c r="D3540" s="2" t="s">
        <v>1664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42"/>
        <v>0</v>
      </c>
      <c r="AJ3540" s="2">
        <f t="shared" si="443"/>
        <v>0</v>
      </c>
    </row>
    <row r="3541" spans="1:38" hidden="1" x14ac:dyDescent="0.2">
      <c r="A3541" s="2">
        <v>2026</v>
      </c>
      <c r="B3541" s="2">
        <v>3</v>
      </c>
      <c r="D3541" s="2" t="s">
        <v>1357</v>
      </c>
      <c r="E3541" s="2" t="s">
        <v>753</v>
      </c>
      <c r="F3541" s="2" t="s">
        <v>39</v>
      </c>
      <c r="G3541" s="2">
        <v>518238334</v>
      </c>
      <c r="H3541" s="2" t="s">
        <v>41</v>
      </c>
      <c r="I3541" s="2" t="s">
        <v>763</v>
      </c>
      <c r="J3541" s="2" t="s">
        <v>1358</v>
      </c>
      <c r="L3541" s="2" t="s">
        <v>419</v>
      </c>
      <c r="M3541" s="2" t="s">
        <v>40</v>
      </c>
      <c r="P3541" s="2" t="s">
        <v>188</v>
      </c>
      <c r="Q3541" s="2" t="s">
        <v>1310</v>
      </c>
      <c r="R3541" s="2" t="s">
        <v>1311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45">(T3541-W3541)/T3541</f>
        <v>1</v>
      </c>
      <c r="Z3541" s="2" t="s">
        <v>118</v>
      </c>
      <c r="AA3541" s="2" t="s">
        <v>1312</v>
      </c>
      <c r="AF3541" s="2">
        <f t="shared" si="442"/>
        <v>0</v>
      </c>
      <c r="AJ3541" s="2">
        <f t="shared" si="443"/>
        <v>0</v>
      </c>
      <c r="AK3541" s="2">
        <f t="shared" si="439"/>
        <v>111</v>
      </c>
      <c r="AL3541" s="5">
        <f t="shared" si="436"/>
        <v>1</v>
      </c>
    </row>
    <row r="3542" spans="1:38" hidden="1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2776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45"/>
        <v>2.000401846171453E-16</v>
      </c>
      <c r="Z3542" s="2" t="s">
        <v>3231</v>
      </c>
      <c r="AA3542" s="2" t="s">
        <v>97</v>
      </c>
      <c r="AB3542" s="2" t="s">
        <v>77</v>
      </c>
      <c r="AC3542" s="2" t="s">
        <v>94</v>
      </c>
      <c r="AF3542" s="2">
        <f t="shared" si="442"/>
        <v>0</v>
      </c>
      <c r="AJ3542" s="2">
        <f t="shared" si="443"/>
        <v>0</v>
      </c>
      <c r="AK3542" s="2">
        <f t="shared" si="439"/>
        <v>0</v>
      </c>
      <c r="AL3542" s="5">
        <f t="shared" si="436"/>
        <v>2.000401846171453E-16</v>
      </c>
    </row>
    <row r="3543" spans="1:38" hidden="1" x14ac:dyDescent="0.2">
      <c r="A3543" s="2">
        <v>2026</v>
      </c>
      <c r="B3543" s="2">
        <v>3</v>
      </c>
      <c r="D3543" s="2" t="s">
        <v>2731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45"/>
        <v>0</v>
      </c>
      <c r="Z3543" s="2" t="s">
        <v>3231</v>
      </c>
      <c r="AA3543" s="2" t="s">
        <v>97</v>
      </c>
      <c r="AB3543" s="2" t="s">
        <v>77</v>
      </c>
      <c r="AC3543" s="2" t="s">
        <v>94</v>
      </c>
      <c r="AF3543" s="2">
        <f t="shared" si="442"/>
        <v>0</v>
      </c>
      <c r="AJ3543" s="2">
        <f t="shared" si="443"/>
        <v>0</v>
      </c>
      <c r="AK3543" s="2">
        <f t="shared" si="439"/>
        <v>0</v>
      </c>
      <c r="AL3543" s="5">
        <f t="shared" si="436"/>
        <v>0</v>
      </c>
    </row>
    <row r="3544" spans="1:38" hidden="1" x14ac:dyDescent="0.2">
      <c r="A3544" s="2">
        <v>2026</v>
      </c>
      <c r="B3544" s="2">
        <v>3</v>
      </c>
      <c r="D3544" s="2" t="s">
        <v>938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939</v>
      </c>
      <c r="J3544" s="2" t="s">
        <v>940</v>
      </c>
      <c r="K3544" s="2">
        <v>964771057</v>
      </c>
      <c r="L3544" s="2" t="s">
        <v>340</v>
      </c>
      <c r="M3544" s="2" t="s">
        <v>81</v>
      </c>
      <c r="O3544" s="2" t="s">
        <v>2745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45"/>
        <v>0</v>
      </c>
      <c r="Z3544" s="2" t="s">
        <v>3231</v>
      </c>
      <c r="AA3544" s="2" t="s">
        <v>97</v>
      </c>
      <c r="AB3544" s="2" t="s">
        <v>77</v>
      </c>
      <c r="AC3544" s="2" t="s">
        <v>94</v>
      </c>
      <c r="AF3544" s="2">
        <f t="shared" si="442"/>
        <v>0</v>
      </c>
      <c r="AG3544" s="2">
        <v>1.48</v>
      </c>
      <c r="AH3544" s="2">
        <v>1.48</v>
      </c>
      <c r="AJ3544" s="2">
        <f t="shared" si="443"/>
        <v>0</v>
      </c>
      <c r="AK3544" s="2">
        <f t="shared" si="439"/>
        <v>0</v>
      </c>
      <c r="AL3544" s="5">
        <f t="shared" si="436"/>
        <v>0</v>
      </c>
    </row>
    <row r="3545" spans="1:38" hidden="1" x14ac:dyDescent="0.2">
      <c r="A3545" s="2">
        <v>2026</v>
      </c>
      <c r="B3545" s="2">
        <v>3</v>
      </c>
      <c r="D3545" s="2" t="s">
        <v>2727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45"/>
        <v>0</v>
      </c>
      <c r="Z3545" s="2" t="s">
        <v>3231</v>
      </c>
      <c r="AA3545" s="2" t="s">
        <v>97</v>
      </c>
      <c r="AB3545" s="2" t="s">
        <v>77</v>
      </c>
      <c r="AC3545" s="2" t="s">
        <v>94</v>
      </c>
      <c r="AF3545" s="2">
        <f t="shared" si="442"/>
        <v>0</v>
      </c>
      <c r="AJ3545" s="2">
        <f t="shared" si="443"/>
        <v>0</v>
      </c>
      <c r="AK3545" s="2">
        <f t="shared" si="439"/>
        <v>0</v>
      </c>
      <c r="AL3545" s="5">
        <f t="shared" si="436"/>
        <v>0</v>
      </c>
    </row>
    <row r="3546" spans="1:38" hidden="1" x14ac:dyDescent="0.2">
      <c r="A3546" s="2">
        <v>2026</v>
      </c>
      <c r="B3546" s="2">
        <v>3</v>
      </c>
      <c r="D3546" s="2" t="s">
        <v>1152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2482</v>
      </c>
      <c r="J3546" s="2" t="s">
        <v>1475</v>
      </c>
      <c r="K3546" s="2">
        <v>938183284</v>
      </c>
      <c r="L3546" s="2" t="s">
        <v>134</v>
      </c>
      <c r="M3546" s="2" t="s">
        <v>110</v>
      </c>
      <c r="O3546" s="2" t="s">
        <v>2738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45"/>
        <v>0</v>
      </c>
      <c r="Z3546" s="2" t="s">
        <v>3231</v>
      </c>
      <c r="AA3546" s="2" t="s">
        <v>97</v>
      </c>
      <c r="AB3546" s="2" t="s">
        <v>77</v>
      </c>
      <c r="AC3546" s="2" t="s">
        <v>94</v>
      </c>
      <c r="AF3546" s="2">
        <f t="shared" si="442"/>
        <v>0</v>
      </c>
      <c r="AJ3546" s="2">
        <f t="shared" si="443"/>
        <v>0</v>
      </c>
      <c r="AK3546" s="2">
        <f t="shared" si="439"/>
        <v>0</v>
      </c>
      <c r="AL3546" s="5">
        <f t="shared" si="436"/>
        <v>0</v>
      </c>
    </row>
    <row r="3547" spans="1:38" hidden="1" x14ac:dyDescent="0.2">
      <c r="A3547" s="2">
        <v>2026</v>
      </c>
      <c r="B3547" s="2">
        <v>3</v>
      </c>
      <c r="C3547" s="2" t="s">
        <v>3324</v>
      </c>
      <c r="D3547" s="2" t="s">
        <v>1164</v>
      </c>
      <c r="E3547" s="2" t="s">
        <v>753</v>
      </c>
      <c r="G3547" s="2">
        <v>508199280</v>
      </c>
      <c r="H3547" s="2" t="s">
        <v>40</v>
      </c>
      <c r="I3547" s="2" t="s">
        <v>1165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3231</v>
      </c>
      <c r="AA3547" s="2" t="s">
        <v>97</v>
      </c>
      <c r="AB3547" s="2" t="s">
        <v>77</v>
      </c>
      <c r="AC3547" s="2" t="s">
        <v>94</v>
      </c>
      <c r="AF3547" s="2">
        <f t="shared" si="442"/>
        <v>0</v>
      </c>
      <c r="AJ3547" s="2">
        <f t="shared" si="443"/>
        <v>0</v>
      </c>
      <c r="AK3547" s="2">
        <f>T3547+(W3547)</f>
        <v>2.96</v>
      </c>
      <c r="AL3547" s="18">
        <f>SIGN(T3547)*((ABS(T3547)-W3547)/ABS(T3547))</f>
        <v>0</v>
      </c>
    </row>
    <row r="3548" spans="1:38" hidden="1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46">(T3548-W3548)/T3548</f>
        <v>0</v>
      </c>
      <c r="Z3548" s="2" t="s">
        <v>3231</v>
      </c>
      <c r="AA3548" s="2" t="s">
        <v>97</v>
      </c>
      <c r="AB3548" s="2" t="s">
        <v>77</v>
      </c>
      <c r="AC3548" s="2" t="s">
        <v>94</v>
      </c>
      <c r="AF3548" s="2">
        <f t="shared" si="442"/>
        <v>0</v>
      </c>
      <c r="AJ3548" s="2">
        <f t="shared" si="443"/>
        <v>0</v>
      </c>
      <c r="AK3548" s="2">
        <f t="shared" si="439"/>
        <v>0</v>
      </c>
      <c r="AL3548" s="5">
        <f t="shared" si="436"/>
        <v>0</v>
      </c>
    </row>
    <row r="3549" spans="1:38" hidden="1" x14ac:dyDescent="0.2">
      <c r="A3549" s="2">
        <v>2026</v>
      </c>
      <c r="B3549" s="2">
        <v>3</v>
      </c>
      <c r="D3549" s="2" t="s">
        <v>2733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46"/>
        <v>0</v>
      </c>
      <c r="Z3549" s="2" t="s">
        <v>3231</v>
      </c>
      <c r="AA3549" s="2" t="s">
        <v>97</v>
      </c>
      <c r="AB3549" s="2" t="s">
        <v>77</v>
      </c>
      <c r="AC3549" s="2" t="s">
        <v>94</v>
      </c>
      <c r="AF3549" s="2">
        <f t="shared" si="442"/>
        <v>0</v>
      </c>
      <c r="AJ3549" s="2">
        <f t="shared" si="443"/>
        <v>0</v>
      </c>
      <c r="AK3549" s="2">
        <f t="shared" si="439"/>
        <v>0</v>
      </c>
      <c r="AL3549" s="5">
        <f t="shared" si="436"/>
        <v>0</v>
      </c>
    </row>
    <row r="3550" spans="1:38" hidden="1" x14ac:dyDescent="0.2">
      <c r="A3550" s="2">
        <v>2026</v>
      </c>
      <c r="B3550" s="2">
        <v>3</v>
      </c>
      <c r="D3550" s="2" t="s">
        <v>2561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46"/>
        <v>0</v>
      </c>
      <c r="Z3550" s="2" t="s">
        <v>3231</v>
      </c>
      <c r="AA3550" s="2" t="s">
        <v>97</v>
      </c>
      <c r="AB3550" s="2" t="s">
        <v>77</v>
      </c>
      <c r="AC3550" s="2" t="s">
        <v>94</v>
      </c>
      <c r="AF3550" s="2">
        <f t="shared" si="442"/>
        <v>0</v>
      </c>
      <c r="AJ3550" s="2">
        <f t="shared" si="443"/>
        <v>0</v>
      </c>
      <c r="AK3550" s="2">
        <f t="shared" si="439"/>
        <v>0</v>
      </c>
      <c r="AL3550" s="5">
        <f t="shared" si="436"/>
        <v>0</v>
      </c>
    </row>
    <row r="3551" spans="1:38" hidden="1" x14ac:dyDescent="0.2">
      <c r="A3551" s="2">
        <v>2026</v>
      </c>
      <c r="B3551" s="2">
        <v>3</v>
      </c>
      <c r="D3551" s="2" t="s">
        <v>750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751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46"/>
        <v>0</v>
      </c>
      <c r="Z3551" s="2" t="s">
        <v>3231</v>
      </c>
      <c r="AA3551" s="2" t="s">
        <v>97</v>
      </c>
      <c r="AB3551" s="2" t="s">
        <v>77</v>
      </c>
      <c r="AC3551" s="2" t="s">
        <v>94</v>
      </c>
      <c r="AF3551" s="2">
        <f t="shared" si="442"/>
        <v>0</v>
      </c>
      <c r="AJ3551" s="2">
        <f t="shared" si="443"/>
        <v>0</v>
      </c>
      <c r="AK3551" s="2">
        <f t="shared" si="439"/>
        <v>0</v>
      </c>
      <c r="AL3551" s="5">
        <f t="shared" si="436"/>
        <v>0</v>
      </c>
    </row>
    <row r="3552" spans="1:38" hidden="1" x14ac:dyDescent="0.2">
      <c r="A3552" s="2">
        <v>2026</v>
      </c>
      <c r="B3552" s="2">
        <v>3</v>
      </c>
      <c r="D3552" s="2" t="s">
        <v>998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46"/>
        <v>0</v>
      </c>
      <c r="Z3552" s="2" t="s">
        <v>3231</v>
      </c>
      <c r="AA3552" s="2" t="s">
        <v>97</v>
      </c>
      <c r="AB3552" s="2" t="s">
        <v>77</v>
      </c>
      <c r="AC3552" s="2" t="s">
        <v>94</v>
      </c>
      <c r="AF3552" s="2">
        <f t="shared" si="442"/>
        <v>0</v>
      </c>
      <c r="AJ3552" s="2">
        <f t="shared" si="443"/>
        <v>0</v>
      </c>
      <c r="AK3552" s="2">
        <f t="shared" si="439"/>
        <v>0</v>
      </c>
      <c r="AL3552" s="5">
        <f t="shared" si="436"/>
        <v>0</v>
      </c>
    </row>
    <row r="3553" spans="1:38" hidden="1" x14ac:dyDescent="0.2">
      <c r="A3553" s="2">
        <v>2026</v>
      </c>
      <c r="B3553" s="2">
        <v>3</v>
      </c>
      <c r="D3553" s="2" t="s">
        <v>775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46"/>
        <v>0</v>
      </c>
      <c r="Z3553" s="2" t="s">
        <v>3231</v>
      </c>
      <c r="AA3553" s="2" t="s">
        <v>97</v>
      </c>
      <c r="AB3553" s="2" t="s">
        <v>77</v>
      </c>
      <c r="AC3553" s="2" t="s">
        <v>94</v>
      </c>
      <c r="AF3553" s="2">
        <f t="shared" si="442"/>
        <v>0</v>
      </c>
      <c r="AJ3553" s="2">
        <f t="shared" si="443"/>
        <v>0</v>
      </c>
      <c r="AK3553" s="2">
        <f t="shared" si="439"/>
        <v>0</v>
      </c>
      <c r="AL3553" s="5">
        <f t="shared" si="436"/>
        <v>0</v>
      </c>
    </row>
    <row r="3554" spans="1:38" hidden="1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2714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46"/>
        <v>0</v>
      </c>
      <c r="Z3554" s="2" t="s">
        <v>3231</v>
      </c>
      <c r="AA3554" s="2" t="s">
        <v>97</v>
      </c>
      <c r="AB3554" s="2" t="s">
        <v>77</v>
      </c>
      <c r="AC3554" s="2" t="s">
        <v>94</v>
      </c>
      <c r="AF3554" s="2">
        <f t="shared" si="442"/>
        <v>0</v>
      </c>
      <c r="AJ3554" s="2">
        <f t="shared" si="443"/>
        <v>0</v>
      </c>
      <c r="AK3554" s="2">
        <f t="shared" si="439"/>
        <v>0</v>
      </c>
      <c r="AL3554" s="5">
        <f t="shared" si="436"/>
        <v>0</v>
      </c>
    </row>
    <row r="3555" spans="1:38" hidden="1" x14ac:dyDescent="0.2">
      <c r="A3555" s="2">
        <v>2026</v>
      </c>
      <c r="B3555" s="2">
        <v>3</v>
      </c>
      <c r="D3555" s="2" t="s">
        <v>1557</v>
      </c>
      <c r="E3555" s="2" t="s">
        <v>109</v>
      </c>
      <c r="F3555" s="2" t="s">
        <v>718</v>
      </c>
      <c r="G3555" s="2">
        <v>500975914</v>
      </c>
      <c r="H3555" s="2" t="s">
        <v>41</v>
      </c>
      <c r="I3555" s="2" t="s">
        <v>1558</v>
      </c>
      <c r="J3555" s="2" t="s">
        <v>1559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46"/>
        <v>0</v>
      </c>
      <c r="Z3555" s="2" t="s">
        <v>3231</v>
      </c>
      <c r="AA3555" s="2" t="s">
        <v>97</v>
      </c>
      <c r="AB3555" s="2" t="s">
        <v>77</v>
      </c>
      <c r="AC3555" s="2" t="s">
        <v>94</v>
      </c>
      <c r="AF3555" s="2">
        <f t="shared" si="442"/>
        <v>0</v>
      </c>
      <c r="AJ3555" s="2">
        <f t="shared" si="443"/>
        <v>0</v>
      </c>
      <c r="AK3555" s="2">
        <f t="shared" si="439"/>
        <v>0</v>
      </c>
      <c r="AL3555" s="5">
        <f t="shared" si="436"/>
        <v>0</v>
      </c>
    </row>
    <row r="3556" spans="1:38" hidden="1" x14ac:dyDescent="0.2">
      <c r="A3556" s="2">
        <v>2026</v>
      </c>
      <c r="B3556" s="2">
        <v>3</v>
      </c>
      <c r="D3556" s="2" t="s">
        <v>2718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46"/>
        <v>0</v>
      </c>
      <c r="Z3556" s="2" t="s">
        <v>3231</v>
      </c>
      <c r="AA3556" s="2" t="s">
        <v>97</v>
      </c>
      <c r="AB3556" s="2" t="s">
        <v>77</v>
      </c>
      <c r="AC3556" s="2" t="s">
        <v>94</v>
      </c>
      <c r="AF3556" s="2">
        <f t="shared" si="442"/>
        <v>0</v>
      </c>
      <c r="AJ3556" s="2">
        <f t="shared" si="443"/>
        <v>0</v>
      </c>
      <c r="AK3556" s="2">
        <f t="shared" si="439"/>
        <v>0</v>
      </c>
      <c r="AL3556" s="5">
        <f t="shared" si="436"/>
        <v>0</v>
      </c>
    </row>
    <row r="3557" spans="1:38" hidden="1" x14ac:dyDescent="0.2">
      <c r="A3557" s="2">
        <v>2026</v>
      </c>
      <c r="B3557" s="2">
        <v>3</v>
      </c>
      <c r="D3557" s="2" t="s">
        <v>2147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46"/>
        <v>0</v>
      </c>
      <c r="Z3557" s="2" t="s">
        <v>3231</v>
      </c>
      <c r="AA3557" s="2" t="s">
        <v>97</v>
      </c>
      <c r="AB3557" s="2" t="s">
        <v>77</v>
      </c>
      <c r="AC3557" s="2" t="s">
        <v>94</v>
      </c>
      <c r="AF3557" s="2">
        <f t="shared" si="442"/>
        <v>0</v>
      </c>
      <c r="AJ3557" s="2">
        <f t="shared" si="443"/>
        <v>0</v>
      </c>
      <c r="AK3557" s="2">
        <f t="shared" si="439"/>
        <v>0</v>
      </c>
      <c r="AL3557" s="5">
        <f t="shared" si="436"/>
        <v>0</v>
      </c>
    </row>
    <row r="3558" spans="1:38" hidden="1" x14ac:dyDescent="0.2">
      <c r="A3558" s="2">
        <v>2026</v>
      </c>
      <c r="B3558" s="2">
        <v>3</v>
      </c>
      <c r="C3558" s="2" t="s">
        <v>3426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46"/>
        <v>0</v>
      </c>
      <c r="Z3558" s="2" t="s">
        <v>3231</v>
      </c>
      <c r="AA3558" s="2" t="s">
        <v>97</v>
      </c>
      <c r="AB3558" s="2" t="s">
        <v>77</v>
      </c>
      <c r="AC3558" s="2" t="s">
        <v>94</v>
      </c>
      <c r="AF3558" s="2">
        <f t="shared" si="442"/>
        <v>0</v>
      </c>
      <c r="AJ3558" s="2">
        <f t="shared" si="443"/>
        <v>0</v>
      </c>
      <c r="AK3558" s="2">
        <f t="shared" si="439"/>
        <v>0</v>
      </c>
      <c r="AL3558" s="5">
        <f t="shared" si="436"/>
        <v>0</v>
      </c>
    </row>
    <row r="3559" spans="1:38" hidden="1" x14ac:dyDescent="0.2">
      <c r="A3559" s="2">
        <v>2026</v>
      </c>
      <c r="B3559" s="2">
        <v>3</v>
      </c>
      <c r="D3559" s="2" t="s">
        <v>1257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46"/>
        <v>0</v>
      </c>
      <c r="Z3559" s="2" t="s">
        <v>3231</v>
      </c>
      <c r="AA3559" s="2" t="s">
        <v>97</v>
      </c>
      <c r="AB3559" s="2" t="s">
        <v>77</v>
      </c>
      <c r="AC3559" s="2" t="s">
        <v>94</v>
      </c>
      <c r="AF3559" s="2">
        <f t="shared" si="442"/>
        <v>0</v>
      </c>
      <c r="AJ3559" s="2">
        <f t="shared" si="443"/>
        <v>0</v>
      </c>
      <c r="AK3559" s="2">
        <f t="shared" si="439"/>
        <v>0</v>
      </c>
      <c r="AL3559" s="5">
        <f t="shared" si="436"/>
        <v>0</v>
      </c>
    </row>
    <row r="3560" spans="1:38" hidden="1" x14ac:dyDescent="0.2">
      <c r="A3560" s="2">
        <v>2026</v>
      </c>
      <c r="B3560" s="2">
        <v>3</v>
      </c>
      <c r="D3560" s="2" t="s">
        <v>1258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46"/>
        <v>0</v>
      </c>
      <c r="Z3560" s="2" t="s">
        <v>3231</v>
      </c>
      <c r="AA3560" s="2" t="s">
        <v>97</v>
      </c>
      <c r="AB3560" s="2" t="s">
        <v>77</v>
      </c>
      <c r="AC3560" s="2" t="s">
        <v>94</v>
      </c>
      <c r="AF3560" s="2">
        <f t="shared" si="442"/>
        <v>0</v>
      </c>
      <c r="AJ3560" s="2">
        <f t="shared" si="443"/>
        <v>0</v>
      </c>
      <c r="AK3560" s="2">
        <f t="shared" si="439"/>
        <v>0</v>
      </c>
      <c r="AL3560" s="5">
        <f t="shared" si="436"/>
        <v>0</v>
      </c>
    </row>
    <row r="3561" spans="1:38" hidden="1" x14ac:dyDescent="0.2">
      <c r="A3561" s="2">
        <v>2026</v>
      </c>
      <c r="B3561" s="2">
        <v>3</v>
      </c>
      <c r="D3561" s="2" t="s">
        <v>1055</v>
      </c>
      <c r="E3561" s="2" t="s">
        <v>184</v>
      </c>
      <c r="F3561" s="2" t="s">
        <v>1056</v>
      </c>
      <c r="G3561" s="2">
        <v>500199523</v>
      </c>
      <c r="H3561" s="2" t="s">
        <v>291</v>
      </c>
      <c r="I3561" s="2" t="s">
        <v>294</v>
      </c>
      <c r="J3561" s="2" t="s">
        <v>1057</v>
      </c>
      <c r="L3561" s="2" t="s">
        <v>294</v>
      </c>
      <c r="M3561" s="2" t="s">
        <v>81</v>
      </c>
      <c r="O3561" s="2" t="s">
        <v>2777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46"/>
        <v>0</v>
      </c>
      <c r="Z3561" s="2" t="s">
        <v>3231</v>
      </c>
      <c r="AA3561" s="2" t="s">
        <v>97</v>
      </c>
      <c r="AB3561" s="2" t="s">
        <v>77</v>
      </c>
      <c r="AC3561" s="2" t="s">
        <v>94</v>
      </c>
      <c r="AF3561" s="2">
        <f t="shared" si="442"/>
        <v>0</v>
      </c>
      <c r="AJ3561" s="2">
        <f t="shared" si="443"/>
        <v>0</v>
      </c>
      <c r="AK3561" s="2">
        <f t="shared" si="439"/>
        <v>0</v>
      </c>
      <c r="AL3561" s="5">
        <f t="shared" si="436"/>
        <v>0</v>
      </c>
    </row>
    <row r="3562" spans="1:38" hidden="1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3138</v>
      </c>
      <c r="L3562" s="2" t="s">
        <v>178</v>
      </c>
      <c r="M3562" s="2" t="s">
        <v>41</v>
      </c>
      <c r="O3562" s="2" t="s">
        <v>2735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46"/>
        <v>0</v>
      </c>
      <c r="Z3562" s="2" t="s">
        <v>3231</v>
      </c>
      <c r="AA3562" s="2" t="s">
        <v>97</v>
      </c>
      <c r="AB3562" s="2" t="s">
        <v>77</v>
      </c>
      <c r="AC3562" s="2" t="s">
        <v>94</v>
      </c>
      <c r="AF3562" s="2">
        <f t="shared" si="442"/>
        <v>0</v>
      </c>
      <c r="AJ3562" s="2">
        <f t="shared" si="443"/>
        <v>0</v>
      </c>
      <c r="AK3562" s="2">
        <f t="shared" si="439"/>
        <v>0</v>
      </c>
      <c r="AL3562" s="5">
        <f t="shared" si="436"/>
        <v>0</v>
      </c>
    </row>
    <row r="3563" spans="1:38" hidden="1" x14ac:dyDescent="0.2">
      <c r="A3563" s="2">
        <v>2026</v>
      </c>
      <c r="B3563" s="2">
        <v>3</v>
      </c>
      <c r="D3563" s="2" t="s">
        <v>2729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46"/>
        <v>0</v>
      </c>
      <c r="Z3563" s="2" t="s">
        <v>3231</v>
      </c>
      <c r="AA3563" s="2" t="s">
        <v>97</v>
      </c>
      <c r="AB3563" s="2" t="s">
        <v>77</v>
      </c>
      <c r="AC3563" s="2" t="s">
        <v>94</v>
      </c>
      <c r="AF3563" s="2">
        <f t="shared" si="442"/>
        <v>0</v>
      </c>
      <c r="AJ3563" s="2">
        <f t="shared" si="443"/>
        <v>0</v>
      </c>
      <c r="AK3563" s="2">
        <f t="shared" si="439"/>
        <v>0</v>
      </c>
      <c r="AL3563" s="5">
        <f t="shared" si="436"/>
        <v>0</v>
      </c>
    </row>
    <row r="3564" spans="1:38" hidden="1" x14ac:dyDescent="0.2">
      <c r="A3564" s="2">
        <v>2026</v>
      </c>
      <c r="B3564" s="2">
        <v>3</v>
      </c>
      <c r="D3564" s="2" t="s">
        <v>1420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2415</v>
      </c>
      <c r="J3564" s="2" t="s">
        <v>2416</v>
      </c>
      <c r="L3564" s="2" t="s">
        <v>202</v>
      </c>
      <c r="M3564" s="2" t="s">
        <v>81</v>
      </c>
      <c r="O3564" s="2" t="s">
        <v>2722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46"/>
        <v>0</v>
      </c>
      <c r="Z3564" s="2" t="s">
        <v>3231</v>
      </c>
      <c r="AA3564" s="2" t="s">
        <v>97</v>
      </c>
      <c r="AB3564" s="2" t="s">
        <v>77</v>
      </c>
      <c r="AC3564" s="2" t="s">
        <v>94</v>
      </c>
      <c r="AF3564" s="2">
        <f t="shared" si="442"/>
        <v>0</v>
      </c>
      <c r="AJ3564" s="2">
        <f t="shared" si="443"/>
        <v>0</v>
      </c>
      <c r="AK3564" s="2">
        <f t="shared" si="439"/>
        <v>0</v>
      </c>
      <c r="AL3564" s="5">
        <f t="shared" si="436"/>
        <v>0</v>
      </c>
    </row>
    <row r="3565" spans="1:38" hidden="1" x14ac:dyDescent="0.2">
      <c r="A3565" s="2">
        <v>2026</v>
      </c>
      <c r="B3565" s="2">
        <v>3</v>
      </c>
      <c r="D3565" s="2" t="s">
        <v>1421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1274</v>
      </c>
      <c r="J3565" s="2" t="s">
        <v>2398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46"/>
        <v>0</v>
      </c>
      <c r="Z3565" s="2" t="s">
        <v>3231</v>
      </c>
      <c r="AA3565" s="2" t="s">
        <v>97</v>
      </c>
      <c r="AB3565" s="2" t="s">
        <v>77</v>
      </c>
      <c r="AC3565" s="2" t="s">
        <v>94</v>
      </c>
      <c r="AF3565" s="2">
        <f t="shared" si="442"/>
        <v>0</v>
      </c>
      <c r="AJ3565" s="2">
        <f t="shared" si="443"/>
        <v>0</v>
      </c>
      <c r="AK3565" s="2">
        <f t="shared" si="439"/>
        <v>0</v>
      </c>
      <c r="AL3565" s="5">
        <f t="shared" si="436"/>
        <v>0</v>
      </c>
    </row>
    <row r="3566" spans="1:38" hidden="1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2712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46"/>
        <v>0</v>
      </c>
      <c r="Z3566" s="2" t="s">
        <v>3231</v>
      </c>
      <c r="AA3566" s="2" t="s">
        <v>97</v>
      </c>
      <c r="AB3566" s="2" t="s">
        <v>77</v>
      </c>
      <c r="AC3566" s="2" t="s">
        <v>94</v>
      </c>
      <c r="AF3566" s="2">
        <f t="shared" si="442"/>
        <v>0</v>
      </c>
      <c r="AG3566" s="2">
        <v>1.48</v>
      </c>
      <c r="AH3566" s="2">
        <v>1.48</v>
      </c>
      <c r="AJ3566" s="2">
        <f t="shared" si="443"/>
        <v>0</v>
      </c>
      <c r="AK3566" s="2">
        <f t="shared" si="439"/>
        <v>0</v>
      </c>
      <c r="AL3566" s="5">
        <f t="shared" si="436"/>
        <v>0</v>
      </c>
    </row>
    <row r="3567" spans="1:38" hidden="1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46"/>
        <v>0</v>
      </c>
      <c r="Z3567" s="2" t="s">
        <v>3231</v>
      </c>
      <c r="AA3567" s="2" t="s">
        <v>97</v>
      </c>
      <c r="AB3567" s="2" t="s">
        <v>77</v>
      </c>
      <c r="AC3567" s="2" t="s">
        <v>94</v>
      </c>
      <c r="AF3567" s="2">
        <f t="shared" si="442"/>
        <v>0</v>
      </c>
      <c r="AJ3567" s="2">
        <f t="shared" si="443"/>
        <v>0</v>
      </c>
      <c r="AK3567" s="2">
        <f t="shared" si="439"/>
        <v>0</v>
      </c>
      <c r="AL3567" s="5">
        <f t="shared" ref="AL3567:AL3630" si="447">(T3567-W3567)/T3567</f>
        <v>0</v>
      </c>
    </row>
    <row r="3568" spans="1:38" hidden="1" x14ac:dyDescent="0.2">
      <c r="A3568" s="2">
        <v>2026</v>
      </c>
      <c r="B3568" s="2">
        <v>3</v>
      </c>
      <c r="D3568" s="2" t="s">
        <v>2563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46"/>
        <v>0</v>
      </c>
      <c r="Z3568" s="2" t="s">
        <v>3231</v>
      </c>
      <c r="AA3568" s="2" t="s">
        <v>97</v>
      </c>
      <c r="AB3568" s="2" t="s">
        <v>77</v>
      </c>
      <c r="AC3568" s="2" t="s">
        <v>94</v>
      </c>
      <c r="AF3568" s="2">
        <f t="shared" si="442"/>
        <v>0</v>
      </c>
      <c r="AJ3568" s="2">
        <f t="shared" si="443"/>
        <v>0</v>
      </c>
      <c r="AK3568" s="2">
        <f t="shared" si="439"/>
        <v>0</v>
      </c>
      <c r="AL3568" s="5">
        <f t="shared" si="447"/>
        <v>0</v>
      </c>
    </row>
    <row r="3569" spans="1:38" hidden="1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46"/>
        <v>0</v>
      </c>
      <c r="Z3569" s="2" t="s">
        <v>3231</v>
      </c>
      <c r="AA3569" s="2" t="s">
        <v>97</v>
      </c>
      <c r="AB3569" s="2" t="s">
        <v>77</v>
      </c>
      <c r="AC3569" s="2" t="s">
        <v>94</v>
      </c>
      <c r="AF3569" s="2">
        <f t="shared" si="442"/>
        <v>0</v>
      </c>
      <c r="AJ3569" s="2">
        <f t="shared" si="443"/>
        <v>0</v>
      </c>
      <c r="AK3569" s="2">
        <f t="shared" si="439"/>
        <v>0</v>
      </c>
      <c r="AL3569" s="5">
        <f t="shared" si="447"/>
        <v>0</v>
      </c>
    </row>
    <row r="3570" spans="1:38" hidden="1" x14ac:dyDescent="0.2">
      <c r="A3570" s="2">
        <v>2026</v>
      </c>
      <c r="B3570" s="2">
        <v>3</v>
      </c>
      <c r="D3570" s="2" t="s">
        <v>652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653</v>
      </c>
      <c r="J3570" s="2" t="s">
        <v>654</v>
      </c>
      <c r="L3570" s="2" t="s">
        <v>419</v>
      </c>
      <c r="M3570" s="2" t="s">
        <v>41</v>
      </c>
      <c r="O3570" s="2" t="s">
        <v>2713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46"/>
        <v>0</v>
      </c>
      <c r="Z3570" s="2" t="s">
        <v>3231</v>
      </c>
      <c r="AA3570" s="2" t="s">
        <v>97</v>
      </c>
      <c r="AB3570" s="2" t="s">
        <v>77</v>
      </c>
      <c r="AC3570" s="2" t="s">
        <v>94</v>
      </c>
      <c r="AF3570" s="2">
        <f t="shared" si="442"/>
        <v>0</v>
      </c>
      <c r="AG3570" s="2">
        <v>1.48</v>
      </c>
      <c r="AH3570" s="2">
        <v>1.48</v>
      </c>
      <c r="AJ3570" s="2">
        <f t="shared" si="443"/>
        <v>0</v>
      </c>
      <c r="AK3570" s="2">
        <f t="shared" si="439"/>
        <v>0</v>
      </c>
      <c r="AL3570" s="5">
        <f t="shared" si="447"/>
        <v>0</v>
      </c>
    </row>
    <row r="3571" spans="1:38" hidden="1" x14ac:dyDescent="0.2">
      <c r="A3571" s="2">
        <v>2026</v>
      </c>
      <c r="B3571" s="2">
        <v>3</v>
      </c>
      <c r="D3571" s="2" t="s">
        <v>661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662</v>
      </c>
      <c r="J3571" s="2" t="s">
        <v>663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46"/>
        <v>0</v>
      </c>
      <c r="Z3571" s="2" t="s">
        <v>3231</v>
      </c>
      <c r="AA3571" s="2" t="s">
        <v>97</v>
      </c>
      <c r="AB3571" s="2" t="s">
        <v>77</v>
      </c>
      <c r="AC3571" s="2" t="s">
        <v>94</v>
      </c>
      <c r="AF3571" s="2">
        <f t="shared" si="442"/>
        <v>0</v>
      </c>
      <c r="AJ3571" s="2">
        <f t="shared" si="443"/>
        <v>0</v>
      </c>
      <c r="AK3571" s="2">
        <f t="shared" si="439"/>
        <v>0</v>
      </c>
      <c r="AL3571" s="5">
        <f t="shared" si="447"/>
        <v>0</v>
      </c>
    </row>
    <row r="3572" spans="1:38" hidden="1" x14ac:dyDescent="0.2">
      <c r="A3572" s="2">
        <v>2026</v>
      </c>
      <c r="B3572" s="2">
        <v>3</v>
      </c>
      <c r="D3572" s="2" t="s">
        <v>1127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1128</v>
      </c>
      <c r="J3572" s="2" t="s">
        <v>1129</v>
      </c>
      <c r="L3572" s="2" t="s">
        <v>462</v>
      </c>
      <c r="M3572" s="2" t="s">
        <v>81</v>
      </c>
      <c r="O3572" s="2" t="s">
        <v>2726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46"/>
        <v>0</v>
      </c>
      <c r="Z3572" s="2" t="s">
        <v>3231</v>
      </c>
      <c r="AA3572" s="2" t="s">
        <v>97</v>
      </c>
      <c r="AB3572" s="2" t="s">
        <v>77</v>
      </c>
      <c r="AC3572" s="2" t="s">
        <v>94</v>
      </c>
      <c r="AF3572" s="2">
        <f t="shared" si="442"/>
        <v>0</v>
      </c>
      <c r="AJ3572" s="2">
        <f t="shared" si="443"/>
        <v>0</v>
      </c>
      <c r="AK3572" s="2">
        <f t="shared" si="439"/>
        <v>0</v>
      </c>
      <c r="AL3572" s="5">
        <f t="shared" si="447"/>
        <v>0</v>
      </c>
    </row>
    <row r="3573" spans="1:38" hidden="1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46"/>
        <v>1</v>
      </c>
      <c r="Z3573" s="2" t="s">
        <v>120</v>
      </c>
      <c r="AA3573" s="2" t="s">
        <v>3385</v>
      </c>
      <c r="AF3573" s="2">
        <f t="shared" si="442"/>
        <v>0</v>
      </c>
      <c r="AJ3573" s="2">
        <f t="shared" si="443"/>
        <v>0</v>
      </c>
      <c r="AK3573" s="2">
        <f t="shared" si="439"/>
        <v>576</v>
      </c>
      <c r="AL3573" s="5">
        <f t="shared" si="447"/>
        <v>1</v>
      </c>
    </row>
    <row r="3574" spans="1:38" hidden="1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2703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46"/>
        <v>1</v>
      </c>
      <c r="Z3574" s="2" t="s">
        <v>120</v>
      </c>
      <c r="AA3574" s="2" t="s">
        <v>3385</v>
      </c>
      <c r="AF3574" s="2">
        <f t="shared" si="442"/>
        <v>0</v>
      </c>
      <c r="AJ3574" s="2">
        <f t="shared" si="443"/>
        <v>0</v>
      </c>
      <c r="AK3574" s="2">
        <f t="shared" ref="AK3574:AK3637" si="448">T3574-W3574</f>
        <v>200</v>
      </c>
      <c r="AL3574" s="5">
        <f t="shared" si="447"/>
        <v>1</v>
      </c>
    </row>
    <row r="3575" spans="1:38" hidden="1" x14ac:dyDescent="0.2">
      <c r="A3575" s="2">
        <v>2026</v>
      </c>
      <c r="B3575" s="2">
        <v>3</v>
      </c>
      <c r="C3575" s="2" t="s">
        <v>3426</v>
      </c>
      <c r="D3575" s="2" t="s">
        <v>2778</v>
      </c>
      <c r="E3575" s="2" t="s">
        <v>109</v>
      </c>
      <c r="F3575" s="2" t="s">
        <v>39</v>
      </c>
      <c r="L3575" s="2" t="s">
        <v>2442</v>
      </c>
      <c r="M3575" s="2" t="s">
        <v>40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46"/>
        <v>1</v>
      </c>
      <c r="Z3575" s="2" t="s">
        <v>105</v>
      </c>
      <c r="AA3575" s="2" t="s">
        <v>3427</v>
      </c>
      <c r="AB3575" s="2" t="s">
        <v>3428</v>
      </c>
      <c r="AC3575" s="2" t="s">
        <v>115</v>
      </c>
      <c r="AF3575" s="2">
        <f t="shared" si="442"/>
        <v>0</v>
      </c>
      <c r="AJ3575" s="2">
        <f t="shared" si="443"/>
        <v>0</v>
      </c>
      <c r="AK3575" s="2">
        <f t="shared" si="448"/>
        <v>180</v>
      </c>
      <c r="AL3575" s="5">
        <f t="shared" si="447"/>
        <v>1</v>
      </c>
    </row>
    <row r="3576" spans="1:38" hidden="1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46"/>
        <v>1</v>
      </c>
      <c r="Z3576" s="2" t="s">
        <v>120</v>
      </c>
      <c r="AA3576" s="2" t="s">
        <v>3385</v>
      </c>
      <c r="AF3576" s="2">
        <f t="shared" si="442"/>
        <v>0</v>
      </c>
      <c r="AJ3576" s="2">
        <f t="shared" si="443"/>
        <v>0</v>
      </c>
      <c r="AK3576" s="2">
        <f t="shared" si="448"/>
        <v>180</v>
      </c>
      <c r="AL3576" s="5">
        <f t="shared" si="447"/>
        <v>1</v>
      </c>
    </row>
    <row r="3577" spans="1:38" hidden="1" x14ac:dyDescent="0.2">
      <c r="A3577" s="2">
        <v>2026</v>
      </c>
      <c r="B3577" s="2">
        <v>3</v>
      </c>
      <c r="D3577" s="2" t="s">
        <v>2053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46"/>
        <v>1</v>
      </c>
      <c r="Z3577" s="2" t="s">
        <v>120</v>
      </c>
      <c r="AA3577" s="2" t="s">
        <v>3385</v>
      </c>
      <c r="AF3577" s="2">
        <f t="shared" si="442"/>
        <v>0</v>
      </c>
      <c r="AJ3577" s="2">
        <f t="shared" si="443"/>
        <v>0</v>
      </c>
      <c r="AK3577" s="2">
        <f t="shared" si="448"/>
        <v>67.2</v>
      </c>
      <c r="AL3577" s="5">
        <f t="shared" si="447"/>
        <v>1</v>
      </c>
    </row>
    <row r="3578" spans="1:38" hidden="1" x14ac:dyDescent="0.2">
      <c r="A3578" s="2">
        <v>2026</v>
      </c>
      <c r="B3578" s="2">
        <v>4</v>
      </c>
      <c r="C3578" s="2" t="s">
        <v>3323</v>
      </c>
      <c r="D3578" s="2" t="s">
        <v>625</v>
      </c>
      <c r="E3578" s="2" t="s">
        <v>38</v>
      </c>
      <c r="F3578" s="2" t="s">
        <v>39</v>
      </c>
      <c r="G3578" s="2" t="s">
        <v>626</v>
      </c>
      <c r="H3578" s="2" t="s">
        <v>40</v>
      </c>
      <c r="I3578" s="2" t="s">
        <v>627</v>
      </c>
      <c r="J3578" s="2" t="s">
        <v>628</v>
      </c>
      <c r="L3578" s="2" t="s">
        <v>627</v>
      </c>
      <c r="M3578" s="2" t="s">
        <v>40</v>
      </c>
      <c r="O3578" s="2" t="s">
        <v>2779</v>
      </c>
      <c r="P3578" s="2" t="s">
        <v>115</v>
      </c>
      <c r="Q3578" s="2" t="s">
        <v>2780</v>
      </c>
      <c r="R3578" s="2" t="s">
        <v>851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446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42"/>
        <v>0</v>
      </c>
      <c r="AG3578" s="2">
        <v>6.55</v>
      </c>
      <c r="AJ3578" s="2">
        <f t="shared" si="443"/>
        <v>0</v>
      </c>
      <c r="AK3578" s="2">
        <f t="shared" si="448"/>
        <v>12.439999999999998</v>
      </c>
      <c r="AL3578" s="5">
        <f t="shared" si="447"/>
        <v>0.6550816219062664</v>
      </c>
    </row>
    <row r="3579" spans="1:38" hidden="1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2781</v>
      </c>
      <c r="P3579" s="2" t="s">
        <v>115</v>
      </c>
      <c r="Q3579" s="16" t="s">
        <v>710</v>
      </c>
      <c r="R3579" s="2" t="s">
        <v>711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46"/>
        <v>0.26376071005917157</v>
      </c>
      <c r="Z3579" s="2" t="s">
        <v>105</v>
      </c>
      <c r="AA3579" s="2" t="s">
        <v>579</v>
      </c>
      <c r="AB3579" s="2" t="s">
        <v>702</v>
      </c>
      <c r="AC3579" s="2" t="s">
        <v>115</v>
      </c>
      <c r="AF3579" s="2">
        <f t="shared" si="442"/>
        <v>0</v>
      </c>
      <c r="AG3579" s="2">
        <v>1244.2444</v>
      </c>
      <c r="AJ3579" s="2">
        <f t="shared" si="443"/>
        <v>0</v>
      </c>
      <c r="AK3579" s="2">
        <f t="shared" si="448"/>
        <v>445.75559999999996</v>
      </c>
      <c r="AL3579" s="5">
        <f t="shared" si="447"/>
        <v>0.26376071005917157</v>
      </c>
    </row>
    <row r="3580" spans="1:38" hidden="1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2782</v>
      </c>
      <c r="P3580" s="2" t="s">
        <v>115</v>
      </c>
      <c r="Q3580" s="2" t="s">
        <v>2301</v>
      </c>
      <c r="R3580" s="2" t="s">
        <v>2302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49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42"/>
        <v>0</v>
      </c>
      <c r="AG3580" s="2">
        <v>136.38999999999999</v>
      </c>
      <c r="AH3580" s="2">
        <v>282.11399999999998</v>
      </c>
      <c r="AJ3580" s="2">
        <f t="shared" si="443"/>
        <v>0</v>
      </c>
      <c r="AK3580" s="2">
        <f t="shared" si="448"/>
        <v>117.51000000000002</v>
      </c>
      <c r="AL3580" s="5">
        <f t="shared" si="447"/>
        <v>0.46282000787711702</v>
      </c>
    </row>
    <row r="3581" spans="1:38" hidden="1" x14ac:dyDescent="0.2">
      <c r="A3581" s="2">
        <v>2026</v>
      </c>
      <c r="B3581" s="2">
        <v>3</v>
      </c>
      <c r="D3581" s="2" t="s">
        <v>2053</v>
      </c>
      <c r="G3581" s="2">
        <v>514960337</v>
      </c>
      <c r="H3581" s="2" t="s">
        <v>291</v>
      </c>
      <c r="I3581" s="2" t="s">
        <v>2783</v>
      </c>
      <c r="M3581" s="2" t="s">
        <v>40</v>
      </c>
      <c r="O3581" s="2" t="s">
        <v>2784</v>
      </c>
      <c r="P3581" s="2" t="s">
        <v>115</v>
      </c>
      <c r="Q3581" s="2" t="s">
        <v>2006</v>
      </c>
      <c r="R3581" s="2" t="s">
        <v>2007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49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42"/>
        <v>0</v>
      </c>
      <c r="AG3581" s="2">
        <v>7.9024999999999999</v>
      </c>
      <c r="AJ3581" s="2">
        <f t="shared" si="443"/>
        <v>0</v>
      </c>
      <c r="AK3581" s="2">
        <f t="shared" si="448"/>
        <v>5.43</v>
      </c>
      <c r="AL3581" s="5">
        <f t="shared" si="447"/>
        <v>0.14659827213822893</v>
      </c>
    </row>
    <row r="3582" spans="1:38" hidden="1" x14ac:dyDescent="0.2">
      <c r="A3582" s="2">
        <v>2026</v>
      </c>
      <c r="B3582" s="2">
        <v>4</v>
      </c>
      <c r="C3582" s="2" t="s">
        <v>3456</v>
      </c>
      <c r="D3582" s="2" t="s">
        <v>1011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1012</v>
      </c>
      <c r="J3582" s="2" t="s">
        <v>1013</v>
      </c>
      <c r="L3582" s="2" t="s">
        <v>294</v>
      </c>
      <c r="M3582" s="2" t="s">
        <v>40</v>
      </c>
      <c r="P3582" s="2" t="s">
        <v>115</v>
      </c>
      <c r="Q3582" s="2" t="s">
        <v>1518</v>
      </c>
      <c r="R3582" s="2" t="s">
        <v>1519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49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42"/>
        <v>0</v>
      </c>
      <c r="AG3582" s="2">
        <v>11.246700000000001</v>
      </c>
      <c r="AJ3582" s="2">
        <f t="shared" si="443"/>
        <v>0</v>
      </c>
      <c r="AK3582" s="2">
        <f t="shared" si="448"/>
        <v>9.1433</v>
      </c>
      <c r="AL3582" s="5">
        <f t="shared" si="447"/>
        <v>0.44842079450711131</v>
      </c>
    </row>
    <row r="3583" spans="1:38" hidden="1" x14ac:dyDescent="0.2">
      <c r="A3583" s="2">
        <v>2026</v>
      </c>
      <c r="B3583" s="2">
        <v>4</v>
      </c>
      <c r="D3583" s="2" t="s">
        <v>2785</v>
      </c>
      <c r="G3583" s="2">
        <v>219031614</v>
      </c>
      <c r="I3583" s="2" t="s">
        <v>2203</v>
      </c>
      <c r="M3583" s="2" t="s">
        <v>40</v>
      </c>
      <c r="O3583" s="2" t="s">
        <v>2786</v>
      </c>
      <c r="P3583" s="2" t="s">
        <v>115</v>
      </c>
      <c r="Q3583" s="2" t="s">
        <v>780</v>
      </c>
      <c r="R3583" s="2" t="s">
        <v>781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49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42"/>
        <v>0</v>
      </c>
      <c r="AG3583" s="2">
        <v>35.931699999999999</v>
      </c>
      <c r="AJ3583" s="2">
        <f t="shared" si="443"/>
        <v>0</v>
      </c>
      <c r="AK3583" s="2">
        <f t="shared" si="448"/>
        <v>85.316600000000008</v>
      </c>
      <c r="AL3583" s="5">
        <f t="shared" si="447"/>
        <v>0.54279552105865891</v>
      </c>
    </row>
    <row r="3584" spans="1:38" hidden="1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2787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49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42"/>
        <v>0</v>
      </c>
      <c r="AG3584" s="2">
        <v>5.33</v>
      </c>
      <c r="AJ3584" s="2">
        <f t="shared" si="443"/>
        <v>0</v>
      </c>
      <c r="AK3584" s="2">
        <f t="shared" si="448"/>
        <v>17.91</v>
      </c>
      <c r="AL3584" s="5">
        <f t="shared" si="447"/>
        <v>0.62688134406720331</v>
      </c>
    </row>
    <row r="3585" spans="1:38" hidden="1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2788</v>
      </c>
      <c r="P3585" s="2" t="s">
        <v>115</v>
      </c>
      <c r="Q3585" s="2" t="s">
        <v>2789</v>
      </c>
      <c r="R3585" s="2" t="s">
        <v>2790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49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42"/>
        <v>0</v>
      </c>
      <c r="AG3585" s="2">
        <f>20.48+0.33</f>
        <v>20.81</v>
      </c>
      <c r="AJ3585" s="2">
        <f t="shared" si="443"/>
        <v>0</v>
      </c>
      <c r="AK3585" s="2">
        <f t="shared" si="448"/>
        <v>22.2</v>
      </c>
      <c r="AL3585" s="5">
        <f t="shared" si="447"/>
        <v>0.51615903278307373</v>
      </c>
    </row>
    <row r="3586" spans="1:38" hidden="1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2788</v>
      </c>
      <c r="P3586" s="2" t="s">
        <v>115</v>
      </c>
      <c r="Q3586" s="2" t="s">
        <v>2791</v>
      </c>
      <c r="R3586" s="2" t="s">
        <v>2491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49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42"/>
        <v>0</v>
      </c>
      <c r="AG3586" s="2">
        <f>63.89+1.02</f>
        <v>64.91</v>
      </c>
      <c r="AJ3586" s="2">
        <f t="shared" si="443"/>
        <v>0</v>
      </c>
      <c r="AK3586" s="2">
        <f t="shared" si="448"/>
        <v>69.259999999999991</v>
      </c>
      <c r="AL3586" s="5">
        <f t="shared" si="447"/>
        <v>0.51621077737199073</v>
      </c>
    </row>
    <row r="3587" spans="1:38" hidden="1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49"/>
        <v>0.5</v>
      </c>
      <c r="Z3587" s="2" t="s">
        <v>118</v>
      </c>
      <c r="AA3587" s="2" t="s">
        <v>191</v>
      </c>
      <c r="AB3587" s="2" t="s">
        <v>191</v>
      </c>
      <c r="AC3587" s="2" t="s">
        <v>40</v>
      </c>
      <c r="AF3587" s="2">
        <f t="shared" ref="AF3587:AF3650" si="450">AJ3587</f>
        <v>0</v>
      </c>
      <c r="AG3587" s="2">
        <f>W3587</f>
        <v>100</v>
      </c>
      <c r="AJ3587" s="2">
        <f t="shared" ref="AJ3587:AJ3650" si="451">AI3587*T3587</f>
        <v>0</v>
      </c>
      <c r="AK3587" s="2">
        <f t="shared" si="448"/>
        <v>100</v>
      </c>
      <c r="AL3587" s="5">
        <f t="shared" si="447"/>
        <v>0.5</v>
      </c>
    </row>
    <row r="3588" spans="1:38" hidden="1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2480</v>
      </c>
      <c r="J3588" s="2" t="s">
        <v>3127</v>
      </c>
      <c r="K3588" s="2">
        <v>965864665</v>
      </c>
      <c r="L3588" s="2" t="s">
        <v>345</v>
      </c>
      <c r="M3588" s="2" t="s">
        <v>40</v>
      </c>
      <c r="O3588" s="2" t="s">
        <v>2792</v>
      </c>
      <c r="P3588" s="2" t="s">
        <v>115</v>
      </c>
      <c r="Q3588" s="2" t="s">
        <v>1252</v>
      </c>
      <c r="R3588" s="2" t="s">
        <v>1253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49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50"/>
        <v>0</v>
      </c>
      <c r="AG3588" s="2">
        <v>183.26</v>
      </c>
      <c r="AJ3588" s="2">
        <f t="shared" si="451"/>
        <v>0</v>
      </c>
      <c r="AK3588" s="2">
        <f t="shared" si="448"/>
        <v>151.26999999999998</v>
      </c>
      <c r="AL3588" s="5">
        <f t="shared" si="447"/>
        <v>0.45218664992676288</v>
      </c>
    </row>
    <row r="3589" spans="1:38" hidden="1" x14ac:dyDescent="0.2">
      <c r="A3589" s="2">
        <v>2026</v>
      </c>
      <c r="B3589" s="2">
        <v>3</v>
      </c>
      <c r="D3589" s="2" t="s">
        <v>707</v>
      </c>
      <c r="E3589" s="2" t="s">
        <v>184</v>
      </c>
      <c r="G3589" s="2">
        <v>500038996</v>
      </c>
      <c r="H3589" s="2" t="s">
        <v>110</v>
      </c>
      <c r="I3589" s="2" t="s">
        <v>708</v>
      </c>
      <c r="J3589" s="2" t="s">
        <v>709</v>
      </c>
      <c r="K3589" s="2">
        <v>913640179</v>
      </c>
      <c r="L3589" s="2" t="s">
        <v>134</v>
      </c>
      <c r="M3589" s="2" t="s">
        <v>40</v>
      </c>
      <c r="O3589" s="2" t="s">
        <v>2793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52">23.042*S3589</f>
        <v>46.084000000000003</v>
      </c>
      <c r="X3589" s="5">
        <f t="shared" si="449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50"/>
        <v>0</v>
      </c>
      <c r="AG3589" s="2">
        <v>22.2</v>
      </c>
      <c r="AJ3589" s="2">
        <f t="shared" si="451"/>
        <v>0</v>
      </c>
      <c r="AK3589" s="2">
        <f t="shared" si="448"/>
        <v>51.816000000000003</v>
      </c>
      <c r="AL3589" s="5">
        <f t="shared" si="447"/>
        <v>0.52927477017364655</v>
      </c>
    </row>
    <row r="3590" spans="1:38" hidden="1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2794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52"/>
        <v>23.042000000000002</v>
      </c>
      <c r="X3590" s="5">
        <f t="shared" si="449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50"/>
        <v>0</v>
      </c>
      <c r="AG3590" s="2">
        <v>22.2</v>
      </c>
      <c r="AJ3590" s="2">
        <f t="shared" si="451"/>
        <v>0</v>
      </c>
      <c r="AK3590" s="2">
        <f t="shared" si="448"/>
        <v>25.908000000000001</v>
      </c>
      <c r="AL3590" s="5">
        <f t="shared" si="447"/>
        <v>0.52927477017364655</v>
      </c>
    </row>
    <row r="3591" spans="1:38" hidden="1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2795</v>
      </c>
      <c r="R3591" s="2" t="s">
        <v>2796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49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50"/>
        <v>0</v>
      </c>
      <c r="AG3591" s="2">
        <f>249.84+4</f>
        <v>253.84</v>
      </c>
      <c r="AJ3591" s="2">
        <f t="shared" si="451"/>
        <v>0</v>
      </c>
      <c r="AK3591" s="2">
        <f t="shared" si="448"/>
        <v>270.81999999999994</v>
      </c>
      <c r="AL3591" s="5">
        <f t="shared" si="447"/>
        <v>0.51618190828345967</v>
      </c>
    </row>
    <row r="3592" spans="1:38" hidden="1" x14ac:dyDescent="0.2">
      <c r="A3592" s="2">
        <v>2026</v>
      </c>
      <c r="B3592" s="2">
        <v>4</v>
      </c>
      <c r="D3592" s="2" t="s">
        <v>2323</v>
      </c>
      <c r="M3592" s="2" t="s">
        <v>40</v>
      </c>
      <c r="O3592" s="2" t="s">
        <v>2797</v>
      </c>
      <c r="P3592" s="2" t="s">
        <v>115</v>
      </c>
      <c r="Q3592" s="2" t="s">
        <v>647</v>
      </c>
      <c r="R3592" s="2" t="s">
        <v>648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49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50"/>
        <v>0</v>
      </c>
      <c r="AG3592" s="2">
        <v>30.22</v>
      </c>
      <c r="AJ3592" s="2">
        <f t="shared" si="451"/>
        <v>0</v>
      </c>
      <c r="AK3592" s="2">
        <f t="shared" si="448"/>
        <v>33.24</v>
      </c>
      <c r="AL3592" s="5">
        <f t="shared" si="447"/>
        <v>0.52379451623069651</v>
      </c>
    </row>
    <row r="3593" spans="1:38" hidden="1" x14ac:dyDescent="0.2">
      <c r="A3593" s="2">
        <v>2026</v>
      </c>
      <c r="B3593" s="2">
        <v>3</v>
      </c>
      <c r="D3593" s="2" t="s">
        <v>2770</v>
      </c>
      <c r="M3593" s="2" t="s">
        <v>40</v>
      </c>
      <c r="O3593" s="2" t="s">
        <v>2798</v>
      </c>
      <c r="P3593" s="2" t="s">
        <v>115</v>
      </c>
      <c r="Q3593" s="2" t="s">
        <v>906</v>
      </c>
      <c r="R3593" s="2" t="s">
        <v>907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49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50"/>
        <v>0</v>
      </c>
      <c r="AG3593" s="2">
        <v>342.22</v>
      </c>
      <c r="AJ3593" s="2">
        <f t="shared" si="451"/>
        <v>0</v>
      </c>
      <c r="AK3593" s="2">
        <f t="shared" si="448"/>
        <v>354.09659999999997</v>
      </c>
      <c r="AL3593" s="5">
        <f t="shared" si="447"/>
        <v>0.50635864435864431</v>
      </c>
    </row>
    <row r="3594" spans="1:38" hidden="1" x14ac:dyDescent="0.2">
      <c r="A3594" s="2">
        <v>2026</v>
      </c>
      <c r="B3594" s="2">
        <v>4</v>
      </c>
      <c r="D3594" s="2" t="s">
        <v>2799</v>
      </c>
      <c r="M3594" s="2" t="s">
        <v>40</v>
      </c>
      <c r="O3594" s="2" t="s">
        <v>2800</v>
      </c>
      <c r="P3594" s="2" t="s">
        <v>115</v>
      </c>
      <c r="Q3594" s="2" t="s">
        <v>906</v>
      </c>
      <c r="R3594" s="2" t="s">
        <v>907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49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50"/>
        <v>0</v>
      </c>
      <c r="AG3594" s="2">
        <v>342.22</v>
      </c>
      <c r="AJ3594" s="2">
        <f t="shared" si="451"/>
        <v>0</v>
      </c>
      <c r="AK3594" s="2">
        <f t="shared" si="448"/>
        <v>354.09659999999997</v>
      </c>
      <c r="AL3594" s="5">
        <f t="shared" si="447"/>
        <v>0.50635864435864431</v>
      </c>
    </row>
    <row r="3595" spans="1:38" hidden="1" x14ac:dyDescent="0.2">
      <c r="A3595" s="2">
        <v>2026</v>
      </c>
      <c r="B3595" s="2">
        <v>4</v>
      </c>
      <c r="D3595" s="2" t="s">
        <v>2801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2802</v>
      </c>
      <c r="J3595" s="2" t="s">
        <v>2803</v>
      </c>
      <c r="L3595" s="2" t="s">
        <v>202</v>
      </c>
      <c r="M3595" s="2" t="s">
        <v>40</v>
      </c>
      <c r="O3595" s="2" t="s">
        <v>2804</v>
      </c>
      <c r="P3595" s="2" t="s">
        <v>115</v>
      </c>
      <c r="Q3595" s="2" t="s">
        <v>906</v>
      </c>
      <c r="R3595" s="2" t="s">
        <v>907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49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50"/>
        <v>0</v>
      </c>
      <c r="AG3595" s="2">
        <v>342.22</v>
      </c>
      <c r="AJ3595" s="2">
        <f t="shared" si="451"/>
        <v>0</v>
      </c>
      <c r="AK3595" s="2">
        <f t="shared" si="448"/>
        <v>354.09659999999997</v>
      </c>
      <c r="AL3595" s="5">
        <f t="shared" si="447"/>
        <v>0.50635864435864431</v>
      </c>
    </row>
    <row r="3596" spans="1:38" hidden="1" x14ac:dyDescent="0.2">
      <c r="A3596" s="2">
        <v>2026</v>
      </c>
      <c r="B3596" s="2">
        <v>4</v>
      </c>
      <c r="D3596" s="2" t="s">
        <v>688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689</v>
      </c>
      <c r="L3596" s="2" t="s">
        <v>340</v>
      </c>
      <c r="M3596" s="2" t="s">
        <v>40</v>
      </c>
      <c r="O3596" s="2" t="s">
        <v>2805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49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50"/>
        <v>0</v>
      </c>
      <c r="AJ3596" s="2">
        <f t="shared" si="451"/>
        <v>0</v>
      </c>
      <c r="AK3596" s="2">
        <f t="shared" si="448"/>
        <v>352.72999999999996</v>
      </c>
      <c r="AL3596" s="5">
        <f t="shared" si="447"/>
        <v>0.50440440440440437</v>
      </c>
    </row>
    <row r="3597" spans="1:38" hidden="1" x14ac:dyDescent="0.2">
      <c r="A3597" s="2">
        <v>2026</v>
      </c>
      <c r="B3597" s="2">
        <v>4</v>
      </c>
      <c r="D3597" s="2" t="s">
        <v>2608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2609</v>
      </c>
      <c r="K3597" s="2">
        <v>935402550</v>
      </c>
      <c r="L3597" s="2" t="s">
        <v>113</v>
      </c>
      <c r="M3597" s="2" t="s">
        <v>40</v>
      </c>
      <c r="O3597" s="2" t="s">
        <v>2610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49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50"/>
        <v>0</v>
      </c>
      <c r="AG3597" s="2">
        <v>346.57</v>
      </c>
      <c r="AJ3597" s="2">
        <f t="shared" si="451"/>
        <v>0</v>
      </c>
      <c r="AK3597" s="2">
        <f t="shared" si="448"/>
        <v>352.72999999999996</v>
      </c>
      <c r="AL3597" s="5">
        <f t="shared" si="447"/>
        <v>0.50440440440440437</v>
      </c>
    </row>
    <row r="3598" spans="1:38" hidden="1" x14ac:dyDescent="0.2">
      <c r="A3598" s="2">
        <v>2026</v>
      </c>
      <c r="B3598" s="2">
        <v>4</v>
      </c>
      <c r="D3598" s="2" t="s">
        <v>2611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2612</v>
      </c>
      <c r="J3598" s="2" t="s">
        <v>2613</v>
      </c>
      <c r="K3598" s="2">
        <v>912183782</v>
      </c>
      <c r="L3598" s="2" t="s">
        <v>202</v>
      </c>
      <c r="M3598" s="2" t="s">
        <v>40</v>
      </c>
      <c r="O3598" s="2" t="s">
        <v>2614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49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50"/>
        <v>0</v>
      </c>
      <c r="AG3598" s="2">
        <v>346.57</v>
      </c>
      <c r="AJ3598" s="2">
        <f t="shared" si="451"/>
        <v>0</v>
      </c>
      <c r="AK3598" s="2">
        <f t="shared" si="448"/>
        <v>352.72999999999996</v>
      </c>
      <c r="AL3598" s="5">
        <f t="shared" si="447"/>
        <v>0.50440440440440437</v>
      </c>
    </row>
    <row r="3599" spans="1:38" hidden="1" x14ac:dyDescent="0.2">
      <c r="A3599" s="2">
        <v>2026</v>
      </c>
      <c r="B3599" s="2">
        <v>4</v>
      </c>
      <c r="D3599" s="2" t="s">
        <v>2618</v>
      </c>
      <c r="M3599" s="2" t="s">
        <v>40</v>
      </c>
      <c r="O3599" s="2" t="s">
        <v>2806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49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50"/>
        <v>0</v>
      </c>
      <c r="AJ3599" s="2">
        <f t="shared" si="451"/>
        <v>0</v>
      </c>
      <c r="AK3599" s="2">
        <f t="shared" si="448"/>
        <v>352.72999999999996</v>
      </c>
      <c r="AL3599" s="5">
        <f t="shared" si="447"/>
        <v>0.50440440440440437</v>
      </c>
    </row>
    <row r="3600" spans="1:38" hidden="1" x14ac:dyDescent="0.2">
      <c r="A3600" s="2">
        <v>2026</v>
      </c>
      <c r="B3600" s="2">
        <v>4</v>
      </c>
      <c r="C3600" s="2" t="s">
        <v>3323</v>
      </c>
      <c r="D3600" s="2" t="s">
        <v>625</v>
      </c>
      <c r="E3600" s="2" t="s">
        <v>38</v>
      </c>
      <c r="F3600" s="2" t="s">
        <v>39</v>
      </c>
      <c r="G3600" s="2" t="s">
        <v>626</v>
      </c>
      <c r="H3600" s="2" t="s">
        <v>40</v>
      </c>
      <c r="I3600" s="2" t="s">
        <v>627</v>
      </c>
      <c r="J3600" s="2" t="s">
        <v>628</v>
      </c>
      <c r="L3600" s="2" t="s">
        <v>627</v>
      </c>
      <c r="M3600" s="2" t="s">
        <v>40</v>
      </c>
      <c r="O3600" s="2" t="s">
        <v>2779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449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50"/>
        <v>0</v>
      </c>
      <c r="AJ3600" s="2">
        <f t="shared" si="451"/>
        <v>0</v>
      </c>
      <c r="AK3600" s="2">
        <f t="shared" si="448"/>
        <v>229.38000000000005</v>
      </c>
      <c r="AL3600" s="5">
        <f t="shared" si="447"/>
        <v>0.39826373817171634</v>
      </c>
    </row>
    <row r="3601" spans="1:38" hidden="1" x14ac:dyDescent="0.2">
      <c r="A3601" s="2">
        <v>2026</v>
      </c>
      <c r="B3601" s="2">
        <v>4</v>
      </c>
      <c r="D3601" s="2" t="s">
        <v>1603</v>
      </c>
      <c r="M3601" s="2" t="s">
        <v>40</v>
      </c>
      <c r="O3601" s="2" t="s">
        <v>2807</v>
      </c>
      <c r="P3601" s="2" t="s">
        <v>115</v>
      </c>
      <c r="Q3601" s="2" t="s">
        <v>1202</v>
      </c>
      <c r="R3601" s="2" t="s">
        <v>1203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49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50"/>
        <v>0</v>
      </c>
      <c r="AG3601" s="2">
        <f>167.92</f>
        <v>167.92</v>
      </c>
      <c r="AJ3601" s="2">
        <f t="shared" si="451"/>
        <v>0</v>
      </c>
      <c r="AK3601" s="2">
        <f t="shared" si="448"/>
        <v>188.89000000000001</v>
      </c>
      <c r="AL3601" s="5">
        <f t="shared" si="447"/>
        <v>0.5293853871808526</v>
      </c>
    </row>
    <row r="3602" spans="1:38" hidden="1" x14ac:dyDescent="0.2">
      <c r="A3602" s="2">
        <v>2026</v>
      </c>
      <c r="B3602" s="2">
        <v>4</v>
      </c>
      <c r="D3602" s="2" t="s">
        <v>2799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49"/>
        <v>0.6</v>
      </c>
      <c r="Z3602" s="2" t="s">
        <v>118</v>
      </c>
      <c r="AA3602" s="2" t="s">
        <v>191</v>
      </c>
      <c r="AB3602" s="2" t="s">
        <v>190</v>
      </c>
      <c r="AC3602" s="2" t="s">
        <v>40</v>
      </c>
      <c r="AF3602" s="2">
        <f t="shared" si="450"/>
        <v>0</v>
      </c>
      <c r="AG3602" s="2">
        <f>W3602</f>
        <v>36.800000000000004</v>
      </c>
      <c r="AJ3602" s="2">
        <f t="shared" si="451"/>
        <v>0</v>
      </c>
      <c r="AK3602" s="2">
        <f t="shared" si="448"/>
        <v>55.199999999999996</v>
      </c>
      <c r="AL3602" s="5">
        <f t="shared" si="447"/>
        <v>0.6</v>
      </c>
    </row>
    <row r="3603" spans="1:38" hidden="1" x14ac:dyDescent="0.2">
      <c r="A3603" s="2">
        <v>2026</v>
      </c>
      <c r="B3603" s="2">
        <v>4</v>
      </c>
      <c r="D3603" s="2" t="s">
        <v>2287</v>
      </c>
      <c r="M3603" s="2" t="s">
        <v>40</v>
      </c>
      <c r="O3603" s="2" t="s">
        <v>2808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49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50"/>
        <v>0</v>
      </c>
      <c r="AG3603" s="2">
        <f>231.78+0.96</f>
        <v>232.74</v>
      </c>
      <c r="AJ3603" s="2">
        <f t="shared" si="451"/>
        <v>0</v>
      </c>
      <c r="AK3603" s="2">
        <f t="shared" si="448"/>
        <v>256.08</v>
      </c>
      <c r="AL3603" s="5">
        <f t="shared" si="447"/>
        <v>0.52387381858352766</v>
      </c>
    </row>
    <row r="3604" spans="1:38" hidden="1" x14ac:dyDescent="0.2">
      <c r="A3604" s="2">
        <v>2026</v>
      </c>
      <c r="B3604" s="2">
        <v>4</v>
      </c>
      <c r="D3604" s="2" t="s">
        <v>1002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1003</v>
      </c>
      <c r="J3604" s="2" t="s">
        <v>1004</v>
      </c>
      <c r="K3604" s="2">
        <v>917233128</v>
      </c>
      <c r="L3604" s="2" t="s">
        <v>100</v>
      </c>
      <c r="M3604" s="2" t="s">
        <v>40</v>
      </c>
      <c r="O3604" s="2" t="s">
        <v>2607</v>
      </c>
      <c r="P3604" s="2" t="s">
        <v>115</v>
      </c>
      <c r="Q3604" s="2" t="s">
        <v>1659</v>
      </c>
      <c r="R3604" s="2" t="s">
        <v>1660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49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50"/>
        <v>0</v>
      </c>
      <c r="AG3604" s="2">
        <v>565.755</v>
      </c>
      <c r="AJ3604" s="2">
        <f t="shared" si="451"/>
        <v>0</v>
      </c>
      <c r="AK3604" s="2">
        <f t="shared" si="448"/>
        <v>1279.1445000000001</v>
      </c>
      <c r="AL3604" s="5">
        <f t="shared" si="447"/>
        <v>0.69334083148138115</v>
      </c>
    </row>
    <row r="3605" spans="1:38" hidden="1" x14ac:dyDescent="0.2">
      <c r="A3605" s="2">
        <v>2026</v>
      </c>
      <c r="B3605" s="2">
        <v>4</v>
      </c>
      <c r="C3605" s="2" t="s">
        <v>3449</v>
      </c>
      <c r="D3605" s="2" t="s">
        <v>943</v>
      </c>
      <c r="E3605" s="2" t="s">
        <v>38</v>
      </c>
      <c r="F3605" s="2" t="s">
        <v>39</v>
      </c>
      <c r="L3605" s="2" t="s">
        <v>178</v>
      </c>
      <c r="M3605" s="2" t="s">
        <v>40</v>
      </c>
      <c r="O3605" s="2" t="s">
        <v>2809</v>
      </c>
      <c r="P3605" s="2" t="s">
        <v>115</v>
      </c>
      <c r="Q3605" s="2" t="s">
        <v>794</v>
      </c>
      <c r="R3605" s="2" t="s">
        <v>795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49"/>
        <v>0.66809046530951399</v>
      </c>
      <c r="Z3605" s="2" t="s">
        <v>118</v>
      </c>
      <c r="AA3605" s="2" t="s">
        <v>119</v>
      </c>
      <c r="AB3605" s="2" t="s">
        <v>120</v>
      </c>
      <c r="AC3605" s="2" t="s">
        <v>115</v>
      </c>
      <c r="AF3605" s="2">
        <f t="shared" si="450"/>
        <v>0</v>
      </c>
      <c r="AG3605" s="2">
        <v>255.65</v>
      </c>
      <c r="AJ3605" s="2">
        <f t="shared" si="451"/>
        <v>0</v>
      </c>
      <c r="AK3605" s="2">
        <f t="shared" si="448"/>
        <v>514.59</v>
      </c>
      <c r="AL3605" s="5">
        <f t="shared" si="447"/>
        <v>0.66809046530951399</v>
      </c>
    </row>
    <row r="3606" spans="1:38" hidden="1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2810</v>
      </c>
      <c r="P3606" s="2" t="s">
        <v>115</v>
      </c>
      <c r="Q3606" s="2" t="s">
        <v>2490</v>
      </c>
      <c r="R3606" s="2" t="s">
        <v>2491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49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50"/>
        <v>0</v>
      </c>
      <c r="AG3606" s="2">
        <v>102.88249999999999</v>
      </c>
      <c r="AJ3606" s="2">
        <f t="shared" si="451"/>
        <v>0</v>
      </c>
      <c r="AK3606" s="2">
        <f t="shared" si="448"/>
        <v>112.075</v>
      </c>
      <c r="AL3606" s="5">
        <f t="shared" si="447"/>
        <v>0.52137606996650543</v>
      </c>
    </row>
    <row r="3607" spans="1:38" hidden="1" x14ac:dyDescent="0.2">
      <c r="A3607" s="2">
        <v>2026</v>
      </c>
      <c r="B3607" s="2">
        <v>4</v>
      </c>
      <c r="D3607" s="2" t="s">
        <v>1603</v>
      </c>
      <c r="M3607" s="2" t="s">
        <v>40</v>
      </c>
      <c r="O3607" s="2" t="s">
        <v>2807</v>
      </c>
      <c r="P3607" s="2" t="s">
        <v>115</v>
      </c>
      <c r="Q3607" s="2" t="s">
        <v>2811</v>
      </c>
      <c r="R3607" s="2" t="s">
        <v>2812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49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50"/>
        <v>0</v>
      </c>
      <c r="AG3607" s="2">
        <v>42.436799999999998</v>
      </c>
      <c r="AJ3607" s="2">
        <f t="shared" si="451"/>
        <v>0</v>
      </c>
      <c r="AK3607" s="2">
        <f t="shared" si="448"/>
        <v>46.603200000000008</v>
      </c>
      <c r="AL3607" s="5">
        <f t="shared" si="447"/>
        <v>0.52339622641509442</v>
      </c>
    </row>
    <row r="3608" spans="1:38" hidden="1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2813</v>
      </c>
      <c r="R3608" s="2" t="s">
        <v>2814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49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50"/>
        <v>0</v>
      </c>
      <c r="AG3608" s="2">
        <v>42.436799999999998</v>
      </c>
      <c r="AJ3608" s="2">
        <f t="shared" si="451"/>
        <v>0</v>
      </c>
      <c r="AK3608" s="2">
        <f t="shared" si="448"/>
        <v>11.613199999999999</v>
      </c>
      <c r="AL3608" s="5">
        <f t="shared" si="447"/>
        <v>0.21486031452358925</v>
      </c>
    </row>
    <row r="3609" spans="1:38" hidden="1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2788</v>
      </c>
      <c r="P3609" s="2" t="s">
        <v>115</v>
      </c>
      <c r="Q3609" s="2" t="s">
        <v>2815</v>
      </c>
      <c r="R3609" s="2" t="s">
        <v>2816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49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50"/>
        <v>0</v>
      </c>
      <c r="AG3609" s="2">
        <f>15.49+0.25</f>
        <v>15.74</v>
      </c>
      <c r="AJ3609" s="2">
        <f t="shared" si="451"/>
        <v>0</v>
      </c>
      <c r="AK3609" s="2">
        <f t="shared" si="448"/>
        <v>16.79</v>
      </c>
      <c r="AL3609" s="5">
        <f t="shared" si="447"/>
        <v>0.51613894866277277</v>
      </c>
    </row>
    <row r="3610" spans="1:38" hidden="1" x14ac:dyDescent="0.2">
      <c r="A3610" s="2">
        <v>2026</v>
      </c>
      <c r="B3610" s="2">
        <v>4</v>
      </c>
      <c r="D3610" s="2" t="s">
        <v>1594</v>
      </c>
      <c r="M3610" s="2" t="s">
        <v>40</v>
      </c>
      <c r="O3610" s="2" t="s">
        <v>2817</v>
      </c>
      <c r="P3610" s="2" t="s">
        <v>115</v>
      </c>
      <c r="Q3610" s="2" t="s">
        <v>1595</v>
      </c>
      <c r="R3610" s="2" t="s">
        <v>1596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49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50"/>
        <v>0</v>
      </c>
      <c r="AG3610" s="2">
        <v>21.32</v>
      </c>
      <c r="AJ3610" s="2">
        <f t="shared" si="451"/>
        <v>0</v>
      </c>
      <c r="AK3610" s="2">
        <f t="shared" si="448"/>
        <v>25.270000000000003</v>
      </c>
      <c r="AL3610" s="5">
        <f t="shared" si="447"/>
        <v>0.54239107104528872</v>
      </c>
    </row>
    <row r="3611" spans="1:38" hidden="1" x14ac:dyDescent="0.2">
      <c r="A3611" s="2">
        <v>2026</v>
      </c>
      <c r="B3611" s="2">
        <v>4</v>
      </c>
      <c r="D3611" s="2" t="s">
        <v>908</v>
      </c>
      <c r="M3611" s="2" t="s">
        <v>40</v>
      </c>
      <c r="O3611" s="2" t="s">
        <v>2818</v>
      </c>
      <c r="P3611" s="2" t="s">
        <v>115</v>
      </c>
      <c r="Q3611" s="2" t="s">
        <v>2819</v>
      </c>
      <c r="R3611" s="2" t="s">
        <v>2820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49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50"/>
        <v>0</v>
      </c>
      <c r="AG3611" s="2">
        <v>19.5167</v>
      </c>
      <c r="AJ3611" s="2">
        <f t="shared" si="451"/>
        <v>0</v>
      </c>
      <c r="AK3611" s="2">
        <f t="shared" si="448"/>
        <v>21.823300000000003</v>
      </c>
      <c r="AL3611" s="5">
        <f t="shared" si="447"/>
        <v>0.52789791969037259</v>
      </c>
    </row>
    <row r="3612" spans="1:38" hidden="1" x14ac:dyDescent="0.2">
      <c r="A3612" s="2">
        <v>2026</v>
      </c>
      <c r="B3612" s="2">
        <v>4</v>
      </c>
      <c r="D3612" s="2" t="s">
        <v>644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645</v>
      </c>
      <c r="J3612" s="2" t="s">
        <v>646</v>
      </c>
      <c r="K3612" s="2">
        <v>964495536</v>
      </c>
      <c r="L3612" s="2" t="s">
        <v>113</v>
      </c>
      <c r="M3612" s="2" t="s">
        <v>40</v>
      </c>
      <c r="O3612" s="2" t="s">
        <v>2821</v>
      </c>
      <c r="P3612" s="2" t="s">
        <v>115</v>
      </c>
      <c r="Q3612" s="2" t="s">
        <v>980</v>
      </c>
      <c r="R3612" s="2" t="s">
        <v>981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50"/>
        <v>0</v>
      </c>
      <c r="AJ3612" s="2">
        <f t="shared" si="451"/>
        <v>0</v>
      </c>
      <c r="AK3612" s="2">
        <f t="shared" si="448"/>
        <v>-83.46</v>
      </c>
      <c r="AL3612" s="5">
        <f t="shared" si="447"/>
        <v>1</v>
      </c>
    </row>
    <row r="3613" spans="1:38" hidden="1" x14ac:dyDescent="0.2">
      <c r="A3613" s="2">
        <v>2026</v>
      </c>
      <c r="B3613" s="2">
        <v>4</v>
      </c>
      <c r="D3613" s="2" t="s">
        <v>707</v>
      </c>
      <c r="E3613" s="2" t="s">
        <v>184</v>
      </c>
      <c r="G3613" s="2">
        <v>500038996</v>
      </c>
      <c r="H3613" s="2" t="s">
        <v>110</v>
      </c>
      <c r="I3613" s="2" t="s">
        <v>708</v>
      </c>
      <c r="J3613" s="2" t="s">
        <v>709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1334</v>
      </c>
      <c r="R3613" s="2" t="s">
        <v>1335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53">(T3613-W3613)/T3613</f>
        <v>1</v>
      </c>
      <c r="Z3613" s="2" t="s">
        <v>118</v>
      </c>
      <c r="AF3613" s="2">
        <f t="shared" si="450"/>
        <v>0</v>
      </c>
      <c r="AJ3613" s="2">
        <f t="shared" si="451"/>
        <v>0</v>
      </c>
      <c r="AK3613" s="2">
        <f t="shared" si="448"/>
        <v>140.24</v>
      </c>
      <c r="AL3613" s="5">
        <f t="shared" si="447"/>
        <v>1</v>
      </c>
    </row>
    <row r="3614" spans="1:38" hidden="1" x14ac:dyDescent="0.2">
      <c r="A3614" s="2">
        <v>2026</v>
      </c>
      <c r="B3614" s="2">
        <v>4</v>
      </c>
      <c r="D3614" s="2" t="s">
        <v>1440</v>
      </c>
      <c r="P3614" s="2" t="s">
        <v>115</v>
      </c>
      <c r="Q3614" s="2" t="s">
        <v>1906</v>
      </c>
      <c r="R3614" s="2" t="s">
        <v>1907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53"/>
        <v>1</v>
      </c>
      <c r="Z3614" s="2" t="s">
        <v>118</v>
      </c>
      <c r="AF3614" s="2">
        <f t="shared" si="450"/>
        <v>0</v>
      </c>
      <c r="AJ3614" s="2">
        <f t="shared" si="451"/>
        <v>0</v>
      </c>
      <c r="AK3614" s="2">
        <f t="shared" si="448"/>
        <v>1031.94</v>
      </c>
      <c r="AL3614" s="5">
        <f t="shared" si="447"/>
        <v>1</v>
      </c>
    </row>
    <row r="3615" spans="1:38" hidden="1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2506</v>
      </c>
      <c r="R3615" s="2" t="s">
        <v>2507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53"/>
        <v>1</v>
      </c>
      <c r="Z3615" s="2" t="s">
        <v>118</v>
      </c>
      <c r="AF3615" s="2">
        <f t="shared" si="450"/>
        <v>0</v>
      </c>
      <c r="AJ3615" s="2">
        <f t="shared" si="451"/>
        <v>0</v>
      </c>
      <c r="AK3615" s="2">
        <f t="shared" si="448"/>
        <v>1594.72</v>
      </c>
      <c r="AL3615" s="5">
        <f t="shared" si="447"/>
        <v>1</v>
      </c>
    </row>
    <row r="3616" spans="1:38" hidden="1" x14ac:dyDescent="0.2">
      <c r="A3616" s="2">
        <v>2026</v>
      </c>
      <c r="B3616" s="2">
        <v>4</v>
      </c>
      <c r="C3616" s="2" t="s">
        <v>3323</v>
      </c>
      <c r="D3616" s="2" t="s">
        <v>1164</v>
      </c>
      <c r="E3616" s="2" t="s">
        <v>753</v>
      </c>
      <c r="G3616" s="2">
        <v>508199280</v>
      </c>
      <c r="H3616" s="2" t="s">
        <v>40</v>
      </c>
      <c r="I3616" s="2" t="s">
        <v>1165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53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50"/>
        <v>0</v>
      </c>
      <c r="AJ3616" s="2">
        <f t="shared" si="451"/>
        <v>0</v>
      </c>
      <c r="AK3616" s="2">
        <f t="shared" si="448"/>
        <v>5320.6</v>
      </c>
      <c r="AL3616" s="5">
        <f t="shared" si="447"/>
        <v>0.33274546591619764</v>
      </c>
    </row>
    <row r="3617" spans="1:38" hidden="1" x14ac:dyDescent="0.2">
      <c r="A3617" s="2">
        <v>2026</v>
      </c>
      <c r="B3617" s="2">
        <v>4</v>
      </c>
      <c r="D3617" s="2" t="s">
        <v>3263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2650</v>
      </c>
      <c r="L3617" s="2" t="s">
        <v>399</v>
      </c>
      <c r="M3617" s="2" t="s">
        <v>40</v>
      </c>
      <c r="O3617" s="2" t="s">
        <v>3264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53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50"/>
        <v>0</v>
      </c>
      <c r="AJ3617" s="2">
        <f t="shared" si="451"/>
        <v>0</v>
      </c>
      <c r="AK3617" s="2">
        <f t="shared" si="448"/>
        <v>4004.8500000000004</v>
      </c>
      <c r="AL3617" s="5">
        <f t="shared" si="447"/>
        <v>0.26716811207471652</v>
      </c>
    </row>
    <row r="3618" spans="1:38" hidden="1" x14ac:dyDescent="0.2">
      <c r="A3618" s="2">
        <v>2026</v>
      </c>
      <c r="B3618" s="2">
        <v>4</v>
      </c>
      <c r="C3618" s="2" t="s">
        <v>3323</v>
      </c>
      <c r="D3618" s="2" t="s">
        <v>1164</v>
      </c>
      <c r="E3618" s="2" t="s">
        <v>753</v>
      </c>
      <c r="G3618" s="2">
        <v>508199280</v>
      </c>
      <c r="H3618" s="2" t="s">
        <v>40</v>
      </c>
      <c r="I3618" s="2" t="s">
        <v>1165</v>
      </c>
      <c r="L3618" s="2" t="s">
        <v>294</v>
      </c>
      <c r="M3618" s="2" t="s">
        <v>40</v>
      </c>
      <c r="P3618" s="2" t="s">
        <v>115</v>
      </c>
      <c r="Q3618" s="2" t="s">
        <v>957</v>
      </c>
      <c r="R3618" s="2" t="s">
        <v>958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53"/>
        <v>0.27561814109742444</v>
      </c>
      <c r="Z3618" s="2" t="s">
        <v>105</v>
      </c>
      <c r="AA3618" s="2" t="s">
        <v>617</v>
      </c>
      <c r="AB3618" s="2" t="s">
        <v>959</v>
      </c>
      <c r="AC3618" s="2" t="s">
        <v>115</v>
      </c>
      <c r="AF3618" s="2">
        <f t="shared" si="450"/>
        <v>0</v>
      </c>
      <c r="AG3618" s="2">
        <f>6193.4+275.33</f>
        <v>6468.73</v>
      </c>
      <c r="AJ3618" s="2">
        <f t="shared" si="451"/>
        <v>0</v>
      </c>
      <c r="AK3618" s="2">
        <f t="shared" si="448"/>
        <v>2461.2700000000004</v>
      </c>
      <c r="AL3618" s="5">
        <f t="shared" si="447"/>
        <v>0.27561814109742444</v>
      </c>
    </row>
    <row r="3619" spans="1:38" hidden="1" x14ac:dyDescent="0.2">
      <c r="A3619" s="2">
        <v>2026</v>
      </c>
      <c r="B3619" s="2">
        <v>4</v>
      </c>
      <c r="C3619" s="2" t="s">
        <v>3456</v>
      </c>
      <c r="D3619" s="2" t="s">
        <v>3463</v>
      </c>
      <c r="E3619" s="2" t="s">
        <v>109</v>
      </c>
      <c r="F3619" s="2" t="s">
        <v>396</v>
      </c>
      <c r="L3619" s="2" t="s">
        <v>419</v>
      </c>
      <c r="M3619" s="2" t="s">
        <v>41</v>
      </c>
      <c r="O3619" s="2" t="s">
        <v>2822</v>
      </c>
      <c r="P3619" s="2" t="s">
        <v>115</v>
      </c>
      <c r="Q3619" s="2" t="s">
        <v>957</v>
      </c>
      <c r="R3619" s="2" t="s">
        <v>958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53"/>
        <v>0.27561814109742444</v>
      </c>
      <c r="Z3619" s="2" t="s">
        <v>105</v>
      </c>
      <c r="AA3619" s="2" t="s">
        <v>617</v>
      </c>
      <c r="AB3619" s="2" t="s">
        <v>959</v>
      </c>
      <c r="AC3619" s="2" t="s">
        <v>115</v>
      </c>
      <c r="AF3619" s="2">
        <f t="shared" si="450"/>
        <v>0</v>
      </c>
      <c r="AG3619" s="2">
        <v>6468.73</v>
      </c>
      <c r="AJ3619" s="2">
        <f t="shared" si="451"/>
        <v>0</v>
      </c>
      <c r="AK3619" s="2">
        <f t="shared" si="448"/>
        <v>2461.2700000000004</v>
      </c>
      <c r="AL3619" s="5">
        <f t="shared" si="447"/>
        <v>0.27561814109742444</v>
      </c>
    </row>
    <row r="3620" spans="1:38" hidden="1" x14ac:dyDescent="0.2">
      <c r="A3620" s="2">
        <v>2026</v>
      </c>
      <c r="B3620" s="2">
        <v>4</v>
      </c>
      <c r="C3620" s="2" t="s">
        <v>3323</v>
      </c>
      <c r="D3620" s="2" t="s">
        <v>1164</v>
      </c>
      <c r="E3620" s="2" t="s">
        <v>753</v>
      </c>
      <c r="G3620" s="2">
        <v>508199280</v>
      </c>
      <c r="H3620" s="2" t="s">
        <v>40</v>
      </c>
      <c r="I3620" s="2" t="s">
        <v>1165</v>
      </c>
      <c r="L3620" s="2" t="s">
        <v>294</v>
      </c>
      <c r="M3620" s="2" t="s">
        <v>40</v>
      </c>
      <c r="P3620" s="2" t="s">
        <v>115</v>
      </c>
      <c r="Q3620" s="2" t="s">
        <v>1582</v>
      </c>
      <c r="R3620" s="2" t="s">
        <v>1583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53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50"/>
        <v>0</v>
      </c>
      <c r="AG3620" s="2">
        <f>4893.23+171</f>
        <v>5064.2299999999996</v>
      </c>
      <c r="AJ3620" s="2">
        <f t="shared" si="451"/>
        <v>0</v>
      </c>
      <c r="AK3620" s="2">
        <f t="shared" si="448"/>
        <v>2275.7700000000004</v>
      </c>
      <c r="AL3620" s="5">
        <f t="shared" si="447"/>
        <v>0.31005040871934608</v>
      </c>
    </row>
    <row r="3621" spans="1:38" hidden="1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2823</v>
      </c>
      <c r="P3621" s="2" t="s">
        <v>115</v>
      </c>
      <c r="Q3621" s="2" t="s">
        <v>1582</v>
      </c>
      <c r="R3621" s="2" t="s">
        <v>1583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53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50"/>
        <v>0</v>
      </c>
      <c r="AG3621" s="2">
        <f>4893.23+171</f>
        <v>5064.2299999999996</v>
      </c>
      <c r="AJ3621" s="2">
        <f t="shared" si="451"/>
        <v>0</v>
      </c>
      <c r="AK3621" s="2">
        <f t="shared" si="448"/>
        <v>1925.7700000000004</v>
      </c>
      <c r="AL3621" s="5">
        <f t="shared" si="447"/>
        <v>0.27550357653791135</v>
      </c>
    </row>
    <row r="3622" spans="1:38" hidden="1" x14ac:dyDescent="0.2">
      <c r="A3622" s="2">
        <v>2026</v>
      </c>
      <c r="B3622" s="2">
        <v>4</v>
      </c>
      <c r="D3622" s="2" t="s">
        <v>2053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2783</v>
      </c>
      <c r="J3622" s="2" t="s">
        <v>2824</v>
      </c>
      <c r="K3622" s="2">
        <v>914732950</v>
      </c>
      <c r="L3622" s="2" t="s">
        <v>481</v>
      </c>
      <c r="M3622" s="2" t="s">
        <v>40</v>
      </c>
      <c r="O3622" s="2" t="s">
        <v>2825</v>
      </c>
      <c r="P3622" s="2" t="s">
        <v>1608</v>
      </c>
      <c r="Q3622" s="2" t="s">
        <v>1606</v>
      </c>
      <c r="R3622" s="2" t="s">
        <v>1607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53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1608</v>
      </c>
      <c r="AF3622" s="2">
        <f t="shared" si="450"/>
        <v>0</v>
      </c>
      <c r="AG3622" s="2">
        <v>10.15</v>
      </c>
      <c r="AJ3622" s="2">
        <f t="shared" si="451"/>
        <v>0</v>
      </c>
      <c r="AK3622" s="2">
        <f t="shared" si="448"/>
        <v>58.71</v>
      </c>
      <c r="AL3622" s="5">
        <f t="shared" si="447"/>
        <v>0.8525994772001162</v>
      </c>
    </row>
    <row r="3623" spans="1:38" hidden="1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1612</v>
      </c>
      <c r="Q3623" s="2" t="s">
        <v>2826</v>
      </c>
      <c r="R3623" s="2" t="s">
        <v>2827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53"/>
        <v>1</v>
      </c>
      <c r="Z3623" s="2" t="s">
        <v>105</v>
      </c>
      <c r="AA3623" s="2" t="s">
        <v>265</v>
      </c>
      <c r="AB3623" s="2" t="s">
        <v>1097</v>
      </c>
      <c r="AC3623" s="2" t="s">
        <v>1612</v>
      </c>
      <c r="AF3623" s="2">
        <f t="shared" si="450"/>
        <v>0</v>
      </c>
      <c r="AJ3623" s="2">
        <f t="shared" si="451"/>
        <v>0</v>
      </c>
      <c r="AK3623" s="2">
        <f t="shared" si="448"/>
        <v>9215</v>
      </c>
      <c r="AL3623" s="5">
        <f t="shared" si="447"/>
        <v>1</v>
      </c>
    </row>
    <row r="3624" spans="1:38" hidden="1" x14ac:dyDescent="0.2">
      <c r="A3624" s="2">
        <v>2026</v>
      </c>
      <c r="B3624" s="2">
        <v>4</v>
      </c>
      <c r="D3624" s="2" t="s">
        <v>1625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2828</v>
      </c>
      <c r="J3624" s="2" t="s">
        <v>2829</v>
      </c>
      <c r="L3624" s="2" t="s">
        <v>113</v>
      </c>
      <c r="M3624" s="2" t="s">
        <v>110</v>
      </c>
      <c r="O3624" s="2" t="s">
        <v>2830</v>
      </c>
      <c r="P3624" s="2" t="s">
        <v>283</v>
      </c>
      <c r="Q3624" s="2" t="s">
        <v>1207</v>
      </c>
      <c r="R3624" s="2" t="s">
        <v>1208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53"/>
        <v>0.50380622837370237</v>
      </c>
      <c r="Z3624" s="2" t="s">
        <v>3231</v>
      </c>
      <c r="AA3624" s="2" t="s">
        <v>72</v>
      </c>
      <c r="AB3624" s="2" t="s">
        <v>120</v>
      </c>
      <c r="AC3624" s="2" t="s">
        <v>120</v>
      </c>
      <c r="AF3624" s="2">
        <f t="shared" si="450"/>
        <v>0</v>
      </c>
      <c r="AG3624" s="2">
        <v>14.34</v>
      </c>
      <c r="AJ3624" s="2">
        <f t="shared" si="451"/>
        <v>0</v>
      </c>
      <c r="AK3624" s="2">
        <f t="shared" si="448"/>
        <v>29.119999999999997</v>
      </c>
      <c r="AL3624" s="5">
        <f t="shared" si="447"/>
        <v>0.50380622837370237</v>
      </c>
    </row>
    <row r="3625" spans="1:38" hidden="1" x14ac:dyDescent="0.2">
      <c r="A3625" s="2">
        <v>2026</v>
      </c>
      <c r="B3625" s="2">
        <v>4</v>
      </c>
      <c r="D3625" s="2" t="s">
        <v>782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783</v>
      </c>
      <c r="J3625" s="2" t="s">
        <v>784</v>
      </c>
      <c r="K3625" s="2">
        <v>917341136</v>
      </c>
      <c r="L3625" s="2" t="s">
        <v>100</v>
      </c>
      <c r="P3625" s="2" t="s">
        <v>283</v>
      </c>
      <c r="Q3625" s="2" t="s">
        <v>2831</v>
      </c>
      <c r="R3625" s="2" t="s">
        <v>2832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453"/>
        <v>0.10089285714285706</v>
      </c>
      <c r="Z3625" s="2" t="s">
        <v>3231</v>
      </c>
      <c r="AA3625" s="2" t="s">
        <v>156</v>
      </c>
      <c r="AB3625" s="2" t="s">
        <v>3408</v>
      </c>
      <c r="AC3625" s="2" t="s">
        <v>1329</v>
      </c>
      <c r="AF3625" s="2">
        <f t="shared" si="450"/>
        <v>0</v>
      </c>
      <c r="AJ3625" s="2">
        <f t="shared" si="451"/>
        <v>0</v>
      </c>
      <c r="AK3625" s="2">
        <f t="shared" si="448"/>
        <v>1.129999999999999</v>
      </c>
      <c r="AL3625" s="5">
        <f t="shared" si="447"/>
        <v>0.10089285714285706</v>
      </c>
    </row>
    <row r="3626" spans="1:38" hidden="1" x14ac:dyDescent="0.2">
      <c r="A3626" s="2">
        <v>2026</v>
      </c>
      <c r="B3626" s="2">
        <v>4</v>
      </c>
      <c r="D3626" s="2" t="s">
        <v>782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783</v>
      </c>
      <c r="J3626" s="2" t="s">
        <v>784</v>
      </c>
      <c r="K3626" s="2">
        <v>917341136</v>
      </c>
      <c r="L3626" s="2" t="s">
        <v>100</v>
      </c>
      <c r="P3626" s="2" t="s">
        <v>283</v>
      </c>
      <c r="Q3626" s="2" t="s">
        <v>2833</v>
      </c>
      <c r="R3626" s="2" t="s">
        <v>2834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453"/>
        <v>0.10078828828828816</v>
      </c>
      <c r="Z3626" s="2" t="s">
        <v>3231</v>
      </c>
      <c r="AA3626" s="2" t="s">
        <v>579</v>
      </c>
      <c r="AB3626" s="2" t="s">
        <v>120</v>
      </c>
      <c r="AC3626" s="2" t="s">
        <v>1329</v>
      </c>
      <c r="AF3626" s="2">
        <f t="shared" si="450"/>
        <v>0</v>
      </c>
      <c r="AJ3626" s="2">
        <f t="shared" si="451"/>
        <v>0</v>
      </c>
      <c r="AK3626" s="2">
        <f t="shared" si="448"/>
        <v>8.9499999999999886</v>
      </c>
      <c r="AL3626" s="5">
        <f t="shared" si="447"/>
        <v>0.10078828828828816</v>
      </c>
    </row>
    <row r="3627" spans="1:38" hidden="1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2835</v>
      </c>
      <c r="P3627" s="2" t="s">
        <v>283</v>
      </c>
      <c r="Q3627" s="2" t="s">
        <v>1783</v>
      </c>
      <c r="R3627" s="2" t="s">
        <v>1784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53"/>
        <v>0.26733668341708544</v>
      </c>
      <c r="Z3627" s="2" t="s">
        <v>105</v>
      </c>
      <c r="AA3627" s="2" t="s">
        <v>388</v>
      </c>
      <c r="AB3627" s="2" t="s">
        <v>1332</v>
      </c>
      <c r="AC3627" s="2" t="s">
        <v>1329</v>
      </c>
      <c r="AF3627" s="2">
        <f t="shared" si="450"/>
        <v>0</v>
      </c>
      <c r="AG3627" s="2">
        <v>1458</v>
      </c>
      <c r="AJ3627" s="2">
        <f t="shared" si="451"/>
        <v>0</v>
      </c>
      <c r="AK3627" s="2">
        <f t="shared" si="448"/>
        <v>532</v>
      </c>
      <c r="AL3627" s="5">
        <f t="shared" si="447"/>
        <v>0.26733668341708544</v>
      </c>
    </row>
    <row r="3628" spans="1:38" hidden="1" x14ac:dyDescent="0.2">
      <c r="A3628" s="2">
        <v>2026</v>
      </c>
      <c r="B3628" s="2">
        <v>4</v>
      </c>
      <c r="D3628" s="2" t="s">
        <v>2836</v>
      </c>
      <c r="P3628" s="2" t="s">
        <v>283</v>
      </c>
      <c r="Q3628" s="2" t="s">
        <v>1783</v>
      </c>
      <c r="R3628" s="2" t="s">
        <v>1784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53"/>
        <v>1</v>
      </c>
      <c r="Z3628" s="2" t="s">
        <v>105</v>
      </c>
      <c r="AF3628" s="2">
        <f t="shared" si="450"/>
        <v>0</v>
      </c>
      <c r="AJ3628" s="2">
        <f t="shared" si="451"/>
        <v>0</v>
      </c>
      <c r="AK3628" s="2">
        <f t="shared" si="448"/>
        <v>1990</v>
      </c>
      <c r="AL3628" s="5">
        <f t="shared" si="447"/>
        <v>1</v>
      </c>
    </row>
    <row r="3629" spans="1:38" hidden="1" x14ac:dyDescent="0.2">
      <c r="A3629" s="2">
        <v>2026</v>
      </c>
      <c r="B3629" s="2">
        <v>4</v>
      </c>
      <c r="D3629" s="2" t="s">
        <v>782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783</v>
      </c>
      <c r="J3629" s="2" t="s">
        <v>784</v>
      </c>
      <c r="K3629" s="2">
        <v>917341136</v>
      </c>
      <c r="L3629" s="2" t="s">
        <v>100</v>
      </c>
      <c r="P3629" s="2" t="s">
        <v>283</v>
      </c>
      <c r="Q3629" s="2" t="s">
        <v>1783</v>
      </c>
      <c r="R3629" s="2" t="s">
        <v>1784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53"/>
        <v>1</v>
      </c>
      <c r="Z3629" s="2" t="s">
        <v>105</v>
      </c>
      <c r="AF3629" s="2">
        <f t="shared" si="450"/>
        <v>0</v>
      </c>
      <c r="AJ3629" s="2">
        <f t="shared" si="451"/>
        <v>0</v>
      </c>
      <c r="AK3629" s="2">
        <f t="shared" si="448"/>
        <v>1791</v>
      </c>
      <c r="AL3629" s="5">
        <f t="shared" si="447"/>
        <v>1</v>
      </c>
    </row>
    <row r="3630" spans="1:38" hidden="1" x14ac:dyDescent="0.2">
      <c r="A3630" s="2">
        <v>2026</v>
      </c>
      <c r="B3630" s="2">
        <v>4</v>
      </c>
      <c r="D3630" s="2" t="s">
        <v>2756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2757</v>
      </c>
      <c r="J3630" s="2" t="s">
        <v>2758</v>
      </c>
      <c r="K3630" s="2">
        <v>962332957</v>
      </c>
      <c r="L3630" s="2" t="s">
        <v>113</v>
      </c>
      <c r="M3630" s="2" t="s">
        <v>110</v>
      </c>
      <c r="O3630" s="2" t="s">
        <v>2837</v>
      </c>
      <c r="P3630" s="2" t="s">
        <v>283</v>
      </c>
      <c r="Q3630" s="2" t="s">
        <v>1783</v>
      </c>
      <c r="R3630" s="2" t="s">
        <v>1784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53"/>
        <v>0.26733668341708544</v>
      </c>
      <c r="Z3630" s="2" t="s">
        <v>105</v>
      </c>
      <c r="AA3630" s="2" t="s">
        <v>388</v>
      </c>
      <c r="AB3630" s="2" t="s">
        <v>1332</v>
      </c>
      <c r="AC3630" s="2" t="s">
        <v>1329</v>
      </c>
      <c r="AF3630" s="2">
        <f t="shared" si="450"/>
        <v>0</v>
      </c>
      <c r="AG3630" s="2">
        <v>1458</v>
      </c>
      <c r="AJ3630" s="2">
        <f t="shared" si="451"/>
        <v>0</v>
      </c>
      <c r="AK3630" s="2">
        <f t="shared" si="448"/>
        <v>532</v>
      </c>
      <c r="AL3630" s="5">
        <f t="shared" si="447"/>
        <v>0.26733668341708544</v>
      </c>
    </row>
    <row r="3631" spans="1:38" hidden="1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2835</v>
      </c>
      <c r="P3631" s="2" t="s">
        <v>283</v>
      </c>
      <c r="Q3631" s="2" t="s">
        <v>1330</v>
      </c>
      <c r="R3631" s="2" t="s">
        <v>1331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53"/>
        <v>0.20703517587939699</v>
      </c>
      <c r="Z3631" s="2" t="s">
        <v>105</v>
      </c>
      <c r="AA3631" s="2" t="s">
        <v>388</v>
      </c>
      <c r="AB3631" s="2" t="s">
        <v>1332</v>
      </c>
      <c r="AC3631" s="2" t="s">
        <v>1329</v>
      </c>
      <c r="AF3631" s="2">
        <f t="shared" si="450"/>
        <v>0</v>
      </c>
      <c r="AG3631" s="2">
        <v>1578</v>
      </c>
      <c r="AJ3631" s="2">
        <f t="shared" si="451"/>
        <v>0</v>
      </c>
      <c r="AK3631" s="2">
        <f t="shared" si="448"/>
        <v>412</v>
      </c>
      <c r="AL3631" s="5">
        <f t="shared" ref="AL3631:AL3699" si="454">(T3631-W3631)/T3631</f>
        <v>0.20703517587939699</v>
      </c>
    </row>
    <row r="3632" spans="1:38" hidden="1" x14ac:dyDescent="0.2">
      <c r="A3632" s="2">
        <v>2026</v>
      </c>
      <c r="B3632" s="2">
        <v>4</v>
      </c>
      <c r="D3632" s="2" t="s">
        <v>782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783</v>
      </c>
      <c r="J3632" s="2" t="s">
        <v>784</v>
      </c>
      <c r="K3632" s="2">
        <v>917341136</v>
      </c>
      <c r="L3632" s="2" t="s">
        <v>100</v>
      </c>
      <c r="P3632" s="2" t="s">
        <v>283</v>
      </c>
      <c r="Q3632" s="2" t="s">
        <v>1330</v>
      </c>
      <c r="R3632" s="2" t="s">
        <v>1331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53"/>
        <v>0.18449612403100776</v>
      </c>
      <c r="Z3632" s="2" t="s">
        <v>105</v>
      </c>
      <c r="AA3632" s="2" t="s">
        <v>388</v>
      </c>
      <c r="AB3632" s="2" t="s">
        <v>1332</v>
      </c>
      <c r="AC3632" s="2" t="s">
        <v>1329</v>
      </c>
      <c r="AF3632" s="2">
        <f t="shared" si="450"/>
        <v>0</v>
      </c>
      <c r="AJ3632" s="2">
        <f t="shared" si="451"/>
        <v>0</v>
      </c>
      <c r="AK3632" s="2">
        <f t="shared" si="448"/>
        <v>357</v>
      </c>
      <c r="AL3632" s="5">
        <f t="shared" si="454"/>
        <v>0.18449612403100776</v>
      </c>
    </row>
    <row r="3633" spans="1:38" hidden="1" x14ac:dyDescent="0.2">
      <c r="A3633" s="2">
        <v>2026</v>
      </c>
      <c r="B3633" s="2">
        <v>4</v>
      </c>
      <c r="D3633" s="2" t="s">
        <v>1577</v>
      </c>
      <c r="E3633" s="2" t="s">
        <v>753</v>
      </c>
      <c r="F3633" s="2" t="s">
        <v>39</v>
      </c>
      <c r="L3633" s="2" t="s">
        <v>462</v>
      </c>
      <c r="M3633" s="2" t="s">
        <v>110</v>
      </c>
      <c r="P3633" s="2" t="s">
        <v>283</v>
      </c>
      <c r="Q3633" s="2" t="s">
        <v>1286</v>
      </c>
      <c r="R3633" s="2" t="s">
        <v>1287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53"/>
        <v>1</v>
      </c>
      <c r="Z3633" s="2" t="s">
        <v>105</v>
      </c>
      <c r="AA3633" s="2" t="s">
        <v>1578</v>
      </c>
      <c r="AB3633" s="2" t="s">
        <v>389</v>
      </c>
      <c r="AC3633" s="2" t="s">
        <v>1329</v>
      </c>
      <c r="AF3633" s="2">
        <f t="shared" si="450"/>
        <v>0</v>
      </c>
      <c r="AJ3633" s="2">
        <f t="shared" si="451"/>
        <v>0</v>
      </c>
      <c r="AK3633" s="2">
        <f t="shared" si="448"/>
        <v>250</v>
      </c>
      <c r="AL3633" s="5">
        <f t="shared" si="454"/>
        <v>1</v>
      </c>
    </row>
    <row r="3634" spans="1:38" hidden="1" x14ac:dyDescent="0.2">
      <c r="A3634" s="2">
        <v>2026</v>
      </c>
      <c r="B3634" s="2">
        <v>4</v>
      </c>
      <c r="D3634" s="2" t="s">
        <v>2838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2839</v>
      </c>
      <c r="J3634" s="2" t="s">
        <v>2840</v>
      </c>
      <c r="K3634" s="2">
        <v>918896903</v>
      </c>
      <c r="L3634" s="2" t="s">
        <v>100</v>
      </c>
      <c r="M3634" s="2" t="s">
        <v>41</v>
      </c>
      <c r="O3634" s="2" t="s">
        <v>2841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53"/>
        <v>0.22680412371134015</v>
      </c>
      <c r="Z3634" s="2" t="s">
        <v>3231</v>
      </c>
      <c r="AA3634" s="2" t="s">
        <v>72</v>
      </c>
      <c r="AB3634" s="2" t="s">
        <v>120</v>
      </c>
      <c r="AC3634" s="2" t="s">
        <v>120</v>
      </c>
      <c r="AF3634" s="2">
        <f t="shared" si="450"/>
        <v>0</v>
      </c>
      <c r="AG3634" s="2">
        <v>299.25</v>
      </c>
      <c r="AJ3634" s="2">
        <f t="shared" si="451"/>
        <v>0</v>
      </c>
      <c r="AK3634" s="2">
        <f t="shared" si="448"/>
        <v>87.779999999999973</v>
      </c>
      <c r="AL3634" s="5">
        <f t="shared" si="454"/>
        <v>0.22680412371134015</v>
      </c>
    </row>
    <row r="3635" spans="1:38" hidden="1" x14ac:dyDescent="0.2">
      <c r="A3635" s="2">
        <v>2026</v>
      </c>
      <c r="B3635" s="2">
        <v>4</v>
      </c>
      <c r="D3635" s="2" t="s">
        <v>2838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2839</v>
      </c>
      <c r="J3635" s="2" t="s">
        <v>2840</v>
      </c>
      <c r="K3635" s="2">
        <v>918896903</v>
      </c>
      <c r="L3635" s="2" t="s">
        <v>100</v>
      </c>
      <c r="M3635" s="2" t="s">
        <v>41</v>
      </c>
      <c r="O3635" s="2" t="s">
        <v>2841</v>
      </c>
      <c r="P3635" s="2" t="s">
        <v>283</v>
      </c>
      <c r="Q3635" s="2" t="s">
        <v>999</v>
      </c>
      <c r="R3635" s="2" t="s">
        <v>1000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53"/>
        <v>0.38144329896907209</v>
      </c>
      <c r="Z3635" s="2" t="s">
        <v>3231</v>
      </c>
      <c r="AA3635" s="2" t="s">
        <v>72</v>
      </c>
      <c r="AB3635" s="2" t="s">
        <v>120</v>
      </c>
      <c r="AC3635" s="2" t="s">
        <v>120</v>
      </c>
      <c r="AF3635" s="2">
        <f t="shared" si="450"/>
        <v>0</v>
      </c>
      <c r="AG3635" s="2">
        <v>77.400000000000006</v>
      </c>
      <c r="AJ3635" s="2">
        <f t="shared" si="451"/>
        <v>0</v>
      </c>
      <c r="AK3635" s="2">
        <f t="shared" si="448"/>
        <v>47.72999999999999</v>
      </c>
      <c r="AL3635" s="5">
        <f t="shared" si="454"/>
        <v>0.38144329896907209</v>
      </c>
    </row>
    <row r="3636" spans="1:38" hidden="1" x14ac:dyDescent="0.2">
      <c r="A3636" s="2">
        <v>2026</v>
      </c>
      <c r="B3636" s="2">
        <v>4</v>
      </c>
      <c r="D3636" s="2" t="s">
        <v>2525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3231</v>
      </c>
      <c r="AA3636" s="2" t="s">
        <v>46</v>
      </c>
      <c r="AB3636" s="2" t="s">
        <v>61</v>
      </c>
      <c r="AC3636" s="2" t="s">
        <v>3336</v>
      </c>
      <c r="AF3636" s="2">
        <f t="shared" si="450"/>
        <v>0</v>
      </c>
      <c r="AJ3636" s="2">
        <f t="shared" si="451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hidden="1" x14ac:dyDescent="0.2">
      <c r="A3637" s="2">
        <v>2026</v>
      </c>
      <c r="B3637" s="2">
        <v>4</v>
      </c>
      <c r="D3637" s="2" t="s">
        <v>1557</v>
      </c>
      <c r="E3637" s="2" t="s">
        <v>109</v>
      </c>
      <c r="F3637" s="2" t="s">
        <v>718</v>
      </c>
      <c r="G3637" s="2">
        <v>500975914</v>
      </c>
      <c r="H3637" s="2" t="s">
        <v>41</v>
      </c>
      <c r="I3637" s="2" t="s">
        <v>1558</v>
      </c>
      <c r="J3637" s="2" t="s">
        <v>1559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3231</v>
      </c>
      <c r="AA3637" s="2" t="s">
        <v>46</v>
      </c>
      <c r="AB3637" s="2" t="s">
        <v>61</v>
      </c>
      <c r="AC3637" s="2" t="s">
        <v>3336</v>
      </c>
      <c r="AF3637" s="2">
        <f t="shared" si="450"/>
        <v>0</v>
      </c>
      <c r="AJ3637" s="2">
        <f t="shared" si="451"/>
        <v>0</v>
      </c>
      <c r="AK3637" s="2">
        <f t="shared" si="448"/>
        <v>109.80200000000002</v>
      </c>
      <c r="AL3637" s="5">
        <f t="shared" si="454"/>
        <v>0.27450500000000005</v>
      </c>
    </row>
    <row r="3638" spans="1:38" hidden="1" x14ac:dyDescent="0.2">
      <c r="A3638" s="2">
        <v>2026</v>
      </c>
      <c r="B3638" s="2">
        <v>4</v>
      </c>
      <c r="D3638" s="2" t="s">
        <v>2525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3231</v>
      </c>
      <c r="AA3638" s="2" t="s">
        <v>46</v>
      </c>
      <c r="AB3638" s="2" t="s">
        <v>61</v>
      </c>
      <c r="AC3638" s="2" t="s">
        <v>3336</v>
      </c>
      <c r="AF3638" s="2">
        <f t="shared" si="450"/>
        <v>0</v>
      </c>
      <c r="AJ3638" s="2">
        <f t="shared" si="451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hidden="1" x14ac:dyDescent="0.2">
      <c r="A3639" s="2">
        <v>2026</v>
      </c>
      <c r="B3639" s="2">
        <v>4</v>
      </c>
      <c r="D3639" s="2" t="s">
        <v>2842</v>
      </c>
      <c r="E3639" s="2" t="s">
        <v>38</v>
      </c>
      <c r="G3639" s="2">
        <v>184822033</v>
      </c>
      <c r="I3639" s="2" t="s">
        <v>2843</v>
      </c>
      <c r="L3639" s="2" t="s">
        <v>462</v>
      </c>
      <c r="M3639" s="2" t="s">
        <v>110</v>
      </c>
      <c r="O3639" s="2" t="s">
        <v>2844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55">(T3639-W3639)/T3639</f>
        <v>0.42321428571428571</v>
      </c>
      <c r="Z3639" s="2" t="s">
        <v>3231</v>
      </c>
      <c r="AA3639" s="2" t="s">
        <v>46</v>
      </c>
      <c r="AB3639" s="2" t="s">
        <v>47</v>
      </c>
      <c r="AC3639" s="2" t="s">
        <v>48</v>
      </c>
      <c r="AF3639" s="2">
        <f t="shared" si="450"/>
        <v>0</v>
      </c>
      <c r="AG3639" s="2">
        <v>14.535</v>
      </c>
      <c r="AH3639" s="2">
        <v>25.2</v>
      </c>
      <c r="AJ3639" s="2">
        <f t="shared" si="451"/>
        <v>0</v>
      </c>
      <c r="AK3639" s="2">
        <f t="shared" ref="AK3639:AK3701" si="456">T3639-W3639</f>
        <v>10.664999999999999</v>
      </c>
      <c r="AL3639" s="5">
        <f t="shared" si="454"/>
        <v>0.42321428571428571</v>
      </c>
    </row>
    <row r="3640" spans="1:38" hidden="1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2845</v>
      </c>
      <c r="P3640" s="2" t="s">
        <v>43</v>
      </c>
      <c r="Q3640" s="2" t="s">
        <v>1106</v>
      </c>
      <c r="R3640" s="2" t="s">
        <v>1107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55"/>
        <v>0.52380952380952384</v>
      </c>
      <c r="Z3640" s="2" t="s">
        <v>3231</v>
      </c>
      <c r="AA3640" s="2" t="s">
        <v>46</v>
      </c>
      <c r="AB3640" s="2" t="s">
        <v>47</v>
      </c>
      <c r="AC3640" s="2" t="s">
        <v>48</v>
      </c>
      <c r="AF3640" s="2">
        <f t="shared" si="450"/>
        <v>0</v>
      </c>
      <c r="AG3640" s="2">
        <v>10</v>
      </c>
      <c r="AH3640" s="2">
        <v>21</v>
      </c>
      <c r="AJ3640" s="2">
        <f t="shared" si="451"/>
        <v>0</v>
      </c>
      <c r="AK3640" s="2">
        <f t="shared" si="456"/>
        <v>11</v>
      </c>
      <c r="AL3640" s="5">
        <f t="shared" si="454"/>
        <v>0.52380952380952384</v>
      </c>
    </row>
    <row r="3641" spans="1:38" hidden="1" x14ac:dyDescent="0.2">
      <c r="A3641" s="2">
        <v>2026</v>
      </c>
      <c r="B3641" s="2">
        <v>4</v>
      </c>
      <c r="D3641" s="2" t="s">
        <v>2842</v>
      </c>
      <c r="E3641" s="2" t="s">
        <v>38</v>
      </c>
      <c r="G3641" s="2">
        <v>184822033</v>
      </c>
      <c r="I3641" s="2" t="s">
        <v>2846</v>
      </c>
      <c r="L3641" s="2" t="s">
        <v>462</v>
      </c>
      <c r="M3641" s="2" t="s">
        <v>110</v>
      </c>
      <c r="O3641" s="2" t="s">
        <v>2847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455"/>
        <v>0.4919047619047619</v>
      </c>
      <c r="Z3641" s="2" t="s">
        <v>3231</v>
      </c>
      <c r="AA3641" s="2" t="s">
        <v>46</v>
      </c>
      <c r="AB3641" s="2" t="s">
        <v>47</v>
      </c>
      <c r="AC3641" s="2" t="s">
        <v>48</v>
      </c>
      <c r="AF3641" s="2">
        <f t="shared" si="450"/>
        <v>0</v>
      </c>
      <c r="AG3641" s="2">
        <v>10.67</v>
      </c>
      <c r="AH3641" s="2">
        <v>21</v>
      </c>
      <c r="AJ3641" s="2">
        <f t="shared" si="451"/>
        <v>0</v>
      </c>
      <c r="AK3641" s="2">
        <f t="shared" si="456"/>
        <v>10.33</v>
      </c>
      <c r="AL3641" s="5">
        <f t="shared" si="454"/>
        <v>0.4919047619047619</v>
      </c>
    </row>
    <row r="3642" spans="1:38" hidden="1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2848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55"/>
        <v>0.46762608695652175</v>
      </c>
      <c r="Z3642" s="2" t="s">
        <v>3231</v>
      </c>
      <c r="AA3642" s="2" t="s">
        <v>76</v>
      </c>
      <c r="AB3642" s="2" t="s">
        <v>77</v>
      </c>
      <c r="AC3642" s="2" t="s">
        <v>78</v>
      </c>
      <c r="AF3642" s="2">
        <f t="shared" si="450"/>
        <v>0</v>
      </c>
      <c r="AG3642" s="2">
        <v>122.446</v>
      </c>
      <c r="AH3642" s="2">
        <v>230</v>
      </c>
      <c r="AJ3642" s="2">
        <f t="shared" si="451"/>
        <v>0</v>
      </c>
      <c r="AK3642" s="2">
        <f t="shared" si="456"/>
        <v>107.554</v>
      </c>
      <c r="AL3642" s="5">
        <f t="shared" si="454"/>
        <v>0.46762608695652175</v>
      </c>
    </row>
    <row r="3643" spans="1:38" hidden="1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2848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55"/>
        <v>0</v>
      </c>
      <c r="Z3643" s="2" t="s">
        <v>3231</v>
      </c>
      <c r="AA3643" s="2" t="s">
        <v>97</v>
      </c>
      <c r="AB3643" s="2" t="s">
        <v>77</v>
      </c>
      <c r="AC3643" s="2" t="s">
        <v>94</v>
      </c>
      <c r="AF3643" s="2">
        <f t="shared" si="450"/>
        <v>0</v>
      </c>
      <c r="AG3643" s="2">
        <v>1.48</v>
      </c>
      <c r="AH3643" s="2">
        <v>1.48</v>
      </c>
      <c r="AJ3643" s="2">
        <f t="shared" si="451"/>
        <v>0</v>
      </c>
      <c r="AK3643" s="2">
        <f t="shared" si="456"/>
        <v>0</v>
      </c>
      <c r="AL3643" s="5">
        <f t="shared" si="454"/>
        <v>0</v>
      </c>
    </row>
    <row r="3644" spans="1:38" hidden="1" x14ac:dyDescent="0.2">
      <c r="A3644" s="2">
        <v>2026</v>
      </c>
      <c r="B3644" s="2">
        <v>4</v>
      </c>
      <c r="D3644" s="2" t="s">
        <v>982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57">6.6267*S3644</f>
        <v>6.6266999999999996</v>
      </c>
      <c r="X3644" s="5">
        <f t="shared" si="455"/>
        <v>0.49025384615384621</v>
      </c>
      <c r="Z3644" s="2" t="s">
        <v>3231</v>
      </c>
      <c r="AA3644" s="2" t="s">
        <v>46</v>
      </c>
      <c r="AB3644" s="2" t="s">
        <v>47</v>
      </c>
      <c r="AC3644" s="2" t="s">
        <v>48</v>
      </c>
      <c r="AF3644" s="2">
        <f t="shared" si="450"/>
        <v>0</v>
      </c>
      <c r="AG3644" s="2">
        <v>6.6266999999999996</v>
      </c>
      <c r="AH3644" s="2">
        <v>12</v>
      </c>
      <c r="AJ3644" s="2">
        <f t="shared" si="451"/>
        <v>0</v>
      </c>
      <c r="AK3644" s="2">
        <f t="shared" si="456"/>
        <v>6.3733000000000004</v>
      </c>
      <c r="AL3644" s="5">
        <f t="shared" si="454"/>
        <v>0.49025384615384621</v>
      </c>
    </row>
    <row r="3645" spans="1:38" hidden="1" x14ac:dyDescent="0.2">
      <c r="A3645" s="2">
        <v>2026</v>
      </c>
      <c r="B3645" s="2">
        <v>4</v>
      </c>
      <c r="D3645" s="2" t="s">
        <v>785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57"/>
        <v>19.880099999999999</v>
      </c>
      <c r="X3645" s="5">
        <f t="shared" si="455"/>
        <v>0.49025384615384621</v>
      </c>
      <c r="Z3645" s="2" t="s">
        <v>3231</v>
      </c>
      <c r="AA3645" s="2" t="s">
        <v>46</v>
      </c>
      <c r="AB3645" s="2" t="s">
        <v>47</v>
      </c>
      <c r="AC3645" s="2" t="s">
        <v>48</v>
      </c>
      <c r="AF3645" s="2">
        <f t="shared" si="450"/>
        <v>0</v>
      </c>
      <c r="AG3645" s="2">
        <v>6.6266999999999996</v>
      </c>
      <c r="AH3645" s="2">
        <v>12</v>
      </c>
      <c r="AJ3645" s="2">
        <f t="shared" si="451"/>
        <v>0</v>
      </c>
      <c r="AK3645" s="2">
        <f t="shared" si="456"/>
        <v>19.119900000000001</v>
      </c>
      <c r="AL3645" s="5">
        <f t="shared" si="454"/>
        <v>0.49025384615384621</v>
      </c>
    </row>
    <row r="3646" spans="1:38" hidden="1" x14ac:dyDescent="0.2">
      <c r="A3646" s="2">
        <v>2026</v>
      </c>
      <c r="B3646" s="2">
        <v>4</v>
      </c>
      <c r="D3646" s="2" t="s">
        <v>1017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2542</v>
      </c>
      <c r="L3646" s="2" t="s">
        <v>100</v>
      </c>
      <c r="M3646" s="2" t="s">
        <v>81</v>
      </c>
      <c r="O3646" s="2" t="s">
        <v>2849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57"/>
        <v>6.6266999999999996</v>
      </c>
      <c r="X3646" s="5">
        <f t="shared" si="455"/>
        <v>0.65485937500000002</v>
      </c>
      <c r="Z3646" s="2" t="s">
        <v>3231</v>
      </c>
      <c r="AA3646" s="2" t="s">
        <v>46</v>
      </c>
      <c r="AB3646" s="2" t="s">
        <v>47</v>
      </c>
      <c r="AC3646" s="2" t="s">
        <v>48</v>
      </c>
      <c r="AF3646" s="2">
        <f t="shared" si="450"/>
        <v>0</v>
      </c>
      <c r="AG3646" s="2">
        <v>6.6266999999999996</v>
      </c>
      <c r="AH3646" s="2">
        <v>12</v>
      </c>
      <c r="AJ3646" s="2">
        <f t="shared" si="451"/>
        <v>0</v>
      </c>
      <c r="AK3646" s="2">
        <f t="shared" si="456"/>
        <v>12.5733</v>
      </c>
      <c r="AL3646" s="5">
        <f t="shared" si="454"/>
        <v>0.65485937500000002</v>
      </c>
    </row>
    <row r="3647" spans="1:38" hidden="1" x14ac:dyDescent="0.2">
      <c r="A3647" s="2">
        <v>2026</v>
      </c>
      <c r="B3647" s="2">
        <v>4</v>
      </c>
      <c r="D3647" s="2" t="s">
        <v>2850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57"/>
        <v>6.6266999999999996</v>
      </c>
      <c r="X3647" s="5">
        <f t="shared" si="455"/>
        <v>0.44777500000000003</v>
      </c>
      <c r="Z3647" s="2" t="s">
        <v>3231</v>
      </c>
      <c r="AA3647" s="2" t="s">
        <v>46</v>
      </c>
      <c r="AB3647" s="2" t="s">
        <v>47</v>
      </c>
      <c r="AC3647" s="2" t="s">
        <v>48</v>
      </c>
      <c r="AF3647" s="2">
        <f t="shared" si="450"/>
        <v>0</v>
      </c>
      <c r="AG3647" s="2">
        <v>6.6266999999999996</v>
      </c>
      <c r="AH3647" s="2">
        <v>12</v>
      </c>
      <c r="AJ3647" s="2">
        <f t="shared" si="451"/>
        <v>0</v>
      </c>
      <c r="AK3647" s="2">
        <f t="shared" si="456"/>
        <v>5.3733000000000004</v>
      </c>
      <c r="AL3647" s="5">
        <f t="shared" si="454"/>
        <v>0.44777500000000003</v>
      </c>
    </row>
    <row r="3648" spans="1:38" hidden="1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57"/>
        <v>13.253399999999999</v>
      </c>
      <c r="X3648" s="5">
        <f t="shared" si="455"/>
        <v>0.44777500000000003</v>
      </c>
      <c r="Z3648" s="2" t="s">
        <v>3231</v>
      </c>
      <c r="AA3648" s="2" t="s">
        <v>46</v>
      </c>
      <c r="AB3648" s="2" t="s">
        <v>47</v>
      </c>
      <c r="AC3648" s="2" t="s">
        <v>48</v>
      </c>
      <c r="AF3648" s="2">
        <f t="shared" si="450"/>
        <v>0</v>
      </c>
      <c r="AG3648" s="2">
        <v>6.6266999999999996</v>
      </c>
      <c r="AH3648" s="2">
        <v>12</v>
      </c>
      <c r="AJ3648" s="2">
        <f t="shared" si="451"/>
        <v>0</v>
      </c>
      <c r="AK3648" s="2">
        <f t="shared" si="456"/>
        <v>10.746600000000001</v>
      </c>
      <c r="AL3648" s="5">
        <f t="shared" si="454"/>
        <v>0.44777500000000003</v>
      </c>
    </row>
    <row r="3649" spans="1:38" hidden="1" x14ac:dyDescent="0.2">
      <c r="A3649" s="2">
        <v>2026</v>
      </c>
      <c r="B3649" s="2">
        <v>4</v>
      </c>
      <c r="D3649" s="2" t="s">
        <v>644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645</v>
      </c>
      <c r="J3649" s="2" t="s">
        <v>646</v>
      </c>
      <c r="K3649" s="2">
        <v>964495536</v>
      </c>
      <c r="L3649" s="2" t="s">
        <v>113</v>
      </c>
      <c r="M3649" s="2" t="s">
        <v>110</v>
      </c>
      <c r="O3649" s="2" t="s">
        <v>2851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57"/>
        <v>13.253399999999999</v>
      </c>
      <c r="X3649" s="5">
        <f t="shared" si="455"/>
        <v>0.44777500000000003</v>
      </c>
      <c r="Z3649" s="2" t="s">
        <v>3231</v>
      </c>
      <c r="AA3649" s="2" t="s">
        <v>46</v>
      </c>
      <c r="AB3649" s="2" t="s">
        <v>47</v>
      </c>
      <c r="AC3649" s="2" t="s">
        <v>48</v>
      </c>
      <c r="AF3649" s="2">
        <f t="shared" si="450"/>
        <v>0</v>
      </c>
      <c r="AG3649" s="2">
        <v>6.6266999999999996</v>
      </c>
      <c r="AH3649" s="2">
        <v>12</v>
      </c>
      <c r="AJ3649" s="2">
        <f t="shared" si="451"/>
        <v>0</v>
      </c>
      <c r="AK3649" s="2">
        <f t="shared" si="456"/>
        <v>10.746600000000001</v>
      </c>
      <c r="AL3649" s="5">
        <f t="shared" si="454"/>
        <v>0.44777500000000003</v>
      </c>
    </row>
    <row r="3650" spans="1:38" hidden="1" x14ac:dyDescent="0.2">
      <c r="A3650" s="2">
        <v>2026</v>
      </c>
      <c r="B3650" s="2">
        <v>4</v>
      </c>
      <c r="D3650" s="2" t="s">
        <v>618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619</v>
      </c>
      <c r="J3650" s="2" t="s">
        <v>620</v>
      </c>
      <c r="L3650" s="2" t="s">
        <v>419</v>
      </c>
      <c r="M3650" s="2" t="s">
        <v>41</v>
      </c>
      <c r="P3650" s="2" t="s">
        <v>43</v>
      </c>
      <c r="Q3650" s="2" t="s">
        <v>1365</v>
      </c>
      <c r="R3650" s="2" t="s">
        <v>1366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455"/>
        <v>0.71491228070175439</v>
      </c>
      <c r="Z3650" s="2" t="s">
        <v>3231</v>
      </c>
      <c r="AA3650" s="2" t="s">
        <v>46</v>
      </c>
      <c r="AB3650" s="2" t="s">
        <v>47</v>
      </c>
      <c r="AC3650" s="2" t="s">
        <v>48</v>
      </c>
      <c r="AF3650" s="2">
        <f t="shared" si="450"/>
        <v>0</v>
      </c>
      <c r="AJ3650" s="2">
        <f t="shared" si="451"/>
        <v>0</v>
      </c>
      <c r="AK3650" s="2">
        <f t="shared" si="456"/>
        <v>48.900000000000006</v>
      </c>
      <c r="AL3650" s="5">
        <f t="shared" si="454"/>
        <v>0.71491228070175439</v>
      </c>
    </row>
    <row r="3651" spans="1:38" hidden="1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 t="shared" ref="W3651:W3652" si="458">11.295*S3651</f>
        <v>11.295</v>
      </c>
      <c r="X3651" s="5">
        <f t="shared" si="455"/>
        <v>0.68624999999999992</v>
      </c>
      <c r="Z3651" s="2" t="s">
        <v>3231</v>
      </c>
      <c r="AA3651" s="2" t="s">
        <v>46</v>
      </c>
      <c r="AB3651" s="2" t="s">
        <v>47</v>
      </c>
      <c r="AC3651" s="2" t="s">
        <v>48</v>
      </c>
      <c r="AF3651" s="2">
        <f t="shared" ref="AF3651:AF3714" si="459">AJ3651</f>
        <v>0</v>
      </c>
      <c r="AJ3651" s="2">
        <f t="shared" ref="AJ3651:AJ3714" si="460">AI3651*T3651</f>
        <v>0</v>
      </c>
      <c r="AK3651" s="2">
        <f t="shared" si="456"/>
        <v>24.704999999999998</v>
      </c>
      <c r="AL3651" s="5">
        <f t="shared" si="454"/>
        <v>0.68624999999999992</v>
      </c>
    </row>
    <row r="3652" spans="1:38" hidden="1" x14ac:dyDescent="0.2">
      <c r="A3652" s="2">
        <v>2026</v>
      </c>
      <c r="B3652" s="2">
        <v>4</v>
      </c>
      <c r="D3652" s="2" t="s">
        <v>618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619</v>
      </c>
      <c r="J3652" s="2" t="s">
        <v>620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 t="shared" si="458"/>
        <v>22.59</v>
      </c>
      <c r="X3652" s="5">
        <f t="shared" si="455"/>
        <v>0.68624999999999992</v>
      </c>
      <c r="Z3652" s="2" t="s">
        <v>3231</v>
      </c>
      <c r="AA3652" s="2" t="s">
        <v>46</v>
      </c>
      <c r="AB3652" s="2" t="s">
        <v>47</v>
      </c>
      <c r="AC3652" s="2" t="s">
        <v>48</v>
      </c>
      <c r="AF3652" s="2">
        <f t="shared" si="459"/>
        <v>0</v>
      </c>
      <c r="AJ3652" s="2">
        <f t="shared" si="460"/>
        <v>0</v>
      </c>
      <c r="AK3652" s="2">
        <f t="shared" si="456"/>
        <v>49.41</v>
      </c>
      <c r="AL3652" s="5">
        <f t="shared" si="454"/>
        <v>0.68624999999999992</v>
      </c>
    </row>
    <row r="3653" spans="1:38" hidden="1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2852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55"/>
        <v>0.46762608695652175</v>
      </c>
      <c r="Z3653" s="2" t="s">
        <v>3231</v>
      </c>
      <c r="AA3653" s="2" t="s">
        <v>76</v>
      </c>
      <c r="AB3653" s="2" t="s">
        <v>77</v>
      </c>
      <c r="AC3653" s="2" t="s">
        <v>78</v>
      </c>
      <c r="AF3653" s="2">
        <f t="shared" si="459"/>
        <v>0</v>
      </c>
      <c r="AG3653" s="2">
        <v>122.446</v>
      </c>
      <c r="AH3653" s="2">
        <v>230</v>
      </c>
      <c r="AJ3653" s="2">
        <f t="shared" si="460"/>
        <v>0</v>
      </c>
      <c r="AK3653" s="2">
        <f t="shared" si="456"/>
        <v>107.554</v>
      </c>
      <c r="AL3653" s="5">
        <f t="shared" si="454"/>
        <v>0.46762608695652175</v>
      </c>
    </row>
    <row r="3654" spans="1:38" hidden="1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2853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55"/>
        <v>0.31428571428571428</v>
      </c>
      <c r="Z3654" s="2" t="s">
        <v>3231</v>
      </c>
      <c r="AA3654" s="2" t="s">
        <v>46</v>
      </c>
      <c r="AB3654" s="2" t="s">
        <v>47</v>
      </c>
      <c r="AC3654" s="2" t="s">
        <v>48</v>
      </c>
      <c r="AF3654" s="2">
        <f t="shared" si="459"/>
        <v>0</v>
      </c>
      <c r="AG3654" s="2">
        <v>14.4</v>
      </c>
      <c r="AH3654" s="2">
        <v>21</v>
      </c>
      <c r="AJ3654" s="2">
        <f t="shared" si="460"/>
        <v>0</v>
      </c>
      <c r="AK3654" s="2">
        <f t="shared" si="456"/>
        <v>6.6</v>
      </c>
      <c r="AL3654" s="5">
        <f t="shared" si="454"/>
        <v>0.31428571428571428</v>
      </c>
    </row>
    <row r="3655" spans="1:38" hidden="1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2852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55"/>
        <v>0</v>
      </c>
      <c r="Z3655" s="2" t="s">
        <v>3231</v>
      </c>
      <c r="AA3655" s="2" t="s">
        <v>97</v>
      </c>
      <c r="AB3655" s="2" t="s">
        <v>77</v>
      </c>
      <c r="AC3655" s="2" t="s">
        <v>94</v>
      </c>
      <c r="AF3655" s="2">
        <f t="shared" si="459"/>
        <v>0</v>
      </c>
      <c r="AG3655" s="2">
        <v>1.48</v>
      </c>
      <c r="AH3655" s="2">
        <v>1.48</v>
      </c>
      <c r="AJ3655" s="2">
        <f t="shared" si="460"/>
        <v>0</v>
      </c>
      <c r="AK3655" s="2">
        <f t="shared" si="456"/>
        <v>0</v>
      </c>
      <c r="AL3655" s="5">
        <f t="shared" si="454"/>
        <v>0</v>
      </c>
    </row>
    <row r="3656" spans="1:38" hidden="1" x14ac:dyDescent="0.2">
      <c r="A3656" s="2">
        <v>2026</v>
      </c>
      <c r="B3656" s="2">
        <v>4</v>
      </c>
      <c r="D3656" s="2" t="s">
        <v>982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55"/>
        <v>0.58491111111111116</v>
      </c>
      <c r="Z3656" s="2" t="s">
        <v>3231</v>
      </c>
      <c r="AA3656" s="2" t="s">
        <v>46</v>
      </c>
      <c r="AB3656" s="2" t="s">
        <v>47</v>
      </c>
      <c r="AC3656" s="2" t="s">
        <v>48</v>
      </c>
      <c r="AF3656" s="2">
        <f t="shared" si="459"/>
        <v>0</v>
      </c>
      <c r="AG3656" s="2">
        <v>3.7357999999999998</v>
      </c>
      <c r="AH3656" s="2">
        <v>9</v>
      </c>
      <c r="AJ3656" s="2">
        <f t="shared" si="460"/>
        <v>0</v>
      </c>
      <c r="AK3656" s="2">
        <f t="shared" si="456"/>
        <v>5.2642000000000007</v>
      </c>
      <c r="AL3656" s="5">
        <f t="shared" si="454"/>
        <v>0.58491111111111116</v>
      </c>
    </row>
    <row r="3657" spans="1:38" hidden="1" x14ac:dyDescent="0.2">
      <c r="A3657" s="2">
        <v>2026</v>
      </c>
      <c r="B3657" s="2">
        <v>4</v>
      </c>
      <c r="D3657" s="2" t="s">
        <v>2850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55"/>
        <v>0.58491111111111116</v>
      </c>
      <c r="Z3657" s="2" t="s">
        <v>3231</v>
      </c>
      <c r="AA3657" s="2" t="s">
        <v>46</v>
      </c>
      <c r="AB3657" s="2" t="s">
        <v>47</v>
      </c>
      <c r="AC3657" s="2" t="s">
        <v>48</v>
      </c>
      <c r="AF3657" s="2">
        <f t="shared" si="459"/>
        <v>0</v>
      </c>
      <c r="AG3657" s="2">
        <v>3.7357999999999998</v>
      </c>
      <c r="AH3657" s="2">
        <v>9</v>
      </c>
      <c r="AJ3657" s="2">
        <f t="shared" si="460"/>
        <v>0</v>
      </c>
      <c r="AK3657" s="2">
        <f t="shared" si="456"/>
        <v>5.2642000000000007</v>
      </c>
      <c r="AL3657" s="5">
        <f t="shared" si="454"/>
        <v>0.58491111111111116</v>
      </c>
    </row>
    <row r="3658" spans="1:38" hidden="1" x14ac:dyDescent="0.2">
      <c r="A3658" s="2">
        <v>2026</v>
      </c>
      <c r="B3658" s="2">
        <v>4</v>
      </c>
      <c r="D3658" s="2" t="s">
        <v>2842</v>
      </c>
      <c r="E3658" s="2" t="s">
        <v>38</v>
      </c>
      <c r="G3658" s="2">
        <v>184822033</v>
      </c>
      <c r="I3658" s="2" t="s">
        <v>2846</v>
      </c>
      <c r="L3658" s="2" t="s">
        <v>462</v>
      </c>
      <c r="M3658" s="2" t="s">
        <v>110</v>
      </c>
      <c r="O3658" s="2" t="s">
        <v>2844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55"/>
        <v>0.50950925925925927</v>
      </c>
      <c r="Z3658" s="2" t="s">
        <v>3231</v>
      </c>
      <c r="AA3658" s="2" t="s">
        <v>46</v>
      </c>
      <c r="AB3658" s="2" t="s">
        <v>47</v>
      </c>
      <c r="AC3658" s="2" t="s">
        <v>48</v>
      </c>
      <c r="AF3658" s="2">
        <f t="shared" si="459"/>
        <v>0</v>
      </c>
      <c r="AG3658" s="2">
        <v>5.2972999999999999</v>
      </c>
      <c r="AH3658" s="2">
        <v>10.8</v>
      </c>
      <c r="AJ3658" s="2">
        <f t="shared" si="460"/>
        <v>0</v>
      </c>
      <c r="AK3658" s="2">
        <f t="shared" si="456"/>
        <v>5.5027000000000008</v>
      </c>
      <c r="AL3658" s="5">
        <f t="shared" si="454"/>
        <v>0.50950925925925927</v>
      </c>
    </row>
    <row r="3659" spans="1:38" hidden="1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2845</v>
      </c>
      <c r="P3659" s="2" t="s">
        <v>43</v>
      </c>
      <c r="Q3659" s="2" t="s">
        <v>2854</v>
      </c>
      <c r="R3659" s="2" t="s">
        <v>2855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55"/>
        <v>0.57566666666666666</v>
      </c>
      <c r="Z3659" s="2" t="s">
        <v>3231</v>
      </c>
      <c r="AA3659" s="2" t="s">
        <v>46</v>
      </c>
      <c r="AB3659" s="2" t="s">
        <v>47</v>
      </c>
      <c r="AC3659" s="2" t="s">
        <v>48</v>
      </c>
      <c r="AF3659" s="2">
        <f t="shared" si="459"/>
        <v>0</v>
      </c>
      <c r="AG3659" s="2">
        <v>12.73</v>
      </c>
      <c r="AH3659" s="2">
        <v>30</v>
      </c>
      <c r="AJ3659" s="2">
        <f t="shared" si="460"/>
        <v>0</v>
      </c>
      <c r="AK3659" s="2">
        <f t="shared" si="456"/>
        <v>17.27</v>
      </c>
      <c r="AL3659" s="5">
        <f t="shared" si="454"/>
        <v>0.57566666666666666</v>
      </c>
    </row>
    <row r="3660" spans="1:38" hidden="1" x14ac:dyDescent="0.2">
      <c r="A3660" s="2">
        <v>2026</v>
      </c>
      <c r="B3660" s="2">
        <v>4</v>
      </c>
      <c r="C3660" s="2" t="s">
        <v>3449</v>
      </c>
      <c r="D3660" s="2" t="s">
        <v>1891</v>
      </c>
      <c r="E3660" s="2" t="s">
        <v>38</v>
      </c>
      <c r="F3660" s="2" t="s">
        <v>39</v>
      </c>
      <c r="L3660" s="2" t="s">
        <v>462</v>
      </c>
      <c r="M3660" s="2" t="s">
        <v>81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455"/>
        <v>0.47233333333333333</v>
      </c>
      <c r="Z3660" s="2" t="s">
        <v>3231</v>
      </c>
      <c r="AA3660" s="2" t="s">
        <v>46</v>
      </c>
      <c r="AB3660" s="2" t="s">
        <v>57</v>
      </c>
      <c r="AC3660" s="2" t="s">
        <v>58</v>
      </c>
      <c r="AF3660" s="2">
        <f t="shared" si="459"/>
        <v>0</v>
      </c>
      <c r="AJ3660" s="2">
        <f t="shared" si="460"/>
        <v>0</v>
      </c>
      <c r="AK3660" s="2">
        <f t="shared" si="456"/>
        <v>14.17</v>
      </c>
      <c r="AL3660" s="5">
        <f t="shared" si="454"/>
        <v>0.47233333333333333</v>
      </c>
    </row>
    <row r="3661" spans="1:38" hidden="1" x14ac:dyDescent="0.2">
      <c r="A3661" s="2">
        <v>2026</v>
      </c>
      <c r="B3661" s="2">
        <v>4</v>
      </c>
      <c r="D3661" s="2" t="s">
        <v>2520</v>
      </c>
      <c r="E3661" s="2" t="s">
        <v>753</v>
      </c>
      <c r="F3661" s="2" t="s">
        <v>39</v>
      </c>
      <c r="G3661" s="2">
        <v>515570354</v>
      </c>
      <c r="H3661" s="2" t="s">
        <v>110</v>
      </c>
      <c r="I3661" s="2" t="s">
        <v>2521</v>
      </c>
      <c r="J3661" s="2" t="s">
        <v>2522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455"/>
        <v>0.47734374999999996</v>
      </c>
      <c r="Z3661" s="2" t="s">
        <v>3231</v>
      </c>
      <c r="AA3661" s="2" t="s">
        <v>46</v>
      </c>
      <c r="AB3661" s="2" t="s">
        <v>57</v>
      </c>
      <c r="AC3661" s="2" t="s">
        <v>58</v>
      </c>
      <c r="AF3661" s="2">
        <f t="shared" si="459"/>
        <v>0</v>
      </c>
      <c r="AJ3661" s="2">
        <f t="shared" si="460"/>
        <v>0</v>
      </c>
      <c r="AK3661" s="2">
        <f t="shared" si="456"/>
        <v>9.1649999999999991</v>
      </c>
      <c r="AL3661" s="5">
        <f t="shared" si="454"/>
        <v>0.47734374999999996</v>
      </c>
    </row>
    <row r="3662" spans="1:38" hidden="1" x14ac:dyDescent="0.2">
      <c r="A3662" s="2">
        <v>2026</v>
      </c>
      <c r="B3662" s="2">
        <v>4</v>
      </c>
      <c r="D3662" s="2" t="s">
        <v>2520</v>
      </c>
      <c r="E3662" s="2" t="s">
        <v>753</v>
      </c>
      <c r="F3662" s="2" t="s">
        <v>39</v>
      </c>
      <c r="G3662" s="2">
        <v>515570354</v>
      </c>
      <c r="H3662" s="2" t="s">
        <v>110</v>
      </c>
      <c r="I3662" s="2" t="s">
        <v>2521</v>
      </c>
      <c r="J3662" s="2" t="s">
        <v>2522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455"/>
        <v>0.46823076923076917</v>
      </c>
      <c r="Z3662" s="2" t="s">
        <v>3231</v>
      </c>
      <c r="AA3662" s="2" t="s">
        <v>46</v>
      </c>
      <c r="AB3662" s="2" t="s">
        <v>57</v>
      </c>
      <c r="AC3662" s="2" t="s">
        <v>58</v>
      </c>
      <c r="AF3662" s="2">
        <f t="shared" si="459"/>
        <v>0</v>
      </c>
      <c r="AJ3662" s="2">
        <f t="shared" si="460"/>
        <v>0</v>
      </c>
      <c r="AK3662" s="2">
        <f t="shared" si="456"/>
        <v>10.956599999999998</v>
      </c>
      <c r="AL3662" s="5">
        <f t="shared" si="454"/>
        <v>0.46823076923076917</v>
      </c>
    </row>
    <row r="3663" spans="1:38" hidden="1" x14ac:dyDescent="0.2">
      <c r="A3663" s="2">
        <v>2026</v>
      </c>
      <c r="B3663" s="2">
        <v>3</v>
      </c>
      <c r="D3663" s="2" t="s">
        <v>2856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55"/>
        <v>0.44777500000000003</v>
      </c>
      <c r="Z3663" s="2" t="s">
        <v>3231</v>
      </c>
      <c r="AA3663" s="2" t="s">
        <v>46</v>
      </c>
      <c r="AB3663" s="2" t="s">
        <v>47</v>
      </c>
      <c r="AC3663" s="2" t="s">
        <v>48</v>
      </c>
      <c r="AF3663" s="2">
        <f t="shared" si="459"/>
        <v>0</v>
      </c>
      <c r="AG3663" s="2">
        <v>6.6266999999999996</v>
      </c>
      <c r="AH3663" s="2">
        <v>12</v>
      </c>
      <c r="AJ3663" s="2">
        <f t="shared" si="460"/>
        <v>0</v>
      </c>
      <c r="AK3663" s="2">
        <f t="shared" si="456"/>
        <v>5.3733000000000004</v>
      </c>
      <c r="AL3663" s="5">
        <f t="shared" si="454"/>
        <v>0.44777500000000003</v>
      </c>
    </row>
    <row r="3664" spans="1:38" hidden="1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55"/>
        <v>0.49849305555555556</v>
      </c>
      <c r="Z3664" s="2" t="s">
        <v>3231</v>
      </c>
      <c r="AA3664" s="2" t="s">
        <v>46</v>
      </c>
      <c r="AB3664" s="2" t="s">
        <v>57</v>
      </c>
      <c r="AC3664" s="2" t="s">
        <v>58</v>
      </c>
      <c r="AF3664" s="2">
        <f t="shared" si="459"/>
        <v>0</v>
      </c>
      <c r="AG3664" s="2">
        <v>7.2217000000000002</v>
      </c>
      <c r="AH3664" s="2">
        <v>14.4</v>
      </c>
      <c r="AJ3664" s="2">
        <f t="shared" si="460"/>
        <v>0</v>
      </c>
      <c r="AK3664" s="2">
        <f t="shared" si="456"/>
        <v>7.1783000000000001</v>
      </c>
      <c r="AL3664" s="5">
        <f t="shared" si="454"/>
        <v>0.49849305555555556</v>
      </c>
    </row>
    <row r="3665" spans="1:38" hidden="1" x14ac:dyDescent="0.2">
      <c r="A3665" s="2">
        <v>2026</v>
      </c>
      <c r="B3665" s="2">
        <v>4</v>
      </c>
      <c r="D3665" s="2" t="s">
        <v>900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901</v>
      </c>
      <c r="K3665" s="2">
        <v>912047019</v>
      </c>
      <c r="L3665" s="2" t="s">
        <v>100</v>
      </c>
      <c r="M3665" s="2" t="s">
        <v>81</v>
      </c>
      <c r="O3665" s="2" t="s">
        <v>2857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55"/>
        <v>0.49849305555555556</v>
      </c>
      <c r="Z3665" s="2" t="s">
        <v>3231</v>
      </c>
      <c r="AA3665" s="2" t="s">
        <v>46</v>
      </c>
      <c r="AB3665" s="2" t="s">
        <v>57</v>
      </c>
      <c r="AC3665" s="2" t="s">
        <v>58</v>
      </c>
      <c r="AF3665" s="2">
        <f t="shared" si="459"/>
        <v>0</v>
      </c>
      <c r="AG3665" s="2">
        <v>7.2217000000000002</v>
      </c>
      <c r="AH3665" s="2">
        <v>14.4</v>
      </c>
      <c r="AJ3665" s="2">
        <f t="shared" si="460"/>
        <v>0</v>
      </c>
      <c r="AK3665" s="2">
        <f t="shared" si="456"/>
        <v>7.1783000000000001</v>
      </c>
      <c r="AL3665" s="5">
        <f t="shared" si="454"/>
        <v>0.49849305555555556</v>
      </c>
    </row>
    <row r="3666" spans="1:38" hidden="1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 t="shared" ref="W3666:W3667" si="461">9.075*S3666</f>
        <v>9.0749999999999993</v>
      </c>
      <c r="X3666" s="5">
        <f t="shared" si="455"/>
        <v>0.47844827586206895</v>
      </c>
      <c r="Z3666" s="2" t="s">
        <v>3231</v>
      </c>
      <c r="AA3666" s="2" t="s">
        <v>46</v>
      </c>
      <c r="AB3666" s="2" t="s">
        <v>57</v>
      </c>
      <c r="AC3666" s="2" t="s">
        <v>58</v>
      </c>
      <c r="AF3666" s="2">
        <f t="shared" si="459"/>
        <v>0</v>
      </c>
      <c r="AJ3666" s="2">
        <f t="shared" si="460"/>
        <v>0</v>
      </c>
      <c r="AK3666" s="2">
        <f t="shared" si="456"/>
        <v>8.3249999999999993</v>
      </c>
      <c r="AL3666" s="5">
        <f t="shared" si="454"/>
        <v>0.47844827586206895</v>
      </c>
    </row>
    <row r="3667" spans="1:38" hidden="1" x14ac:dyDescent="0.2">
      <c r="A3667" s="2">
        <v>2026</v>
      </c>
      <c r="B3667" s="2">
        <v>4</v>
      </c>
      <c r="D3667" s="2" t="s">
        <v>900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901</v>
      </c>
      <c r="K3667" s="2">
        <v>912047019</v>
      </c>
      <c r="L3667" s="2" t="s">
        <v>100</v>
      </c>
      <c r="M3667" s="2" t="s">
        <v>81</v>
      </c>
      <c r="O3667" s="2" t="s">
        <v>2857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 t="shared" si="461"/>
        <v>9.0749999999999993</v>
      </c>
      <c r="X3667" s="5">
        <f t="shared" si="455"/>
        <v>0.47844827586206895</v>
      </c>
      <c r="Z3667" s="2" t="s">
        <v>3231</v>
      </c>
      <c r="AA3667" s="2" t="s">
        <v>46</v>
      </c>
      <c r="AB3667" s="2" t="s">
        <v>57</v>
      </c>
      <c r="AC3667" s="2" t="s">
        <v>58</v>
      </c>
      <c r="AF3667" s="2">
        <f t="shared" si="459"/>
        <v>0</v>
      </c>
      <c r="AJ3667" s="2">
        <f t="shared" si="460"/>
        <v>0</v>
      </c>
      <c r="AK3667" s="2">
        <f t="shared" si="456"/>
        <v>8.3249999999999993</v>
      </c>
      <c r="AL3667" s="5">
        <f t="shared" si="454"/>
        <v>0.47844827586206895</v>
      </c>
    </row>
    <row r="3668" spans="1:38" hidden="1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55"/>
        <v>1</v>
      </c>
      <c r="Z3668" s="2" t="s">
        <v>3231</v>
      </c>
      <c r="AA3668" s="2" t="s">
        <v>46</v>
      </c>
      <c r="AB3668" s="2" t="s">
        <v>57</v>
      </c>
      <c r="AC3668" s="2" t="s">
        <v>58</v>
      </c>
      <c r="AF3668" s="2">
        <f t="shared" si="459"/>
        <v>0</v>
      </c>
      <c r="AJ3668" s="2">
        <f t="shared" si="460"/>
        <v>0</v>
      </c>
      <c r="AK3668" s="2">
        <f t="shared" si="456"/>
        <v>21</v>
      </c>
      <c r="AL3668" s="5">
        <f t="shared" si="454"/>
        <v>1</v>
      </c>
    </row>
    <row r="3669" spans="1:38" hidden="1" x14ac:dyDescent="0.2">
      <c r="A3669" s="2">
        <v>2026</v>
      </c>
      <c r="B3669" s="2">
        <v>4</v>
      </c>
      <c r="D3669" s="2" t="s">
        <v>900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901</v>
      </c>
      <c r="K3669" s="2">
        <v>912047019</v>
      </c>
      <c r="L3669" s="2" t="s">
        <v>100</v>
      </c>
      <c r="M3669" s="2" t="s">
        <v>81</v>
      </c>
      <c r="O3669" s="2" t="s">
        <v>2857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55"/>
        <v>1</v>
      </c>
      <c r="Z3669" s="2" t="s">
        <v>3231</v>
      </c>
      <c r="AA3669" s="2" t="s">
        <v>46</v>
      </c>
      <c r="AB3669" s="2" t="s">
        <v>57</v>
      </c>
      <c r="AC3669" s="2" t="s">
        <v>58</v>
      </c>
      <c r="AF3669" s="2">
        <f t="shared" si="459"/>
        <v>0</v>
      </c>
      <c r="AJ3669" s="2">
        <f t="shared" si="460"/>
        <v>0</v>
      </c>
      <c r="AK3669" s="2">
        <f t="shared" si="456"/>
        <v>21</v>
      </c>
      <c r="AL3669" s="5">
        <f t="shared" si="454"/>
        <v>1</v>
      </c>
    </row>
    <row r="3670" spans="1:38" hidden="1" x14ac:dyDescent="0.2">
      <c r="A3670" s="2">
        <v>2026</v>
      </c>
      <c r="B3670" s="2">
        <v>4</v>
      </c>
      <c r="D3670" s="2" t="s">
        <v>1180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1181</v>
      </c>
      <c r="J3670" s="2" t="s">
        <v>1182</v>
      </c>
      <c r="L3670" s="2" t="s">
        <v>462</v>
      </c>
      <c r="M3670" s="2" t="s">
        <v>41</v>
      </c>
      <c r="O3670" s="2" t="s">
        <v>2858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55"/>
        <v>1</v>
      </c>
      <c r="Z3670" s="2" t="s">
        <v>3231</v>
      </c>
      <c r="AA3670" s="2" t="s">
        <v>46</v>
      </c>
      <c r="AB3670" s="2" t="s">
        <v>57</v>
      </c>
      <c r="AC3670" s="2" t="s">
        <v>58</v>
      </c>
      <c r="AF3670" s="2">
        <f t="shared" si="459"/>
        <v>0</v>
      </c>
      <c r="AJ3670" s="2">
        <f t="shared" si="460"/>
        <v>0</v>
      </c>
      <c r="AK3670" s="2">
        <f t="shared" si="456"/>
        <v>50.4</v>
      </c>
      <c r="AL3670" s="5">
        <f t="shared" si="454"/>
        <v>1</v>
      </c>
    </row>
    <row r="3671" spans="1:38" hidden="1" x14ac:dyDescent="0.2">
      <c r="A3671" s="2">
        <v>2026</v>
      </c>
      <c r="B3671" s="2">
        <v>4</v>
      </c>
      <c r="D3671" s="2" t="s">
        <v>900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901</v>
      </c>
      <c r="K3671" s="2">
        <v>912047019</v>
      </c>
      <c r="L3671" s="2" t="s">
        <v>100</v>
      </c>
      <c r="M3671" s="2" t="s">
        <v>81</v>
      </c>
      <c r="O3671" s="2" t="s">
        <v>2857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62">(T3671-W3671)/T3671</f>
        <v>1</v>
      </c>
      <c r="Z3671" s="2" t="s">
        <v>3231</v>
      </c>
      <c r="AA3671" s="2" t="s">
        <v>46</v>
      </c>
      <c r="AB3671" s="2" t="s">
        <v>57</v>
      </c>
      <c r="AC3671" s="2" t="s">
        <v>58</v>
      </c>
      <c r="AF3671" s="2">
        <f t="shared" si="459"/>
        <v>0</v>
      </c>
      <c r="AJ3671" s="2">
        <f t="shared" si="460"/>
        <v>0</v>
      </c>
      <c r="AK3671" s="2">
        <f t="shared" si="456"/>
        <v>25.2</v>
      </c>
      <c r="AL3671" s="5">
        <f t="shared" si="454"/>
        <v>1</v>
      </c>
    </row>
    <row r="3672" spans="1:38" hidden="1" x14ac:dyDescent="0.2">
      <c r="A3672" s="2">
        <v>2026</v>
      </c>
      <c r="B3672" s="2">
        <v>4</v>
      </c>
      <c r="D3672" s="2" t="s">
        <v>1180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1181</v>
      </c>
      <c r="J3672" s="2" t="s">
        <v>1182</v>
      </c>
      <c r="L3672" s="2" t="s">
        <v>462</v>
      </c>
      <c r="M3672" s="2" t="s">
        <v>41</v>
      </c>
      <c r="O3672" s="2" t="s">
        <v>2858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62"/>
        <v>1</v>
      </c>
      <c r="Z3672" s="2" t="s">
        <v>3231</v>
      </c>
      <c r="AA3672" s="2" t="s">
        <v>46</v>
      </c>
      <c r="AB3672" s="2" t="s">
        <v>57</v>
      </c>
      <c r="AC3672" s="2" t="s">
        <v>58</v>
      </c>
      <c r="AF3672" s="2">
        <f t="shared" si="459"/>
        <v>0</v>
      </c>
      <c r="AJ3672" s="2">
        <f t="shared" si="460"/>
        <v>0</v>
      </c>
      <c r="AK3672" s="2">
        <f t="shared" si="456"/>
        <v>60</v>
      </c>
      <c r="AL3672" s="5">
        <f t="shared" si="454"/>
        <v>1</v>
      </c>
    </row>
    <row r="3673" spans="1:38" hidden="1" x14ac:dyDescent="0.2">
      <c r="A3673" s="2">
        <v>2026</v>
      </c>
      <c r="B3673" s="2">
        <v>4</v>
      </c>
      <c r="D3673" s="2" t="s">
        <v>900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901</v>
      </c>
      <c r="K3673" s="2">
        <v>912047019</v>
      </c>
      <c r="L3673" s="2" t="s">
        <v>100</v>
      </c>
      <c r="M3673" s="2" t="s">
        <v>81</v>
      </c>
      <c r="O3673" s="2" t="s">
        <v>2857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62"/>
        <v>1</v>
      </c>
      <c r="Z3673" s="2" t="s">
        <v>3231</v>
      </c>
      <c r="AA3673" s="2" t="s">
        <v>46</v>
      </c>
      <c r="AB3673" s="2" t="s">
        <v>57</v>
      </c>
      <c r="AC3673" s="2" t="s">
        <v>58</v>
      </c>
      <c r="AF3673" s="2">
        <f t="shared" si="459"/>
        <v>0</v>
      </c>
      <c r="AJ3673" s="2">
        <f t="shared" si="460"/>
        <v>0</v>
      </c>
      <c r="AK3673" s="2">
        <f t="shared" si="456"/>
        <v>30</v>
      </c>
      <c r="AL3673" s="5">
        <f t="shared" si="454"/>
        <v>1</v>
      </c>
    </row>
    <row r="3674" spans="1:38" hidden="1" x14ac:dyDescent="0.2">
      <c r="A3674" s="2">
        <v>2026</v>
      </c>
      <c r="B3674" s="2">
        <v>4</v>
      </c>
      <c r="D3674" s="2" t="s">
        <v>1180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1181</v>
      </c>
      <c r="J3674" s="2" t="s">
        <v>1182</v>
      </c>
      <c r="L3674" s="2" t="s">
        <v>462</v>
      </c>
      <c r="M3674" s="2" t="s">
        <v>41</v>
      </c>
      <c r="O3674" s="2" t="s">
        <v>2858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62"/>
        <v>1</v>
      </c>
      <c r="Z3674" s="2" t="s">
        <v>3231</v>
      </c>
      <c r="AA3674" s="2" t="s">
        <v>46</v>
      </c>
      <c r="AB3674" s="2" t="s">
        <v>57</v>
      </c>
      <c r="AC3674" s="2" t="s">
        <v>58</v>
      </c>
      <c r="AF3674" s="2">
        <f t="shared" si="459"/>
        <v>0</v>
      </c>
      <c r="AJ3674" s="2">
        <f t="shared" si="460"/>
        <v>0</v>
      </c>
      <c r="AK3674" s="2">
        <f t="shared" si="456"/>
        <v>36</v>
      </c>
      <c r="AL3674" s="5">
        <f t="shared" si="454"/>
        <v>1</v>
      </c>
    </row>
    <row r="3675" spans="1:38" hidden="1" x14ac:dyDescent="0.2">
      <c r="A3675" s="2">
        <v>2026</v>
      </c>
      <c r="B3675" s="2">
        <v>4</v>
      </c>
      <c r="D3675" s="2" t="s">
        <v>900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901</v>
      </c>
      <c r="K3675" s="2">
        <v>912047019</v>
      </c>
      <c r="L3675" s="2" t="s">
        <v>100</v>
      </c>
      <c r="M3675" s="2" t="s">
        <v>81</v>
      </c>
      <c r="O3675" s="2" t="s">
        <v>2857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62"/>
        <v>1</v>
      </c>
      <c r="Z3675" s="2" t="s">
        <v>3231</v>
      </c>
      <c r="AA3675" s="2" t="s">
        <v>46</v>
      </c>
      <c r="AB3675" s="2" t="s">
        <v>57</v>
      </c>
      <c r="AC3675" s="2" t="s">
        <v>58</v>
      </c>
      <c r="AF3675" s="2">
        <f t="shared" si="459"/>
        <v>0</v>
      </c>
      <c r="AJ3675" s="2">
        <f t="shared" si="460"/>
        <v>0</v>
      </c>
      <c r="AK3675" s="2">
        <f t="shared" si="456"/>
        <v>18</v>
      </c>
      <c r="AL3675" s="5">
        <f t="shared" si="454"/>
        <v>1</v>
      </c>
    </row>
    <row r="3676" spans="1:38" hidden="1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63">10.6*S3676</f>
        <v>31.799999999999997</v>
      </c>
      <c r="X3676" s="5">
        <f t="shared" si="462"/>
        <v>0.41111111111111115</v>
      </c>
      <c r="Z3676" s="2" t="s">
        <v>3231</v>
      </c>
      <c r="AA3676" s="2" t="s">
        <v>46</v>
      </c>
      <c r="AB3676" s="2" t="s">
        <v>57</v>
      </c>
      <c r="AC3676" s="2" t="s">
        <v>58</v>
      </c>
      <c r="AF3676" s="2">
        <f t="shared" si="459"/>
        <v>0</v>
      </c>
      <c r="AG3676" s="2">
        <v>10.6</v>
      </c>
      <c r="AH3676" s="2">
        <v>18</v>
      </c>
      <c r="AJ3676" s="2">
        <f t="shared" si="460"/>
        <v>0</v>
      </c>
      <c r="AK3676" s="2">
        <f t="shared" si="456"/>
        <v>22.200000000000003</v>
      </c>
      <c r="AL3676" s="5">
        <f t="shared" si="454"/>
        <v>0.41111111111111115</v>
      </c>
    </row>
    <row r="3677" spans="1:38" hidden="1" x14ac:dyDescent="0.2">
      <c r="A3677" s="2">
        <v>2026</v>
      </c>
      <c r="B3677" s="2">
        <v>4</v>
      </c>
      <c r="C3677" s="2" t="s">
        <v>3323</v>
      </c>
      <c r="D3677" s="2" t="s">
        <v>943</v>
      </c>
      <c r="E3677" s="2" t="s">
        <v>38</v>
      </c>
      <c r="F3677" s="2" t="s">
        <v>39</v>
      </c>
      <c r="L3677" s="2" t="s">
        <v>178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63"/>
        <v>21.2</v>
      </c>
      <c r="X3677" s="5">
        <f t="shared" si="462"/>
        <v>0.41111111111111115</v>
      </c>
      <c r="Z3677" s="2" t="s">
        <v>3231</v>
      </c>
      <c r="AA3677" s="2" t="s">
        <v>46</v>
      </c>
      <c r="AB3677" s="2" t="s">
        <v>57</v>
      </c>
      <c r="AC3677" s="2" t="s">
        <v>58</v>
      </c>
      <c r="AF3677" s="2">
        <f t="shared" si="459"/>
        <v>0</v>
      </c>
      <c r="AG3677" s="2">
        <v>10.6</v>
      </c>
      <c r="AH3677" s="2">
        <v>18</v>
      </c>
      <c r="AJ3677" s="2">
        <f t="shared" si="460"/>
        <v>0</v>
      </c>
      <c r="AK3677" s="2">
        <f t="shared" si="456"/>
        <v>14.8</v>
      </c>
      <c r="AL3677" s="5">
        <f t="shared" si="454"/>
        <v>0.41111111111111115</v>
      </c>
    </row>
    <row r="3678" spans="1:38" hidden="1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63"/>
        <v>10.6</v>
      </c>
      <c r="X3678" s="5">
        <f t="shared" si="462"/>
        <v>0.41111111111111115</v>
      </c>
      <c r="Z3678" s="2" t="s">
        <v>3231</v>
      </c>
      <c r="AA3678" s="2" t="s">
        <v>46</v>
      </c>
      <c r="AB3678" s="2" t="s">
        <v>57</v>
      </c>
      <c r="AC3678" s="2" t="s">
        <v>58</v>
      </c>
      <c r="AF3678" s="2">
        <f t="shared" si="459"/>
        <v>0</v>
      </c>
      <c r="AG3678" s="2">
        <v>10.6</v>
      </c>
      <c r="AH3678" s="2">
        <v>18</v>
      </c>
      <c r="AJ3678" s="2">
        <f t="shared" si="460"/>
        <v>0</v>
      </c>
      <c r="AK3678" s="2">
        <f t="shared" si="456"/>
        <v>7.4</v>
      </c>
      <c r="AL3678" s="5">
        <f t="shared" si="454"/>
        <v>0.41111111111111115</v>
      </c>
    </row>
    <row r="3679" spans="1:38" hidden="1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63"/>
        <v>106</v>
      </c>
      <c r="X3679" s="5">
        <f t="shared" si="462"/>
        <v>0.29333333333333333</v>
      </c>
      <c r="Z3679" s="2" t="s">
        <v>3231</v>
      </c>
      <c r="AA3679" s="2" t="s">
        <v>46</v>
      </c>
      <c r="AB3679" s="2" t="s">
        <v>57</v>
      </c>
      <c r="AC3679" s="2" t="s">
        <v>58</v>
      </c>
      <c r="AF3679" s="2">
        <f t="shared" si="459"/>
        <v>0</v>
      </c>
      <c r="AG3679" s="2">
        <v>10.6</v>
      </c>
      <c r="AH3679" s="2">
        <v>18</v>
      </c>
      <c r="AJ3679" s="2">
        <f t="shared" si="460"/>
        <v>0</v>
      </c>
      <c r="AK3679" s="2">
        <f t="shared" si="456"/>
        <v>44</v>
      </c>
      <c r="AL3679" s="5">
        <f t="shared" si="454"/>
        <v>0.29333333333333333</v>
      </c>
    </row>
    <row r="3680" spans="1:38" hidden="1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63"/>
        <v>106</v>
      </c>
      <c r="X3680" s="5">
        <f t="shared" si="462"/>
        <v>0.29333333333333333</v>
      </c>
      <c r="Z3680" s="2" t="s">
        <v>3231</v>
      </c>
      <c r="AA3680" s="2" t="s">
        <v>46</v>
      </c>
      <c r="AB3680" s="2" t="s">
        <v>57</v>
      </c>
      <c r="AC3680" s="2" t="s">
        <v>58</v>
      </c>
      <c r="AF3680" s="2">
        <f t="shared" si="459"/>
        <v>0</v>
      </c>
      <c r="AG3680" s="2">
        <v>10.6</v>
      </c>
      <c r="AH3680" s="2">
        <v>18</v>
      </c>
      <c r="AJ3680" s="2">
        <f t="shared" si="460"/>
        <v>0</v>
      </c>
      <c r="AK3680" s="2">
        <f t="shared" si="456"/>
        <v>44</v>
      </c>
      <c r="AL3680" s="5">
        <f t="shared" si="454"/>
        <v>0.29333333333333333</v>
      </c>
    </row>
    <row r="3681" spans="1:38" hidden="1" x14ac:dyDescent="0.2">
      <c r="A3681" s="2">
        <v>2026</v>
      </c>
      <c r="B3681" s="2">
        <v>4</v>
      </c>
      <c r="D3681" s="2" t="s">
        <v>1314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1315</v>
      </c>
      <c r="L3681" s="2" t="s">
        <v>178</v>
      </c>
      <c r="M3681" s="2" t="s">
        <v>41</v>
      </c>
      <c r="O3681" s="2" t="s">
        <v>2859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63"/>
        <v>10.6</v>
      </c>
      <c r="X3681" s="5">
        <f t="shared" si="462"/>
        <v>0.41111111111111115</v>
      </c>
      <c r="Z3681" s="2" t="s">
        <v>3231</v>
      </c>
      <c r="AA3681" s="2" t="s">
        <v>46</v>
      </c>
      <c r="AB3681" s="2" t="s">
        <v>57</v>
      </c>
      <c r="AC3681" s="2" t="s">
        <v>58</v>
      </c>
      <c r="AF3681" s="2">
        <f t="shared" si="459"/>
        <v>0</v>
      </c>
      <c r="AG3681" s="2">
        <v>10.6</v>
      </c>
      <c r="AH3681" s="2">
        <v>18</v>
      </c>
      <c r="AJ3681" s="2">
        <f t="shared" si="460"/>
        <v>0</v>
      </c>
      <c r="AK3681" s="2">
        <f t="shared" si="456"/>
        <v>7.4</v>
      </c>
      <c r="AL3681" s="5">
        <f t="shared" si="454"/>
        <v>0.41111111111111115</v>
      </c>
    </row>
    <row r="3682" spans="1:38" hidden="1" x14ac:dyDescent="0.2">
      <c r="A3682" s="2">
        <v>2026</v>
      </c>
      <c r="B3682" s="2">
        <v>4</v>
      </c>
      <c r="D3682" s="2" t="s">
        <v>900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901</v>
      </c>
      <c r="K3682" s="2">
        <v>912047019</v>
      </c>
      <c r="L3682" s="2" t="s">
        <v>100</v>
      </c>
      <c r="M3682" s="2" t="s">
        <v>40</v>
      </c>
      <c r="O3682" s="2" t="s">
        <v>2860</v>
      </c>
      <c r="P3682" s="2" t="s">
        <v>43</v>
      </c>
      <c r="Q3682" s="2" t="s">
        <v>2861</v>
      </c>
      <c r="R3682" s="2" t="s">
        <v>2862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62"/>
        <v>1</v>
      </c>
      <c r="Z3682" s="2" t="s">
        <v>3231</v>
      </c>
      <c r="AA3682" s="2" t="s">
        <v>46</v>
      </c>
      <c r="AB3682" s="2" t="s">
        <v>91</v>
      </c>
      <c r="AC3682" s="2" t="s">
        <v>58</v>
      </c>
      <c r="AF3682" s="2">
        <f t="shared" si="459"/>
        <v>0</v>
      </c>
      <c r="AJ3682" s="2">
        <f t="shared" si="460"/>
        <v>0</v>
      </c>
      <c r="AK3682" s="2">
        <f t="shared" si="456"/>
        <v>9.6</v>
      </c>
      <c r="AL3682" s="5">
        <f t="shared" si="454"/>
        <v>1</v>
      </c>
    </row>
    <row r="3683" spans="1:38" hidden="1" x14ac:dyDescent="0.2">
      <c r="A3683" s="2">
        <v>2026</v>
      </c>
      <c r="B3683" s="2">
        <v>4</v>
      </c>
      <c r="D3683" s="2" t="s">
        <v>900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901</v>
      </c>
      <c r="K3683" s="2">
        <v>912047019</v>
      </c>
      <c r="L3683" s="2" t="s">
        <v>100</v>
      </c>
      <c r="M3683" s="2" t="s">
        <v>40</v>
      </c>
      <c r="O3683" s="2" t="s">
        <v>2863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62"/>
        <v>0.49808399999999997</v>
      </c>
      <c r="Z3683" s="2" t="s">
        <v>3231</v>
      </c>
      <c r="AA3683" s="2" t="s">
        <v>46</v>
      </c>
      <c r="AB3683" s="2" t="s">
        <v>91</v>
      </c>
      <c r="AC3683" s="2" t="s">
        <v>58</v>
      </c>
      <c r="AF3683" s="2">
        <f t="shared" si="459"/>
        <v>0</v>
      </c>
      <c r="AJ3683" s="2">
        <f t="shared" si="460"/>
        <v>0</v>
      </c>
      <c r="AK3683" s="2">
        <f t="shared" si="456"/>
        <v>49.808399999999999</v>
      </c>
      <c r="AL3683" s="5">
        <f t="shared" si="454"/>
        <v>0.49808399999999997</v>
      </c>
    </row>
    <row r="3684" spans="1:38" hidden="1" x14ac:dyDescent="0.2">
      <c r="A3684" s="2">
        <v>2026</v>
      </c>
      <c r="B3684" s="2">
        <v>4</v>
      </c>
      <c r="D3684" s="2" t="s">
        <v>982</v>
      </c>
      <c r="M3684" s="2" t="s">
        <v>41</v>
      </c>
      <c r="O3684" s="2" t="s">
        <v>2864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62"/>
        <v>0.29692307692307701</v>
      </c>
      <c r="Z3684" s="2" t="s">
        <v>3231</v>
      </c>
      <c r="AA3684" s="2" t="s">
        <v>46</v>
      </c>
      <c r="AB3684" s="2" t="s">
        <v>61</v>
      </c>
      <c r="AC3684" s="2" t="s">
        <v>58</v>
      </c>
      <c r="AF3684" s="2">
        <f t="shared" si="459"/>
        <v>0</v>
      </c>
      <c r="AG3684" s="2">
        <v>9.14</v>
      </c>
      <c r="AH3684" s="2">
        <v>16</v>
      </c>
      <c r="AJ3684" s="2">
        <f t="shared" si="460"/>
        <v>0</v>
      </c>
      <c r="AK3684" s="2">
        <f t="shared" si="456"/>
        <v>3.8600000000000012</v>
      </c>
      <c r="AL3684" s="5">
        <f t="shared" si="454"/>
        <v>0.29692307692307701</v>
      </c>
    </row>
    <row r="3685" spans="1:38" hidden="1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2865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62"/>
        <v>0.29692307692307701</v>
      </c>
      <c r="Z3685" s="2" t="s">
        <v>3231</v>
      </c>
      <c r="AA3685" s="2" t="s">
        <v>46</v>
      </c>
      <c r="AB3685" s="2" t="s">
        <v>61</v>
      </c>
      <c r="AC3685" s="2" t="s">
        <v>58</v>
      </c>
      <c r="AF3685" s="2">
        <f t="shared" si="459"/>
        <v>0</v>
      </c>
      <c r="AG3685" s="2">
        <v>9.14</v>
      </c>
      <c r="AH3685" s="2">
        <v>16</v>
      </c>
      <c r="AJ3685" s="2">
        <f t="shared" si="460"/>
        <v>0</v>
      </c>
      <c r="AK3685" s="2">
        <f t="shared" si="456"/>
        <v>7.7200000000000024</v>
      </c>
      <c r="AL3685" s="5">
        <f t="shared" si="454"/>
        <v>0.29692307692307701</v>
      </c>
    </row>
    <row r="3686" spans="1:38" hidden="1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64">0.082*S3686</f>
        <v>82</v>
      </c>
      <c r="X3686" s="5">
        <f t="shared" si="462"/>
        <v>0.25454545454545452</v>
      </c>
      <c r="Z3686" s="2" t="s">
        <v>3231</v>
      </c>
      <c r="AA3686" s="2" t="s">
        <v>46</v>
      </c>
      <c r="AB3686" s="2" t="s">
        <v>61</v>
      </c>
      <c r="AC3686" s="2" t="s">
        <v>58</v>
      </c>
      <c r="AF3686" s="2">
        <f t="shared" si="459"/>
        <v>0</v>
      </c>
      <c r="AG3686" s="2">
        <v>8.1999999999999993</v>
      </c>
      <c r="AH3686" s="2">
        <v>13</v>
      </c>
      <c r="AJ3686" s="2">
        <f t="shared" si="460"/>
        <v>0</v>
      </c>
      <c r="AK3686" s="2">
        <f t="shared" si="456"/>
        <v>28</v>
      </c>
      <c r="AL3686" s="5">
        <f t="shared" si="454"/>
        <v>0.25454545454545452</v>
      </c>
    </row>
    <row r="3687" spans="1:38" hidden="1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2866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64"/>
        <v>82</v>
      </c>
      <c r="X3687" s="5">
        <f t="shared" si="462"/>
        <v>0.25454545454545452</v>
      </c>
      <c r="Z3687" s="2" t="s">
        <v>3231</v>
      </c>
      <c r="AA3687" s="2" t="s">
        <v>46</v>
      </c>
      <c r="AB3687" s="2" t="s">
        <v>61</v>
      </c>
      <c r="AC3687" s="2" t="s">
        <v>58</v>
      </c>
      <c r="AF3687" s="2">
        <f t="shared" si="459"/>
        <v>0</v>
      </c>
      <c r="AG3687" s="2">
        <v>8.1999999999999993</v>
      </c>
      <c r="AH3687" s="2">
        <v>13</v>
      </c>
      <c r="AJ3687" s="2">
        <f t="shared" si="460"/>
        <v>0</v>
      </c>
      <c r="AK3687" s="2">
        <f t="shared" si="456"/>
        <v>28</v>
      </c>
      <c r="AL3687" s="5">
        <f t="shared" si="454"/>
        <v>0.25454545454545452</v>
      </c>
    </row>
    <row r="3688" spans="1:38" hidden="1" x14ac:dyDescent="0.2">
      <c r="A3688" s="2">
        <v>2026</v>
      </c>
      <c r="B3688" s="2">
        <v>4</v>
      </c>
      <c r="C3688" s="2" t="s">
        <v>3449</v>
      </c>
      <c r="D3688" s="2" t="s">
        <v>1891</v>
      </c>
      <c r="E3688" s="2" t="s">
        <v>38</v>
      </c>
      <c r="F3688" s="2" t="s">
        <v>39</v>
      </c>
      <c r="L3688" s="2" t="s">
        <v>462</v>
      </c>
      <c r="M3688" s="2" t="s">
        <v>81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64"/>
        <v>41</v>
      </c>
      <c r="X3688" s="5">
        <f t="shared" si="462"/>
        <v>0.36923076923076925</v>
      </c>
      <c r="Z3688" s="2" t="s">
        <v>3231</v>
      </c>
      <c r="AA3688" s="2" t="s">
        <v>46</v>
      </c>
      <c r="AB3688" s="2" t="s">
        <v>61</v>
      </c>
      <c r="AC3688" s="2" t="s">
        <v>58</v>
      </c>
      <c r="AF3688" s="2">
        <f t="shared" si="459"/>
        <v>0</v>
      </c>
      <c r="AG3688" s="2">
        <v>8.1999999999999993</v>
      </c>
      <c r="AH3688" s="2">
        <v>13</v>
      </c>
      <c r="AJ3688" s="2">
        <f t="shared" si="460"/>
        <v>0</v>
      </c>
      <c r="AK3688" s="2">
        <f t="shared" si="456"/>
        <v>24</v>
      </c>
      <c r="AL3688" s="5">
        <f t="shared" si="454"/>
        <v>0.36923076923076925</v>
      </c>
    </row>
    <row r="3689" spans="1:38" hidden="1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64"/>
        <v>32.800000000000004</v>
      </c>
      <c r="X3689" s="5">
        <f t="shared" si="462"/>
        <v>0.36923076923076914</v>
      </c>
      <c r="Z3689" s="2" t="s">
        <v>3231</v>
      </c>
      <c r="AA3689" s="2" t="s">
        <v>46</v>
      </c>
      <c r="AB3689" s="2" t="s">
        <v>61</v>
      </c>
      <c r="AC3689" s="2" t="s">
        <v>58</v>
      </c>
      <c r="AF3689" s="2">
        <f t="shared" si="459"/>
        <v>0</v>
      </c>
      <c r="AG3689" s="2">
        <v>8.1999999999999993</v>
      </c>
      <c r="AH3689" s="2">
        <v>13</v>
      </c>
      <c r="AJ3689" s="2">
        <f t="shared" si="460"/>
        <v>0</v>
      </c>
      <c r="AK3689" s="2">
        <f t="shared" si="456"/>
        <v>19.199999999999996</v>
      </c>
      <c r="AL3689" s="5">
        <f t="shared" si="454"/>
        <v>0.36923076923076914</v>
      </c>
    </row>
    <row r="3690" spans="1:38" hidden="1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64"/>
        <v>82</v>
      </c>
      <c r="X3690" s="5">
        <f t="shared" si="462"/>
        <v>0.25454545454545452</v>
      </c>
      <c r="Z3690" s="2" t="s">
        <v>3231</v>
      </c>
      <c r="AA3690" s="2" t="s">
        <v>46</v>
      </c>
      <c r="AB3690" s="2" t="s">
        <v>61</v>
      </c>
      <c r="AC3690" s="2" t="s">
        <v>58</v>
      </c>
      <c r="AF3690" s="2">
        <f t="shared" si="459"/>
        <v>0</v>
      </c>
      <c r="AG3690" s="2">
        <v>8.1999999999999993</v>
      </c>
      <c r="AH3690" s="2">
        <v>13</v>
      </c>
      <c r="AJ3690" s="2">
        <f t="shared" si="460"/>
        <v>0</v>
      </c>
      <c r="AK3690" s="2">
        <f t="shared" si="456"/>
        <v>28</v>
      </c>
      <c r="AL3690" s="5">
        <f t="shared" si="454"/>
        <v>0.25454545454545452</v>
      </c>
    </row>
    <row r="3691" spans="1:38" hidden="1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64"/>
        <v>82</v>
      </c>
      <c r="X3691" s="5">
        <f t="shared" si="462"/>
        <v>0.25454545454545452</v>
      </c>
      <c r="Z3691" s="2" t="s">
        <v>3231</v>
      </c>
      <c r="AA3691" s="2" t="s">
        <v>46</v>
      </c>
      <c r="AB3691" s="2" t="s">
        <v>61</v>
      </c>
      <c r="AC3691" s="2" t="s">
        <v>58</v>
      </c>
      <c r="AF3691" s="2">
        <f t="shared" si="459"/>
        <v>0</v>
      </c>
      <c r="AG3691" s="2">
        <v>8.1999999999999993</v>
      </c>
      <c r="AH3691" s="2">
        <v>13</v>
      </c>
      <c r="AJ3691" s="2">
        <f t="shared" si="460"/>
        <v>0</v>
      </c>
      <c r="AK3691" s="2">
        <f t="shared" si="456"/>
        <v>28</v>
      </c>
      <c r="AL3691" s="5">
        <f t="shared" si="454"/>
        <v>0.25454545454545452</v>
      </c>
    </row>
    <row r="3692" spans="1:38" hidden="1" x14ac:dyDescent="0.2">
      <c r="A3692" s="2">
        <v>2026</v>
      </c>
      <c r="B3692" s="2">
        <v>4</v>
      </c>
      <c r="D3692" s="2" t="s">
        <v>1314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1315</v>
      </c>
      <c r="L3692" s="2" t="s">
        <v>178</v>
      </c>
      <c r="M3692" s="2" t="s">
        <v>41</v>
      </c>
      <c r="O3692" s="2" t="s">
        <v>2859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64"/>
        <v>16.400000000000002</v>
      </c>
      <c r="X3692" s="5">
        <f t="shared" si="462"/>
        <v>0.36923076923076914</v>
      </c>
      <c r="Z3692" s="2" t="s">
        <v>3231</v>
      </c>
      <c r="AA3692" s="2" t="s">
        <v>46</v>
      </c>
      <c r="AB3692" s="2" t="s">
        <v>61</v>
      </c>
      <c r="AC3692" s="2" t="s">
        <v>58</v>
      </c>
      <c r="AF3692" s="2">
        <f t="shared" si="459"/>
        <v>0</v>
      </c>
      <c r="AG3692" s="2">
        <v>8.1999999999999993</v>
      </c>
      <c r="AH3692" s="2">
        <v>13</v>
      </c>
      <c r="AJ3692" s="2">
        <f t="shared" si="460"/>
        <v>0</v>
      </c>
      <c r="AK3692" s="2">
        <f t="shared" si="456"/>
        <v>9.5999999999999979</v>
      </c>
      <c r="AL3692" s="5">
        <f t="shared" si="454"/>
        <v>0.36923076923076914</v>
      </c>
    </row>
    <row r="3693" spans="1:38" hidden="1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2853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65">0.0914*S3693</f>
        <v>45.699999999999996</v>
      </c>
      <c r="X3693" s="5">
        <f t="shared" si="462"/>
        <v>0.3471428571428572</v>
      </c>
      <c r="Z3693" s="2" t="s">
        <v>3231</v>
      </c>
      <c r="AA3693" s="2" t="s">
        <v>46</v>
      </c>
      <c r="AB3693" s="2" t="s">
        <v>61</v>
      </c>
      <c r="AC3693" s="2" t="s">
        <v>58</v>
      </c>
      <c r="AF3693" s="2">
        <f t="shared" si="459"/>
        <v>0</v>
      </c>
      <c r="AJ3693" s="2">
        <f t="shared" si="460"/>
        <v>0</v>
      </c>
      <c r="AK3693" s="2">
        <f t="shared" si="456"/>
        <v>24.300000000000004</v>
      </c>
      <c r="AL3693" s="5">
        <f t="shared" si="454"/>
        <v>0.3471428571428572</v>
      </c>
    </row>
    <row r="3694" spans="1:38" hidden="1" x14ac:dyDescent="0.2">
      <c r="A3694" s="2">
        <v>2026</v>
      </c>
      <c r="B3694" s="2">
        <v>4</v>
      </c>
      <c r="D3694" s="2" t="s">
        <v>1023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1558</v>
      </c>
      <c r="J3694" s="2" t="s">
        <v>2529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65"/>
        <v>9.1399999999999988</v>
      </c>
      <c r="X3694" s="5">
        <f t="shared" si="462"/>
        <v>0.34714285714285725</v>
      </c>
      <c r="Z3694" s="2" t="s">
        <v>3231</v>
      </c>
      <c r="AA3694" s="2" t="s">
        <v>46</v>
      </c>
      <c r="AB3694" s="2" t="s">
        <v>61</v>
      </c>
      <c r="AC3694" s="2" t="s">
        <v>58</v>
      </c>
      <c r="AF3694" s="2">
        <f t="shared" si="459"/>
        <v>0</v>
      </c>
      <c r="AJ3694" s="2">
        <f t="shared" si="460"/>
        <v>0</v>
      </c>
      <c r="AK3694" s="2">
        <f t="shared" si="456"/>
        <v>4.8600000000000012</v>
      </c>
      <c r="AL3694" s="5">
        <f t="shared" si="454"/>
        <v>0.34714285714285725</v>
      </c>
    </row>
    <row r="3695" spans="1:38" hidden="1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62"/>
        <v>1</v>
      </c>
      <c r="Z3695" s="2" t="s">
        <v>3231</v>
      </c>
      <c r="AA3695" s="2" t="s">
        <v>46</v>
      </c>
      <c r="AB3695" s="2" t="s">
        <v>91</v>
      </c>
      <c r="AC3695" s="2" t="s">
        <v>58</v>
      </c>
      <c r="AF3695" s="2">
        <f t="shared" si="459"/>
        <v>0</v>
      </c>
      <c r="AJ3695" s="2">
        <f t="shared" si="460"/>
        <v>0</v>
      </c>
      <c r="AK3695" s="2">
        <f t="shared" si="456"/>
        <v>18</v>
      </c>
      <c r="AL3695" s="5">
        <f t="shared" si="454"/>
        <v>1</v>
      </c>
    </row>
    <row r="3696" spans="1:38" hidden="1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2853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62"/>
        <v>1</v>
      </c>
      <c r="Z3696" s="2" t="s">
        <v>3231</v>
      </c>
      <c r="AA3696" s="2" t="s">
        <v>46</v>
      </c>
      <c r="AB3696" s="2" t="s">
        <v>47</v>
      </c>
      <c r="AC3696" s="2" t="s">
        <v>48</v>
      </c>
      <c r="AF3696" s="2">
        <f t="shared" si="459"/>
        <v>0</v>
      </c>
      <c r="AJ3696" s="2">
        <f t="shared" si="460"/>
        <v>0</v>
      </c>
      <c r="AK3696" s="2">
        <f t="shared" si="456"/>
        <v>42</v>
      </c>
      <c r="AL3696" s="5">
        <f t="shared" si="454"/>
        <v>1</v>
      </c>
    </row>
    <row r="3697" spans="1:38" hidden="1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2853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462"/>
        <v>0.54166666666666663</v>
      </c>
      <c r="Z3697" s="2" t="s">
        <v>3231</v>
      </c>
      <c r="AA3697" s="2" t="s">
        <v>46</v>
      </c>
      <c r="AB3697" s="2" t="s">
        <v>47</v>
      </c>
      <c r="AC3697" s="2" t="s">
        <v>48</v>
      </c>
      <c r="AF3697" s="2">
        <f t="shared" si="459"/>
        <v>0</v>
      </c>
      <c r="AJ3697" s="2">
        <f t="shared" si="460"/>
        <v>0</v>
      </c>
      <c r="AK3697" s="2">
        <f t="shared" si="456"/>
        <v>26</v>
      </c>
      <c r="AL3697" s="5">
        <f t="shared" si="454"/>
        <v>0.54166666666666663</v>
      </c>
    </row>
    <row r="3698" spans="1:38" hidden="1" x14ac:dyDescent="0.2">
      <c r="A3698" s="2">
        <v>2026</v>
      </c>
      <c r="B3698" s="2">
        <v>4</v>
      </c>
      <c r="D3698" s="2" t="s">
        <v>1023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1558</v>
      </c>
      <c r="J3698" s="2" t="s">
        <v>2529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62"/>
        <v>0.62926666666666664</v>
      </c>
      <c r="Z3698" s="2" t="s">
        <v>3231</v>
      </c>
      <c r="AA3698" s="2" t="s">
        <v>46</v>
      </c>
      <c r="AB3698" s="2" t="s">
        <v>61</v>
      </c>
      <c r="AC3698" s="2" t="s">
        <v>58</v>
      </c>
      <c r="AF3698" s="2">
        <f t="shared" si="459"/>
        <v>0</v>
      </c>
      <c r="AG3698" s="2">
        <v>1.1122000000000001</v>
      </c>
      <c r="AH3698" s="2">
        <v>3</v>
      </c>
      <c r="AJ3698" s="2">
        <f t="shared" si="460"/>
        <v>0</v>
      </c>
      <c r="AK3698" s="2">
        <f t="shared" si="456"/>
        <v>15.102399999999999</v>
      </c>
      <c r="AL3698" s="5">
        <f t="shared" si="454"/>
        <v>0.62926666666666664</v>
      </c>
    </row>
    <row r="3699" spans="1:38" hidden="1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62"/>
        <v>0.5295333333333333</v>
      </c>
      <c r="Z3699" s="2" t="s">
        <v>3231</v>
      </c>
      <c r="AA3699" s="2" t="s">
        <v>46</v>
      </c>
      <c r="AB3699" s="2" t="s">
        <v>61</v>
      </c>
      <c r="AC3699" s="2" t="s">
        <v>58</v>
      </c>
      <c r="AF3699" s="2">
        <f t="shared" si="459"/>
        <v>0</v>
      </c>
      <c r="AG3699" s="2">
        <v>1.4114</v>
      </c>
      <c r="AH3699" s="2">
        <v>3</v>
      </c>
      <c r="AJ3699" s="2">
        <f t="shared" si="460"/>
        <v>0</v>
      </c>
      <c r="AK3699" s="2">
        <f t="shared" si="456"/>
        <v>63.543999999999997</v>
      </c>
      <c r="AL3699" s="5">
        <f t="shared" si="454"/>
        <v>0.5295333333333333</v>
      </c>
    </row>
    <row r="3700" spans="1:38" hidden="1" x14ac:dyDescent="0.2">
      <c r="A3700" s="2">
        <v>2026</v>
      </c>
      <c r="B3700" s="2">
        <v>4</v>
      </c>
      <c r="D3700" s="2" t="s">
        <v>2525</v>
      </c>
      <c r="P3700" s="2" t="s">
        <v>43</v>
      </c>
      <c r="Q3700" s="2" t="s">
        <v>2382</v>
      </c>
      <c r="R3700" s="2" t="s">
        <v>2383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3231</v>
      </c>
      <c r="AA3700" s="2" t="s">
        <v>46</v>
      </c>
      <c r="AB3700" s="2" t="s">
        <v>91</v>
      </c>
      <c r="AC3700" s="2" t="s">
        <v>58</v>
      </c>
      <c r="AF3700" s="2">
        <f t="shared" si="459"/>
        <v>0</v>
      </c>
      <c r="AJ3700" s="2">
        <f t="shared" si="460"/>
        <v>0</v>
      </c>
      <c r="AK3700" s="2">
        <f>T3700+(W3700)</f>
        <v>-60</v>
      </c>
      <c r="AL3700" s="18">
        <f>SIGN(T3700)*((ABS(T3700)-W3700)/ABS(T3700))</f>
        <v>-1</v>
      </c>
    </row>
    <row r="3701" spans="1:38" hidden="1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2867</v>
      </c>
      <c r="P3701" s="2" t="s">
        <v>43</v>
      </c>
      <c r="Q3701" s="2" t="s">
        <v>2868</v>
      </c>
      <c r="R3701" s="2" t="s">
        <v>2869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66">(T3701-W3701)/T3701</f>
        <v>0.25811111111111118</v>
      </c>
      <c r="Z3701" s="2" t="s">
        <v>3231</v>
      </c>
      <c r="AA3701" s="2" t="s">
        <v>46</v>
      </c>
      <c r="AB3701" s="2" t="s">
        <v>68</v>
      </c>
      <c r="AC3701" s="2" t="s">
        <v>58</v>
      </c>
      <c r="AF3701" s="2">
        <f t="shared" si="459"/>
        <v>0</v>
      </c>
      <c r="AG3701" s="2">
        <v>16.692499999999999</v>
      </c>
      <c r="AH3701" s="2">
        <v>27.6</v>
      </c>
      <c r="AJ3701" s="2">
        <f t="shared" si="460"/>
        <v>0</v>
      </c>
      <c r="AK3701" s="2">
        <f t="shared" si="456"/>
        <v>11.615000000000002</v>
      </c>
      <c r="AL3701" s="5">
        <f t="shared" ref="AL3701:AL3732" si="467">(T3701-W3701)/T3701</f>
        <v>0.25811111111111118</v>
      </c>
    </row>
    <row r="3702" spans="1:38" hidden="1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2853</v>
      </c>
      <c r="P3702" s="2" t="s">
        <v>43</v>
      </c>
      <c r="Q3702" s="2" t="s">
        <v>2868</v>
      </c>
      <c r="R3702" s="2" t="s">
        <v>2869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66"/>
        <v>0.27423913043478265</v>
      </c>
      <c r="Z3702" s="2" t="s">
        <v>3231</v>
      </c>
      <c r="AA3702" s="2" t="s">
        <v>46</v>
      </c>
      <c r="AB3702" s="2" t="s">
        <v>68</v>
      </c>
      <c r="AC3702" s="2" t="s">
        <v>58</v>
      </c>
      <c r="AF3702" s="2">
        <f t="shared" si="459"/>
        <v>0</v>
      </c>
      <c r="AG3702" s="2">
        <v>16.692499999999999</v>
      </c>
      <c r="AH3702" s="2">
        <v>27.6</v>
      </c>
      <c r="AJ3702" s="2">
        <f t="shared" si="460"/>
        <v>0</v>
      </c>
      <c r="AK3702" s="2">
        <f t="shared" ref="AK3702:AK3765" si="468">T3702-W3702</f>
        <v>6.307500000000001</v>
      </c>
      <c r="AL3702" s="5">
        <f t="shared" si="467"/>
        <v>0.27423913043478265</v>
      </c>
    </row>
    <row r="3703" spans="1:38" hidden="1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2870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466"/>
        <v>0.20122173913043473</v>
      </c>
      <c r="Z3703" s="2" t="s">
        <v>3231</v>
      </c>
      <c r="AA3703" s="2" t="s">
        <v>46</v>
      </c>
      <c r="AB3703" s="2" t="s">
        <v>61</v>
      </c>
      <c r="AC3703" s="2" t="s">
        <v>58</v>
      </c>
      <c r="AF3703" s="2">
        <f t="shared" si="459"/>
        <v>0</v>
      </c>
      <c r="AJ3703" s="2">
        <f t="shared" si="460"/>
        <v>0</v>
      </c>
      <c r="AK3703" s="2">
        <f t="shared" si="468"/>
        <v>111.07439999999997</v>
      </c>
      <c r="AL3703" s="5">
        <f t="shared" si="467"/>
        <v>0.20122173913043473</v>
      </c>
    </row>
    <row r="3704" spans="1:38" hidden="1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2870</v>
      </c>
      <c r="P3704" s="2" t="s">
        <v>43</v>
      </c>
      <c r="Q3704" s="2" t="s">
        <v>973</v>
      </c>
      <c r="R3704" s="2" t="s">
        <v>974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66"/>
        <v>1</v>
      </c>
      <c r="Z3704" s="2" t="s">
        <v>3231</v>
      </c>
      <c r="AA3704" s="2" t="s">
        <v>46</v>
      </c>
      <c r="AB3704" s="2" t="s">
        <v>61</v>
      </c>
      <c r="AC3704" s="2" t="s">
        <v>58</v>
      </c>
      <c r="AF3704" s="2">
        <f t="shared" si="459"/>
        <v>0</v>
      </c>
      <c r="AJ3704" s="2">
        <f t="shared" si="460"/>
        <v>0</v>
      </c>
      <c r="AK3704" s="2">
        <f t="shared" si="468"/>
        <v>552</v>
      </c>
      <c r="AL3704" s="5">
        <f t="shared" si="467"/>
        <v>1</v>
      </c>
    </row>
    <row r="3705" spans="1:38" hidden="1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466"/>
        <v>0.46722222222222226</v>
      </c>
      <c r="Z3705" s="2" t="s">
        <v>3231</v>
      </c>
      <c r="AA3705" s="2" t="s">
        <v>46</v>
      </c>
      <c r="AB3705" s="2" t="s">
        <v>61</v>
      </c>
      <c r="AC3705" s="2" t="s">
        <v>58</v>
      </c>
      <c r="AF3705" s="2">
        <f t="shared" si="459"/>
        <v>0</v>
      </c>
      <c r="AJ3705" s="2">
        <f t="shared" si="460"/>
        <v>0</v>
      </c>
      <c r="AK3705" s="2">
        <f t="shared" si="468"/>
        <v>6.7280000000000006</v>
      </c>
      <c r="AL3705" s="5">
        <f t="shared" si="467"/>
        <v>0.46722222222222226</v>
      </c>
    </row>
    <row r="3706" spans="1:38" hidden="1" x14ac:dyDescent="0.2">
      <c r="A3706" s="2">
        <v>2026</v>
      </c>
      <c r="B3706" s="2">
        <v>4</v>
      </c>
      <c r="C3706" s="2" t="s">
        <v>3449</v>
      </c>
      <c r="D3706" s="2" t="s">
        <v>1891</v>
      </c>
      <c r="E3706" s="2" t="s">
        <v>38</v>
      </c>
      <c r="F3706" s="2" t="s">
        <v>39</v>
      </c>
      <c r="L3706" s="2" t="s">
        <v>462</v>
      </c>
      <c r="M3706" s="2" t="s">
        <v>81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66"/>
        <v>0.46925333333333336</v>
      </c>
      <c r="Z3706" s="2" t="s">
        <v>3231</v>
      </c>
      <c r="AA3706" s="2" t="s">
        <v>46</v>
      </c>
      <c r="AB3706" s="2" t="s">
        <v>68</v>
      </c>
      <c r="AC3706" s="2" t="s">
        <v>58</v>
      </c>
      <c r="AF3706" s="2">
        <f t="shared" si="459"/>
        <v>0</v>
      </c>
      <c r="AG3706" s="2">
        <v>7.9611999999999998</v>
      </c>
      <c r="AH3706" s="2">
        <v>14.4</v>
      </c>
      <c r="AJ3706" s="2">
        <f t="shared" si="460"/>
        <v>0</v>
      </c>
      <c r="AK3706" s="2">
        <f t="shared" si="468"/>
        <v>28.155200000000001</v>
      </c>
      <c r="AL3706" s="5">
        <f t="shared" si="467"/>
        <v>0.46925333333333336</v>
      </c>
    </row>
    <row r="3707" spans="1:38" hidden="1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69">15.0203*S3707</f>
        <v>15.020300000000001</v>
      </c>
      <c r="X3707" s="5">
        <f t="shared" si="466"/>
        <v>0.45578623188405798</v>
      </c>
      <c r="Z3707" s="2" t="s">
        <v>3231</v>
      </c>
      <c r="AA3707" s="2" t="s">
        <v>46</v>
      </c>
      <c r="AB3707" s="2" t="s">
        <v>68</v>
      </c>
      <c r="AC3707" s="2" t="s">
        <v>58</v>
      </c>
      <c r="AF3707" s="2">
        <f t="shared" si="459"/>
        <v>0</v>
      </c>
      <c r="AG3707" s="2">
        <v>15.020300000000001</v>
      </c>
      <c r="AH3707" s="2">
        <v>27.6</v>
      </c>
      <c r="AJ3707" s="2">
        <f t="shared" si="460"/>
        <v>0</v>
      </c>
      <c r="AK3707" s="2">
        <f t="shared" si="468"/>
        <v>12.579700000000001</v>
      </c>
      <c r="AL3707" s="5">
        <f t="shared" si="467"/>
        <v>0.45578623188405798</v>
      </c>
    </row>
    <row r="3708" spans="1:38" hidden="1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69"/>
        <v>45.060900000000004</v>
      </c>
      <c r="X3708" s="5">
        <f t="shared" si="466"/>
        <v>0.37415416666666662</v>
      </c>
      <c r="Z3708" s="2" t="s">
        <v>3231</v>
      </c>
      <c r="AA3708" s="2" t="s">
        <v>46</v>
      </c>
      <c r="AB3708" s="2" t="s">
        <v>68</v>
      </c>
      <c r="AC3708" s="2" t="s">
        <v>58</v>
      </c>
      <c r="AF3708" s="2">
        <f t="shared" si="459"/>
        <v>0</v>
      </c>
      <c r="AG3708" s="2">
        <v>15.020300000000001</v>
      </c>
      <c r="AH3708" s="2">
        <v>27.6</v>
      </c>
      <c r="AJ3708" s="2">
        <f t="shared" si="460"/>
        <v>0</v>
      </c>
      <c r="AK3708" s="2">
        <f t="shared" si="468"/>
        <v>26.939099999999996</v>
      </c>
      <c r="AL3708" s="5">
        <f t="shared" si="467"/>
        <v>0.37415416666666662</v>
      </c>
    </row>
    <row r="3709" spans="1:38" hidden="1" x14ac:dyDescent="0.2">
      <c r="A3709" s="2">
        <v>2026</v>
      </c>
      <c r="B3709" s="2">
        <v>4</v>
      </c>
      <c r="D3709" s="2" t="s">
        <v>782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783</v>
      </c>
      <c r="J3709" s="2" t="s">
        <v>784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69"/>
        <v>15.020300000000001</v>
      </c>
      <c r="X3709" s="5">
        <f t="shared" si="466"/>
        <v>0.45578623188405798</v>
      </c>
      <c r="Z3709" s="2" t="s">
        <v>3231</v>
      </c>
      <c r="AA3709" s="2" t="s">
        <v>46</v>
      </c>
      <c r="AB3709" s="2" t="s">
        <v>68</v>
      </c>
      <c r="AC3709" s="2" t="s">
        <v>58</v>
      </c>
      <c r="AF3709" s="2">
        <f t="shared" si="459"/>
        <v>0</v>
      </c>
      <c r="AG3709" s="2">
        <v>15.020300000000001</v>
      </c>
      <c r="AH3709" s="2">
        <v>27.6</v>
      </c>
      <c r="AJ3709" s="2">
        <f t="shared" si="460"/>
        <v>0</v>
      </c>
      <c r="AK3709" s="2">
        <f t="shared" si="468"/>
        <v>12.579700000000001</v>
      </c>
      <c r="AL3709" s="5">
        <f t="shared" si="467"/>
        <v>0.45578623188405798</v>
      </c>
    </row>
    <row r="3710" spans="1:38" hidden="1" x14ac:dyDescent="0.2">
      <c r="A3710" s="2">
        <v>2026</v>
      </c>
      <c r="B3710" s="2">
        <v>4</v>
      </c>
      <c r="D3710" s="2" t="s">
        <v>1067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69"/>
        <v>150.203</v>
      </c>
      <c r="X3710" s="5">
        <f t="shared" si="466"/>
        <v>0.30138139534883718</v>
      </c>
      <c r="Z3710" s="2" t="s">
        <v>3231</v>
      </c>
      <c r="AA3710" s="2" t="s">
        <v>46</v>
      </c>
      <c r="AB3710" s="2" t="s">
        <v>68</v>
      </c>
      <c r="AC3710" s="2" t="s">
        <v>58</v>
      </c>
      <c r="AF3710" s="2">
        <f t="shared" si="459"/>
        <v>0</v>
      </c>
      <c r="AG3710" s="2">
        <v>15.020300000000001</v>
      </c>
      <c r="AH3710" s="2">
        <v>27.6</v>
      </c>
      <c r="AJ3710" s="2">
        <f t="shared" si="460"/>
        <v>0</v>
      </c>
      <c r="AK3710" s="2">
        <f t="shared" si="468"/>
        <v>64.796999999999997</v>
      </c>
      <c r="AL3710" s="5">
        <f t="shared" si="467"/>
        <v>0.30138139534883718</v>
      </c>
    </row>
    <row r="3711" spans="1:38" hidden="1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2871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69"/>
        <v>15.020300000000001</v>
      </c>
      <c r="X3711" s="5">
        <f t="shared" si="466"/>
        <v>0.45578623188405798</v>
      </c>
      <c r="Z3711" s="2" t="s">
        <v>3231</v>
      </c>
      <c r="AA3711" s="2" t="s">
        <v>46</v>
      </c>
      <c r="AB3711" s="2" t="s">
        <v>68</v>
      </c>
      <c r="AC3711" s="2" t="s">
        <v>58</v>
      </c>
      <c r="AF3711" s="2">
        <f t="shared" si="459"/>
        <v>0</v>
      </c>
      <c r="AG3711" s="2">
        <v>15.020300000000001</v>
      </c>
      <c r="AH3711" s="2">
        <v>27.6</v>
      </c>
      <c r="AJ3711" s="2">
        <f t="shared" si="460"/>
        <v>0</v>
      </c>
      <c r="AK3711" s="2">
        <f t="shared" si="468"/>
        <v>12.579700000000001</v>
      </c>
      <c r="AL3711" s="5">
        <f t="shared" si="467"/>
        <v>0.45578623188405798</v>
      </c>
    </row>
    <row r="3712" spans="1:38" hidden="1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69"/>
        <v>600.81200000000001</v>
      </c>
      <c r="X3712" s="5">
        <f t="shared" si="466"/>
        <v>0.28474761904761903</v>
      </c>
      <c r="Z3712" s="2" t="s">
        <v>3231</v>
      </c>
      <c r="AA3712" s="2" t="s">
        <v>46</v>
      </c>
      <c r="AB3712" s="2" t="s">
        <v>68</v>
      </c>
      <c r="AC3712" s="2" t="s">
        <v>58</v>
      </c>
      <c r="AF3712" s="2">
        <f t="shared" si="459"/>
        <v>0</v>
      </c>
      <c r="AG3712" s="2">
        <v>15.020300000000001</v>
      </c>
      <c r="AH3712" s="2">
        <v>27.6</v>
      </c>
      <c r="AJ3712" s="2">
        <f t="shared" si="460"/>
        <v>0</v>
      </c>
      <c r="AK3712" s="2">
        <f t="shared" si="468"/>
        <v>239.18799999999999</v>
      </c>
      <c r="AL3712" s="5">
        <f t="shared" si="467"/>
        <v>0.28474761904761903</v>
      </c>
    </row>
    <row r="3713" spans="1:38" hidden="1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66"/>
        <v>0.40610714285714283</v>
      </c>
      <c r="Z3713" s="2" t="s">
        <v>3231</v>
      </c>
      <c r="AA3713" s="2" t="s">
        <v>46</v>
      </c>
      <c r="AB3713" s="2" t="s">
        <v>68</v>
      </c>
      <c r="AC3713" s="2" t="s">
        <v>58</v>
      </c>
      <c r="AF3713" s="2">
        <f t="shared" si="459"/>
        <v>0</v>
      </c>
      <c r="AG3713" s="2">
        <v>8.3145000000000007</v>
      </c>
      <c r="AH3713" s="2">
        <v>15</v>
      </c>
      <c r="AJ3713" s="2">
        <f t="shared" si="460"/>
        <v>0</v>
      </c>
      <c r="AK3713" s="2">
        <f t="shared" si="468"/>
        <v>11.370999999999999</v>
      </c>
      <c r="AL3713" s="5">
        <f t="shared" si="467"/>
        <v>0.40610714285714283</v>
      </c>
    </row>
    <row r="3714" spans="1:38" hidden="1" x14ac:dyDescent="0.2">
      <c r="A3714" s="2">
        <v>2026</v>
      </c>
      <c r="B3714" s="2">
        <v>4</v>
      </c>
      <c r="D3714" s="2" t="s">
        <v>2520</v>
      </c>
      <c r="E3714" s="2" t="s">
        <v>753</v>
      </c>
      <c r="F3714" s="2" t="s">
        <v>39</v>
      </c>
      <c r="G3714" s="2">
        <v>515570354</v>
      </c>
      <c r="H3714" s="2" t="s">
        <v>110</v>
      </c>
      <c r="I3714" s="2" t="s">
        <v>2521</v>
      </c>
      <c r="J3714" s="2" t="s">
        <v>2522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66"/>
        <v>0.44569999999999993</v>
      </c>
      <c r="Z3714" s="2" t="s">
        <v>3231</v>
      </c>
      <c r="AA3714" s="2" t="s">
        <v>46</v>
      </c>
      <c r="AB3714" s="2" t="s">
        <v>68</v>
      </c>
      <c r="AC3714" s="2" t="s">
        <v>58</v>
      </c>
      <c r="AF3714" s="2">
        <f t="shared" si="459"/>
        <v>0</v>
      </c>
      <c r="AG3714" s="2">
        <v>8.3145000000000007</v>
      </c>
      <c r="AH3714" s="2">
        <v>15</v>
      </c>
      <c r="AJ3714" s="2">
        <f t="shared" si="460"/>
        <v>0</v>
      </c>
      <c r="AK3714" s="2">
        <f t="shared" si="468"/>
        <v>6.6854999999999993</v>
      </c>
      <c r="AL3714" s="5">
        <f t="shared" si="467"/>
        <v>0.44569999999999993</v>
      </c>
    </row>
    <row r="3715" spans="1:38" hidden="1" x14ac:dyDescent="0.2">
      <c r="A3715" s="2">
        <v>2026</v>
      </c>
      <c r="B3715" s="2">
        <v>4</v>
      </c>
      <c r="C3715" s="2" t="s">
        <v>3449</v>
      </c>
      <c r="D3715" s="2" t="s">
        <v>1891</v>
      </c>
      <c r="E3715" s="2" t="s">
        <v>38</v>
      </c>
      <c r="F3715" s="2" t="s">
        <v>39</v>
      </c>
      <c r="L3715" s="2" t="s">
        <v>462</v>
      </c>
      <c r="M3715" s="2" t="s">
        <v>81</v>
      </c>
      <c r="O3715" s="2" t="s">
        <v>2872</v>
      </c>
      <c r="P3715" s="2" t="s">
        <v>43</v>
      </c>
      <c r="Q3715" s="2" t="s">
        <v>2873</v>
      </c>
      <c r="R3715" s="2" t="s">
        <v>2874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66"/>
        <v>0.40366666666666667</v>
      </c>
      <c r="Z3715" s="2" t="s">
        <v>3231</v>
      </c>
      <c r="AA3715" s="2" t="s">
        <v>46</v>
      </c>
      <c r="AB3715" s="2" t="s">
        <v>91</v>
      </c>
      <c r="AC3715" s="2" t="s">
        <v>58</v>
      </c>
      <c r="AF3715" s="2">
        <f t="shared" ref="AF3715:AF3778" si="470">AJ3715</f>
        <v>0</v>
      </c>
      <c r="AG3715" s="2">
        <v>35.78</v>
      </c>
      <c r="AH3715" s="2">
        <v>63.6</v>
      </c>
      <c r="AJ3715" s="2">
        <f t="shared" ref="AJ3715:AJ3778" si="471">AI3715*T3715</f>
        <v>0</v>
      </c>
      <c r="AK3715" s="2">
        <f t="shared" si="468"/>
        <v>24.22</v>
      </c>
      <c r="AL3715" s="5">
        <f t="shared" si="467"/>
        <v>0.40366666666666667</v>
      </c>
    </row>
    <row r="3716" spans="1:38" hidden="1" x14ac:dyDescent="0.2">
      <c r="A3716" s="2">
        <v>2026</v>
      </c>
      <c r="B3716" s="2">
        <v>4</v>
      </c>
      <c r="C3716" s="2" t="s">
        <v>3323</v>
      </c>
      <c r="D3716" s="2" t="s">
        <v>1164</v>
      </c>
      <c r="E3716" s="2" t="s">
        <v>753</v>
      </c>
      <c r="G3716" s="2">
        <v>508199280</v>
      </c>
      <c r="H3716" s="2" t="s">
        <v>40</v>
      </c>
      <c r="I3716" s="2" t="s">
        <v>1165</v>
      </c>
      <c r="L3716" s="2" t="s">
        <v>294</v>
      </c>
      <c r="M3716" s="2" t="s">
        <v>40</v>
      </c>
      <c r="P3716" s="2" t="s">
        <v>3234</v>
      </c>
      <c r="Q3716" s="2" t="s">
        <v>2875</v>
      </c>
      <c r="R3716" s="2" t="s">
        <v>2876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66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3234</v>
      </c>
      <c r="AF3716" s="2">
        <f t="shared" si="470"/>
        <v>0</v>
      </c>
      <c r="AJ3716" s="2">
        <f t="shared" si="471"/>
        <v>0</v>
      </c>
      <c r="AK3716" s="2">
        <f t="shared" si="468"/>
        <v>7073.38</v>
      </c>
      <c r="AL3716" s="5">
        <f t="shared" si="467"/>
        <v>0.58993994995829857</v>
      </c>
    </row>
    <row r="3717" spans="1:38" hidden="1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2877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3231</v>
      </c>
      <c r="AA3717" s="2" t="s">
        <v>76</v>
      </c>
      <c r="AB3717" s="2" t="s">
        <v>77</v>
      </c>
      <c r="AC3717" s="2" t="s">
        <v>40</v>
      </c>
      <c r="AF3717" s="2">
        <f t="shared" si="470"/>
        <v>0</v>
      </c>
      <c r="AJ3717" s="2">
        <f t="shared" si="471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hidden="1" x14ac:dyDescent="0.2">
      <c r="A3718" s="2">
        <v>2026</v>
      </c>
      <c r="B3718" s="2">
        <v>4</v>
      </c>
      <c r="D3718" s="2" t="s">
        <v>962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1991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66"/>
        <v>0.42947272727272723</v>
      </c>
      <c r="Z3718" s="2" t="s">
        <v>3231</v>
      </c>
      <c r="AA3718" s="2" t="s">
        <v>76</v>
      </c>
      <c r="AB3718" s="2" t="s">
        <v>77</v>
      </c>
      <c r="AC3718" s="2" t="s">
        <v>78</v>
      </c>
      <c r="AF3718" s="2">
        <f t="shared" si="470"/>
        <v>0</v>
      </c>
      <c r="AG3718" s="2">
        <v>125.51600000000001</v>
      </c>
      <c r="AH3718" s="2">
        <v>220</v>
      </c>
      <c r="AJ3718" s="2">
        <f t="shared" si="471"/>
        <v>0</v>
      </c>
      <c r="AK3718" s="2">
        <f t="shared" si="468"/>
        <v>94.483999999999995</v>
      </c>
      <c r="AL3718" s="5">
        <f t="shared" si="467"/>
        <v>0.42947272727272723</v>
      </c>
    </row>
    <row r="3719" spans="1:38" hidden="1" x14ac:dyDescent="0.2">
      <c r="A3719" s="2">
        <v>2026</v>
      </c>
      <c r="B3719" s="2">
        <v>4</v>
      </c>
      <c r="D3719" s="2" t="s">
        <v>732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733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66"/>
        <v>0.42947272727272723</v>
      </c>
      <c r="Z3719" s="2" t="s">
        <v>3231</v>
      </c>
      <c r="AA3719" s="2" t="s">
        <v>76</v>
      </c>
      <c r="AB3719" s="2" t="s">
        <v>77</v>
      </c>
      <c r="AC3719" s="2" t="s">
        <v>78</v>
      </c>
      <c r="AF3719" s="2">
        <f t="shared" si="470"/>
        <v>0</v>
      </c>
      <c r="AG3719" s="2">
        <v>125.51600000000001</v>
      </c>
      <c r="AH3719" s="2">
        <v>220</v>
      </c>
      <c r="AJ3719" s="2">
        <f t="shared" si="471"/>
        <v>0</v>
      </c>
      <c r="AK3719" s="2">
        <f t="shared" si="468"/>
        <v>94.483999999999995</v>
      </c>
      <c r="AL3719" s="5">
        <f t="shared" si="467"/>
        <v>0.42947272727272723</v>
      </c>
    </row>
    <row r="3720" spans="1:38" hidden="1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66"/>
        <v>0.42947272727272723</v>
      </c>
      <c r="Z3720" s="2" t="s">
        <v>3231</v>
      </c>
      <c r="AA3720" s="2" t="s">
        <v>76</v>
      </c>
      <c r="AB3720" s="2" t="s">
        <v>77</v>
      </c>
      <c r="AC3720" s="2" t="s">
        <v>78</v>
      </c>
      <c r="AF3720" s="2">
        <f t="shared" si="470"/>
        <v>0</v>
      </c>
      <c r="AG3720" s="2">
        <v>125.51600000000001</v>
      </c>
      <c r="AH3720" s="2">
        <v>220</v>
      </c>
      <c r="AJ3720" s="2">
        <f t="shared" si="471"/>
        <v>0</v>
      </c>
      <c r="AK3720" s="2">
        <f t="shared" si="468"/>
        <v>94.483999999999995</v>
      </c>
      <c r="AL3720" s="5">
        <f t="shared" si="467"/>
        <v>0.42947272727272723</v>
      </c>
    </row>
    <row r="3721" spans="1:38" hidden="1" x14ac:dyDescent="0.2">
      <c r="A3721" s="2">
        <v>2026</v>
      </c>
      <c r="B3721" s="2">
        <v>4</v>
      </c>
      <c r="D3721" s="2" t="s">
        <v>1258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66"/>
        <v>0.42947272727272723</v>
      </c>
      <c r="Z3721" s="2" t="s">
        <v>3231</v>
      </c>
      <c r="AA3721" s="2" t="s">
        <v>76</v>
      </c>
      <c r="AB3721" s="2" t="s">
        <v>77</v>
      </c>
      <c r="AC3721" s="2" t="s">
        <v>78</v>
      </c>
      <c r="AF3721" s="2">
        <f t="shared" si="470"/>
        <v>0</v>
      </c>
      <c r="AG3721" s="2">
        <v>125.51600000000001</v>
      </c>
      <c r="AH3721" s="2">
        <v>220</v>
      </c>
      <c r="AJ3721" s="2">
        <f t="shared" si="471"/>
        <v>0</v>
      </c>
      <c r="AK3721" s="2">
        <f t="shared" si="468"/>
        <v>94.483999999999995</v>
      </c>
      <c r="AL3721" s="5">
        <f t="shared" si="467"/>
        <v>0.42947272727272723</v>
      </c>
    </row>
    <row r="3722" spans="1:38" hidden="1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2878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66"/>
        <v>0.42947272727272723</v>
      </c>
      <c r="Z3722" s="2" t="s">
        <v>3231</v>
      </c>
      <c r="AA3722" s="2" t="s">
        <v>76</v>
      </c>
      <c r="AB3722" s="2" t="s">
        <v>77</v>
      </c>
      <c r="AC3722" s="2" t="s">
        <v>78</v>
      </c>
      <c r="AF3722" s="2">
        <f t="shared" si="470"/>
        <v>0</v>
      </c>
      <c r="AG3722" s="2">
        <v>125.51600000000001</v>
      </c>
      <c r="AH3722" s="2">
        <v>220</v>
      </c>
      <c r="AJ3722" s="2">
        <f t="shared" si="471"/>
        <v>0</v>
      </c>
      <c r="AK3722" s="2">
        <f t="shared" si="468"/>
        <v>188.96799999999999</v>
      </c>
      <c r="AL3722" s="5">
        <f t="shared" si="467"/>
        <v>0.42947272727272723</v>
      </c>
    </row>
    <row r="3723" spans="1:38" hidden="1" x14ac:dyDescent="0.2">
      <c r="A3723" s="2">
        <v>2026</v>
      </c>
      <c r="B3723" s="2">
        <v>4</v>
      </c>
      <c r="D3723" s="2" t="s">
        <v>896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66"/>
        <v>0.42947272727272723</v>
      </c>
      <c r="Z3723" s="2" t="s">
        <v>3231</v>
      </c>
      <c r="AA3723" s="2" t="s">
        <v>76</v>
      </c>
      <c r="AB3723" s="2" t="s">
        <v>77</v>
      </c>
      <c r="AC3723" s="2" t="s">
        <v>78</v>
      </c>
      <c r="AF3723" s="2">
        <f t="shared" si="470"/>
        <v>0</v>
      </c>
      <c r="AG3723" s="2">
        <v>125.51600000000001</v>
      </c>
      <c r="AH3723" s="2">
        <v>220</v>
      </c>
      <c r="AJ3723" s="2">
        <f t="shared" si="471"/>
        <v>0</v>
      </c>
      <c r="AK3723" s="2">
        <f t="shared" si="468"/>
        <v>94.483999999999995</v>
      </c>
      <c r="AL3723" s="5">
        <f t="shared" si="467"/>
        <v>0.42947272727272723</v>
      </c>
    </row>
    <row r="3724" spans="1:38" hidden="1" x14ac:dyDescent="0.2">
      <c r="A3724" s="2">
        <v>2026</v>
      </c>
      <c r="B3724" s="2">
        <v>4</v>
      </c>
      <c r="D3724" s="2" t="s">
        <v>1297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1298</v>
      </c>
      <c r="L3724" s="2" t="s">
        <v>340</v>
      </c>
      <c r="M3724" s="2" t="s">
        <v>81</v>
      </c>
      <c r="O3724" s="2" t="s">
        <v>2879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66"/>
        <v>0.41182755388940956</v>
      </c>
      <c r="Z3724" s="2" t="s">
        <v>3231</v>
      </c>
      <c r="AA3724" s="2" t="s">
        <v>76</v>
      </c>
      <c r="AB3724" s="2" t="s">
        <v>77</v>
      </c>
      <c r="AC3724" s="2" t="s">
        <v>78</v>
      </c>
      <c r="AF3724" s="2">
        <f t="shared" si="470"/>
        <v>0</v>
      </c>
      <c r="AG3724" s="2">
        <v>125.51600000000001</v>
      </c>
      <c r="AH3724" s="2">
        <v>220</v>
      </c>
      <c r="AJ3724" s="2">
        <f t="shared" si="471"/>
        <v>0</v>
      </c>
      <c r="AK3724" s="2">
        <f t="shared" si="468"/>
        <v>87.884</v>
      </c>
      <c r="AL3724" s="5">
        <f t="shared" si="467"/>
        <v>0.41182755388940956</v>
      </c>
    </row>
    <row r="3725" spans="1:38" hidden="1" x14ac:dyDescent="0.2">
      <c r="A3725" s="2">
        <v>2026</v>
      </c>
      <c r="B3725" s="2">
        <v>4</v>
      </c>
      <c r="D3725" s="2" t="s">
        <v>1959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66"/>
        <v>0.42947272727272723</v>
      </c>
      <c r="Z3725" s="2" t="s">
        <v>3231</v>
      </c>
      <c r="AA3725" s="2" t="s">
        <v>76</v>
      </c>
      <c r="AB3725" s="2" t="s">
        <v>77</v>
      </c>
      <c r="AC3725" s="2" t="s">
        <v>78</v>
      </c>
      <c r="AF3725" s="2">
        <f t="shared" si="470"/>
        <v>0</v>
      </c>
      <c r="AG3725" s="2">
        <v>125.51600000000001</v>
      </c>
      <c r="AH3725" s="2">
        <v>220</v>
      </c>
      <c r="AJ3725" s="2">
        <f t="shared" si="471"/>
        <v>0</v>
      </c>
      <c r="AK3725" s="2">
        <f t="shared" si="468"/>
        <v>94.483999999999995</v>
      </c>
      <c r="AL3725" s="5">
        <f t="shared" si="467"/>
        <v>0.42947272727272723</v>
      </c>
    </row>
    <row r="3726" spans="1:38" hidden="1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2880</v>
      </c>
      <c r="P3726" s="2" t="s">
        <v>73</v>
      </c>
      <c r="Q3726" s="2" t="s">
        <v>682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66"/>
        <v>0.52504545454545459</v>
      </c>
      <c r="Z3726" s="2" t="s">
        <v>3231</v>
      </c>
      <c r="AA3726" s="2" t="s">
        <v>76</v>
      </c>
      <c r="AB3726" s="2" t="s">
        <v>77</v>
      </c>
      <c r="AC3726" s="2" t="s">
        <v>78</v>
      </c>
      <c r="AF3726" s="2">
        <f t="shared" si="470"/>
        <v>0</v>
      </c>
      <c r="AG3726" s="2">
        <v>104.49</v>
      </c>
      <c r="AH3726" s="2">
        <v>220</v>
      </c>
      <c r="AJ3726" s="2">
        <f t="shared" si="471"/>
        <v>0</v>
      </c>
      <c r="AK3726" s="2">
        <f t="shared" si="468"/>
        <v>115.51</v>
      </c>
      <c r="AL3726" s="5">
        <f t="shared" si="467"/>
        <v>0.52504545454545459</v>
      </c>
    </row>
    <row r="3727" spans="1:38" hidden="1" x14ac:dyDescent="0.2">
      <c r="A3727" s="2">
        <v>2026</v>
      </c>
      <c r="B3727" s="2">
        <v>4</v>
      </c>
      <c r="D3727" s="2" t="s">
        <v>2881</v>
      </c>
      <c r="M3727" s="2" t="s">
        <v>41</v>
      </c>
      <c r="P3727" s="2" t="s">
        <v>73</v>
      </c>
      <c r="Q3727" s="2" t="s">
        <v>2882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66"/>
        <v>0.47704545454545455</v>
      </c>
      <c r="Z3727" s="2" t="s">
        <v>3231</v>
      </c>
      <c r="AA3727" s="2" t="s">
        <v>76</v>
      </c>
      <c r="AB3727" s="2" t="s">
        <v>77</v>
      </c>
      <c r="AC3727" s="2" t="s">
        <v>78</v>
      </c>
      <c r="AF3727" s="2">
        <f t="shared" si="470"/>
        <v>0</v>
      </c>
      <c r="AG3727" s="2">
        <v>115.05</v>
      </c>
      <c r="AJ3727" s="2">
        <f t="shared" si="471"/>
        <v>0</v>
      </c>
      <c r="AK3727" s="2">
        <f t="shared" si="468"/>
        <v>104.95</v>
      </c>
      <c r="AL3727" s="5">
        <f t="shared" si="467"/>
        <v>0.47704545454545455</v>
      </c>
    </row>
    <row r="3728" spans="1:38" hidden="1" x14ac:dyDescent="0.2">
      <c r="A3728" s="2">
        <v>2026</v>
      </c>
      <c r="B3728" s="2">
        <v>4</v>
      </c>
      <c r="D3728" s="2" t="s">
        <v>1421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1274</v>
      </c>
      <c r="J3728" s="2" t="s">
        <v>2398</v>
      </c>
      <c r="L3728" s="2" t="s">
        <v>178</v>
      </c>
      <c r="M3728" s="2" t="s">
        <v>41</v>
      </c>
      <c r="O3728" s="2" t="s">
        <v>2883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66"/>
        <v>0.37426086956521742</v>
      </c>
      <c r="Z3728" s="2" t="s">
        <v>3231</v>
      </c>
      <c r="AA3728" s="2" t="s">
        <v>76</v>
      </c>
      <c r="AB3728" s="2" t="s">
        <v>77</v>
      </c>
      <c r="AC3728" s="2" t="s">
        <v>78</v>
      </c>
      <c r="AF3728" s="2">
        <f t="shared" si="470"/>
        <v>0</v>
      </c>
      <c r="AG3728" s="2">
        <v>143.91999999999999</v>
      </c>
      <c r="AJ3728" s="2">
        <f t="shared" si="471"/>
        <v>0</v>
      </c>
      <c r="AK3728" s="2">
        <f t="shared" si="468"/>
        <v>86.080000000000013</v>
      </c>
      <c r="AL3728" s="5">
        <f t="shared" si="467"/>
        <v>0.37426086956521742</v>
      </c>
    </row>
    <row r="3729" spans="1:38" hidden="1" x14ac:dyDescent="0.2">
      <c r="A3729" s="2">
        <v>2026</v>
      </c>
      <c r="B3729" s="2">
        <v>4</v>
      </c>
      <c r="D3729" s="2" t="s">
        <v>2884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66"/>
        <v>0.39365217391304347</v>
      </c>
      <c r="Z3729" s="2" t="s">
        <v>3231</v>
      </c>
      <c r="AA3729" s="2" t="s">
        <v>76</v>
      </c>
      <c r="AB3729" s="2" t="s">
        <v>77</v>
      </c>
      <c r="AC3729" s="2" t="s">
        <v>78</v>
      </c>
      <c r="AF3729" s="2">
        <f t="shared" si="470"/>
        <v>0</v>
      </c>
      <c r="AJ3729" s="2">
        <f t="shared" si="471"/>
        <v>0</v>
      </c>
      <c r="AK3729" s="2">
        <f t="shared" si="468"/>
        <v>90.539999999999992</v>
      </c>
      <c r="AL3729" s="5">
        <f t="shared" si="467"/>
        <v>0.39365217391304347</v>
      </c>
    </row>
    <row r="3730" spans="1:38" hidden="1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1024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66"/>
        <v>0.41681818181818175</v>
      </c>
      <c r="Z3730" s="2" t="s">
        <v>3231</v>
      </c>
      <c r="AA3730" s="2" t="s">
        <v>76</v>
      </c>
      <c r="AB3730" s="2" t="s">
        <v>77</v>
      </c>
      <c r="AC3730" s="2" t="s">
        <v>78</v>
      </c>
      <c r="AF3730" s="2">
        <f t="shared" si="470"/>
        <v>0</v>
      </c>
      <c r="AJ3730" s="2">
        <f t="shared" si="471"/>
        <v>0</v>
      </c>
      <c r="AK3730" s="2">
        <f t="shared" si="468"/>
        <v>91.699999999999989</v>
      </c>
      <c r="AL3730" s="5">
        <f t="shared" si="467"/>
        <v>0.41681818181818175</v>
      </c>
    </row>
    <row r="3731" spans="1:38" hidden="1" x14ac:dyDescent="0.2">
      <c r="A3731" s="2">
        <v>2026</v>
      </c>
      <c r="B3731" s="2">
        <v>4</v>
      </c>
      <c r="D3731" s="2" t="s">
        <v>1297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1298</v>
      </c>
      <c r="L3731" s="2" t="s">
        <v>340</v>
      </c>
      <c r="M3731" s="2" t="s">
        <v>81</v>
      </c>
      <c r="O3731" s="2" t="s">
        <v>2885</v>
      </c>
      <c r="P3731" s="2" t="s">
        <v>73</v>
      </c>
      <c r="Q3731" s="2" t="s">
        <v>665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66"/>
        <v>0.38559155621011287</v>
      </c>
      <c r="Z3731" s="2" t="s">
        <v>3231</v>
      </c>
      <c r="AA3731" s="2" t="s">
        <v>76</v>
      </c>
      <c r="AB3731" s="2" t="s">
        <v>77</v>
      </c>
      <c r="AC3731" s="2" t="s">
        <v>78</v>
      </c>
      <c r="AF3731" s="2">
        <f t="shared" si="470"/>
        <v>0</v>
      </c>
      <c r="AG3731" s="2">
        <v>105.59</v>
      </c>
      <c r="AJ3731" s="2">
        <f t="shared" si="471"/>
        <v>0</v>
      </c>
      <c r="AK3731" s="2">
        <f t="shared" si="468"/>
        <v>78.544999999999987</v>
      </c>
      <c r="AL3731" s="5">
        <f t="shared" si="467"/>
        <v>0.38559155621011287</v>
      </c>
    </row>
    <row r="3732" spans="1:38" hidden="1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2886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66"/>
        <v>0.4575909090909091</v>
      </c>
      <c r="Z3732" s="2" t="s">
        <v>3231</v>
      </c>
      <c r="AA3732" s="2" t="s">
        <v>76</v>
      </c>
      <c r="AB3732" s="2" t="s">
        <v>77</v>
      </c>
      <c r="AC3732" s="2" t="s">
        <v>78</v>
      </c>
      <c r="AF3732" s="2">
        <f t="shared" si="470"/>
        <v>0</v>
      </c>
      <c r="AG3732" s="2">
        <v>119.33</v>
      </c>
      <c r="AH3732" s="2">
        <v>220</v>
      </c>
      <c r="AJ3732" s="2">
        <f t="shared" si="471"/>
        <v>0</v>
      </c>
      <c r="AK3732" s="2">
        <f t="shared" si="468"/>
        <v>100.67</v>
      </c>
      <c r="AL3732" s="5">
        <f t="shared" si="467"/>
        <v>0.4575909090909091</v>
      </c>
    </row>
    <row r="3733" spans="1:38" hidden="1" x14ac:dyDescent="0.2">
      <c r="A3733" s="2">
        <v>2026</v>
      </c>
      <c r="B3733" s="2">
        <v>4</v>
      </c>
      <c r="D3733" s="2" t="s">
        <v>938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939</v>
      </c>
      <c r="J3733" s="2" t="s">
        <v>940</v>
      </c>
      <c r="K3733" s="2">
        <v>964771057</v>
      </c>
      <c r="L3733" s="2" t="s">
        <v>340</v>
      </c>
      <c r="M3733" s="2" t="s">
        <v>81</v>
      </c>
      <c r="O3733" s="2" t="s">
        <v>2887</v>
      </c>
      <c r="P3733" s="2" t="s">
        <v>73</v>
      </c>
      <c r="Q3733" s="2" t="s">
        <v>1037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66"/>
        <v>0.48486363636363639</v>
      </c>
      <c r="Z3733" s="2" t="s">
        <v>3231</v>
      </c>
      <c r="AA3733" s="2" t="s">
        <v>76</v>
      </c>
      <c r="AB3733" s="2" t="s">
        <v>77</v>
      </c>
      <c r="AC3733" s="2" t="s">
        <v>78</v>
      </c>
      <c r="AF3733" s="2">
        <f t="shared" si="470"/>
        <v>0</v>
      </c>
      <c r="AG3733" s="2">
        <v>113.33</v>
      </c>
      <c r="AH3733" s="2">
        <v>220</v>
      </c>
      <c r="AJ3733" s="2">
        <f t="shared" si="471"/>
        <v>0</v>
      </c>
      <c r="AK3733" s="2">
        <f t="shared" si="468"/>
        <v>106.67</v>
      </c>
      <c r="AL3733" s="5">
        <f t="shared" ref="AL3733:AL3764" si="472">(T3733-W3733)/T3733</f>
        <v>0.48486363636363639</v>
      </c>
    </row>
    <row r="3734" spans="1:38" hidden="1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1037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66"/>
        <v>0.44006916996047435</v>
      </c>
      <c r="Z3734" s="2" t="s">
        <v>3231</v>
      </c>
      <c r="AA3734" s="2" t="s">
        <v>76</v>
      </c>
      <c r="AB3734" s="2" t="s">
        <v>77</v>
      </c>
      <c r="AC3734" s="2" t="s">
        <v>78</v>
      </c>
      <c r="AF3734" s="2">
        <f t="shared" si="470"/>
        <v>0</v>
      </c>
      <c r="AG3734" s="2">
        <v>113.33</v>
      </c>
      <c r="AH3734" s="2">
        <v>220</v>
      </c>
      <c r="AJ3734" s="2">
        <f t="shared" si="471"/>
        <v>0</v>
      </c>
      <c r="AK3734" s="2">
        <f t="shared" si="468"/>
        <v>89.070000000000007</v>
      </c>
      <c r="AL3734" s="5">
        <f t="shared" si="472"/>
        <v>0.44006916996047435</v>
      </c>
    </row>
    <row r="3735" spans="1:38" hidden="1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2888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66"/>
        <v>0.49099999999999999</v>
      </c>
      <c r="Z3735" s="2" t="s">
        <v>3231</v>
      </c>
      <c r="AA3735" s="2" t="s">
        <v>76</v>
      </c>
      <c r="AB3735" s="2" t="s">
        <v>77</v>
      </c>
      <c r="AC3735" s="2" t="s">
        <v>78</v>
      </c>
      <c r="AF3735" s="2">
        <f t="shared" si="470"/>
        <v>0</v>
      </c>
      <c r="AG3735" s="2">
        <v>111.98</v>
      </c>
      <c r="AH3735" s="2">
        <v>210</v>
      </c>
      <c r="AJ3735" s="2">
        <f t="shared" si="471"/>
        <v>0</v>
      </c>
      <c r="AK3735" s="2">
        <f t="shared" si="468"/>
        <v>108.02</v>
      </c>
      <c r="AL3735" s="5">
        <f t="shared" si="472"/>
        <v>0.49099999999999999</v>
      </c>
    </row>
    <row r="3736" spans="1:38" hidden="1" x14ac:dyDescent="0.2">
      <c r="A3736" s="2">
        <v>2026</v>
      </c>
      <c r="B3736" s="2">
        <v>4</v>
      </c>
      <c r="D3736" s="2" t="s">
        <v>2563</v>
      </c>
      <c r="M3736" s="2" t="s">
        <v>81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66"/>
        <v>0.37336666666666662</v>
      </c>
      <c r="Z3736" s="2" t="s">
        <v>3231</v>
      </c>
      <c r="AA3736" s="2" t="s">
        <v>76</v>
      </c>
      <c r="AB3736" s="2" t="s">
        <v>77</v>
      </c>
      <c r="AC3736" s="2" t="s">
        <v>78</v>
      </c>
      <c r="AF3736" s="2">
        <f t="shared" si="470"/>
        <v>0</v>
      </c>
      <c r="AG3736" s="2">
        <v>187.99</v>
      </c>
      <c r="AJ3736" s="2">
        <f t="shared" si="471"/>
        <v>0</v>
      </c>
      <c r="AK3736" s="2">
        <f t="shared" si="468"/>
        <v>112.00999999999999</v>
      </c>
      <c r="AL3736" s="5">
        <f t="shared" si="472"/>
        <v>0.37336666666666662</v>
      </c>
    </row>
    <row r="3737" spans="1:38" hidden="1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2889</v>
      </c>
      <c r="P3737" s="2" t="s">
        <v>1040</v>
      </c>
      <c r="Q3737" s="2" t="s">
        <v>2890</v>
      </c>
      <c r="R3737" s="2" t="s">
        <v>2891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66"/>
        <v>0.49359999999999998</v>
      </c>
      <c r="Z3737" s="2" t="s">
        <v>3231</v>
      </c>
      <c r="AA3737" s="2" t="s">
        <v>76</v>
      </c>
      <c r="AB3737" s="2" t="s">
        <v>77</v>
      </c>
      <c r="AC3737" s="2" t="s">
        <v>1040</v>
      </c>
      <c r="AF3737" s="2">
        <f t="shared" si="470"/>
        <v>0</v>
      </c>
      <c r="AJ3737" s="2">
        <f t="shared" si="471"/>
        <v>0</v>
      </c>
      <c r="AK3737" s="2">
        <f t="shared" si="468"/>
        <v>172.76</v>
      </c>
      <c r="AL3737" s="5">
        <f t="shared" si="472"/>
        <v>0.49359999999999998</v>
      </c>
    </row>
    <row r="3738" spans="1:38" hidden="1" x14ac:dyDescent="0.2">
      <c r="A3738" s="2">
        <v>2026</v>
      </c>
      <c r="B3738" s="2">
        <v>4</v>
      </c>
      <c r="D3738" s="2" t="s">
        <v>1297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1298</v>
      </c>
      <c r="L3738" s="2" t="s">
        <v>340</v>
      </c>
      <c r="M3738" s="2" t="s">
        <v>81</v>
      </c>
      <c r="O3738" s="2" t="s">
        <v>2892</v>
      </c>
      <c r="P3738" s="2" t="s">
        <v>1040</v>
      </c>
      <c r="Q3738" s="2" t="s">
        <v>2893</v>
      </c>
      <c r="R3738" s="2" t="s">
        <v>2894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66"/>
        <v>0.33851921274601693</v>
      </c>
      <c r="Z3738" s="2" t="s">
        <v>3231</v>
      </c>
      <c r="AA3738" s="2" t="s">
        <v>76</v>
      </c>
      <c r="AB3738" s="2" t="s">
        <v>77</v>
      </c>
      <c r="AC3738" s="2" t="s">
        <v>1040</v>
      </c>
      <c r="AF3738" s="2">
        <f t="shared" si="470"/>
        <v>0</v>
      </c>
      <c r="AG3738" s="2">
        <v>141.16</v>
      </c>
      <c r="AJ3738" s="2">
        <f t="shared" si="471"/>
        <v>0</v>
      </c>
      <c r="AK3738" s="2">
        <f t="shared" si="468"/>
        <v>72.240000000000009</v>
      </c>
      <c r="AL3738" s="5">
        <f t="shared" si="472"/>
        <v>0.33851921274601693</v>
      </c>
    </row>
    <row r="3739" spans="1:38" hidden="1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3161</v>
      </c>
      <c r="L3739" s="2" t="s">
        <v>113</v>
      </c>
      <c r="M3739" s="2" t="s">
        <v>81</v>
      </c>
      <c r="O3739" s="2" t="s">
        <v>3163</v>
      </c>
      <c r="P3739" s="2" t="s">
        <v>1040</v>
      </c>
      <c r="Q3739" s="2" t="s">
        <v>2895</v>
      </c>
      <c r="R3739" s="2" t="s">
        <v>2896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66"/>
        <v>0.45652173913043476</v>
      </c>
      <c r="Z3739" s="2" t="s">
        <v>3231</v>
      </c>
      <c r="AA3739" s="2" t="s">
        <v>76</v>
      </c>
      <c r="AB3739" s="2" t="s">
        <v>77</v>
      </c>
      <c r="AC3739" s="2" t="s">
        <v>1040</v>
      </c>
      <c r="AF3739" s="2">
        <f t="shared" si="470"/>
        <v>0</v>
      </c>
      <c r="AG3739" s="2">
        <v>115</v>
      </c>
      <c r="AJ3739" s="2">
        <f t="shared" si="471"/>
        <v>0</v>
      </c>
      <c r="AK3739" s="2">
        <f t="shared" si="468"/>
        <v>483</v>
      </c>
      <c r="AL3739" s="5">
        <f t="shared" si="472"/>
        <v>0.45652173913043476</v>
      </c>
    </row>
    <row r="3740" spans="1:38" hidden="1" x14ac:dyDescent="0.2">
      <c r="A3740" s="2">
        <v>2026</v>
      </c>
      <c r="B3740" s="2">
        <v>4</v>
      </c>
      <c r="D3740" s="2" t="s">
        <v>2530</v>
      </c>
      <c r="G3740" s="2">
        <v>503687014</v>
      </c>
      <c r="L3740" s="2" t="s">
        <v>134</v>
      </c>
      <c r="M3740" s="2" t="s">
        <v>110</v>
      </c>
      <c r="O3740" s="2" t="s">
        <v>3162</v>
      </c>
      <c r="P3740" s="2" t="s">
        <v>1040</v>
      </c>
      <c r="Q3740" s="2" t="s">
        <v>2895</v>
      </c>
      <c r="R3740" s="2" t="s">
        <v>2896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66"/>
        <v>0.47727272727272729</v>
      </c>
      <c r="Z3740" s="2" t="s">
        <v>3231</v>
      </c>
      <c r="AA3740" s="2" t="s">
        <v>76</v>
      </c>
      <c r="AB3740" s="2" t="s">
        <v>77</v>
      </c>
      <c r="AC3740" s="2" t="s">
        <v>1040</v>
      </c>
      <c r="AF3740" s="2">
        <f t="shared" si="470"/>
        <v>0</v>
      </c>
      <c r="AG3740" s="2">
        <v>115</v>
      </c>
      <c r="AJ3740" s="2">
        <f t="shared" si="471"/>
        <v>0</v>
      </c>
      <c r="AK3740" s="2">
        <f t="shared" si="468"/>
        <v>105</v>
      </c>
      <c r="AL3740" s="5">
        <f t="shared" si="472"/>
        <v>0.47727272727272729</v>
      </c>
    </row>
    <row r="3741" spans="1:38" hidden="1" x14ac:dyDescent="0.2">
      <c r="A3741" s="2">
        <v>2026</v>
      </c>
      <c r="B3741" s="2">
        <v>4</v>
      </c>
      <c r="D3741" s="2" t="s">
        <v>2563</v>
      </c>
      <c r="M3741" s="2" t="s">
        <v>81</v>
      </c>
      <c r="O3741" s="2" t="s">
        <v>3167</v>
      </c>
      <c r="P3741" s="2" t="s">
        <v>1040</v>
      </c>
      <c r="Q3741" s="2" t="s">
        <v>2897</v>
      </c>
      <c r="R3741" s="2" t="s">
        <v>2898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66"/>
        <v>0.45994871794871794</v>
      </c>
      <c r="Z3741" s="2" t="s">
        <v>3231</v>
      </c>
      <c r="AA3741" s="2" t="s">
        <v>76</v>
      </c>
      <c r="AB3741" s="2" t="s">
        <v>77</v>
      </c>
      <c r="AC3741" s="2" t="s">
        <v>1040</v>
      </c>
      <c r="AF3741" s="2">
        <f t="shared" si="470"/>
        <v>0</v>
      </c>
      <c r="AJ3741" s="2">
        <f t="shared" si="471"/>
        <v>0</v>
      </c>
      <c r="AK3741" s="2">
        <f t="shared" si="468"/>
        <v>179.38</v>
      </c>
      <c r="AL3741" s="5">
        <f t="shared" si="472"/>
        <v>0.45994871794871794</v>
      </c>
    </row>
    <row r="3742" spans="1:38" hidden="1" x14ac:dyDescent="0.2">
      <c r="A3742" s="2">
        <v>2026</v>
      </c>
      <c r="B3742" s="2">
        <v>4</v>
      </c>
      <c r="D3742" s="2" t="s">
        <v>770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771</v>
      </c>
      <c r="J3742" s="2" t="s">
        <v>772</v>
      </c>
      <c r="L3742" s="2" t="s">
        <v>340</v>
      </c>
      <c r="M3742" s="2" t="s">
        <v>81</v>
      </c>
      <c r="O3742" s="2" t="s">
        <v>2899</v>
      </c>
      <c r="P3742" s="2" t="s">
        <v>1040</v>
      </c>
      <c r="Q3742" s="2" t="s">
        <v>2743</v>
      </c>
      <c r="R3742" s="2" t="s">
        <v>2744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66"/>
        <v>0.44215657741559949</v>
      </c>
      <c r="Z3742" s="2" t="s">
        <v>3231</v>
      </c>
      <c r="AA3742" s="2" t="s">
        <v>76</v>
      </c>
      <c r="AB3742" s="2" t="s">
        <v>77</v>
      </c>
      <c r="AC3742" s="2" t="s">
        <v>1040</v>
      </c>
      <c r="AF3742" s="2">
        <f t="shared" si="470"/>
        <v>0</v>
      </c>
      <c r="AG3742" s="2">
        <v>153.34</v>
      </c>
      <c r="AJ3742" s="2">
        <f t="shared" si="471"/>
        <v>0</v>
      </c>
      <c r="AK3742" s="2">
        <f t="shared" si="468"/>
        <v>121.53999999999999</v>
      </c>
      <c r="AL3742" s="5">
        <f t="shared" si="472"/>
        <v>0.44215657741559949</v>
      </c>
    </row>
    <row r="3743" spans="1:38" hidden="1" x14ac:dyDescent="0.2">
      <c r="A3743" s="2">
        <v>2026</v>
      </c>
      <c r="B3743" s="2">
        <v>4</v>
      </c>
      <c r="D3743" s="2" t="s">
        <v>1557</v>
      </c>
      <c r="E3743" s="2" t="s">
        <v>109</v>
      </c>
      <c r="F3743" s="2" t="s">
        <v>718</v>
      </c>
      <c r="G3743" s="2">
        <v>500975914</v>
      </c>
      <c r="H3743" s="2" t="s">
        <v>41</v>
      </c>
      <c r="I3743" s="2" t="s">
        <v>1558</v>
      </c>
      <c r="J3743" s="2" t="s">
        <v>1559</v>
      </c>
      <c r="L3743" s="2" t="s">
        <v>100</v>
      </c>
      <c r="M3743" s="2" t="s">
        <v>41</v>
      </c>
      <c r="P3743" s="2" t="s">
        <v>1040</v>
      </c>
      <c r="Q3743" s="2" t="s">
        <v>2743</v>
      </c>
      <c r="R3743" s="2" t="s">
        <v>2744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3231</v>
      </c>
      <c r="AA3743" s="2" t="s">
        <v>76</v>
      </c>
      <c r="AB3743" s="2" t="s">
        <v>77</v>
      </c>
      <c r="AC3743" s="2" t="s">
        <v>1040</v>
      </c>
      <c r="AF3743" s="2">
        <f t="shared" si="470"/>
        <v>0</v>
      </c>
      <c r="AJ3743" s="2">
        <f t="shared" si="471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hidden="1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1975</v>
      </c>
      <c r="R3744" s="2" t="s">
        <v>1976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73">(T3744-W3744)/T3744</f>
        <v>1</v>
      </c>
      <c r="Z3744" s="2" t="s">
        <v>3231</v>
      </c>
      <c r="AA3744" s="2" t="s">
        <v>88</v>
      </c>
      <c r="AB3744" s="2" t="s">
        <v>91</v>
      </c>
      <c r="AC3744" s="2" t="s">
        <v>85</v>
      </c>
      <c r="AF3744" s="2">
        <f t="shared" si="470"/>
        <v>0</v>
      </c>
      <c r="AJ3744" s="2">
        <f t="shared" si="471"/>
        <v>0</v>
      </c>
      <c r="AK3744" s="2">
        <f t="shared" si="468"/>
        <v>14</v>
      </c>
      <c r="AL3744" s="5">
        <f t="shared" si="472"/>
        <v>1</v>
      </c>
    </row>
    <row r="3745" spans="1:38" hidden="1" x14ac:dyDescent="0.2">
      <c r="A3745" s="2">
        <v>2026</v>
      </c>
      <c r="B3745" s="2">
        <v>3</v>
      </c>
      <c r="D3745" s="2" t="s">
        <v>2856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73"/>
        <v>0.41111111111111115</v>
      </c>
      <c r="Z3745" s="2" t="s">
        <v>3231</v>
      </c>
      <c r="AA3745" s="2" t="s">
        <v>46</v>
      </c>
      <c r="AB3745" s="2" t="s">
        <v>57</v>
      </c>
      <c r="AC3745" s="2" t="s">
        <v>58</v>
      </c>
      <c r="AF3745" s="2">
        <f t="shared" si="470"/>
        <v>0</v>
      </c>
      <c r="AG3745" s="2">
        <v>10.6</v>
      </c>
      <c r="AH3745" s="2">
        <v>18</v>
      </c>
      <c r="AJ3745" s="2">
        <f t="shared" si="471"/>
        <v>0</v>
      </c>
      <c r="AK3745" s="2">
        <f t="shared" si="468"/>
        <v>7.4</v>
      </c>
      <c r="AL3745" s="5">
        <f t="shared" si="472"/>
        <v>0.41111111111111115</v>
      </c>
    </row>
    <row r="3746" spans="1:38" hidden="1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73"/>
        <v>0.42833333333333329</v>
      </c>
      <c r="Z3746" s="2" t="s">
        <v>3231</v>
      </c>
      <c r="AA3746" s="2" t="s">
        <v>88</v>
      </c>
      <c r="AB3746" s="2" t="s">
        <v>91</v>
      </c>
      <c r="AC3746" s="2" t="s">
        <v>85</v>
      </c>
      <c r="AF3746" s="2">
        <f t="shared" si="470"/>
        <v>0</v>
      </c>
      <c r="AJ3746" s="2">
        <f t="shared" si="471"/>
        <v>0</v>
      </c>
      <c r="AK3746" s="2">
        <f t="shared" si="468"/>
        <v>5.14</v>
      </c>
      <c r="AL3746" s="5">
        <f t="shared" si="472"/>
        <v>0.42833333333333329</v>
      </c>
    </row>
    <row r="3747" spans="1:38" hidden="1" x14ac:dyDescent="0.2">
      <c r="A3747" s="2">
        <v>2026</v>
      </c>
      <c r="B3747" s="2">
        <v>4</v>
      </c>
      <c r="D3747" s="2" t="s">
        <v>982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73"/>
        <v>0.42833333333333329</v>
      </c>
      <c r="Z3747" s="2" t="s">
        <v>3231</v>
      </c>
      <c r="AA3747" s="2" t="s">
        <v>88</v>
      </c>
      <c r="AB3747" s="2" t="s">
        <v>91</v>
      </c>
      <c r="AC3747" s="2" t="s">
        <v>85</v>
      </c>
      <c r="AF3747" s="2">
        <f t="shared" si="470"/>
        <v>0</v>
      </c>
      <c r="AJ3747" s="2">
        <f t="shared" si="471"/>
        <v>0</v>
      </c>
      <c r="AK3747" s="2">
        <f t="shared" si="468"/>
        <v>5.14</v>
      </c>
      <c r="AL3747" s="5">
        <f t="shared" si="472"/>
        <v>0.42833333333333329</v>
      </c>
    </row>
    <row r="3748" spans="1:38" hidden="1" x14ac:dyDescent="0.2">
      <c r="A3748" s="2">
        <v>2026</v>
      </c>
      <c r="B3748" s="2">
        <v>4</v>
      </c>
      <c r="D3748" s="2" t="s">
        <v>1017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2542</v>
      </c>
      <c r="L3748" s="2" t="s">
        <v>100</v>
      </c>
      <c r="M3748" s="2" t="s">
        <v>81</v>
      </c>
      <c r="O3748" s="2" t="s">
        <v>2849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73"/>
        <v>0.51</v>
      </c>
      <c r="Z3748" s="2" t="s">
        <v>3231</v>
      </c>
      <c r="AA3748" s="2" t="s">
        <v>88</v>
      </c>
      <c r="AB3748" s="2" t="s">
        <v>91</v>
      </c>
      <c r="AC3748" s="2" t="s">
        <v>85</v>
      </c>
      <c r="AF3748" s="2">
        <f t="shared" si="470"/>
        <v>0</v>
      </c>
      <c r="AG3748" s="2">
        <v>2.94</v>
      </c>
      <c r="AJ3748" s="2">
        <f t="shared" si="471"/>
        <v>0</v>
      </c>
      <c r="AK3748" s="2">
        <f t="shared" si="468"/>
        <v>6.12</v>
      </c>
      <c r="AL3748" s="5">
        <f t="shared" si="472"/>
        <v>0.51</v>
      </c>
    </row>
    <row r="3749" spans="1:38" hidden="1" x14ac:dyDescent="0.2">
      <c r="A3749" s="2">
        <v>2026</v>
      </c>
      <c r="B3749" s="2">
        <v>4</v>
      </c>
      <c r="D3749" s="2" t="s">
        <v>2850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73"/>
        <v>0.76666666666666672</v>
      </c>
      <c r="Z3749" s="2" t="s">
        <v>3231</v>
      </c>
      <c r="AA3749" s="2" t="s">
        <v>88</v>
      </c>
      <c r="AB3749" s="2" t="s">
        <v>91</v>
      </c>
      <c r="AC3749" s="2" t="s">
        <v>85</v>
      </c>
      <c r="AF3749" s="2">
        <f t="shared" si="470"/>
        <v>0</v>
      </c>
      <c r="AJ3749" s="2">
        <f t="shared" si="471"/>
        <v>0</v>
      </c>
      <c r="AK3749" s="2">
        <f t="shared" si="468"/>
        <v>9.66</v>
      </c>
      <c r="AL3749" s="5">
        <f t="shared" si="472"/>
        <v>0.76666666666666672</v>
      </c>
    </row>
    <row r="3750" spans="1:38" hidden="1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73"/>
        <v>1</v>
      </c>
      <c r="Z3750" s="2" t="s">
        <v>3231</v>
      </c>
      <c r="AA3750" s="2" t="s">
        <v>88</v>
      </c>
      <c r="AB3750" s="2" t="s">
        <v>91</v>
      </c>
      <c r="AC3750" s="2" t="s">
        <v>85</v>
      </c>
      <c r="AF3750" s="2">
        <f t="shared" si="470"/>
        <v>0</v>
      </c>
      <c r="AJ3750" s="2">
        <f t="shared" si="471"/>
        <v>0</v>
      </c>
      <c r="AK3750" s="2">
        <f t="shared" si="468"/>
        <v>8.4</v>
      </c>
      <c r="AL3750" s="5">
        <f t="shared" si="472"/>
        <v>1</v>
      </c>
    </row>
    <row r="3751" spans="1:38" hidden="1" x14ac:dyDescent="0.2">
      <c r="A3751" s="2">
        <v>2026</v>
      </c>
      <c r="B3751" s="2">
        <v>4</v>
      </c>
      <c r="D3751" s="2" t="s">
        <v>1017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2542</v>
      </c>
      <c r="L3751" s="2" t="s">
        <v>100</v>
      </c>
      <c r="M3751" s="2" t="s">
        <v>81</v>
      </c>
      <c r="O3751" s="2" t="s">
        <v>2849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73"/>
        <v>0.65206944444444448</v>
      </c>
      <c r="Z3751" s="2" t="s">
        <v>3231</v>
      </c>
      <c r="AA3751" s="2" t="s">
        <v>88</v>
      </c>
      <c r="AB3751" s="2" t="s">
        <v>91</v>
      </c>
      <c r="AC3751" s="2" t="s">
        <v>85</v>
      </c>
      <c r="AF3751" s="2">
        <f t="shared" si="470"/>
        <v>0</v>
      </c>
      <c r="AG3751" s="2">
        <v>2.5051000000000001</v>
      </c>
      <c r="AJ3751" s="2">
        <f t="shared" si="471"/>
        <v>0</v>
      </c>
      <c r="AK3751" s="2">
        <f t="shared" si="468"/>
        <v>4.6949000000000005</v>
      </c>
      <c r="AL3751" s="5">
        <f t="shared" si="472"/>
        <v>0.65206944444444448</v>
      </c>
    </row>
    <row r="3752" spans="1:38" hidden="1" x14ac:dyDescent="0.2">
      <c r="A3752" s="2">
        <v>2026</v>
      </c>
      <c r="B3752" s="2">
        <v>4</v>
      </c>
      <c r="D3752" s="2" t="s">
        <v>2850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73"/>
        <v>1</v>
      </c>
      <c r="Z3752" s="2" t="s">
        <v>3231</v>
      </c>
      <c r="AA3752" s="2" t="s">
        <v>88</v>
      </c>
      <c r="AB3752" s="2" t="s">
        <v>91</v>
      </c>
      <c r="AC3752" s="2" t="s">
        <v>85</v>
      </c>
      <c r="AF3752" s="2">
        <f t="shared" si="470"/>
        <v>0</v>
      </c>
      <c r="AJ3752" s="2">
        <f t="shared" si="471"/>
        <v>0</v>
      </c>
      <c r="AK3752" s="2">
        <f t="shared" si="468"/>
        <v>12.6</v>
      </c>
      <c r="AL3752" s="5">
        <f t="shared" si="472"/>
        <v>1</v>
      </c>
    </row>
    <row r="3753" spans="1:38" hidden="1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2900</v>
      </c>
      <c r="P3753" s="2" t="s">
        <v>2901</v>
      </c>
      <c r="Q3753" s="2" t="s">
        <v>2902</v>
      </c>
      <c r="R3753" s="2" t="s">
        <v>2903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73"/>
        <v>0.25</v>
      </c>
      <c r="Z3753" s="2" t="s">
        <v>3231</v>
      </c>
      <c r="AA3753" s="2" t="s">
        <v>72</v>
      </c>
      <c r="AB3753" s="2" t="s">
        <v>2901</v>
      </c>
      <c r="AC3753" s="2" t="s">
        <v>2901</v>
      </c>
      <c r="AF3753" s="2">
        <f t="shared" si="470"/>
        <v>0</v>
      </c>
      <c r="AG3753" s="2">
        <v>149.25</v>
      </c>
      <c r="AJ3753" s="2">
        <f t="shared" si="471"/>
        <v>0</v>
      </c>
      <c r="AK3753" s="2">
        <f t="shared" si="468"/>
        <v>49.75</v>
      </c>
      <c r="AL3753" s="5">
        <f t="shared" si="472"/>
        <v>0.25</v>
      </c>
    </row>
    <row r="3754" spans="1:38" hidden="1" x14ac:dyDescent="0.2">
      <c r="A3754" s="2">
        <v>2026</v>
      </c>
      <c r="B3754" s="2">
        <v>4</v>
      </c>
      <c r="D3754" s="2" t="s">
        <v>2904</v>
      </c>
      <c r="E3754" s="2" t="s">
        <v>38</v>
      </c>
      <c r="F3754" s="2" t="s">
        <v>39</v>
      </c>
      <c r="L3754" s="2" t="s">
        <v>202</v>
      </c>
      <c r="M3754" s="2" t="s">
        <v>40</v>
      </c>
      <c r="P3754" s="2" t="s">
        <v>40</v>
      </c>
      <c r="Q3754" s="2" t="s">
        <v>2905</v>
      </c>
      <c r="R3754" s="2" t="s">
        <v>2906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473"/>
        <v>0.25000000000000006</v>
      </c>
      <c r="Z3754" s="2" t="s">
        <v>105</v>
      </c>
      <c r="AA3754" s="2" t="s">
        <v>415</v>
      </c>
      <c r="AB3754" s="2" t="s">
        <v>476</v>
      </c>
      <c r="AC3754" s="2" t="s">
        <v>115</v>
      </c>
      <c r="AF3754" s="2">
        <f t="shared" si="470"/>
        <v>0</v>
      </c>
      <c r="AJ3754" s="2">
        <f t="shared" si="471"/>
        <v>0</v>
      </c>
      <c r="AK3754" s="2">
        <f t="shared" si="468"/>
        <v>304.87750000000005</v>
      </c>
      <c r="AL3754" s="5">
        <f t="shared" si="472"/>
        <v>0.25000000000000006</v>
      </c>
    </row>
    <row r="3755" spans="1:38" hidden="1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2907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73"/>
        <v>1</v>
      </c>
      <c r="Z3755" s="2" t="s">
        <v>118</v>
      </c>
      <c r="AA3755" s="2" t="s">
        <v>318</v>
      </c>
      <c r="AF3755" s="2">
        <f t="shared" si="470"/>
        <v>0</v>
      </c>
      <c r="AJ3755" s="2">
        <f t="shared" si="471"/>
        <v>0</v>
      </c>
      <c r="AK3755" s="2">
        <f t="shared" si="468"/>
        <v>1099</v>
      </c>
      <c r="AL3755" s="5">
        <f t="shared" si="472"/>
        <v>1</v>
      </c>
    </row>
    <row r="3756" spans="1:38" hidden="1" x14ac:dyDescent="0.2">
      <c r="A3756" s="2">
        <v>2026</v>
      </c>
      <c r="B3756" s="2">
        <v>4</v>
      </c>
      <c r="D3756" s="2" t="s">
        <v>2799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73"/>
        <v>0.5</v>
      </c>
      <c r="Z3756" s="2" t="s">
        <v>118</v>
      </c>
      <c r="AA3756" s="2" t="s">
        <v>191</v>
      </c>
      <c r="AB3756" s="2" t="s">
        <v>191</v>
      </c>
      <c r="AC3756" s="2" t="s">
        <v>40</v>
      </c>
      <c r="AF3756" s="2">
        <f t="shared" si="470"/>
        <v>0</v>
      </c>
      <c r="AG3756" s="2">
        <f>W3756</f>
        <v>27.5</v>
      </c>
      <c r="AJ3756" s="2">
        <f t="shared" si="471"/>
        <v>0</v>
      </c>
      <c r="AK3756" s="2">
        <f t="shared" si="468"/>
        <v>27.5</v>
      </c>
      <c r="AL3756" s="5">
        <f t="shared" si="472"/>
        <v>0.5</v>
      </c>
    </row>
    <row r="3757" spans="1:38" hidden="1" x14ac:dyDescent="0.2">
      <c r="A3757" s="2">
        <v>2026</v>
      </c>
      <c r="B3757" s="2">
        <v>3</v>
      </c>
      <c r="D3757" s="2" t="s">
        <v>1073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1558</v>
      </c>
      <c r="J3757" s="2" t="s">
        <v>1828</v>
      </c>
      <c r="L3757" s="2" t="s">
        <v>178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73"/>
        <v>0.6</v>
      </c>
      <c r="Z3757" s="2" t="s">
        <v>118</v>
      </c>
      <c r="AA3757" s="2" t="s">
        <v>191</v>
      </c>
      <c r="AB3757" s="2" t="s">
        <v>190</v>
      </c>
      <c r="AC3757" s="2" t="s">
        <v>40</v>
      </c>
      <c r="AF3757" s="2">
        <f t="shared" si="470"/>
        <v>0</v>
      </c>
      <c r="AG3757" s="2">
        <f>W3757</f>
        <v>25.200000000000003</v>
      </c>
      <c r="AJ3757" s="2">
        <f t="shared" si="471"/>
        <v>0</v>
      </c>
      <c r="AK3757" s="2">
        <f t="shared" si="468"/>
        <v>37.799999999999997</v>
      </c>
      <c r="AL3757" s="5">
        <f t="shared" si="472"/>
        <v>0.6</v>
      </c>
    </row>
    <row r="3758" spans="1:38" hidden="1" x14ac:dyDescent="0.2">
      <c r="A3758" s="2">
        <v>2026</v>
      </c>
      <c r="B3758" s="2">
        <v>3</v>
      </c>
      <c r="D3758" s="2" t="s">
        <v>2856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73"/>
        <v>0.36923076923076914</v>
      </c>
      <c r="Z3758" s="2" t="s">
        <v>3231</v>
      </c>
      <c r="AA3758" s="2" t="s">
        <v>46</v>
      </c>
      <c r="AB3758" s="2" t="s">
        <v>61</v>
      </c>
      <c r="AC3758" s="2" t="s">
        <v>58</v>
      </c>
      <c r="AF3758" s="2">
        <f t="shared" si="470"/>
        <v>0</v>
      </c>
      <c r="AG3758" s="2">
        <v>8.1999999999999993</v>
      </c>
      <c r="AH3758" s="2">
        <v>13</v>
      </c>
      <c r="AJ3758" s="2">
        <f t="shared" si="471"/>
        <v>0</v>
      </c>
      <c r="AK3758" s="2">
        <f t="shared" si="468"/>
        <v>9.5999999999999979</v>
      </c>
      <c r="AL3758" s="5">
        <f t="shared" si="472"/>
        <v>0.36923076923076914</v>
      </c>
    </row>
    <row r="3759" spans="1:38" hidden="1" x14ac:dyDescent="0.2">
      <c r="A3759" s="2">
        <v>2026</v>
      </c>
      <c r="B3759" s="2">
        <v>3</v>
      </c>
      <c r="D3759" s="2" t="s">
        <v>1073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1558</v>
      </c>
      <c r="J3759" s="2" t="s">
        <v>1828</v>
      </c>
      <c r="L3759" s="2" t="s">
        <v>178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73"/>
        <v>0.5</v>
      </c>
      <c r="Z3759" s="2" t="s">
        <v>118</v>
      </c>
      <c r="AA3759" s="2" t="s">
        <v>191</v>
      </c>
      <c r="AB3759" s="2" t="s">
        <v>191</v>
      </c>
      <c r="AC3759" s="2" t="s">
        <v>40</v>
      </c>
      <c r="AF3759" s="2">
        <f t="shared" si="470"/>
        <v>0</v>
      </c>
      <c r="AG3759" s="2">
        <f t="shared" ref="AG3759:AG3783" si="474">W3759</f>
        <v>34.375</v>
      </c>
      <c r="AJ3759" s="2">
        <f t="shared" si="471"/>
        <v>0</v>
      </c>
      <c r="AK3759" s="2">
        <f t="shared" si="468"/>
        <v>34.375</v>
      </c>
      <c r="AL3759" s="5">
        <f t="shared" si="472"/>
        <v>0.5</v>
      </c>
    </row>
    <row r="3760" spans="1:38" hidden="1" x14ac:dyDescent="0.2">
      <c r="A3760" s="2">
        <v>2026</v>
      </c>
      <c r="B3760" s="2">
        <v>4</v>
      </c>
      <c r="D3760" s="2" t="s">
        <v>1603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73"/>
        <v>0.6</v>
      </c>
      <c r="Z3760" s="2" t="s">
        <v>118</v>
      </c>
      <c r="AA3760" s="2" t="s">
        <v>191</v>
      </c>
      <c r="AB3760" s="2" t="s">
        <v>190</v>
      </c>
      <c r="AC3760" s="2" t="s">
        <v>40</v>
      </c>
      <c r="AF3760" s="2">
        <f t="shared" si="470"/>
        <v>0</v>
      </c>
      <c r="AG3760" s="2">
        <f t="shared" si="474"/>
        <v>20</v>
      </c>
      <c r="AJ3760" s="2">
        <f t="shared" si="471"/>
        <v>0</v>
      </c>
      <c r="AK3760" s="2">
        <f t="shared" si="468"/>
        <v>30</v>
      </c>
      <c r="AL3760" s="5">
        <f t="shared" si="472"/>
        <v>0.6</v>
      </c>
    </row>
    <row r="3761" spans="1:38" hidden="1" x14ac:dyDescent="0.2">
      <c r="A3761" s="2">
        <v>2026</v>
      </c>
      <c r="B3761" s="2">
        <v>4</v>
      </c>
      <c r="D3761" s="2" t="s">
        <v>1603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73"/>
        <v>0.5</v>
      </c>
      <c r="Z3761" s="2" t="s">
        <v>118</v>
      </c>
      <c r="AA3761" s="2" t="s">
        <v>191</v>
      </c>
      <c r="AB3761" s="2" t="s">
        <v>191</v>
      </c>
      <c r="AC3761" s="2" t="s">
        <v>40</v>
      </c>
      <c r="AF3761" s="2">
        <f t="shared" si="470"/>
        <v>0</v>
      </c>
      <c r="AG3761" s="2">
        <f t="shared" si="474"/>
        <v>25</v>
      </c>
      <c r="AJ3761" s="2">
        <f t="shared" si="471"/>
        <v>0</v>
      </c>
      <c r="AK3761" s="2">
        <f t="shared" si="468"/>
        <v>25</v>
      </c>
      <c r="AL3761" s="5">
        <f t="shared" si="472"/>
        <v>0.5</v>
      </c>
    </row>
    <row r="3762" spans="1:38" hidden="1" x14ac:dyDescent="0.2">
      <c r="A3762" s="2">
        <v>2026</v>
      </c>
      <c r="B3762" s="2">
        <v>3</v>
      </c>
      <c r="D3762" s="2" t="s">
        <v>2053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73"/>
        <v>0.60000000000000009</v>
      </c>
      <c r="Z3762" s="2" t="s">
        <v>118</v>
      </c>
      <c r="AA3762" s="2" t="s">
        <v>191</v>
      </c>
      <c r="AB3762" s="2" t="s">
        <v>190</v>
      </c>
      <c r="AC3762" s="2" t="s">
        <v>40</v>
      </c>
      <c r="AF3762" s="2">
        <f t="shared" si="470"/>
        <v>0</v>
      </c>
      <c r="AG3762" s="2">
        <f t="shared" si="474"/>
        <v>45.6</v>
      </c>
      <c r="AJ3762" s="2">
        <f t="shared" si="471"/>
        <v>0</v>
      </c>
      <c r="AK3762" s="2">
        <f t="shared" si="468"/>
        <v>68.400000000000006</v>
      </c>
      <c r="AL3762" s="5">
        <f t="shared" si="472"/>
        <v>0.60000000000000009</v>
      </c>
    </row>
    <row r="3763" spans="1:38" hidden="1" x14ac:dyDescent="0.2">
      <c r="A3763" s="2">
        <v>2026</v>
      </c>
      <c r="B3763" s="2">
        <v>3</v>
      </c>
      <c r="D3763" s="2" t="s">
        <v>2053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73"/>
        <v>0.5</v>
      </c>
      <c r="Z3763" s="2" t="s">
        <v>118</v>
      </c>
      <c r="AA3763" s="2" t="s">
        <v>191</v>
      </c>
      <c r="AB3763" s="2" t="s">
        <v>191</v>
      </c>
      <c r="AC3763" s="2" t="s">
        <v>40</v>
      </c>
      <c r="AF3763" s="2">
        <f t="shared" si="470"/>
        <v>0</v>
      </c>
      <c r="AG3763" s="2">
        <f t="shared" si="474"/>
        <v>100</v>
      </c>
      <c r="AJ3763" s="2">
        <f t="shared" si="471"/>
        <v>0</v>
      </c>
      <c r="AK3763" s="2">
        <f t="shared" si="468"/>
        <v>100</v>
      </c>
      <c r="AL3763" s="5">
        <f t="shared" si="472"/>
        <v>0.5</v>
      </c>
    </row>
    <row r="3764" spans="1:38" hidden="1" x14ac:dyDescent="0.2">
      <c r="A3764" s="2">
        <v>2026</v>
      </c>
      <c r="B3764" s="2">
        <v>4</v>
      </c>
      <c r="D3764" s="2" t="s">
        <v>2053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73"/>
        <v>0.6</v>
      </c>
      <c r="Z3764" s="2" t="s">
        <v>118</v>
      </c>
      <c r="AA3764" s="2" t="s">
        <v>191</v>
      </c>
      <c r="AB3764" s="2" t="s">
        <v>190</v>
      </c>
      <c r="AC3764" s="2" t="s">
        <v>40</v>
      </c>
      <c r="AF3764" s="2">
        <f t="shared" si="470"/>
        <v>0</v>
      </c>
      <c r="AG3764" s="2">
        <f t="shared" si="474"/>
        <v>58.800000000000004</v>
      </c>
      <c r="AJ3764" s="2">
        <f t="shared" si="471"/>
        <v>0</v>
      </c>
      <c r="AK3764" s="2">
        <f t="shared" si="468"/>
        <v>88.199999999999989</v>
      </c>
      <c r="AL3764" s="5">
        <f t="shared" si="472"/>
        <v>0.6</v>
      </c>
    </row>
    <row r="3765" spans="1:38" hidden="1" x14ac:dyDescent="0.2">
      <c r="A3765" s="2">
        <v>2026</v>
      </c>
      <c r="B3765" s="2">
        <v>4</v>
      </c>
      <c r="D3765" s="2" t="s">
        <v>2053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75">T3765*50%</f>
        <v>34.375</v>
      </c>
      <c r="X3765" s="5">
        <f t="shared" si="473"/>
        <v>0.5</v>
      </c>
      <c r="Z3765" s="2" t="s">
        <v>118</v>
      </c>
      <c r="AA3765" s="2" t="s">
        <v>191</v>
      </c>
      <c r="AB3765" s="2" t="s">
        <v>191</v>
      </c>
      <c r="AC3765" s="2" t="s">
        <v>40</v>
      </c>
      <c r="AF3765" s="2">
        <f t="shared" si="470"/>
        <v>0</v>
      </c>
      <c r="AG3765" s="2">
        <f t="shared" si="474"/>
        <v>34.375</v>
      </c>
      <c r="AJ3765" s="2">
        <f t="shared" si="471"/>
        <v>0</v>
      </c>
      <c r="AK3765" s="2">
        <f t="shared" si="468"/>
        <v>34.375</v>
      </c>
      <c r="AL3765" s="5">
        <f t="shared" ref="AL3765:AL3795" si="476">(T3765-W3765)/T3765</f>
        <v>0.5</v>
      </c>
    </row>
    <row r="3766" spans="1:38" hidden="1" x14ac:dyDescent="0.2">
      <c r="A3766" s="2">
        <v>2026</v>
      </c>
      <c r="B3766" s="2">
        <v>4</v>
      </c>
      <c r="C3766" s="2" t="s">
        <v>3451</v>
      </c>
      <c r="D3766" s="2" t="s">
        <v>2908</v>
      </c>
      <c r="F3766" s="2" t="s">
        <v>3450</v>
      </c>
      <c r="L3766" s="2" t="s">
        <v>100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75"/>
        <v>31.45</v>
      </c>
      <c r="X3766" s="5">
        <f t="shared" si="473"/>
        <v>0.5</v>
      </c>
      <c r="Z3766" s="2" t="s">
        <v>118</v>
      </c>
      <c r="AA3766" s="2" t="s">
        <v>191</v>
      </c>
      <c r="AB3766" s="2" t="s">
        <v>191</v>
      </c>
      <c r="AC3766" s="2" t="s">
        <v>40</v>
      </c>
      <c r="AF3766" s="2">
        <f t="shared" si="470"/>
        <v>0</v>
      </c>
      <c r="AG3766" s="2">
        <f t="shared" si="474"/>
        <v>31.45</v>
      </c>
      <c r="AJ3766" s="2">
        <f t="shared" si="471"/>
        <v>0</v>
      </c>
      <c r="AK3766" s="2">
        <f t="shared" ref="AK3766:AK3829" si="477">T3766-W3766</f>
        <v>31.45</v>
      </c>
      <c r="AL3766" s="5">
        <f t="shared" si="476"/>
        <v>0.5</v>
      </c>
    </row>
    <row r="3767" spans="1:38" hidden="1" x14ac:dyDescent="0.2">
      <c r="A3767" s="2">
        <v>2026</v>
      </c>
      <c r="B3767" s="2">
        <v>4</v>
      </c>
      <c r="D3767" s="2" t="s">
        <v>2909</v>
      </c>
      <c r="E3767" s="2" t="s">
        <v>38</v>
      </c>
      <c r="G3767" s="2">
        <v>506272524</v>
      </c>
      <c r="H3767" s="2" t="s">
        <v>40</v>
      </c>
      <c r="I3767" s="2" t="s">
        <v>2910</v>
      </c>
      <c r="J3767" s="2" t="s">
        <v>2911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B3767" s="2" t="s">
        <v>190</v>
      </c>
      <c r="AC3767" s="2" t="s">
        <v>40</v>
      </c>
      <c r="AF3767" s="2">
        <f t="shared" si="470"/>
        <v>0</v>
      </c>
      <c r="AG3767" s="2">
        <f t="shared" si="474"/>
        <v>0</v>
      </c>
      <c r="AJ3767" s="2">
        <f t="shared" si="471"/>
        <v>0</v>
      </c>
      <c r="AK3767" s="2">
        <f t="shared" si="477"/>
        <v>0</v>
      </c>
      <c r="AL3767" s="5">
        <v>0</v>
      </c>
    </row>
    <row r="3768" spans="1:38" hidden="1" x14ac:dyDescent="0.2">
      <c r="A3768" s="2">
        <v>2026</v>
      </c>
      <c r="B3768" s="2">
        <v>4</v>
      </c>
      <c r="D3768" s="2" t="s">
        <v>2909</v>
      </c>
      <c r="E3768" s="2" t="s">
        <v>38</v>
      </c>
      <c r="G3768" s="2">
        <v>506272524</v>
      </c>
      <c r="H3768" s="2" t="s">
        <v>40</v>
      </c>
      <c r="I3768" s="2" t="s">
        <v>2910</v>
      </c>
      <c r="J3768" s="2" t="s">
        <v>2911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B3768" s="2" t="s">
        <v>191</v>
      </c>
      <c r="AC3768" s="2" t="s">
        <v>40</v>
      </c>
      <c r="AF3768" s="2">
        <f t="shared" si="470"/>
        <v>0</v>
      </c>
      <c r="AG3768" s="2">
        <f t="shared" si="474"/>
        <v>27.5</v>
      </c>
      <c r="AJ3768" s="2">
        <f t="shared" si="471"/>
        <v>0</v>
      </c>
      <c r="AK3768" s="2">
        <f t="shared" si="477"/>
        <v>27.5</v>
      </c>
      <c r="AL3768" s="5">
        <f t="shared" si="476"/>
        <v>0.5</v>
      </c>
    </row>
    <row r="3769" spans="1:38" hidden="1" x14ac:dyDescent="0.2">
      <c r="A3769" s="2">
        <v>2026</v>
      </c>
      <c r="B3769" s="2">
        <v>2</v>
      </c>
      <c r="D3769" s="2" t="s">
        <v>1090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1091</v>
      </c>
      <c r="J3769" s="2" t="s">
        <v>1092</v>
      </c>
      <c r="K3769" s="2">
        <v>917523997</v>
      </c>
      <c r="L3769" s="2" t="s">
        <v>113</v>
      </c>
      <c r="M3769" s="2" t="s">
        <v>40</v>
      </c>
      <c r="O3769" s="2" t="s">
        <v>2619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B3769" s="2" t="s">
        <v>190</v>
      </c>
      <c r="AC3769" s="2" t="s">
        <v>40</v>
      </c>
      <c r="AF3769" s="2">
        <f t="shared" si="470"/>
        <v>0</v>
      </c>
      <c r="AG3769" s="2">
        <f t="shared" si="474"/>
        <v>65.600000000000009</v>
      </c>
      <c r="AJ3769" s="2">
        <f t="shared" si="471"/>
        <v>0</v>
      </c>
      <c r="AK3769" s="2">
        <f t="shared" si="477"/>
        <v>98.399999999999991</v>
      </c>
      <c r="AL3769" s="5">
        <f t="shared" si="476"/>
        <v>0.6</v>
      </c>
    </row>
    <row r="3770" spans="1:38" hidden="1" x14ac:dyDescent="0.2">
      <c r="A3770" s="2">
        <v>2026</v>
      </c>
      <c r="B3770" s="2">
        <v>2</v>
      </c>
      <c r="D3770" s="2" t="s">
        <v>1090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1091</v>
      </c>
      <c r="J3770" s="2" t="s">
        <v>1092</v>
      </c>
      <c r="K3770" s="2">
        <v>917523997</v>
      </c>
      <c r="L3770" s="2" t="s">
        <v>113</v>
      </c>
      <c r="M3770" s="2" t="s">
        <v>40</v>
      </c>
      <c r="O3770" s="2" t="s">
        <v>2619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B3770" s="2" t="s">
        <v>191</v>
      </c>
      <c r="AC3770" s="2" t="s">
        <v>40</v>
      </c>
      <c r="AF3770" s="2">
        <f t="shared" si="470"/>
        <v>0</v>
      </c>
      <c r="AG3770" s="2">
        <f t="shared" si="474"/>
        <v>41.25</v>
      </c>
      <c r="AJ3770" s="2">
        <f t="shared" si="471"/>
        <v>0</v>
      </c>
      <c r="AK3770" s="2">
        <f t="shared" si="477"/>
        <v>41.25</v>
      </c>
      <c r="AL3770" s="5">
        <f t="shared" si="476"/>
        <v>0.5</v>
      </c>
    </row>
    <row r="3771" spans="1:38" hidden="1" x14ac:dyDescent="0.2">
      <c r="A3771" s="2">
        <v>2026</v>
      </c>
      <c r="B3771" s="2">
        <v>1</v>
      </c>
      <c r="D3771" s="2" t="s">
        <v>1626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1627</v>
      </c>
      <c r="J3771" s="2" t="s">
        <v>1628</v>
      </c>
      <c r="L3771" s="2" t="s">
        <v>294</v>
      </c>
      <c r="M3771" s="2" t="s">
        <v>40</v>
      </c>
      <c r="O3771" s="2" t="s">
        <v>2341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118</v>
      </c>
      <c r="AA3771" s="2" t="s">
        <v>191</v>
      </c>
      <c r="AB3771" s="2" t="s">
        <v>190</v>
      </c>
      <c r="AC3771" s="2" t="s">
        <v>40</v>
      </c>
      <c r="AF3771" s="2">
        <f t="shared" si="470"/>
        <v>0</v>
      </c>
      <c r="AG3771" s="2">
        <f t="shared" si="474"/>
        <v>0</v>
      </c>
      <c r="AJ3771" s="2">
        <f t="shared" si="471"/>
        <v>0</v>
      </c>
      <c r="AK3771" s="2">
        <f t="shared" si="477"/>
        <v>0</v>
      </c>
      <c r="AL3771" s="5">
        <v>-1</v>
      </c>
    </row>
    <row r="3772" spans="1:38" hidden="1" x14ac:dyDescent="0.2">
      <c r="A3772" s="2">
        <v>2026</v>
      </c>
      <c r="B3772" s="2">
        <v>1</v>
      </c>
      <c r="D3772" s="2" t="s">
        <v>1626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1627</v>
      </c>
      <c r="J3772" s="2" t="s">
        <v>1628</v>
      </c>
      <c r="L3772" s="2" t="s">
        <v>294</v>
      </c>
      <c r="M3772" s="2" t="s">
        <v>40</v>
      </c>
      <c r="O3772" s="2" t="s">
        <v>2341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118</v>
      </c>
      <c r="AA3772" s="2" t="s">
        <v>191</v>
      </c>
      <c r="AB3772" s="2" t="s">
        <v>191</v>
      </c>
      <c r="AC3772" s="2" t="s">
        <v>40</v>
      </c>
      <c r="AF3772" s="2">
        <f t="shared" si="470"/>
        <v>0</v>
      </c>
      <c r="AG3772" s="2">
        <f t="shared" si="474"/>
        <v>0</v>
      </c>
      <c r="AJ3772" s="2">
        <f t="shared" si="471"/>
        <v>0</v>
      </c>
      <c r="AK3772" s="2">
        <f t="shared" si="477"/>
        <v>0</v>
      </c>
      <c r="AL3772" s="5">
        <v>-1</v>
      </c>
    </row>
    <row r="3773" spans="1:38" hidden="1" x14ac:dyDescent="0.2">
      <c r="A3773" s="2">
        <v>2026</v>
      </c>
      <c r="B3773" s="2">
        <v>4</v>
      </c>
      <c r="D3773" s="2" t="s">
        <v>2912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78">(T3773-W3773)/T3773</f>
        <v>0.6</v>
      </c>
      <c r="Z3773" s="2" t="s">
        <v>118</v>
      </c>
      <c r="AA3773" s="2" t="s">
        <v>191</v>
      </c>
      <c r="AB3773" s="2" t="s">
        <v>190</v>
      </c>
      <c r="AC3773" s="2" t="s">
        <v>40</v>
      </c>
      <c r="AF3773" s="2">
        <f t="shared" si="470"/>
        <v>0</v>
      </c>
      <c r="AG3773" s="2">
        <f t="shared" si="474"/>
        <v>60.400000000000006</v>
      </c>
      <c r="AJ3773" s="2">
        <f t="shared" si="471"/>
        <v>0</v>
      </c>
      <c r="AK3773" s="2">
        <f t="shared" si="477"/>
        <v>90.6</v>
      </c>
      <c r="AL3773" s="5">
        <f t="shared" si="476"/>
        <v>0.6</v>
      </c>
    </row>
    <row r="3774" spans="1:38" hidden="1" x14ac:dyDescent="0.2">
      <c r="A3774" s="2">
        <v>2026</v>
      </c>
      <c r="B3774" s="2">
        <v>4</v>
      </c>
      <c r="D3774" s="2" t="s">
        <v>2912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78"/>
        <v>0.5</v>
      </c>
      <c r="Z3774" s="2" t="s">
        <v>118</v>
      </c>
      <c r="AA3774" s="2" t="s">
        <v>191</v>
      </c>
      <c r="AB3774" s="2" t="s">
        <v>191</v>
      </c>
      <c r="AC3774" s="2" t="s">
        <v>40</v>
      </c>
      <c r="AF3774" s="2">
        <f t="shared" si="470"/>
        <v>0</v>
      </c>
      <c r="AG3774" s="2">
        <f t="shared" si="474"/>
        <v>82.5</v>
      </c>
      <c r="AJ3774" s="2">
        <f t="shared" si="471"/>
        <v>0</v>
      </c>
      <c r="AK3774" s="2">
        <f t="shared" si="477"/>
        <v>82.5</v>
      </c>
      <c r="AL3774" s="5">
        <f t="shared" si="476"/>
        <v>0.5</v>
      </c>
    </row>
    <row r="3775" spans="1:38" hidden="1" x14ac:dyDescent="0.2">
      <c r="A3775" s="2">
        <v>2026</v>
      </c>
      <c r="B3775" s="2">
        <v>1</v>
      </c>
      <c r="D3775" s="2" t="s">
        <v>1094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2676</v>
      </c>
      <c r="J3775" s="2" t="s">
        <v>2677</v>
      </c>
      <c r="K3775" s="2">
        <v>962939747</v>
      </c>
      <c r="L3775" s="2" t="s">
        <v>100</v>
      </c>
      <c r="M3775" s="2" t="s">
        <v>40</v>
      </c>
      <c r="O3775" s="2" t="s">
        <v>2913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78"/>
        <v>0.6</v>
      </c>
      <c r="Z3775" s="2" t="s">
        <v>118</v>
      </c>
      <c r="AA3775" s="2" t="s">
        <v>191</v>
      </c>
      <c r="AB3775" s="2" t="s">
        <v>190</v>
      </c>
      <c r="AC3775" s="2" t="s">
        <v>40</v>
      </c>
      <c r="AF3775" s="2">
        <f t="shared" si="470"/>
        <v>0</v>
      </c>
      <c r="AG3775" s="2">
        <f t="shared" si="474"/>
        <v>20</v>
      </c>
      <c r="AJ3775" s="2">
        <f t="shared" si="471"/>
        <v>0</v>
      </c>
      <c r="AK3775" s="2">
        <f t="shared" si="477"/>
        <v>30</v>
      </c>
      <c r="AL3775" s="5">
        <f t="shared" si="476"/>
        <v>0.6</v>
      </c>
    </row>
    <row r="3776" spans="1:38" hidden="1" x14ac:dyDescent="0.2">
      <c r="A3776" s="2">
        <v>2026</v>
      </c>
      <c r="B3776" s="2">
        <v>1</v>
      </c>
      <c r="D3776" s="2" t="s">
        <v>1094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2676</v>
      </c>
      <c r="J3776" s="2" t="s">
        <v>2677</v>
      </c>
      <c r="K3776" s="2">
        <v>962939747</v>
      </c>
      <c r="L3776" s="2" t="s">
        <v>100</v>
      </c>
      <c r="M3776" s="2" t="s">
        <v>40</v>
      </c>
      <c r="O3776" s="2" t="s">
        <v>2913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78"/>
        <v>0.5</v>
      </c>
      <c r="Z3776" s="2" t="s">
        <v>118</v>
      </c>
      <c r="AA3776" s="2" t="s">
        <v>191</v>
      </c>
      <c r="AB3776" s="2" t="s">
        <v>191</v>
      </c>
      <c r="AC3776" s="2" t="s">
        <v>40</v>
      </c>
      <c r="AF3776" s="2">
        <f t="shared" si="470"/>
        <v>0</v>
      </c>
      <c r="AG3776" s="2">
        <f t="shared" si="474"/>
        <v>25</v>
      </c>
      <c r="AJ3776" s="2">
        <f t="shared" si="471"/>
        <v>0</v>
      </c>
      <c r="AK3776" s="2">
        <f t="shared" si="477"/>
        <v>25</v>
      </c>
      <c r="AL3776" s="5">
        <f t="shared" si="476"/>
        <v>0.5</v>
      </c>
    </row>
    <row r="3777" spans="1:38" hidden="1" x14ac:dyDescent="0.2">
      <c r="A3777" s="2">
        <v>2026</v>
      </c>
      <c r="B3777" s="2">
        <v>1</v>
      </c>
      <c r="D3777" s="2" t="s">
        <v>2338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78"/>
        <v>0.6</v>
      </c>
      <c r="Z3777" s="2" t="s">
        <v>118</v>
      </c>
      <c r="AA3777" s="2" t="s">
        <v>191</v>
      </c>
      <c r="AB3777" s="2" t="s">
        <v>190</v>
      </c>
      <c r="AC3777" s="2" t="s">
        <v>40</v>
      </c>
      <c r="AF3777" s="2">
        <f t="shared" si="470"/>
        <v>0</v>
      </c>
      <c r="AG3777" s="2">
        <f t="shared" si="474"/>
        <v>22</v>
      </c>
      <c r="AJ3777" s="2">
        <f t="shared" si="471"/>
        <v>0</v>
      </c>
      <c r="AK3777" s="2">
        <f t="shared" si="477"/>
        <v>33</v>
      </c>
      <c r="AL3777" s="5">
        <f t="shared" si="476"/>
        <v>0.6</v>
      </c>
    </row>
    <row r="3778" spans="1:38" hidden="1" x14ac:dyDescent="0.2">
      <c r="A3778" s="2">
        <v>2026</v>
      </c>
      <c r="B3778" s="2">
        <v>1</v>
      </c>
      <c r="D3778" s="2" t="s">
        <v>2338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78"/>
        <v>0.5</v>
      </c>
      <c r="Z3778" s="2" t="s">
        <v>118</v>
      </c>
      <c r="AA3778" s="2" t="s">
        <v>191</v>
      </c>
      <c r="AB3778" s="2" t="s">
        <v>191</v>
      </c>
      <c r="AC3778" s="2" t="s">
        <v>40</v>
      </c>
      <c r="AF3778" s="2">
        <f t="shared" si="470"/>
        <v>0</v>
      </c>
      <c r="AG3778" s="2">
        <f t="shared" si="474"/>
        <v>50</v>
      </c>
      <c r="AJ3778" s="2">
        <f t="shared" si="471"/>
        <v>0</v>
      </c>
      <c r="AK3778" s="2">
        <f t="shared" si="477"/>
        <v>50</v>
      </c>
      <c r="AL3778" s="5">
        <f t="shared" si="476"/>
        <v>0.5</v>
      </c>
    </row>
    <row r="3779" spans="1:38" hidden="1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B3779" s="2" t="s">
        <v>190</v>
      </c>
      <c r="AC3779" s="2" t="s">
        <v>40</v>
      </c>
      <c r="AF3779" s="2">
        <f t="shared" ref="AF3779:AF3842" si="479">AJ3779</f>
        <v>0</v>
      </c>
      <c r="AG3779" s="2">
        <f t="shared" si="474"/>
        <v>0</v>
      </c>
      <c r="AJ3779" s="2">
        <f t="shared" ref="AJ3779:AJ3842" si="480">AI3779*T3779</f>
        <v>0</v>
      </c>
      <c r="AK3779" s="2">
        <f t="shared" si="477"/>
        <v>0</v>
      </c>
      <c r="AL3779" s="5">
        <v>0</v>
      </c>
    </row>
    <row r="3780" spans="1:38" hidden="1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B3780" s="2" t="s">
        <v>191</v>
      </c>
      <c r="AC3780" s="2" t="s">
        <v>40</v>
      </c>
      <c r="AF3780" s="2">
        <f t="shared" si="479"/>
        <v>0</v>
      </c>
      <c r="AG3780" s="2">
        <f t="shared" si="474"/>
        <v>0</v>
      </c>
      <c r="AJ3780" s="2">
        <f t="shared" si="480"/>
        <v>0</v>
      </c>
      <c r="AK3780" s="2">
        <f t="shared" si="477"/>
        <v>0</v>
      </c>
      <c r="AL3780" s="5">
        <v>0</v>
      </c>
    </row>
    <row r="3781" spans="1:38" hidden="1" x14ac:dyDescent="0.2">
      <c r="A3781" s="2">
        <v>2026</v>
      </c>
      <c r="B3781" s="2">
        <v>1</v>
      </c>
      <c r="D3781" s="2" t="s">
        <v>2331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81">(T3781-W3781)/T3781</f>
        <v>0.6</v>
      </c>
      <c r="Z3781" s="2" t="s">
        <v>118</v>
      </c>
      <c r="AA3781" s="2" t="s">
        <v>191</v>
      </c>
      <c r="AB3781" s="2" t="s">
        <v>190</v>
      </c>
      <c r="AC3781" s="2" t="s">
        <v>40</v>
      </c>
      <c r="AF3781" s="2">
        <f t="shared" si="479"/>
        <v>0</v>
      </c>
      <c r="AG3781" s="2">
        <f t="shared" si="474"/>
        <v>20</v>
      </c>
      <c r="AJ3781" s="2">
        <f t="shared" si="480"/>
        <v>0</v>
      </c>
      <c r="AK3781" s="2">
        <f t="shared" si="477"/>
        <v>30</v>
      </c>
      <c r="AL3781" s="5">
        <f t="shared" si="476"/>
        <v>0.6</v>
      </c>
    </row>
    <row r="3782" spans="1:38" hidden="1" x14ac:dyDescent="0.2">
      <c r="A3782" s="2">
        <v>2026</v>
      </c>
      <c r="B3782" s="2">
        <v>1</v>
      </c>
      <c r="D3782" s="2" t="s">
        <v>2331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81"/>
        <v>0.5</v>
      </c>
      <c r="Z3782" s="2" t="s">
        <v>118</v>
      </c>
      <c r="AA3782" s="2" t="s">
        <v>191</v>
      </c>
      <c r="AB3782" s="2" t="s">
        <v>191</v>
      </c>
      <c r="AC3782" s="2" t="s">
        <v>40</v>
      </c>
      <c r="AF3782" s="2">
        <f t="shared" si="479"/>
        <v>0</v>
      </c>
      <c r="AG3782" s="2">
        <f t="shared" si="474"/>
        <v>25</v>
      </c>
      <c r="AJ3782" s="2">
        <f t="shared" si="480"/>
        <v>0</v>
      </c>
      <c r="AK3782" s="2">
        <f t="shared" si="477"/>
        <v>25</v>
      </c>
      <c r="AL3782" s="5">
        <f t="shared" si="476"/>
        <v>0.5</v>
      </c>
    </row>
    <row r="3783" spans="1:38" hidden="1" x14ac:dyDescent="0.2">
      <c r="A3783" s="2">
        <v>2026</v>
      </c>
      <c r="B3783" s="2">
        <v>2</v>
      </c>
      <c r="D3783" s="2" t="s">
        <v>2331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B3783" s="2" t="s">
        <v>190</v>
      </c>
      <c r="AC3783" s="2" t="s">
        <v>40</v>
      </c>
      <c r="AF3783" s="2">
        <f t="shared" si="479"/>
        <v>0</v>
      </c>
      <c r="AG3783" s="2">
        <f t="shared" si="474"/>
        <v>-20</v>
      </c>
      <c r="AJ3783" s="2">
        <f t="shared" si="480"/>
        <v>0</v>
      </c>
      <c r="AK3783" s="2">
        <f t="shared" si="477"/>
        <v>-30</v>
      </c>
    </row>
    <row r="3784" spans="1:38" hidden="1" x14ac:dyDescent="0.2">
      <c r="A3784" s="2">
        <v>2026</v>
      </c>
      <c r="B3784" s="2">
        <v>3</v>
      </c>
      <c r="D3784" s="2" t="s">
        <v>2856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81"/>
        <v>1</v>
      </c>
      <c r="Z3784" s="2" t="s">
        <v>170</v>
      </c>
      <c r="AA3784" s="2" t="s">
        <v>170</v>
      </c>
      <c r="AF3784" s="2">
        <f t="shared" si="479"/>
        <v>0</v>
      </c>
      <c r="AJ3784" s="2">
        <f t="shared" si="480"/>
        <v>0</v>
      </c>
      <c r="AK3784" s="2">
        <f t="shared" si="477"/>
        <v>8</v>
      </c>
      <c r="AL3784" s="5">
        <f t="shared" si="476"/>
        <v>1</v>
      </c>
    </row>
    <row r="3785" spans="1:38" hidden="1" x14ac:dyDescent="0.2">
      <c r="A3785" s="2">
        <v>2026</v>
      </c>
      <c r="B3785" s="2">
        <v>2</v>
      </c>
      <c r="D3785" s="2" t="s">
        <v>2331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B3785" s="2" t="s">
        <v>191</v>
      </c>
      <c r="AC3785" s="2" t="s">
        <v>40</v>
      </c>
      <c r="AF3785" s="2">
        <f t="shared" si="479"/>
        <v>0</v>
      </c>
      <c r="AG3785" s="2">
        <f t="shared" ref="AG3785:AG3809" si="482">W3785</f>
        <v>0</v>
      </c>
      <c r="AJ3785" s="2">
        <f t="shared" si="480"/>
        <v>0</v>
      </c>
      <c r="AK3785" s="2">
        <f t="shared" si="477"/>
        <v>-50</v>
      </c>
      <c r="AL3785" s="5">
        <f t="shared" si="476"/>
        <v>1</v>
      </c>
    </row>
    <row r="3786" spans="1:38" hidden="1" x14ac:dyDescent="0.2">
      <c r="A3786" s="2">
        <v>2026</v>
      </c>
      <c r="B3786" s="2">
        <v>2</v>
      </c>
      <c r="D3786" s="2" t="s">
        <v>2486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81"/>
        <v>0.6</v>
      </c>
      <c r="Z3786" s="2" t="s">
        <v>118</v>
      </c>
      <c r="AA3786" s="2" t="s">
        <v>191</v>
      </c>
      <c r="AB3786" s="2" t="s">
        <v>190</v>
      </c>
      <c r="AC3786" s="2" t="s">
        <v>40</v>
      </c>
      <c r="AF3786" s="2">
        <f t="shared" si="479"/>
        <v>0</v>
      </c>
      <c r="AG3786" s="2">
        <f t="shared" si="482"/>
        <v>20</v>
      </c>
      <c r="AJ3786" s="2">
        <f t="shared" si="480"/>
        <v>0</v>
      </c>
      <c r="AK3786" s="2">
        <f t="shared" si="477"/>
        <v>30</v>
      </c>
      <c r="AL3786" s="5">
        <f t="shared" si="476"/>
        <v>0.6</v>
      </c>
    </row>
    <row r="3787" spans="1:38" hidden="1" x14ac:dyDescent="0.2">
      <c r="A3787" s="2">
        <v>2026</v>
      </c>
      <c r="B3787" s="2">
        <v>2</v>
      </c>
      <c r="D3787" s="2" t="s">
        <v>2486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81"/>
        <v>0.5</v>
      </c>
      <c r="Z3787" s="2" t="s">
        <v>118</v>
      </c>
      <c r="AA3787" s="2" t="s">
        <v>191</v>
      </c>
      <c r="AB3787" s="2" t="s">
        <v>191</v>
      </c>
      <c r="AC3787" s="2" t="s">
        <v>40</v>
      </c>
      <c r="AF3787" s="2">
        <f t="shared" si="479"/>
        <v>0</v>
      </c>
      <c r="AG3787" s="2">
        <f t="shared" si="482"/>
        <v>25</v>
      </c>
      <c r="AJ3787" s="2">
        <f t="shared" si="480"/>
        <v>0</v>
      </c>
      <c r="AK3787" s="2">
        <f t="shared" si="477"/>
        <v>25</v>
      </c>
      <c r="AL3787" s="5">
        <f t="shared" si="476"/>
        <v>0.5</v>
      </c>
    </row>
    <row r="3788" spans="1:38" hidden="1" x14ac:dyDescent="0.2">
      <c r="A3788" s="2">
        <v>2026</v>
      </c>
      <c r="B3788" s="2">
        <v>4</v>
      </c>
      <c r="D3788" s="2" t="s">
        <v>2785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81"/>
        <v>0.6</v>
      </c>
      <c r="Z3788" s="2" t="s">
        <v>118</v>
      </c>
      <c r="AA3788" s="2" t="s">
        <v>191</v>
      </c>
      <c r="AB3788" s="2" t="s">
        <v>190</v>
      </c>
      <c r="AC3788" s="2" t="s">
        <v>40</v>
      </c>
      <c r="AF3788" s="2">
        <f t="shared" si="479"/>
        <v>0</v>
      </c>
      <c r="AG3788" s="2">
        <f t="shared" si="482"/>
        <v>22</v>
      </c>
      <c r="AJ3788" s="2">
        <f t="shared" si="480"/>
        <v>0</v>
      </c>
      <c r="AK3788" s="2">
        <f t="shared" si="477"/>
        <v>33</v>
      </c>
      <c r="AL3788" s="5">
        <f t="shared" si="476"/>
        <v>0.6</v>
      </c>
    </row>
    <row r="3789" spans="1:38" hidden="1" x14ac:dyDescent="0.2">
      <c r="A3789" s="2">
        <v>2026</v>
      </c>
      <c r="B3789" s="2">
        <v>4</v>
      </c>
      <c r="D3789" s="2" t="s">
        <v>2785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81"/>
        <v>0.5</v>
      </c>
      <c r="Z3789" s="2" t="s">
        <v>118</v>
      </c>
      <c r="AA3789" s="2" t="s">
        <v>191</v>
      </c>
      <c r="AB3789" s="2" t="s">
        <v>191</v>
      </c>
      <c r="AC3789" s="2" t="s">
        <v>40</v>
      </c>
      <c r="AF3789" s="2">
        <f t="shared" si="479"/>
        <v>0</v>
      </c>
      <c r="AG3789" s="2">
        <f t="shared" si="482"/>
        <v>27.5</v>
      </c>
      <c r="AJ3789" s="2">
        <f t="shared" si="480"/>
        <v>0</v>
      </c>
      <c r="AK3789" s="2">
        <f t="shared" si="477"/>
        <v>27.5</v>
      </c>
      <c r="AL3789" s="5">
        <f t="shared" si="476"/>
        <v>0.5</v>
      </c>
    </row>
    <row r="3790" spans="1:38" hidden="1" x14ac:dyDescent="0.2">
      <c r="A3790" s="2">
        <v>2026</v>
      </c>
      <c r="B3790" s="2">
        <v>4</v>
      </c>
      <c r="D3790" s="2" t="s">
        <v>2287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81"/>
        <v>0.6</v>
      </c>
      <c r="Z3790" s="2" t="s">
        <v>118</v>
      </c>
      <c r="AA3790" s="2" t="s">
        <v>191</v>
      </c>
      <c r="AB3790" s="2" t="s">
        <v>190</v>
      </c>
      <c r="AC3790" s="2" t="s">
        <v>40</v>
      </c>
      <c r="AF3790" s="2">
        <f t="shared" si="479"/>
        <v>0</v>
      </c>
      <c r="AG3790" s="2">
        <f t="shared" si="482"/>
        <v>33.200000000000003</v>
      </c>
      <c r="AJ3790" s="2">
        <f t="shared" si="480"/>
        <v>0</v>
      </c>
      <c r="AK3790" s="2">
        <f t="shared" si="477"/>
        <v>49.8</v>
      </c>
      <c r="AL3790" s="5">
        <f t="shared" si="476"/>
        <v>0.6</v>
      </c>
    </row>
    <row r="3791" spans="1:38" hidden="1" x14ac:dyDescent="0.2">
      <c r="A3791" s="2">
        <v>2026</v>
      </c>
      <c r="B3791" s="2">
        <v>4</v>
      </c>
      <c r="D3791" s="2" t="s">
        <v>2287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81"/>
        <v>0.5</v>
      </c>
      <c r="Z3791" s="2" t="s">
        <v>118</v>
      </c>
      <c r="AA3791" s="2" t="s">
        <v>191</v>
      </c>
      <c r="AB3791" s="2" t="s">
        <v>191</v>
      </c>
      <c r="AC3791" s="2" t="s">
        <v>40</v>
      </c>
      <c r="AF3791" s="2">
        <f t="shared" si="479"/>
        <v>0</v>
      </c>
      <c r="AG3791" s="2">
        <f t="shared" si="482"/>
        <v>20.625</v>
      </c>
      <c r="AJ3791" s="2">
        <f t="shared" si="480"/>
        <v>0</v>
      </c>
      <c r="AK3791" s="2">
        <f t="shared" si="477"/>
        <v>20.625</v>
      </c>
      <c r="AL3791" s="5">
        <f t="shared" si="476"/>
        <v>0.5</v>
      </c>
    </row>
    <row r="3792" spans="1:38" hidden="1" x14ac:dyDescent="0.2">
      <c r="A3792" s="2">
        <v>2026</v>
      </c>
      <c r="B3792" s="2">
        <v>3</v>
      </c>
      <c r="D3792" s="2" t="s">
        <v>908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81"/>
        <v>0.6</v>
      </c>
      <c r="Z3792" s="2" t="s">
        <v>118</v>
      </c>
      <c r="AA3792" s="2" t="s">
        <v>191</v>
      </c>
      <c r="AB3792" s="2" t="s">
        <v>190</v>
      </c>
      <c r="AC3792" s="2" t="s">
        <v>40</v>
      </c>
      <c r="AF3792" s="2">
        <f t="shared" si="479"/>
        <v>0</v>
      </c>
      <c r="AG3792" s="2">
        <f t="shared" si="482"/>
        <v>25.200000000000003</v>
      </c>
      <c r="AJ3792" s="2">
        <f t="shared" si="480"/>
        <v>0</v>
      </c>
      <c r="AK3792" s="2">
        <f t="shared" si="477"/>
        <v>37.799999999999997</v>
      </c>
      <c r="AL3792" s="5">
        <f t="shared" si="476"/>
        <v>0.6</v>
      </c>
    </row>
    <row r="3793" spans="1:38" hidden="1" x14ac:dyDescent="0.2">
      <c r="A3793" s="2">
        <v>2026</v>
      </c>
      <c r="B3793" s="2">
        <v>3</v>
      </c>
      <c r="D3793" s="2" t="s">
        <v>908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B3793" s="2" t="s">
        <v>191</v>
      </c>
      <c r="AC3793" s="2" t="s">
        <v>40</v>
      </c>
      <c r="AF3793" s="2">
        <f t="shared" si="479"/>
        <v>0</v>
      </c>
      <c r="AG3793" s="2">
        <f t="shared" si="482"/>
        <v>0</v>
      </c>
      <c r="AJ3793" s="2">
        <f t="shared" si="480"/>
        <v>0</v>
      </c>
      <c r="AK3793" s="2">
        <f t="shared" si="477"/>
        <v>0</v>
      </c>
      <c r="AL3793" s="5">
        <v>0</v>
      </c>
    </row>
    <row r="3794" spans="1:38" hidden="1" x14ac:dyDescent="0.2">
      <c r="A3794" s="2">
        <v>2026</v>
      </c>
      <c r="B3794" s="2">
        <v>1</v>
      </c>
      <c r="D3794" s="2" t="s">
        <v>1664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83">(T3794-W3794)/T3794</f>
        <v>0.6</v>
      </c>
      <c r="Z3794" s="2" t="s">
        <v>118</v>
      </c>
      <c r="AA3794" s="2" t="s">
        <v>191</v>
      </c>
      <c r="AB3794" s="2" t="s">
        <v>190</v>
      </c>
      <c r="AC3794" s="2" t="s">
        <v>40</v>
      </c>
      <c r="AF3794" s="2">
        <f t="shared" si="479"/>
        <v>0</v>
      </c>
      <c r="AG3794" s="2">
        <f t="shared" si="482"/>
        <v>228.8</v>
      </c>
      <c r="AJ3794" s="2">
        <f t="shared" si="480"/>
        <v>0</v>
      </c>
      <c r="AK3794" s="2">
        <f t="shared" si="477"/>
        <v>343.2</v>
      </c>
      <c r="AL3794" s="5">
        <f t="shared" si="476"/>
        <v>0.6</v>
      </c>
    </row>
    <row r="3795" spans="1:38" hidden="1" x14ac:dyDescent="0.2">
      <c r="A3795" s="2">
        <v>2026</v>
      </c>
      <c r="B3795" s="2">
        <v>1</v>
      </c>
      <c r="D3795" s="2" t="s">
        <v>1664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83"/>
        <v>0.5</v>
      </c>
      <c r="Z3795" s="2" t="s">
        <v>118</v>
      </c>
      <c r="AA3795" s="2" t="s">
        <v>191</v>
      </c>
      <c r="AB3795" s="2" t="s">
        <v>191</v>
      </c>
      <c r="AC3795" s="2" t="s">
        <v>40</v>
      </c>
      <c r="AF3795" s="2">
        <f t="shared" si="479"/>
        <v>0</v>
      </c>
      <c r="AG3795" s="2">
        <f t="shared" si="482"/>
        <v>50</v>
      </c>
      <c r="AJ3795" s="2">
        <f t="shared" si="480"/>
        <v>0</v>
      </c>
      <c r="AK3795" s="2">
        <f t="shared" si="477"/>
        <v>50</v>
      </c>
      <c r="AL3795" s="5">
        <f t="shared" si="476"/>
        <v>0.5</v>
      </c>
    </row>
    <row r="3796" spans="1:38" hidden="1" x14ac:dyDescent="0.2">
      <c r="A3796" s="2">
        <v>2026</v>
      </c>
      <c r="B3796" s="2">
        <v>3</v>
      </c>
      <c r="D3796" s="2" t="s">
        <v>1664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B3796" s="2" t="s">
        <v>190</v>
      </c>
      <c r="AC3796" s="2" t="s">
        <v>40</v>
      </c>
      <c r="AF3796" s="2">
        <f t="shared" si="479"/>
        <v>0</v>
      </c>
      <c r="AG3796" s="2">
        <f t="shared" si="482"/>
        <v>-114.4</v>
      </c>
      <c r="AJ3796" s="2">
        <f t="shared" si="480"/>
        <v>0</v>
      </c>
      <c r="AK3796" s="2">
        <f t="shared" si="477"/>
        <v>-171.6</v>
      </c>
    </row>
    <row r="3797" spans="1:38" hidden="1" x14ac:dyDescent="0.2">
      <c r="A3797" s="2">
        <v>2026</v>
      </c>
      <c r="B3797" s="2">
        <v>3</v>
      </c>
      <c r="D3797" s="2" t="s">
        <v>1664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B3797" s="2" t="s">
        <v>191</v>
      </c>
      <c r="AC3797" s="2" t="s">
        <v>40</v>
      </c>
      <c r="AF3797" s="2">
        <f t="shared" si="479"/>
        <v>0</v>
      </c>
      <c r="AG3797" s="2">
        <f t="shared" si="482"/>
        <v>0</v>
      </c>
      <c r="AJ3797" s="2">
        <f t="shared" si="480"/>
        <v>0</v>
      </c>
      <c r="AK3797" s="2">
        <f t="shared" si="477"/>
        <v>-50</v>
      </c>
    </row>
    <row r="3798" spans="1:38" hidden="1" x14ac:dyDescent="0.2">
      <c r="A3798" s="2">
        <v>2026</v>
      </c>
      <c r="B3798" s="2">
        <v>3</v>
      </c>
      <c r="D3798" s="2" t="s">
        <v>2628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83"/>
        <v>0.6</v>
      </c>
      <c r="Z3798" s="2" t="s">
        <v>118</v>
      </c>
      <c r="AA3798" s="2" t="s">
        <v>191</v>
      </c>
      <c r="AB3798" s="2" t="s">
        <v>190</v>
      </c>
      <c r="AC3798" s="2" t="s">
        <v>40</v>
      </c>
      <c r="AF3798" s="2">
        <f t="shared" si="479"/>
        <v>0</v>
      </c>
      <c r="AG3798" s="2">
        <f t="shared" si="482"/>
        <v>71.2</v>
      </c>
      <c r="AJ3798" s="2">
        <f t="shared" si="480"/>
        <v>0</v>
      </c>
      <c r="AK3798" s="2">
        <f t="shared" si="477"/>
        <v>106.8</v>
      </c>
      <c r="AL3798" s="5">
        <f t="shared" ref="AL3798:AL3828" si="484">(T3798-W3798)/T3798</f>
        <v>0.6</v>
      </c>
    </row>
    <row r="3799" spans="1:38" hidden="1" x14ac:dyDescent="0.2">
      <c r="A3799" s="2">
        <v>2026</v>
      </c>
      <c r="B3799" s="2">
        <v>3</v>
      </c>
      <c r="D3799" s="2" t="s">
        <v>2628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83"/>
        <v>0.5</v>
      </c>
      <c r="Z3799" s="2" t="s">
        <v>118</v>
      </c>
      <c r="AA3799" s="2" t="s">
        <v>191</v>
      </c>
      <c r="AB3799" s="2" t="s">
        <v>191</v>
      </c>
      <c r="AC3799" s="2" t="s">
        <v>40</v>
      </c>
      <c r="AF3799" s="2">
        <f t="shared" si="479"/>
        <v>0</v>
      </c>
      <c r="AG3799" s="2">
        <f t="shared" si="482"/>
        <v>41.25</v>
      </c>
      <c r="AJ3799" s="2">
        <f t="shared" si="480"/>
        <v>0</v>
      </c>
      <c r="AK3799" s="2">
        <f t="shared" si="477"/>
        <v>41.25</v>
      </c>
      <c r="AL3799" s="5">
        <f t="shared" si="484"/>
        <v>0.5</v>
      </c>
    </row>
    <row r="3800" spans="1:38" hidden="1" x14ac:dyDescent="0.2">
      <c r="A3800" s="2">
        <v>2026</v>
      </c>
      <c r="B3800" s="2">
        <v>2</v>
      </c>
      <c r="D3800" s="2" t="s">
        <v>2495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83"/>
        <v>0.6</v>
      </c>
      <c r="Z3800" s="2" t="s">
        <v>118</v>
      </c>
      <c r="AA3800" s="2" t="s">
        <v>191</v>
      </c>
      <c r="AB3800" s="2" t="s">
        <v>190</v>
      </c>
      <c r="AC3800" s="2" t="s">
        <v>40</v>
      </c>
      <c r="AF3800" s="2">
        <f t="shared" si="479"/>
        <v>0</v>
      </c>
      <c r="AG3800" s="2">
        <f t="shared" si="482"/>
        <v>22</v>
      </c>
      <c r="AJ3800" s="2">
        <f t="shared" si="480"/>
        <v>0</v>
      </c>
      <c r="AK3800" s="2">
        <f t="shared" si="477"/>
        <v>33</v>
      </c>
      <c r="AL3800" s="5">
        <f t="shared" si="484"/>
        <v>0.6</v>
      </c>
    </row>
    <row r="3801" spans="1:38" hidden="1" x14ac:dyDescent="0.2">
      <c r="A3801" s="2">
        <v>2026</v>
      </c>
      <c r="B3801" s="2">
        <v>2</v>
      </c>
      <c r="D3801" s="2" t="s">
        <v>2495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83"/>
        <v>0.5</v>
      </c>
      <c r="Z3801" s="2" t="s">
        <v>118</v>
      </c>
      <c r="AA3801" s="2" t="s">
        <v>191</v>
      </c>
      <c r="AB3801" s="2" t="s">
        <v>191</v>
      </c>
      <c r="AC3801" s="2" t="s">
        <v>40</v>
      </c>
      <c r="AF3801" s="2">
        <f t="shared" si="479"/>
        <v>0</v>
      </c>
      <c r="AG3801" s="2">
        <f t="shared" si="482"/>
        <v>27.5</v>
      </c>
      <c r="AJ3801" s="2">
        <f t="shared" si="480"/>
        <v>0</v>
      </c>
      <c r="AK3801" s="2">
        <f t="shared" si="477"/>
        <v>27.5</v>
      </c>
      <c r="AL3801" s="5">
        <f t="shared" si="484"/>
        <v>0.5</v>
      </c>
    </row>
    <row r="3802" spans="1:38" hidden="1" x14ac:dyDescent="0.2">
      <c r="A3802" s="2">
        <v>2026</v>
      </c>
      <c r="B3802" s="2">
        <v>1</v>
      </c>
      <c r="D3802" s="2" t="s">
        <v>1441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83"/>
        <v>0.6</v>
      </c>
      <c r="Z3802" s="2" t="s">
        <v>118</v>
      </c>
      <c r="AA3802" s="2" t="s">
        <v>191</v>
      </c>
      <c r="AB3802" s="2" t="s">
        <v>190</v>
      </c>
      <c r="AC3802" s="2" t="s">
        <v>40</v>
      </c>
      <c r="AF3802" s="2">
        <f t="shared" si="479"/>
        <v>0</v>
      </c>
      <c r="AG3802" s="2">
        <f t="shared" si="482"/>
        <v>31.6</v>
      </c>
      <c r="AJ3802" s="2">
        <f t="shared" si="480"/>
        <v>0</v>
      </c>
      <c r="AK3802" s="2">
        <f t="shared" si="477"/>
        <v>47.4</v>
      </c>
      <c r="AL3802" s="5">
        <f t="shared" si="484"/>
        <v>0.6</v>
      </c>
    </row>
    <row r="3803" spans="1:38" hidden="1" x14ac:dyDescent="0.2">
      <c r="A3803" s="2">
        <v>2026</v>
      </c>
      <c r="B3803" s="2">
        <v>1</v>
      </c>
      <c r="D3803" s="2" t="s">
        <v>1441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83"/>
        <v>0.5</v>
      </c>
      <c r="Z3803" s="2" t="s">
        <v>118</v>
      </c>
      <c r="AA3803" s="2" t="s">
        <v>191</v>
      </c>
      <c r="AB3803" s="2" t="s">
        <v>191</v>
      </c>
      <c r="AC3803" s="2" t="s">
        <v>40</v>
      </c>
      <c r="AF3803" s="2">
        <f t="shared" si="479"/>
        <v>0</v>
      </c>
      <c r="AG3803" s="2">
        <f t="shared" si="482"/>
        <v>50</v>
      </c>
      <c r="AJ3803" s="2">
        <f t="shared" si="480"/>
        <v>0</v>
      </c>
      <c r="AK3803" s="2">
        <f t="shared" si="477"/>
        <v>50</v>
      </c>
      <c r="AL3803" s="5">
        <f t="shared" si="484"/>
        <v>0.5</v>
      </c>
    </row>
    <row r="3804" spans="1:38" hidden="1" x14ac:dyDescent="0.2">
      <c r="A3804" s="2">
        <v>2026</v>
      </c>
      <c r="B3804" s="2">
        <v>3</v>
      </c>
      <c r="D3804" s="2" t="s">
        <v>1441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83"/>
        <v>0.6</v>
      </c>
      <c r="Z3804" s="2" t="s">
        <v>118</v>
      </c>
      <c r="AA3804" s="2" t="s">
        <v>191</v>
      </c>
      <c r="AB3804" s="2" t="s">
        <v>190</v>
      </c>
      <c r="AC3804" s="2" t="s">
        <v>40</v>
      </c>
      <c r="AF3804" s="2">
        <f t="shared" si="479"/>
        <v>0</v>
      </c>
      <c r="AG3804" s="2">
        <f t="shared" si="482"/>
        <v>33.200000000000003</v>
      </c>
      <c r="AJ3804" s="2">
        <f t="shared" si="480"/>
        <v>0</v>
      </c>
      <c r="AK3804" s="2">
        <f t="shared" si="477"/>
        <v>49.8</v>
      </c>
      <c r="AL3804" s="5">
        <f t="shared" si="484"/>
        <v>0.6</v>
      </c>
    </row>
    <row r="3805" spans="1:38" hidden="1" x14ac:dyDescent="0.2">
      <c r="A3805" s="2">
        <v>2026</v>
      </c>
      <c r="B3805" s="2">
        <v>3</v>
      </c>
      <c r="D3805" s="2" t="s">
        <v>1441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83"/>
        <v>0.5</v>
      </c>
      <c r="Z3805" s="2" t="s">
        <v>118</v>
      </c>
      <c r="AA3805" s="2" t="s">
        <v>191</v>
      </c>
      <c r="AB3805" s="2" t="s">
        <v>191</v>
      </c>
      <c r="AC3805" s="2" t="s">
        <v>40</v>
      </c>
      <c r="AF3805" s="2">
        <f t="shared" si="479"/>
        <v>0</v>
      </c>
      <c r="AG3805" s="2">
        <f t="shared" si="482"/>
        <v>27.5</v>
      </c>
      <c r="AJ3805" s="2">
        <f t="shared" si="480"/>
        <v>0</v>
      </c>
      <c r="AK3805" s="2">
        <f t="shared" si="477"/>
        <v>27.5</v>
      </c>
      <c r="AL3805" s="5">
        <f t="shared" si="484"/>
        <v>0.5</v>
      </c>
    </row>
    <row r="3806" spans="1:38" hidden="1" x14ac:dyDescent="0.2">
      <c r="A3806" s="2">
        <v>2026</v>
      </c>
      <c r="B3806" s="2">
        <v>4</v>
      </c>
      <c r="D3806" s="2" t="s">
        <v>2801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2802</v>
      </c>
      <c r="J3806" s="2" t="s">
        <v>2803</v>
      </c>
      <c r="L3806" s="2" t="s">
        <v>202</v>
      </c>
      <c r="M3806" s="2" t="s">
        <v>40</v>
      </c>
      <c r="O3806" s="2" t="s">
        <v>2804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83"/>
        <v>0.59999999999999987</v>
      </c>
      <c r="Z3806" s="2" t="s">
        <v>118</v>
      </c>
      <c r="AA3806" s="2" t="s">
        <v>191</v>
      </c>
      <c r="AB3806" s="2" t="s">
        <v>190</v>
      </c>
      <c r="AC3806" s="2" t="s">
        <v>40</v>
      </c>
      <c r="AF3806" s="2">
        <f t="shared" si="479"/>
        <v>0</v>
      </c>
      <c r="AG3806" s="2">
        <f t="shared" si="482"/>
        <v>24.400000000000002</v>
      </c>
      <c r="AJ3806" s="2">
        <f t="shared" si="480"/>
        <v>0</v>
      </c>
      <c r="AK3806" s="2">
        <f t="shared" si="477"/>
        <v>36.599999999999994</v>
      </c>
      <c r="AL3806" s="5">
        <f t="shared" si="484"/>
        <v>0.59999999999999987</v>
      </c>
    </row>
    <row r="3807" spans="1:38" hidden="1" x14ac:dyDescent="0.2">
      <c r="A3807" s="2">
        <v>2026</v>
      </c>
      <c r="B3807" s="2">
        <v>4</v>
      </c>
      <c r="D3807" s="2" t="s">
        <v>2801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2802</v>
      </c>
      <c r="J3807" s="2" t="s">
        <v>2803</v>
      </c>
      <c r="L3807" s="2" t="s">
        <v>202</v>
      </c>
      <c r="M3807" s="2" t="s">
        <v>40</v>
      </c>
      <c r="O3807" s="2" t="s">
        <v>2804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83"/>
        <v>0.5</v>
      </c>
      <c r="Z3807" s="2" t="s">
        <v>118</v>
      </c>
      <c r="AA3807" s="2" t="s">
        <v>191</v>
      </c>
      <c r="AB3807" s="2" t="s">
        <v>191</v>
      </c>
      <c r="AC3807" s="2" t="s">
        <v>40</v>
      </c>
      <c r="AF3807" s="2">
        <f t="shared" si="479"/>
        <v>0</v>
      </c>
      <c r="AG3807" s="2">
        <f t="shared" si="482"/>
        <v>27.5</v>
      </c>
      <c r="AJ3807" s="2">
        <f t="shared" si="480"/>
        <v>0</v>
      </c>
      <c r="AK3807" s="2">
        <f t="shared" si="477"/>
        <v>27.5</v>
      </c>
      <c r="AL3807" s="5">
        <f t="shared" si="484"/>
        <v>0.5</v>
      </c>
    </row>
    <row r="3808" spans="1:38" hidden="1" x14ac:dyDescent="0.2">
      <c r="A3808" s="2">
        <v>2026</v>
      </c>
      <c r="B3808" s="2">
        <v>4</v>
      </c>
      <c r="D3808" s="2" t="s">
        <v>1126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2298</v>
      </c>
      <c r="J3808" s="2" t="s">
        <v>2299</v>
      </c>
      <c r="K3808" s="2">
        <v>965790183</v>
      </c>
      <c r="L3808" s="2" t="s">
        <v>178</v>
      </c>
      <c r="M3808" s="2" t="s">
        <v>40</v>
      </c>
      <c r="O3808" s="2" t="s">
        <v>2914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83"/>
        <v>0.60000000000000009</v>
      </c>
      <c r="Z3808" s="2" t="s">
        <v>118</v>
      </c>
      <c r="AA3808" s="2" t="s">
        <v>191</v>
      </c>
      <c r="AB3808" s="2" t="s">
        <v>190</v>
      </c>
      <c r="AC3808" s="2" t="s">
        <v>40</v>
      </c>
      <c r="AF3808" s="2">
        <f t="shared" si="479"/>
        <v>0</v>
      </c>
      <c r="AG3808" s="2">
        <f t="shared" si="482"/>
        <v>26.8</v>
      </c>
      <c r="AJ3808" s="2">
        <f t="shared" si="480"/>
        <v>0</v>
      </c>
      <c r="AK3808" s="2">
        <f t="shared" si="477"/>
        <v>40.200000000000003</v>
      </c>
      <c r="AL3808" s="5">
        <f t="shared" si="484"/>
        <v>0.60000000000000009</v>
      </c>
    </row>
    <row r="3809" spans="1:38" hidden="1" x14ac:dyDescent="0.2">
      <c r="A3809" s="2">
        <v>2026</v>
      </c>
      <c r="B3809" s="2">
        <v>4</v>
      </c>
      <c r="D3809" s="2" t="s">
        <v>1126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2298</v>
      </c>
      <c r="J3809" s="2" t="s">
        <v>2299</v>
      </c>
      <c r="K3809" s="2">
        <v>965790183</v>
      </c>
      <c r="L3809" s="2" t="s">
        <v>178</v>
      </c>
      <c r="M3809" s="2" t="s">
        <v>40</v>
      </c>
      <c r="O3809" s="2" t="s">
        <v>2914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83"/>
        <v>0.5</v>
      </c>
      <c r="Z3809" s="2" t="s">
        <v>118</v>
      </c>
      <c r="AA3809" s="2" t="s">
        <v>191</v>
      </c>
      <c r="AB3809" s="2" t="s">
        <v>191</v>
      </c>
      <c r="AC3809" s="2" t="s">
        <v>40</v>
      </c>
      <c r="AF3809" s="2">
        <f t="shared" si="479"/>
        <v>0</v>
      </c>
      <c r="AG3809" s="2">
        <f t="shared" si="482"/>
        <v>27.5</v>
      </c>
      <c r="AJ3809" s="2">
        <f t="shared" si="480"/>
        <v>0</v>
      </c>
      <c r="AK3809" s="2">
        <f t="shared" si="477"/>
        <v>27.5</v>
      </c>
      <c r="AL3809" s="5">
        <f t="shared" si="484"/>
        <v>0.5</v>
      </c>
    </row>
    <row r="3810" spans="1:38" hidden="1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83"/>
        <v>1</v>
      </c>
      <c r="Z3810" s="2" t="s">
        <v>170</v>
      </c>
      <c r="AA3810" s="2" t="s">
        <v>170</v>
      </c>
      <c r="AF3810" s="2">
        <f t="shared" si="479"/>
        <v>0</v>
      </c>
      <c r="AJ3810" s="2">
        <f t="shared" si="480"/>
        <v>0</v>
      </c>
      <c r="AK3810" s="2">
        <f t="shared" si="477"/>
        <v>120</v>
      </c>
      <c r="AL3810" s="5">
        <f t="shared" si="484"/>
        <v>1</v>
      </c>
    </row>
    <row r="3811" spans="1:38" hidden="1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83"/>
        <v>1</v>
      </c>
      <c r="Z3811" s="2" t="s">
        <v>170</v>
      </c>
      <c r="AA3811" s="2" t="s">
        <v>170</v>
      </c>
      <c r="AF3811" s="2">
        <f t="shared" si="479"/>
        <v>0</v>
      </c>
      <c r="AJ3811" s="2">
        <f t="shared" si="480"/>
        <v>0</v>
      </c>
      <c r="AK3811" s="2">
        <f t="shared" si="477"/>
        <v>5</v>
      </c>
      <c r="AL3811" s="5">
        <f t="shared" si="484"/>
        <v>1</v>
      </c>
    </row>
    <row r="3812" spans="1:38" hidden="1" x14ac:dyDescent="0.2">
      <c r="A3812" s="2">
        <v>2026</v>
      </c>
      <c r="B3812" s="2">
        <v>4</v>
      </c>
      <c r="D3812" s="2" t="s">
        <v>2053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83"/>
        <v>1</v>
      </c>
      <c r="Z3812" s="2" t="s">
        <v>170</v>
      </c>
      <c r="AA3812" s="2" t="s">
        <v>170</v>
      </c>
      <c r="AF3812" s="2">
        <f t="shared" si="479"/>
        <v>0</v>
      </c>
      <c r="AJ3812" s="2">
        <f t="shared" si="480"/>
        <v>0</v>
      </c>
      <c r="AK3812" s="2">
        <f t="shared" si="477"/>
        <v>5</v>
      </c>
      <c r="AL3812" s="5">
        <f t="shared" si="484"/>
        <v>1</v>
      </c>
    </row>
    <row r="3813" spans="1:38" hidden="1" x14ac:dyDescent="0.2">
      <c r="A3813" s="2">
        <v>2026</v>
      </c>
      <c r="B3813" s="2">
        <v>4</v>
      </c>
      <c r="D3813" s="2" t="s">
        <v>2530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83"/>
        <v>0.23333333333333334</v>
      </c>
      <c r="Z3813" s="2" t="s">
        <v>170</v>
      </c>
      <c r="AA3813" s="2" t="s">
        <v>170</v>
      </c>
      <c r="AF3813" s="2">
        <f t="shared" si="479"/>
        <v>0</v>
      </c>
      <c r="AJ3813" s="2">
        <f t="shared" si="480"/>
        <v>0</v>
      </c>
      <c r="AK3813" s="2">
        <f t="shared" si="477"/>
        <v>7</v>
      </c>
      <c r="AL3813" s="5">
        <f t="shared" si="484"/>
        <v>0.23333333333333334</v>
      </c>
    </row>
    <row r="3814" spans="1:38" hidden="1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2871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83"/>
        <v>1</v>
      </c>
      <c r="Z3814" s="2" t="s">
        <v>170</v>
      </c>
      <c r="AA3814" s="2" t="s">
        <v>170</v>
      </c>
      <c r="AF3814" s="2">
        <f t="shared" si="479"/>
        <v>0</v>
      </c>
      <c r="AJ3814" s="2">
        <f t="shared" si="480"/>
        <v>0</v>
      </c>
      <c r="AK3814" s="2">
        <f t="shared" si="477"/>
        <v>8</v>
      </c>
      <c r="AL3814" s="5">
        <f t="shared" si="484"/>
        <v>1</v>
      </c>
    </row>
    <row r="3815" spans="1:38" hidden="1" x14ac:dyDescent="0.2">
      <c r="A3815" s="2">
        <v>2026</v>
      </c>
      <c r="B3815" s="2">
        <v>4</v>
      </c>
      <c r="D3815" s="2" t="s">
        <v>2563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83"/>
        <v>1</v>
      </c>
      <c r="Z3815" s="2" t="s">
        <v>170</v>
      </c>
      <c r="AA3815" s="2" t="s">
        <v>170</v>
      </c>
      <c r="AF3815" s="2">
        <f t="shared" si="479"/>
        <v>0</v>
      </c>
      <c r="AJ3815" s="2">
        <f t="shared" si="480"/>
        <v>0</v>
      </c>
      <c r="AK3815" s="2">
        <f t="shared" si="477"/>
        <v>15</v>
      </c>
      <c r="AL3815" s="5">
        <f t="shared" si="484"/>
        <v>1</v>
      </c>
    </row>
    <row r="3816" spans="1:38" hidden="1" x14ac:dyDescent="0.2">
      <c r="A3816" s="2">
        <v>2026</v>
      </c>
      <c r="B3816" s="2">
        <v>4</v>
      </c>
      <c r="D3816" s="2" t="s">
        <v>1297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1298</v>
      </c>
      <c r="L3816" s="2" t="s">
        <v>340</v>
      </c>
      <c r="M3816" s="2" t="s">
        <v>81</v>
      </c>
      <c r="O3816" s="2" t="s">
        <v>2892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83"/>
        <v>0.23333333333333334</v>
      </c>
      <c r="Z3816" s="2" t="s">
        <v>170</v>
      </c>
      <c r="AA3816" s="2" t="s">
        <v>170</v>
      </c>
      <c r="AF3816" s="2">
        <f t="shared" si="479"/>
        <v>0</v>
      </c>
      <c r="AG3816" s="2">
        <v>23</v>
      </c>
      <c r="AJ3816" s="2">
        <f t="shared" si="480"/>
        <v>0</v>
      </c>
      <c r="AK3816" s="2">
        <f t="shared" si="477"/>
        <v>7</v>
      </c>
      <c r="AL3816" s="5">
        <f t="shared" si="484"/>
        <v>0.23333333333333334</v>
      </c>
    </row>
    <row r="3817" spans="1:38" hidden="1" x14ac:dyDescent="0.2">
      <c r="A3817" s="2">
        <v>2026</v>
      </c>
      <c r="B3817" s="2">
        <v>4</v>
      </c>
      <c r="C3817" s="2" t="s">
        <v>3474</v>
      </c>
      <c r="D3817" s="2" t="s">
        <v>943</v>
      </c>
      <c r="E3817" s="2" t="s">
        <v>38</v>
      </c>
      <c r="F3817" s="2" t="s">
        <v>39</v>
      </c>
      <c r="L3817" s="2" t="s">
        <v>178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79"/>
        <v>0</v>
      </c>
      <c r="AJ3817" s="2">
        <f t="shared" si="480"/>
        <v>0</v>
      </c>
      <c r="AK3817" s="2">
        <f t="shared" si="477"/>
        <v>-231.07</v>
      </c>
      <c r="AL3817" s="5">
        <f t="shared" si="484"/>
        <v>1</v>
      </c>
    </row>
    <row r="3818" spans="1:38" hidden="1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2886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83"/>
        <v>2.000401846171453E-16</v>
      </c>
      <c r="Z3818" s="2" t="s">
        <v>3231</v>
      </c>
      <c r="AA3818" s="2" t="s">
        <v>97</v>
      </c>
      <c r="AB3818" s="2" t="s">
        <v>77</v>
      </c>
      <c r="AC3818" s="2" t="s">
        <v>94</v>
      </c>
      <c r="AF3818" s="2">
        <f t="shared" si="479"/>
        <v>0</v>
      </c>
      <c r="AJ3818" s="2">
        <f t="shared" si="480"/>
        <v>0</v>
      </c>
      <c r="AK3818" s="2">
        <f t="shared" si="477"/>
        <v>0</v>
      </c>
      <c r="AL3818" s="5">
        <f t="shared" si="484"/>
        <v>2.000401846171453E-16</v>
      </c>
    </row>
    <row r="3819" spans="1:38" hidden="1" x14ac:dyDescent="0.2">
      <c r="A3819" s="2">
        <v>2026</v>
      </c>
      <c r="B3819" s="2">
        <v>4</v>
      </c>
      <c r="D3819" s="2" t="s">
        <v>938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939</v>
      </c>
      <c r="J3819" s="2" t="s">
        <v>940</v>
      </c>
      <c r="K3819" s="2">
        <v>964771057</v>
      </c>
      <c r="L3819" s="2" t="s">
        <v>340</v>
      </c>
      <c r="M3819" s="2" t="s">
        <v>81</v>
      </c>
      <c r="O3819" s="2" t="s">
        <v>2887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83"/>
        <v>0</v>
      </c>
      <c r="Z3819" s="2" t="s">
        <v>3231</v>
      </c>
      <c r="AA3819" s="2" t="s">
        <v>97</v>
      </c>
      <c r="AB3819" s="2" t="s">
        <v>77</v>
      </c>
      <c r="AC3819" s="2" t="s">
        <v>94</v>
      </c>
      <c r="AF3819" s="2">
        <f t="shared" si="479"/>
        <v>0</v>
      </c>
      <c r="AG3819" s="2">
        <v>1.48</v>
      </c>
      <c r="AH3819" s="2">
        <v>1.48</v>
      </c>
      <c r="AJ3819" s="2">
        <f t="shared" si="480"/>
        <v>0</v>
      </c>
      <c r="AK3819" s="2">
        <f t="shared" si="477"/>
        <v>0</v>
      </c>
      <c r="AL3819" s="5">
        <f t="shared" si="484"/>
        <v>0</v>
      </c>
    </row>
    <row r="3820" spans="1:38" hidden="1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83"/>
        <v>0</v>
      </c>
      <c r="Z3820" s="2" t="s">
        <v>3231</v>
      </c>
      <c r="AA3820" s="2" t="s">
        <v>97</v>
      </c>
      <c r="AB3820" s="2" t="s">
        <v>77</v>
      </c>
      <c r="AC3820" s="2" t="s">
        <v>94</v>
      </c>
      <c r="AF3820" s="2">
        <f t="shared" si="479"/>
        <v>0</v>
      </c>
      <c r="AJ3820" s="2">
        <f t="shared" si="480"/>
        <v>0</v>
      </c>
      <c r="AK3820" s="2">
        <f t="shared" si="477"/>
        <v>0</v>
      </c>
      <c r="AL3820" s="5">
        <f t="shared" si="484"/>
        <v>0</v>
      </c>
    </row>
    <row r="3821" spans="1:38" hidden="1" x14ac:dyDescent="0.2">
      <c r="A3821" s="2">
        <v>2026</v>
      </c>
      <c r="B3821" s="2">
        <v>4</v>
      </c>
      <c r="D3821" s="2" t="s">
        <v>962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83"/>
        <v>0</v>
      </c>
      <c r="Z3821" s="2" t="s">
        <v>3231</v>
      </c>
      <c r="AA3821" s="2" t="s">
        <v>97</v>
      </c>
      <c r="AB3821" s="2" t="s">
        <v>77</v>
      </c>
      <c r="AC3821" s="2" t="s">
        <v>94</v>
      </c>
      <c r="AF3821" s="2">
        <f t="shared" si="479"/>
        <v>0</v>
      </c>
      <c r="AJ3821" s="2">
        <f t="shared" si="480"/>
        <v>0</v>
      </c>
      <c r="AK3821" s="2">
        <f t="shared" si="477"/>
        <v>0</v>
      </c>
      <c r="AL3821" s="5">
        <f t="shared" si="484"/>
        <v>0</v>
      </c>
    </row>
    <row r="3822" spans="1:38" hidden="1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2889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83"/>
        <v>0</v>
      </c>
      <c r="Z3822" s="2" t="s">
        <v>3231</v>
      </c>
      <c r="AA3822" s="2" t="s">
        <v>97</v>
      </c>
      <c r="AB3822" s="2" t="s">
        <v>77</v>
      </c>
      <c r="AC3822" s="2" t="s">
        <v>94</v>
      </c>
      <c r="AF3822" s="2">
        <f t="shared" si="479"/>
        <v>0</v>
      </c>
      <c r="AJ3822" s="2">
        <f t="shared" si="480"/>
        <v>0</v>
      </c>
      <c r="AK3822" s="2">
        <f t="shared" si="477"/>
        <v>0</v>
      </c>
      <c r="AL3822" s="5">
        <f t="shared" si="484"/>
        <v>0</v>
      </c>
    </row>
    <row r="3823" spans="1:38" hidden="1" x14ac:dyDescent="0.2">
      <c r="A3823" s="2">
        <v>2026</v>
      </c>
      <c r="B3823" s="2">
        <v>4</v>
      </c>
      <c r="D3823" s="2" t="s">
        <v>732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733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83"/>
        <v>0</v>
      </c>
      <c r="Z3823" s="2" t="s">
        <v>3231</v>
      </c>
      <c r="AA3823" s="2" t="s">
        <v>97</v>
      </c>
      <c r="AB3823" s="2" t="s">
        <v>77</v>
      </c>
      <c r="AC3823" s="2" t="s">
        <v>94</v>
      </c>
      <c r="AF3823" s="2">
        <f t="shared" si="479"/>
        <v>0</v>
      </c>
      <c r="AG3823" s="2">
        <v>1.48</v>
      </c>
      <c r="AH3823" s="2">
        <v>1.48</v>
      </c>
      <c r="AJ3823" s="2">
        <f t="shared" si="480"/>
        <v>0</v>
      </c>
      <c r="AK3823" s="2">
        <f t="shared" si="477"/>
        <v>0</v>
      </c>
      <c r="AL3823" s="5">
        <f t="shared" si="484"/>
        <v>0</v>
      </c>
    </row>
    <row r="3824" spans="1:38" hidden="1" x14ac:dyDescent="0.2">
      <c r="A3824" s="2">
        <v>2026</v>
      </c>
      <c r="B3824" s="2">
        <v>4</v>
      </c>
      <c r="D3824" s="2" t="s">
        <v>2881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83"/>
        <v>0</v>
      </c>
      <c r="Z3824" s="2" t="s">
        <v>3231</v>
      </c>
      <c r="AA3824" s="2" t="s">
        <v>97</v>
      </c>
      <c r="AB3824" s="2" t="s">
        <v>77</v>
      </c>
      <c r="AC3824" s="2" t="s">
        <v>94</v>
      </c>
      <c r="AF3824" s="2">
        <f t="shared" si="479"/>
        <v>0</v>
      </c>
      <c r="AJ3824" s="2">
        <f t="shared" si="480"/>
        <v>0</v>
      </c>
      <c r="AK3824" s="2">
        <f t="shared" si="477"/>
        <v>0</v>
      </c>
      <c r="AL3824" s="5">
        <f t="shared" si="484"/>
        <v>0</v>
      </c>
    </row>
    <row r="3825" spans="1:38" hidden="1" x14ac:dyDescent="0.2">
      <c r="A3825" s="2">
        <v>2026</v>
      </c>
      <c r="B3825" s="2">
        <v>4</v>
      </c>
      <c r="D3825" s="2" t="s">
        <v>770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771</v>
      </c>
      <c r="J3825" s="2" t="s">
        <v>772</v>
      </c>
      <c r="L3825" s="2" t="s">
        <v>340</v>
      </c>
      <c r="M3825" s="2" t="s">
        <v>81</v>
      </c>
      <c r="O3825" s="2" t="s">
        <v>2899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83"/>
        <v>0</v>
      </c>
      <c r="Z3825" s="2" t="s">
        <v>3231</v>
      </c>
      <c r="AA3825" s="2" t="s">
        <v>97</v>
      </c>
      <c r="AB3825" s="2" t="s">
        <v>77</v>
      </c>
      <c r="AC3825" s="2" t="s">
        <v>94</v>
      </c>
      <c r="AF3825" s="2">
        <f t="shared" si="479"/>
        <v>0</v>
      </c>
      <c r="AG3825" s="2">
        <v>1.48</v>
      </c>
      <c r="AH3825" s="2">
        <v>1.48</v>
      </c>
      <c r="AJ3825" s="2">
        <f t="shared" si="480"/>
        <v>0</v>
      </c>
      <c r="AK3825" s="2">
        <f t="shared" si="477"/>
        <v>0</v>
      </c>
      <c r="AL3825" s="5">
        <f t="shared" si="484"/>
        <v>0</v>
      </c>
    </row>
    <row r="3826" spans="1:38" hidden="1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2877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85">SIGN(T3826)*((ABS(T3826)-W3826)/ABS(T3826))</f>
        <v>0</v>
      </c>
      <c r="Z3826" s="2" t="s">
        <v>3231</v>
      </c>
      <c r="AA3826" s="2" t="s">
        <v>97</v>
      </c>
      <c r="AB3826" s="2" t="s">
        <v>77</v>
      </c>
      <c r="AC3826" s="2" t="s">
        <v>94</v>
      </c>
      <c r="AF3826" s="2">
        <f t="shared" si="479"/>
        <v>0</v>
      </c>
      <c r="AJ3826" s="2">
        <f t="shared" si="480"/>
        <v>0</v>
      </c>
      <c r="AK3826" s="2">
        <f t="shared" ref="AK3826:AK3827" si="486">T3826+(W3826)</f>
        <v>0</v>
      </c>
      <c r="AL3826" s="18">
        <f t="shared" ref="AL3826:AL3827" si="487">SIGN(T3826)*((ABS(T3826)-W3826)/ABS(T3826))</f>
        <v>0</v>
      </c>
    </row>
    <row r="3827" spans="1:38" hidden="1" x14ac:dyDescent="0.2">
      <c r="A3827" s="2">
        <v>2026</v>
      </c>
      <c r="B3827" s="2">
        <v>4</v>
      </c>
      <c r="D3827" s="2" t="s">
        <v>1557</v>
      </c>
      <c r="E3827" s="2" t="s">
        <v>109</v>
      </c>
      <c r="F3827" s="2" t="s">
        <v>718</v>
      </c>
      <c r="G3827" s="2">
        <v>500975914</v>
      </c>
      <c r="H3827" s="2" t="s">
        <v>41</v>
      </c>
      <c r="I3827" s="2" t="s">
        <v>1558</v>
      </c>
      <c r="J3827" s="2" t="s">
        <v>1559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85"/>
        <v>0</v>
      </c>
      <c r="Z3827" s="2" t="s">
        <v>3231</v>
      </c>
      <c r="AA3827" s="2" t="s">
        <v>97</v>
      </c>
      <c r="AB3827" s="2" t="s">
        <v>77</v>
      </c>
      <c r="AC3827" s="2" t="s">
        <v>94</v>
      </c>
      <c r="AF3827" s="2">
        <f t="shared" si="479"/>
        <v>0</v>
      </c>
      <c r="AJ3827" s="2">
        <f t="shared" si="480"/>
        <v>0</v>
      </c>
      <c r="AK3827" s="2">
        <f t="shared" si="486"/>
        <v>0</v>
      </c>
      <c r="AL3827" s="18">
        <f t="shared" si="487"/>
        <v>0</v>
      </c>
    </row>
    <row r="3828" spans="1:38" hidden="1" x14ac:dyDescent="0.2">
      <c r="A3828" s="2">
        <v>2026</v>
      </c>
      <c r="B3828" s="2">
        <v>4</v>
      </c>
      <c r="D3828" s="2" t="s">
        <v>2884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88">(T3828-W3828)/T3828</f>
        <v>0</v>
      </c>
      <c r="Z3828" s="2" t="s">
        <v>3231</v>
      </c>
      <c r="AA3828" s="2" t="s">
        <v>97</v>
      </c>
      <c r="AB3828" s="2" t="s">
        <v>77</v>
      </c>
      <c r="AC3828" s="2" t="s">
        <v>94</v>
      </c>
      <c r="AF3828" s="2">
        <f t="shared" si="479"/>
        <v>0</v>
      </c>
      <c r="AJ3828" s="2">
        <f t="shared" si="480"/>
        <v>0</v>
      </c>
      <c r="AK3828" s="2">
        <f t="shared" si="477"/>
        <v>0</v>
      </c>
      <c r="AL3828" s="5">
        <f t="shared" si="484"/>
        <v>0</v>
      </c>
    </row>
    <row r="3829" spans="1:38" hidden="1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88"/>
        <v>0</v>
      </c>
      <c r="Z3829" s="2" t="s">
        <v>3231</v>
      </c>
      <c r="AA3829" s="2" t="s">
        <v>97</v>
      </c>
      <c r="AB3829" s="2" t="s">
        <v>77</v>
      </c>
      <c r="AC3829" s="2" t="s">
        <v>94</v>
      </c>
      <c r="AF3829" s="2">
        <f t="shared" si="479"/>
        <v>0</v>
      </c>
      <c r="AG3829" s="2">
        <v>1.48</v>
      </c>
      <c r="AH3829" s="2">
        <v>1.48</v>
      </c>
      <c r="AJ3829" s="2">
        <f t="shared" si="480"/>
        <v>0</v>
      </c>
      <c r="AK3829" s="2">
        <f t="shared" si="477"/>
        <v>0</v>
      </c>
      <c r="AL3829" s="5">
        <f t="shared" ref="AL3829:AL3844" si="489">(T3829-W3829)/T3829</f>
        <v>0</v>
      </c>
    </row>
    <row r="3830" spans="1:38" hidden="1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88"/>
        <v>0</v>
      </c>
      <c r="Z3830" s="2" t="s">
        <v>3231</v>
      </c>
      <c r="AA3830" s="2" t="s">
        <v>97</v>
      </c>
      <c r="AB3830" s="2" t="s">
        <v>77</v>
      </c>
      <c r="AC3830" s="2" t="s">
        <v>94</v>
      </c>
      <c r="AF3830" s="2">
        <f t="shared" si="479"/>
        <v>0</v>
      </c>
      <c r="AJ3830" s="2">
        <f t="shared" si="480"/>
        <v>0</v>
      </c>
      <c r="AK3830" s="2">
        <f t="shared" ref="AK3830:AK3893" si="490">T3830-W3830</f>
        <v>0</v>
      </c>
      <c r="AL3830" s="5">
        <f t="shared" si="489"/>
        <v>0</v>
      </c>
    </row>
    <row r="3831" spans="1:38" hidden="1" x14ac:dyDescent="0.2">
      <c r="A3831" s="2">
        <v>2026</v>
      </c>
      <c r="B3831" s="2">
        <v>4</v>
      </c>
      <c r="D3831" s="2" t="s">
        <v>1258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88"/>
        <v>0</v>
      </c>
      <c r="Z3831" s="2" t="s">
        <v>3231</v>
      </c>
      <c r="AA3831" s="2" t="s">
        <v>97</v>
      </c>
      <c r="AB3831" s="2" t="s">
        <v>77</v>
      </c>
      <c r="AC3831" s="2" t="s">
        <v>94</v>
      </c>
      <c r="AF3831" s="2">
        <f t="shared" si="479"/>
        <v>0</v>
      </c>
      <c r="AJ3831" s="2">
        <f t="shared" si="480"/>
        <v>0</v>
      </c>
      <c r="AK3831" s="2">
        <f t="shared" si="490"/>
        <v>0</v>
      </c>
      <c r="AL3831" s="5">
        <f t="shared" si="489"/>
        <v>0</v>
      </c>
    </row>
    <row r="3832" spans="1:38" hidden="1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2888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88"/>
        <v>0</v>
      </c>
      <c r="Z3832" s="2" t="s">
        <v>3231</v>
      </c>
      <c r="AA3832" s="2" t="s">
        <v>97</v>
      </c>
      <c r="AB3832" s="2" t="s">
        <v>77</v>
      </c>
      <c r="AC3832" s="2" t="s">
        <v>94</v>
      </c>
      <c r="AF3832" s="2">
        <f t="shared" si="479"/>
        <v>0</v>
      </c>
      <c r="AG3832" s="2">
        <v>1.48</v>
      </c>
      <c r="AH3832" s="2">
        <v>1.48</v>
      </c>
      <c r="AJ3832" s="2">
        <f t="shared" si="480"/>
        <v>0</v>
      </c>
      <c r="AK3832" s="2">
        <f t="shared" si="490"/>
        <v>0</v>
      </c>
      <c r="AL3832" s="5">
        <f t="shared" si="489"/>
        <v>0</v>
      </c>
    </row>
    <row r="3833" spans="1:38" hidden="1" x14ac:dyDescent="0.2">
      <c r="A3833" s="2">
        <v>2026</v>
      </c>
      <c r="B3833" s="2">
        <v>4</v>
      </c>
      <c r="D3833" s="2" t="s">
        <v>2530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88"/>
        <v>0</v>
      </c>
      <c r="Z3833" s="2" t="s">
        <v>3231</v>
      </c>
      <c r="AA3833" s="2" t="s">
        <v>97</v>
      </c>
      <c r="AB3833" s="2" t="s">
        <v>77</v>
      </c>
      <c r="AC3833" s="2" t="s">
        <v>94</v>
      </c>
      <c r="AF3833" s="2">
        <f t="shared" si="479"/>
        <v>0</v>
      </c>
      <c r="AJ3833" s="2">
        <f t="shared" si="480"/>
        <v>0</v>
      </c>
      <c r="AK3833" s="2">
        <f t="shared" si="490"/>
        <v>0</v>
      </c>
      <c r="AL3833" s="5">
        <f t="shared" si="489"/>
        <v>0</v>
      </c>
    </row>
    <row r="3834" spans="1:38" hidden="1" x14ac:dyDescent="0.2">
      <c r="A3834" s="2">
        <v>2026</v>
      </c>
      <c r="B3834" s="2">
        <v>4</v>
      </c>
      <c r="D3834" s="2" t="s">
        <v>1421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1274</v>
      </c>
      <c r="J3834" s="2" t="s">
        <v>2398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88"/>
        <v>0</v>
      </c>
      <c r="Z3834" s="2" t="s">
        <v>3231</v>
      </c>
      <c r="AA3834" s="2" t="s">
        <v>97</v>
      </c>
      <c r="AB3834" s="2" t="s">
        <v>77</v>
      </c>
      <c r="AC3834" s="2" t="s">
        <v>94</v>
      </c>
      <c r="AF3834" s="2">
        <f t="shared" si="479"/>
        <v>0</v>
      </c>
      <c r="AJ3834" s="2">
        <f t="shared" si="480"/>
        <v>0</v>
      </c>
      <c r="AK3834" s="2">
        <f t="shared" si="490"/>
        <v>0</v>
      </c>
      <c r="AL3834" s="5">
        <f t="shared" si="489"/>
        <v>0</v>
      </c>
    </row>
    <row r="3835" spans="1:38" hidden="1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2880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88"/>
        <v>0</v>
      </c>
      <c r="Z3835" s="2" t="s">
        <v>3231</v>
      </c>
      <c r="AA3835" s="2" t="s">
        <v>97</v>
      </c>
      <c r="AB3835" s="2" t="s">
        <v>77</v>
      </c>
      <c r="AC3835" s="2" t="s">
        <v>94</v>
      </c>
      <c r="AF3835" s="2">
        <f t="shared" si="479"/>
        <v>0</v>
      </c>
      <c r="AG3835" s="2">
        <v>1.48</v>
      </c>
      <c r="AH3835" s="2">
        <v>1.48</v>
      </c>
      <c r="AJ3835" s="2">
        <f t="shared" si="480"/>
        <v>0</v>
      </c>
      <c r="AK3835" s="2">
        <f t="shared" si="490"/>
        <v>0</v>
      </c>
      <c r="AL3835" s="5">
        <f t="shared" si="489"/>
        <v>0</v>
      </c>
    </row>
    <row r="3836" spans="1:38" hidden="1" x14ac:dyDescent="0.2">
      <c r="A3836" s="2">
        <v>2026</v>
      </c>
      <c r="B3836" s="2">
        <v>4</v>
      </c>
      <c r="D3836" s="2" t="s">
        <v>896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88"/>
        <v>0</v>
      </c>
      <c r="Z3836" s="2" t="s">
        <v>3231</v>
      </c>
      <c r="AA3836" s="2" t="s">
        <v>97</v>
      </c>
      <c r="AB3836" s="2" t="s">
        <v>77</v>
      </c>
      <c r="AC3836" s="2" t="s">
        <v>94</v>
      </c>
      <c r="AF3836" s="2">
        <f t="shared" si="479"/>
        <v>0</v>
      </c>
      <c r="AJ3836" s="2">
        <f t="shared" si="480"/>
        <v>0</v>
      </c>
      <c r="AK3836" s="2">
        <f t="shared" si="490"/>
        <v>0</v>
      </c>
      <c r="AL3836" s="5">
        <f t="shared" si="489"/>
        <v>0</v>
      </c>
    </row>
    <row r="3837" spans="1:38" hidden="1" x14ac:dyDescent="0.2">
      <c r="A3837" s="2">
        <v>2026</v>
      </c>
      <c r="B3837" s="2">
        <v>4</v>
      </c>
      <c r="D3837" s="2" t="s">
        <v>2563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88"/>
        <v>0</v>
      </c>
      <c r="Z3837" s="2" t="s">
        <v>3231</v>
      </c>
      <c r="AA3837" s="2" t="s">
        <v>97</v>
      </c>
      <c r="AB3837" s="2" t="s">
        <v>77</v>
      </c>
      <c r="AC3837" s="2" t="s">
        <v>94</v>
      </c>
      <c r="AF3837" s="2">
        <f t="shared" si="479"/>
        <v>0</v>
      </c>
      <c r="AJ3837" s="2">
        <f t="shared" si="480"/>
        <v>0</v>
      </c>
      <c r="AK3837" s="2">
        <f t="shared" si="490"/>
        <v>0</v>
      </c>
      <c r="AL3837" s="5">
        <f t="shared" si="489"/>
        <v>0</v>
      </c>
    </row>
    <row r="3838" spans="1:38" hidden="1" x14ac:dyDescent="0.2">
      <c r="A3838" s="2">
        <v>2026</v>
      </c>
      <c r="B3838" s="2">
        <v>4</v>
      </c>
      <c r="D3838" s="2" t="s">
        <v>1297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1298</v>
      </c>
      <c r="L3838" s="2" t="s">
        <v>340</v>
      </c>
      <c r="M3838" s="2" t="s">
        <v>81</v>
      </c>
      <c r="O3838" s="2" t="s">
        <v>2915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88"/>
        <v>0</v>
      </c>
      <c r="Z3838" s="2" t="s">
        <v>3231</v>
      </c>
      <c r="AA3838" s="2" t="s">
        <v>97</v>
      </c>
      <c r="AB3838" s="2" t="s">
        <v>77</v>
      </c>
      <c r="AC3838" s="2" t="s">
        <v>94</v>
      </c>
      <c r="AF3838" s="2">
        <f t="shared" si="479"/>
        <v>0</v>
      </c>
      <c r="AG3838" s="2">
        <v>1.48</v>
      </c>
      <c r="AH3838" s="2">
        <v>1.48</v>
      </c>
      <c r="AJ3838" s="2">
        <f t="shared" si="480"/>
        <v>0</v>
      </c>
      <c r="AK3838" s="2">
        <f t="shared" si="490"/>
        <v>0</v>
      </c>
      <c r="AL3838" s="5">
        <f t="shared" si="489"/>
        <v>0</v>
      </c>
    </row>
    <row r="3839" spans="1:38" hidden="1" x14ac:dyDescent="0.2">
      <c r="A3839" s="2">
        <v>2026</v>
      </c>
      <c r="B3839" s="2">
        <v>4</v>
      </c>
      <c r="D3839" s="2" t="s">
        <v>1959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88"/>
        <v>0</v>
      </c>
      <c r="Z3839" s="2" t="s">
        <v>3231</v>
      </c>
      <c r="AA3839" s="2" t="s">
        <v>97</v>
      </c>
      <c r="AB3839" s="2" t="s">
        <v>77</v>
      </c>
      <c r="AC3839" s="2" t="s">
        <v>94</v>
      </c>
      <c r="AF3839" s="2">
        <f t="shared" si="479"/>
        <v>0</v>
      </c>
      <c r="AJ3839" s="2">
        <f t="shared" si="480"/>
        <v>0</v>
      </c>
      <c r="AK3839" s="2">
        <f t="shared" si="490"/>
        <v>0</v>
      </c>
      <c r="AL3839" s="5">
        <f t="shared" si="489"/>
        <v>0</v>
      </c>
    </row>
    <row r="3840" spans="1:38" hidden="1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2907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79"/>
        <v>0</v>
      </c>
      <c r="AJ3840" s="2">
        <f t="shared" si="480"/>
        <v>0</v>
      </c>
      <c r="AK3840" s="2">
        <f t="shared" si="490"/>
        <v>0</v>
      </c>
      <c r="AL3840" s="5" t="e">
        <f t="shared" si="489"/>
        <v>#DIV/0!</v>
      </c>
    </row>
    <row r="3841" spans="1:38" hidden="1" x14ac:dyDescent="0.2">
      <c r="A3841" s="2">
        <v>2026</v>
      </c>
      <c r="B3841" s="2">
        <v>4</v>
      </c>
      <c r="D3841" s="2" t="s">
        <v>716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3385</v>
      </c>
      <c r="AF3841" s="2">
        <f t="shared" si="479"/>
        <v>0</v>
      </c>
      <c r="AJ3841" s="2">
        <f t="shared" si="480"/>
        <v>0</v>
      </c>
      <c r="AK3841" s="2">
        <f t="shared" si="490"/>
        <v>72.37</v>
      </c>
      <c r="AL3841" s="5">
        <f t="shared" si="489"/>
        <v>1</v>
      </c>
    </row>
    <row r="3842" spans="1:38" hidden="1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2916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3231</v>
      </c>
      <c r="AA3842" s="2" t="s">
        <v>120</v>
      </c>
      <c r="AF3842" s="2">
        <f t="shared" si="479"/>
        <v>0</v>
      </c>
      <c r="AJ3842" s="2">
        <f t="shared" si="480"/>
        <v>0</v>
      </c>
      <c r="AK3842" s="2">
        <f t="shared" si="490"/>
        <v>286.36</v>
      </c>
      <c r="AL3842" s="5">
        <f t="shared" si="489"/>
        <v>1</v>
      </c>
    </row>
    <row r="3843" spans="1:38" hidden="1" x14ac:dyDescent="0.2">
      <c r="A3843" s="2">
        <v>2026</v>
      </c>
      <c r="B3843" s="2">
        <v>4</v>
      </c>
      <c r="D3843" s="2" t="s">
        <v>2912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3385</v>
      </c>
      <c r="AF3843" s="2">
        <f t="shared" ref="AF3843:AF3906" si="491">AJ3843</f>
        <v>0</v>
      </c>
      <c r="AJ3843" s="2">
        <f t="shared" ref="AJ3843:AJ3906" si="492">AI3843*T3843</f>
        <v>0</v>
      </c>
      <c r="AK3843" s="2">
        <f t="shared" si="490"/>
        <v>75.25</v>
      </c>
      <c r="AL3843" s="5">
        <f t="shared" si="489"/>
        <v>1</v>
      </c>
    </row>
    <row r="3844" spans="1:38" hidden="1" x14ac:dyDescent="0.2">
      <c r="A3844" s="2">
        <v>2026</v>
      </c>
      <c r="B3844" s="2">
        <v>5</v>
      </c>
      <c r="C3844" s="2" t="s">
        <v>3375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1944</v>
      </c>
      <c r="R3844" s="2" t="s">
        <v>1945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3231</v>
      </c>
      <c r="AA3844" s="2" t="s">
        <v>156</v>
      </c>
      <c r="AB3844" s="2" t="s">
        <v>1945</v>
      </c>
      <c r="AC3844" s="2" t="s">
        <v>153</v>
      </c>
      <c r="AF3844" s="2">
        <f t="shared" si="491"/>
        <v>0</v>
      </c>
      <c r="AJ3844" s="2">
        <f t="shared" si="492"/>
        <v>0</v>
      </c>
      <c r="AK3844" s="2">
        <f t="shared" si="490"/>
        <v>8.4</v>
      </c>
      <c r="AL3844" s="5">
        <f t="shared" si="489"/>
        <v>0.42000000000000004</v>
      </c>
    </row>
    <row r="3845" spans="1:38" hidden="1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3231</v>
      </c>
      <c r="AA3845" s="2" t="s">
        <v>46</v>
      </c>
      <c r="AB3845" s="2" t="s">
        <v>47</v>
      </c>
      <c r="AC3845" s="2" t="s">
        <v>48</v>
      </c>
      <c r="AF3845" s="2">
        <f t="shared" si="491"/>
        <v>0</v>
      </c>
      <c r="AG3845" s="2">
        <v>6.6266999999999996</v>
      </c>
      <c r="AH3845" s="2">
        <v>12</v>
      </c>
      <c r="AJ3845" s="2">
        <f t="shared" si="492"/>
        <v>0</v>
      </c>
      <c r="AK3845" s="2">
        <f t="shared" si="490"/>
        <v>-6.6266999999999996</v>
      </c>
      <c r="AL3845" s="18">
        <f>IF(T3845=0,IF(W3845&gt;0,-100%,0%),(T3845-W3845)/T3845)</f>
        <v>-1</v>
      </c>
    </row>
    <row r="3846" spans="1:38" hidden="1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93">(T3846-W3846)/T3846</f>
        <v>0.24822695035460993</v>
      </c>
      <c r="Z3846" s="2" t="s">
        <v>3231</v>
      </c>
      <c r="AA3846" s="2" t="s">
        <v>46</v>
      </c>
      <c r="AB3846" s="2" t="s">
        <v>57</v>
      </c>
      <c r="AC3846" s="2" t="s">
        <v>58</v>
      </c>
      <c r="AF3846" s="2">
        <f t="shared" si="491"/>
        <v>0</v>
      </c>
      <c r="AG3846" s="2">
        <v>10.6</v>
      </c>
      <c r="AH3846" s="2">
        <v>18</v>
      </c>
      <c r="AJ3846" s="2">
        <f t="shared" si="492"/>
        <v>0</v>
      </c>
      <c r="AK3846" s="2">
        <f t="shared" si="490"/>
        <v>17.5</v>
      </c>
      <c r="AL3846" s="5">
        <f t="shared" ref="AL3846:AL3877" si="494">(T3846-W3846)/T3846</f>
        <v>0.24822695035460993</v>
      </c>
    </row>
    <row r="3847" spans="1:38" hidden="1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93"/>
        <v>0.30212765957446802</v>
      </c>
      <c r="Z3847" s="2" t="s">
        <v>3231</v>
      </c>
      <c r="AA3847" s="2" t="s">
        <v>46</v>
      </c>
      <c r="AB3847" s="2" t="s">
        <v>61</v>
      </c>
      <c r="AC3847" s="2" t="s">
        <v>58</v>
      </c>
      <c r="AF3847" s="2">
        <f t="shared" si="491"/>
        <v>0</v>
      </c>
      <c r="AG3847" s="2">
        <v>8.1999999999999993</v>
      </c>
      <c r="AH3847" s="2">
        <v>13</v>
      </c>
      <c r="AJ3847" s="2">
        <f t="shared" si="492"/>
        <v>0</v>
      </c>
      <c r="AK3847" s="2">
        <f t="shared" si="490"/>
        <v>14.199999999999996</v>
      </c>
      <c r="AL3847" s="5">
        <f t="shared" si="494"/>
        <v>0.30212765957446802</v>
      </c>
    </row>
    <row r="3848" spans="1:38" hidden="1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93"/>
        <v>0.5243888888888889</v>
      </c>
      <c r="Z3848" s="2" t="s">
        <v>3231</v>
      </c>
      <c r="AA3848" s="2" t="s">
        <v>46</v>
      </c>
      <c r="AB3848" s="2" t="s">
        <v>61</v>
      </c>
      <c r="AC3848" s="2" t="s">
        <v>58</v>
      </c>
      <c r="AF3848" s="2">
        <f t="shared" si="491"/>
        <v>0</v>
      </c>
      <c r="AG3848" s="2">
        <v>0.85609999999999997</v>
      </c>
      <c r="AH3848" s="2">
        <v>1.8</v>
      </c>
      <c r="AJ3848" s="2">
        <f t="shared" si="492"/>
        <v>0</v>
      </c>
      <c r="AK3848" s="2">
        <f t="shared" si="490"/>
        <v>18.878</v>
      </c>
      <c r="AL3848" s="5">
        <f t="shared" si="494"/>
        <v>0.5243888888888889</v>
      </c>
    </row>
    <row r="3849" spans="1:38" hidden="1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93"/>
        <v>0.62926666666666664</v>
      </c>
      <c r="Z3849" s="2" t="s">
        <v>3231</v>
      </c>
      <c r="AA3849" s="2" t="s">
        <v>46</v>
      </c>
      <c r="AB3849" s="2" t="s">
        <v>61</v>
      </c>
      <c r="AC3849" s="2" t="s">
        <v>58</v>
      </c>
      <c r="AF3849" s="2">
        <f t="shared" si="491"/>
        <v>0</v>
      </c>
      <c r="AG3849" s="2">
        <v>1.1122000000000001</v>
      </c>
      <c r="AH3849" s="2">
        <v>3</v>
      </c>
      <c r="AJ3849" s="2">
        <f t="shared" si="492"/>
        <v>0</v>
      </c>
      <c r="AK3849" s="2">
        <f t="shared" si="490"/>
        <v>32.092599999999997</v>
      </c>
      <c r="AL3849" s="5">
        <f t="shared" si="494"/>
        <v>0.62926666666666664</v>
      </c>
    </row>
    <row r="3850" spans="1:38" hidden="1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93"/>
        <v>0.35396559139784944</v>
      </c>
      <c r="Z3850" s="2" t="s">
        <v>3231</v>
      </c>
      <c r="AA3850" s="2" t="s">
        <v>46</v>
      </c>
      <c r="AB3850" s="2" t="s">
        <v>68</v>
      </c>
      <c r="AC3850" s="2" t="s">
        <v>58</v>
      </c>
      <c r="AF3850" s="2">
        <f t="shared" si="491"/>
        <v>0</v>
      </c>
      <c r="AG3850" s="2">
        <v>15.020300000000001</v>
      </c>
      <c r="AH3850" s="2">
        <v>27.6</v>
      </c>
      <c r="AJ3850" s="2">
        <f t="shared" si="492"/>
        <v>0</v>
      </c>
      <c r="AK3850" s="2">
        <f t="shared" si="490"/>
        <v>32.918799999999997</v>
      </c>
      <c r="AL3850" s="5">
        <f t="shared" si="494"/>
        <v>0.35396559139784944</v>
      </c>
    </row>
    <row r="3851" spans="1:38" hidden="1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2917</v>
      </c>
      <c r="P3851" s="2" t="s">
        <v>73</v>
      </c>
      <c r="Q3851" s="2" t="s">
        <v>914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93"/>
        <v>0.47936318238081005</v>
      </c>
      <c r="Z3851" s="2" t="s">
        <v>3231</v>
      </c>
      <c r="AA3851" s="2" t="s">
        <v>76</v>
      </c>
      <c r="AB3851" s="2" t="s">
        <v>77</v>
      </c>
      <c r="AC3851" s="2" t="s">
        <v>78</v>
      </c>
      <c r="AF3851" s="2">
        <f t="shared" si="491"/>
        <v>0</v>
      </c>
      <c r="AJ3851" s="2">
        <f t="shared" si="492"/>
        <v>0</v>
      </c>
      <c r="AK3851" s="2">
        <f t="shared" si="490"/>
        <v>112.30999999999999</v>
      </c>
      <c r="AL3851" s="5">
        <f t="shared" si="494"/>
        <v>0.47936318238081005</v>
      </c>
    </row>
    <row r="3852" spans="1:38" hidden="1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2918</v>
      </c>
      <c r="P3852" s="2" t="s">
        <v>73</v>
      </c>
      <c r="Q3852" s="2" t="s">
        <v>665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93"/>
        <v>0.46581160100729863</v>
      </c>
      <c r="Z3852" s="2" t="s">
        <v>3231</v>
      </c>
      <c r="AA3852" s="2" t="s">
        <v>76</v>
      </c>
      <c r="AB3852" s="2" t="s">
        <v>77</v>
      </c>
      <c r="AC3852" s="2" t="s">
        <v>78</v>
      </c>
      <c r="AF3852" s="2">
        <f t="shared" si="491"/>
        <v>0</v>
      </c>
      <c r="AJ3852" s="2">
        <f t="shared" si="492"/>
        <v>0</v>
      </c>
      <c r="AK3852" s="2">
        <f t="shared" si="490"/>
        <v>109.13499999999999</v>
      </c>
      <c r="AL3852" s="5">
        <f t="shared" si="494"/>
        <v>0.46581160100729863</v>
      </c>
    </row>
    <row r="3853" spans="1:38" hidden="1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2919</v>
      </c>
      <c r="P3853" s="2" t="s">
        <v>73</v>
      </c>
      <c r="Q3853" s="2" t="s">
        <v>1451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93"/>
        <v>0.12538571428571429</v>
      </c>
      <c r="Z3853" s="2" t="s">
        <v>3231</v>
      </c>
      <c r="AA3853" s="2" t="s">
        <v>76</v>
      </c>
      <c r="AB3853" s="2" t="s">
        <v>77</v>
      </c>
      <c r="AC3853" s="2" t="s">
        <v>78</v>
      </c>
      <c r="AF3853" s="2">
        <f t="shared" si="491"/>
        <v>0</v>
      </c>
      <c r="AG3853" s="2">
        <v>122.446</v>
      </c>
      <c r="AH3853" s="2">
        <v>230</v>
      </c>
      <c r="AJ3853" s="2">
        <f t="shared" si="492"/>
        <v>0</v>
      </c>
      <c r="AK3853" s="2">
        <f t="shared" si="490"/>
        <v>17.554000000000002</v>
      </c>
      <c r="AL3853" s="5">
        <f t="shared" si="494"/>
        <v>0.12538571428571429</v>
      </c>
    </row>
    <row r="3854" spans="1:38" hidden="1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1380</v>
      </c>
      <c r="Q3854" s="2" t="s">
        <v>2920</v>
      </c>
      <c r="R3854" s="2" t="s">
        <v>2921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93"/>
        <v>1</v>
      </c>
      <c r="Z3854" s="2" t="s">
        <v>3231</v>
      </c>
      <c r="AA3854" s="2" t="s">
        <v>1043</v>
      </c>
      <c r="AB3854" s="2" t="s">
        <v>1272</v>
      </c>
      <c r="AC3854" s="2" t="s">
        <v>1380</v>
      </c>
      <c r="AF3854" s="2">
        <f t="shared" si="491"/>
        <v>0</v>
      </c>
      <c r="AJ3854" s="2">
        <f t="shared" si="492"/>
        <v>0</v>
      </c>
      <c r="AK3854" s="2">
        <f t="shared" si="490"/>
        <v>479.67</v>
      </c>
      <c r="AL3854" s="5">
        <f t="shared" si="494"/>
        <v>1</v>
      </c>
    </row>
    <row r="3855" spans="1:38" hidden="1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2922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93"/>
        <v>2.000401846171453E-16</v>
      </c>
      <c r="Z3855" s="2" t="s">
        <v>3231</v>
      </c>
      <c r="AA3855" s="2" t="s">
        <v>97</v>
      </c>
      <c r="AB3855" s="2" t="s">
        <v>77</v>
      </c>
      <c r="AC3855" s="2" t="s">
        <v>94</v>
      </c>
      <c r="AF3855" s="2">
        <f t="shared" si="491"/>
        <v>0</v>
      </c>
      <c r="AJ3855" s="2">
        <f t="shared" si="492"/>
        <v>0</v>
      </c>
      <c r="AK3855" s="2">
        <f t="shared" si="490"/>
        <v>0</v>
      </c>
      <c r="AL3855" s="5">
        <f t="shared" si="494"/>
        <v>2.000401846171453E-16</v>
      </c>
    </row>
    <row r="3856" spans="1:38" hidden="1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2923</v>
      </c>
      <c r="R3856" s="2" t="s">
        <v>2924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93"/>
        <v>1</v>
      </c>
      <c r="Z3856" s="2" t="s">
        <v>120</v>
      </c>
      <c r="AA3856" s="2" t="s">
        <v>2925</v>
      </c>
      <c r="AF3856" s="2">
        <f t="shared" si="491"/>
        <v>0</v>
      </c>
      <c r="AJ3856" s="2">
        <f t="shared" si="492"/>
        <v>0</v>
      </c>
      <c r="AK3856" s="2">
        <f t="shared" si="490"/>
        <v>200</v>
      </c>
      <c r="AL3856" s="5">
        <f t="shared" si="494"/>
        <v>1</v>
      </c>
    </row>
    <row r="3857" spans="1:38" hidden="1" x14ac:dyDescent="0.2">
      <c r="A3857" s="2">
        <v>2026</v>
      </c>
      <c r="B3857" s="2">
        <v>5</v>
      </c>
      <c r="D3857" s="2" t="s">
        <v>1326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93"/>
        <v>0.41111111111111115</v>
      </c>
      <c r="Z3857" s="2" t="s">
        <v>3231</v>
      </c>
      <c r="AA3857" s="2" t="s">
        <v>46</v>
      </c>
      <c r="AB3857" s="2" t="s">
        <v>57</v>
      </c>
      <c r="AC3857" s="2" t="s">
        <v>58</v>
      </c>
      <c r="AF3857" s="2">
        <f t="shared" si="491"/>
        <v>0</v>
      </c>
      <c r="AG3857" s="2">
        <v>10.6</v>
      </c>
      <c r="AH3857" s="2">
        <v>18</v>
      </c>
      <c r="AJ3857" s="2">
        <f t="shared" si="492"/>
        <v>0</v>
      </c>
      <c r="AK3857" s="2">
        <f t="shared" si="490"/>
        <v>14.8</v>
      </c>
      <c r="AL3857" s="5">
        <f t="shared" si="494"/>
        <v>0.41111111111111115</v>
      </c>
    </row>
    <row r="3858" spans="1:38" hidden="1" x14ac:dyDescent="0.2">
      <c r="A3858" s="2">
        <v>2026</v>
      </c>
      <c r="B3858" s="2">
        <v>5</v>
      </c>
      <c r="C3858" s="2" t="s">
        <v>3375</v>
      </c>
      <c r="D3858" s="2" t="s">
        <v>1326</v>
      </c>
      <c r="E3858" s="2" t="s">
        <v>38</v>
      </c>
      <c r="F3858" s="2" t="s">
        <v>39</v>
      </c>
      <c r="H3858" s="2" t="s">
        <v>41</v>
      </c>
      <c r="I3858" s="2" t="s">
        <v>3374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93"/>
        <v>0.58173666666666668</v>
      </c>
      <c r="Z3858" s="2" t="s">
        <v>3231</v>
      </c>
      <c r="AA3858" s="2" t="s">
        <v>46</v>
      </c>
      <c r="AB3858" s="2" t="s">
        <v>91</v>
      </c>
      <c r="AC3858" s="2" t="s">
        <v>58</v>
      </c>
      <c r="AF3858" s="2">
        <f t="shared" si="491"/>
        <v>0</v>
      </c>
      <c r="AJ3858" s="2">
        <f t="shared" si="492"/>
        <v>0</v>
      </c>
      <c r="AK3858" s="2">
        <f t="shared" si="490"/>
        <v>34.904200000000003</v>
      </c>
      <c r="AL3858" s="5">
        <f t="shared" si="494"/>
        <v>0.58173666666666668</v>
      </c>
    </row>
    <row r="3859" spans="1:38" hidden="1" x14ac:dyDescent="0.2">
      <c r="A3859" s="2">
        <v>2026</v>
      </c>
      <c r="B3859" s="2">
        <v>5</v>
      </c>
      <c r="D3859" s="2" t="s">
        <v>1147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1148</v>
      </c>
      <c r="J3859" s="2" t="s">
        <v>1149</v>
      </c>
      <c r="L3859" s="2" t="s">
        <v>134</v>
      </c>
      <c r="M3859" s="2" t="s">
        <v>41</v>
      </c>
      <c r="O3859" s="2" t="s">
        <v>2926</v>
      </c>
      <c r="P3859" s="2" t="s">
        <v>283</v>
      </c>
      <c r="Q3859" s="2" t="s">
        <v>2128</v>
      </c>
      <c r="R3859" s="2" t="s">
        <v>2129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93"/>
        <v>0.39115929941618016</v>
      </c>
      <c r="Z3859" s="2" t="s">
        <v>3231</v>
      </c>
      <c r="AA3859" s="2" t="s">
        <v>72</v>
      </c>
      <c r="AB3859" s="2" t="s">
        <v>1604</v>
      </c>
      <c r="AC3859" s="2" t="s">
        <v>1604</v>
      </c>
      <c r="AF3859" s="2">
        <f t="shared" si="491"/>
        <v>0</v>
      </c>
      <c r="AG3859" s="2">
        <v>73</v>
      </c>
      <c r="AJ3859" s="2">
        <f t="shared" si="492"/>
        <v>0</v>
      </c>
      <c r="AK3859" s="2">
        <f t="shared" si="490"/>
        <v>46.900000000000006</v>
      </c>
      <c r="AL3859" s="5">
        <f t="shared" si="494"/>
        <v>0.39115929941618016</v>
      </c>
    </row>
    <row r="3860" spans="1:38" hidden="1" x14ac:dyDescent="0.2">
      <c r="A3860" s="2">
        <v>2026</v>
      </c>
      <c r="B3860" s="2">
        <v>5</v>
      </c>
      <c r="D3860" s="2" t="s">
        <v>1147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1148</v>
      </c>
      <c r="J3860" s="2" t="s">
        <v>1149</v>
      </c>
      <c r="L3860" s="2" t="s">
        <v>134</v>
      </c>
      <c r="M3860" s="2" t="s">
        <v>41</v>
      </c>
      <c r="O3860" s="2" t="s">
        <v>2926</v>
      </c>
      <c r="P3860" s="2" t="s">
        <v>283</v>
      </c>
      <c r="Q3860" s="2" t="s">
        <v>799</v>
      </c>
      <c r="R3860" s="2" t="s">
        <v>800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93"/>
        <v>0.34958766583004658</v>
      </c>
      <c r="Z3860" s="2" t="s">
        <v>3231</v>
      </c>
      <c r="AA3860" s="2" t="s">
        <v>72</v>
      </c>
      <c r="AB3860" s="2" t="s">
        <v>120</v>
      </c>
      <c r="AC3860" s="2" t="s">
        <v>120</v>
      </c>
      <c r="AF3860" s="2">
        <f t="shared" si="491"/>
        <v>0</v>
      </c>
      <c r="AG3860" s="2">
        <v>18.14</v>
      </c>
      <c r="AJ3860" s="2">
        <f t="shared" si="492"/>
        <v>0</v>
      </c>
      <c r="AK3860" s="2">
        <f t="shared" si="490"/>
        <v>9.75</v>
      </c>
      <c r="AL3860" s="5">
        <f t="shared" si="494"/>
        <v>0.34958766583004658</v>
      </c>
    </row>
    <row r="3861" spans="1:38" hidden="1" x14ac:dyDescent="0.2">
      <c r="A3861" s="2">
        <v>2026</v>
      </c>
      <c r="B3861" s="2">
        <v>5</v>
      </c>
      <c r="D3861" s="2" t="s">
        <v>1147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1148</v>
      </c>
      <c r="J3861" s="2" t="s">
        <v>1149</v>
      </c>
      <c r="L3861" s="2" t="s">
        <v>134</v>
      </c>
      <c r="M3861" s="2" t="s">
        <v>41</v>
      </c>
      <c r="O3861" s="2" t="s">
        <v>2926</v>
      </c>
      <c r="P3861" s="2" t="s">
        <v>43</v>
      </c>
      <c r="Q3861" s="2" t="s">
        <v>2927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93"/>
        <v>0.51574074074074072</v>
      </c>
      <c r="Z3861" s="2" t="s">
        <v>3231</v>
      </c>
      <c r="AA3861" s="2" t="s">
        <v>46</v>
      </c>
      <c r="AB3861" s="2" t="s">
        <v>91</v>
      </c>
      <c r="AC3861" s="2" t="s">
        <v>58</v>
      </c>
      <c r="AF3861" s="2">
        <f t="shared" si="491"/>
        <v>0</v>
      </c>
      <c r="AG3861" s="2">
        <v>5.23</v>
      </c>
      <c r="AH3861" s="2">
        <v>10.8</v>
      </c>
      <c r="AJ3861" s="2">
        <f t="shared" si="492"/>
        <v>0</v>
      </c>
      <c r="AK3861" s="2">
        <f t="shared" si="490"/>
        <v>5.57</v>
      </c>
      <c r="AL3861" s="5">
        <f t="shared" si="494"/>
        <v>0.51574074074074072</v>
      </c>
    </row>
    <row r="3862" spans="1:38" hidden="1" x14ac:dyDescent="0.2">
      <c r="A3862" s="2">
        <v>2026</v>
      </c>
      <c r="B3862" s="2">
        <v>5</v>
      </c>
      <c r="D3862" s="2" t="s">
        <v>1147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1148</v>
      </c>
      <c r="J3862" s="2" t="s">
        <v>1149</v>
      </c>
      <c r="L3862" s="2" t="s">
        <v>134</v>
      </c>
      <c r="M3862" s="2" t="s">
        <v>41</v>
      </c>
      <c r="O3862" s="2" t="s">
        <v>2926</v>
      </c>
      <c r="P3862" s="2" t="s">
        <v>43</v>
      </c>
      <c r="Q3862" s="2" t="s">
        <v>2928</v>
      </c>
      <c r="R3862" s="2" t="s">
        <v>2929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93"/>
        <v>0.73055555555555551</v>
      </c>
      <c r="Z3862" s="2" t="s">
        <v>3231</v>
      </c>
      <c r="AA3862" s="2" t="s">
        <v>46</v>
      </c>
      <c r="AB3862" s="2" t="s">
        <v>91</v>
      </c>
      <c r="AC3862" s="2" t="s">
        <v>58</v>
      </c>
      <c r="AF3862" s="2">
        <f t="shared" si="491"/>
        <v>0</v>
      </c>
      <c r="AG3862" s="2">
        <v>0.97</v>
      </c>
      <c r="AH3862" s="2">
        <v>6</v>
      </c>
      <c r="AJ3862" s="2">
        <f t="shared" si="492"/>
        <v>0</v>
      </c>
      <c r="AK3862" s="2">
        <f t="shared" si="490"/>
        <v>10.52</v>
      </c>
      <c r="AL3862" s="5">
        <f t="shared" si="494"/>
        <v>0.73055555555555551</v>
      </c>
    </row>
    <row r="3863" spans="1:38" hidden="1" x14ac:dyDescent="0.2">
      <c r="A3863" s="2">
        <v>2026</v>
      </c>
      <c r="B3863" s="2">
        <v>5</v>
      </c>
      <c r="D3863" s="2" t="s">
        <v>1147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1148</v>
      </c>
      <c r="J3863" s="2" t="s">
        <v>1149</v>
      </c>
      <c r="L3863" s="2" t="s">
        <v>134</v>
      </c>
      <c r="M3863" s="2" t="s">
        <v>41</v>
      </c>
      <c r="O3863" s="2" t="s">
        <v>2926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93"/>
        <v>0.53121428571428575</v>
      </c>
      <c r="Z3863" s="2" t="s">
        <v>3231</v>
      </c>
      <c r="AA3863" s="2" t="s">
        <v>46</v>
      </c>
      <c r="AB3863" s="2" t="s">
        <v>57</v>
      </c>
      <c r="AC3863" s="2" t="s">
        <v>58</v>
      </c>
      <c r="AF3863" s="2">
        <f t="shared" si="491"/>
        <v>0</v>
      </c>
      <c r="AG3863" s="2">
        <v>5.9066999999999998</v>
      </c>
      <c r="AH3863" s="2">
        <v>12.6</v>
      </c>
      <c r="AJ3863" s="2">
        <f t="shared" si="492"/>
        <v>0</v>
      </c>
      <c r="AK3863" s="2">
        <f t="shared" si="490"/>
        <v>6.6932999999999998</v>
      </c>
      <c r="AL3863" s="5">
        <f t="shared" si="494"/>
        <v>0.53121428571428575</v>
      </c>
    </row>
    <row r="3864" spans="1:38" hidden="1" x14ac:dyDescent="0.2">
      <c r="A3864" s="2">
        <v>2026</v>
      </c>
      <c r="B3864" s="2">
        <v>5</v>
      </c>
      <c r="D3864" s="2" t="s">
        <v>1147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1148</v>
      </c>
      <c r="J3864" s="2" t="s">
        <v>1149</v>
      </c>
      <c r="L3864" s="2" t="s">
        <v>134</v>
      </c>
      <c r="M3864" s="2" t="s">
        <v>41</v>
      </c>
      <c r="O3864" s="2" t="s">
        <v>2926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93"/>
        <v>0.49849305555555556</v>
      </c>
      <c r="Z3864" s="2" t="s">
        <v>3231</v>
      </c>
      <c r="AA3864" s="2" t="s">
        <v>46</v>
      </c>
      <c r="AB3864" s="2" t="s">
        <v>57</v>
      </c>
      <c r="AC3864" s="2" t="s">
        <v>58</v>
      </c>
      <c r="AF3864" s="2">
        <f t="shared" si="491"/>
        <v>0</v>
      </c>
      <c r="AG3864" s="2">
        <v>7.2217000000000002</v>
      </c>
      <c r="AH3864" s="2">
        <v>14.4</v>
      </c>
      <c r="AJ3864" s="2">
        <f t="shared" si="492"/>
        <v>0</v>
      </c>
      <c r="AK3864" s="2">
        <f t="shared" si="490"/>
        <v>7.1783000000000001</v>
      </c>
      <c r="AL3864" s="5">
        <f t="shared" si="494"/>
        <v>0.49849305555555556</v>
      </c>
    </row>
    <row r="3865" spans="1:38" hidden="1" x14ac:dyDescent="0.2">
      <c r="A3865" s="2">
        <v>2026</v>
      </c>
      <c r="B3865" s="2">
        <v>5</v>
      </c>
      <c r="D3865" s="2" t="s">
        <v>1147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1148</v>
      </c>
      <c r="J3865" s="2" t="s">
        <v>1149</v>
      </c>
      <c r="L3865" s="2" t="s">
        <v>134</v>
      </c>
      <c r="M3865" s="2" t="s">
        <v>41</v>
      </c>
      <c r="O3865" s="2" t="s">
        <v>2926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493"/>
        <v>0.47844827586206895</v>
      </c>
      <c r="Z3865" s="2" t="s">
        <v>3231</v>
      </c>
      <c r="AA3865" s="2" t="s">
        <v>46</v>
      </c>
      <c r="AB3865" s="2" t="s">
        <v>57</v>
      </c>
      <c r="AC3865" s="2" t="s">
        <v>58</v>
      </c>
      <c r="AF3865" s="2">
        <f t="shared" si="491"/>
        <v>0</v>
      </c>
      <c r="AJ3865" s="2">
        <f t="shared" si="492"/>
        <v>0</v>
      </c>
      <c r="AK3865" s="2">
        <f t="shared" si="490"/>
        <v>8.3249999999999993</v>
      </c>
      <c r="AL3865" s="5">
        <f t="shared" si="494"/>
        <v>0.47844827586206895</v>
      </c>
    </row>
    <row r="3866" spans="1:38" hidden="1" x14ac:dyDescent="0.2">
      <c r="A3866" s="2">
        <v>2026</v>
      </c>
      <c r="B3866" s="2">
        <v>5</v>
      </c>
      <c r="D3866" s="2" t="s">
        <v>1147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1148</v>
      </c>
      <c r="J3866" s="2" t="s">
        <v>1149</v>
      </c>
      <c r="L3866" s="2" t="s">
        <v>134</v>
      </c>
      <c r="M3866" s="2" t="s">
        <v>41</v>
      </c>
      <c r="O3866" s="2" t="s">
        <v>2926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93"/>
        <v>1</v>
      </c>
      <c r="Z3866" s="2" t="s">
        <v>3231</v>
      </c>
      <c r="AA3866" s="2" t="s">
        <v>46</v>
      </c>
      <c r="AB3866" s="2" t="s">
        <v>57</v>
      </c>
      <c r="AC3866" s="2" t="s">
        <v>58</v>
      </c>
      <c r="AF3866" s="2">
        <f t="shared" si="491"/>
        <v>0</v>
      </c>
      <c r="AJ3866" s="2">
        <f t="shared" si="492"/>
        <v>0</v>
      </c>
      <c r="AK3866" s="2">
        <f t="shared" si="490"/>
        <v>21</v>
      </c>
      <c r="AL3866" s="5">
        <f t="shared" si="494"/>
        <v>1</v>
      </c>
    </row>
    <row r="3867" spans="1:38" hidden="1" x14ac:dyDescent="0.2">
      <c r="A3867" s="2">
        <v>2026</v>
      </c>
      <c r="B3867" s="2">
        <v>5</v>
      </c>
      <c r="D3867" s="2" t="s">
        <v>1147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1148</v>
      </c>
      <c r="J3867" s="2" t="s">
        <v>1149</v>
      </c>
      <c r="L3867" s="2" t="s">
        <v>134</v>
      </c>
      <c r="M3867" s="2" t="s">
        <v>41</v>
      </c>
      <c r="O3867" s="2" t="s">
        <v>2926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93"/>
        <v>1</v>
      </c>
      <c r="Z3867" s="2" t="s">
        <v>3231</v>
      </c>
      <c r="AA3867" s="2" t="s">
        <v>46</v>
      </c>
      <c r="AB3867" s="2" t="s">
        <v>57</v>
      </c>
      <c r="AC3867" s="2" t="s">
        <v>58</v>
      </c>
      <c r="AF3867" s="2">
        <f t="shared" si="491"/>
        <v>0</v>
      </c>
      <c r="AJ3867" s="2">
        <f t="shared" si="492"/>
        <v>0</v>
      </c>
      <c r="AK3867" s="2">
        <f t="shared" si="490"/>
        <v>25.2</v>
      </c>
      <c r="AL3867" s="5">
        <f t="shared" si="494"/>
        <v>1</v>
      </c>
    </row>
    <row r="3868" spans="1:38" hidden="1" x14ac:dyDescent="0.2">
      <c r="A3868" s="2">
        <v>2026</v>
      </c>
      <c r="B3868" s="2">
        <v>5</v>
      </c>
      <c r="D3868" s="2" t="s">
        <v>1147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1148</v>
      </c>
      <c r="J3868" s="2" t="s">
        <v>1149</v>
      </c>
      <c r="L3868" s="2" t="s">
        <v>134</v>
      </c>
      <c r="M3868" s="2" t="s">
        <v>41</v>
      </c>
      <c r="O3868" s="2" t="s">
        <v>2926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93"/>
        <v>1</v>
      </c>
      <c r="Z3868" s="2" t="s">
        <v>3231</v>
      </c>
      <c r="AA3868" s="2" t="s">
        <v>46</v>
      </c>
      <c r="AB3868" s="2" t="s">
        <v>57</v>
      </c>
      <c r="AC3868" s="2" t="s">
        <v>58</v>
      </c>
      <c r="AF3868" s="2">
        <f t="shared" si="491"/>
        <v>0</v>
      </c>
      <c r="AJ3868" s="2">
        <f t="shared" si="492"/>
        <v>0</v>
      </c>
      <c r="AK3868" s="2">
        <f t="shared" si="490"/>
        <v>30</v>
      </c>
      <c r="AL3868" s="5">
        <f t="shared" si="494"/>
        <v>1</v>
      </c>
    </row>
    <row r="3869" spans="1:38" hidden="1" x14ac:dyDescent="0.2">
      <c r="A3869" s="2">
        <v>2026</v>
      </c>
      <c r="B3869" s="2">
        <v>5</v>
      </c>
      <c r="D3869" s="2" t="s">
        <v>1147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1148</v>
      </c>
      <c r="J3869" s="2" t="s">
        <v>1149</v>
      </c>
      <c r="L3869" s="2" t="s">
        <v>134</v>
      </c>
      <c r="M3869" s="2" t="s">
        <v>41</v>
      </c>
      <c r="O3869" s="2" t="s">
        <v>2926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93"/>
        <v>1</v>
      </c>
      <c r="Z3869" s="2" t="s">
        <v>3231</v>
      </c>
      <c r="AA3869" s="2" t="s">
        <v>46</v>
      </c>
      <c r="AB3869" s="2" t="s">
        <v>57</v>
      </c>
      <c r="AC3869" s="2" t="s">
        <v>58</v>
      </c>
      <c r="AF3869" s="2">
        <f t="shared" si="491"/>
        <v>0</v>
      </c>
      <c r="AJ3869" s="2">
        <f t="shared" si="492"/>
        <v>0</v>
      </c>
      <c r="AK3869" s="2">
        <f t="shared" si="490"/>
        <v>18</v>
      </c>
      <c r="AL3869" s="5">
        <f t="shared" si="494"/>
        <v>1</v>
      </c>
    </row>
    <row r="3870" spans="1:38" hidden="1" x14ac:dyDescent="0.2">
      <c r="A3870" s="2">
        <v>2026</v>
      </c>
      <c r="B3870" s="2">
        <v>5</v>
      </c>
      <c r="D3870" s="2" t="s">
        <v>1147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1148</v>
      </c>
      <c r="J3870" s="2" t="s">
        <v>1149</v>
      </c>
      <c r="L3870" s="2" t="s">
        <v>134</v>
      </c>
      <c r="M3870" s="2" t="s">
        <v>41</v>
      </c>
      <c r="O3870" s="2" t="s">
        <v>2926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93"/>
        <v>1</v>
      </c>
      <c r="Z3870" s="2" t="s">
        <v>3231</v>
      </c>
      <c r="AA3870" s="2" t="s">
        <v>46</v>
      </c>
      <c r="AB3870" s="2" t="s">
        <v>57</v>
      </c>
      <c r="AC3870" s="2" t="s">
        <v>58</v>
      </c>
      <c r="AF3870" s="2">
        <f t="shared" si="491"/>
        <v>0</v>
      </c>
      <c r="AJ3870" s="2">
        <f t="shared" si="492"/>
        <v>0</v>
      </c>
      <c r="AK3870" s="2">
        <f t="shared" si="490"/>
        <v>19.8</v>
      </c>
      <c r="AL3870" s="5">
        <f t="shared" si="494"/>
        <v>1</v>
      </c>
    </row>
    <row r="3871" spans="1:38" hidden="1" x14ac:dyDescent="0.2">
      <c r="A3871" s="2">
        <v>2026</v>
      </c>
      <c r="B3871" s="2">
        <v>5</v>
      </c>
      <c r="D3871" s="2" t="s">
        <v>1147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1148</v>
      </c>
      <c r="J3871" s="2" t="s">
        <v>1149</v>
      </c>
      <c r="L3871" s="2" t="s">
        <v>134</v>
      </c>
      <c r="M3871" s="2" t="s">
        <v>41</v>
      </c>
      <c r="O3871" s="2" t="s">
        <v>2926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93"/>
        <v>1</v>
      </c>
      <c r="Z3871" s="2" t="s">
        <v>3231</v>
      </c>
      <c r="AA3871" s="2" t="s">
        <v>46</v>
      </c>
      <c r="AB3871" s="2" t="s">
        <v>57</v>
      </c>
      <c r="AC3871" s="2" t="s">
        <v>58</v>
      </c>
      <c r="AF3871" s="2">
        <f t="shared" si="491"/>
        <v>0</v>
      </c>
      <c r="AJ3871" s="2">
        <f t="shared" si="492"/>
        <v>0</v>
      </c>
      <c r="AK3871" s="2">
        <f t="shared" si="490"/>
        <v>22.8</v>
      </c>
      <c r="AL3871" s="5">
        <f t="shared" si="494"/>
        <v>1</v>
      </c>
    </row>
    <row r="3872" spans="1:38" hidden="1" x14ac:dyDescent="0.2">
      <c r="A3872" s="2">
        <v>2026</v>
      </c>
      <c r="B3872" s="2">
        <v>5</v>
      </c>
      <c r="D3872" s="2" t="s">
        <v>1147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1148</v>
      </c>
      <c r="J3872" s="2" t="s">
        <v>1149</v>
      </c>
      <c r="L3872" s="2" t="s">
        <v>134</v>
      </c>
      <c r="M3872" s="2" t="s">
        <v>41</v>
      </c>
      <c r="O3872" s="2" t="s">
        <v>2926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493"/>
        <v>0.47041666666666665</v>
      </c>
      <c r="Z3872" s="2" t="s">
        <v>3231</v>
      </c>
      <c r="AA3872" s="2" t="s">
        <v>46</v>
      </c>
      <c r="AB3872" s="2" t="s">
        <v>57</v>
      </c>
      <c r="AC3872" s="2" t="s">
        <v>58</v>
      </c>
      <c r="AF3872" s="2">
        <f t="shared" si="491"/>
        <v>0</v>
      </c>
      <c r="AJ3872" s="2">
        <f t="shared" si="492"/>
        <v>0</v>
      </c>
      <c r="AK3872" s="2">
        <f t="shared" si="490"/>
        <v>11.29</v>
      </c>
      <c r="AL3872" s="5">
        <f t="shared" si="494"/>
        <v>0.47041666666666665</v>
      </c>
    </row>
    <row r="3873" spans="1:38" hidden="1" x14ac:dyDescent="0.2">
      <c r="A3873" s="2">
        <v>2026</v>
      </c>
      <c r="B3873" s="2">
        <v>5</v>
      </c>
      <c r="D3873" s="2" t="s">
        <v>1147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1148</v>
      </c>
      <c r="J3873" s="2" t="s">
        <v>1149</v>
      </c>
      <c r="L3873" s="2" t="s">
        <v>134</v>
      </c>
      <c r="M3873" s="2" t="s">
        <v>41</v>
      </c>
      <c r="O3873" s="2" t="s">
        <v>2926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93"/>
        <v>0.26896551724137929</v>
      </c>
      <c r="Z3873" s="2" t="s">
        <v>3231</v>
      </c>
      <c r="AA3873" s="2" t="s">
        <v>46</v>
      </c>
      <c r="AB3873" s="2" t="s">
        <v>57</v>
      </c>
      <c r="AC3873" s="2" t="s">
        <v>58</v>
      </c>
      <c r="AF3873" s="2">
        <f t="shared" si="491"/>
        <v>0</v>
      </c>
      <c r="AG3873" s="2">
        <v>10.6</v>
      </c>
      <c r="AH3873" s="2">
        <v>18</v>
      </c>
      <c r="AJ3873" s="2">
        <f t="shared" si="492"/>
        <v>0</v>
      </c>
      <c r="AK3873" s="2">
        <f t="shared" si="490"/>
        <v>39</v>
      </c>
      <c r="AL3873" s="5">
        <f t="shared" si="494"/>
        <v>0.26896551724137929</v>
      </c>
    </row>
    <row r="3874" spans="1:38" hidden="1" x14ac:dyDescent="0.2">
      <c r="A3874" s="2">
        <v>2026</v>
      </c>
      <c r="B3874" s="2">
        <v>5</v>
      </c>
      <c r="C3874" s="2" t="s">
        <v>3377</v>
      </c>
      <c r="D3874" s="2" t="s">
        <v>1147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1148</v>
      </c>
      <c r="J3874" s="2" t="s">
        <v>1149</v>
      </c>
      <c r="L3874" s="2" t="s">
        <v>134</v>
      </c>
      <c r="M3874" s="2" t="s">
        <v>41</v>
      </c>
      <c r="O3874" s="2" t="s">
        <v>2926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93"/>
        <v>0.49808399999999997</v>
      </c>
      <c r="Z3874" s="2" t="s">
        <v>3231</v>
      </c>
      <c r="AA3874" s="2" t="s">
        <v>46</v>
      </c>
      <c r="AB3874" s="2" t="s">
        <v>91</v>
      </c>
      <c r="AC3874" s="2" t="s">
        <v>58</v>
      </c>
      <c r="AF3874" s="2">
        <f t="shared" si="491"/>
        <v>0</v>
      </c>
      <c r="AG3874" s="2">
        <v>25.094999999999999</v>
      </c>
      <c r="AH3874" s="2">
        <v>66</v>
      </c>
      <c r="AJ3874" s="2">
        <f t="shared" si="492"/>
        <v>0</v>
      </c>
      <c r="AK3874" s="2">
        <f t="shared" si="490"/>
        <v>24.904199999999999</v>
      </c>
      <c r="AL3874" s="5">
        <f t="shared" si="494"/>
        <v>0.49808399999999997</v>
      </c>
    </row>
    <row r="3875" spans="1:38" hidden="1" x14ac:dyDescent="0.2">
      <c r="A3875" s="2">
        <v>2026</v>
      </c>
      <c r="B3875" s="2">
        <v>5</v>
      </c>
      <c r="D3875" s="2" t="s">
        <v>1147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1148</v>
      </c>
      <c r="J3875" s="2" t="s">
        <v>1149</v>
      </c>
      <c r="L3875" s="2" t="s">
        <v>134</v>
      </c>
      <c r="M3875" s="2" t="s">
        <v>41</v>
      </c>
      <c r="O3875" s="2" t="s">
        <v>2926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93"/>
        <v>0.29692307692307701</v>
      </c>
      <c r="Z3875" s="2" t="s">
        <v>3231</v>
      </c>
      <c r="AA3875" s="2" t="s">
        <v>46</v>
      </c>
      <c r="AB3875" s="2" t="s">
        <v>61</v>
      </c>
      <c r="AC3875" s="2" t="s">
        <v>58</v>
      </c>
      <c r="AF3875" s="2">
        <f t="shared" si="491"/>
        <v>0</v>
      </c>
      <c r="AG3875" s="2">
        <v>9.14</v>
      </c>
      <c r="AH3875" s="2">
        <v>16</v>
      </c>
      <c r="AJ3875" s="2">
        <f t="shared" si="492"/>
        <v>0</v>
      </c>
      <c r="AK3875" s="2">
        <f t="shared" si="490"/>
        <v>3.8600000000000012</v>
      </c>
      <c r="AL3875" s="5">
        <f t="shared" si="494"/>
        <v>0.29692307692307701</v>
      </c>
    </row>
    <row r="3876" spans="1:38" hidden="1" x14ac:dyDescent="0.2">
      <c r="A3876" s="2">
        <v>2026</v>
      </c>
      <c r="B3876" s="2">
        <v>5</v>
      </c>
      <c r="D3876" s="2" t="s">
        <v>1147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1148</v>
      </c>
      <c r="J3876" s="2" t="s">
        <v>1149</v>
      </c>
      <c r="L3876" s="2" t="s">
        <v>134</v>
      </c>
      <c r="M3876" s="2" t="s">
        <v>41</v>
      </c>
      <c r="O3876" s="2" t="s">
        <v>2926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93"/>
        <v>0.36923076923076914</v>
      </c>
      <c r="Z3876" s="2" t="s">
        <v>3231</v>
      </c>
      <c r="AA3876" s="2" t="s">
        <v>46</v>
      </c>
      <c r="AB3876" s="2" t="s">
        <v>61</v>
      </c>
      <c r="AC3876" s="2" t="s">
        <v>58</v>
      </c>
      <c r="AF3876" s="2">
        <f t="shared" si="491"/>
        <v>0</v>
      </c>
      <c r="AG3876" s="2">
        <v>8.1999999999999993</v>
      </c>
      <c r="AH3876" s="2">
        <v>13</v>
      </c>
      <c r="AJ3876" s="2">
        <f t="shared" si="492"/>
        <v>0</v>
      </c>
      <c r="AK3876" s="2">
        <f t="shared" si="490"/>
        <v>19.199999999999996</v>
      </c>
      <c r="AL3876" s="5">
        <f t="shared" si="494"/>
        <v>0.36923076923076914</v>
      </c>
    </row>
    <row r="3877" spans="1:38" hidden="1" x14ac:dyDescent="0.2">
      <c r="A3877" s="2">
        <v>2026</v>
      </c>
      <c r="B3877" s="2">
        <v>5</v>
      </c>
      <c r="D3877" s="2" t="s">
        <v>1147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1148</v>
      </c>
      <c r="J3877" s="2" t="s">
        <v>1149</v>
      </c>
      <c r="L3877" s="2" t="s">
        <v>134</v>
      </c>
      <c r="M3877" s="2" t="s">
        <v>41</v>
      </c>
      <c r="O3877" s="2" t="s">
        <v>2926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93"/>
        <v>0.29692307692307701</v>
      </c>
      <c r="Z3877" s="2" t="s">
        <v>3231</v>
      </c>
      <c r="AA3877" s="2" t="s">
        <v>46</v>
      </c>
      <c r="AB3877" s="2" t="s">
        <v>61</v>
      </c>
      <c r="AC3877" s="2" t="s">
        <v>58</v>
      </c>
      <c r="AF3877" s="2">
        <f t="shared" si="491"/>
        <v>0</v>
      </c>
      <c r="AJ3877" s="2">
        <f t="shared" si="492"/>
        <v>0</v>
      </c>
      <c r="AK3877" s="2">
        <f t="shared" si="490"/>
        <v>3.8600000000000012</v>
      </c>
      <c r="AL3877" s="5">
        <f t="shared" si="494"/>
        <v>0.29692307692307701</v>
      </c>
    </row>
    <row r="3878" spans="1:38" hidden="1" x14ac:dyDescent="0.2">
      <c r="A3878" s="2">
        <v>2026</v>
      </c>
      <c r="B3878" s="2">
        <v>5</v>
      </c>
      <c r="D3878" s="2" t="s">
        <v>1147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1148</v>
      </c>
      <c r="J3878" s="2" t="s">
        <v>1149</v>
      </c>
      <c r="L3878" s="2" t="s">
        <v>134</v>
      </c>
      <c r="M3878" s="2" t="s">
        <v>41</v>
      </c>
      <c r="O3878" s="2" t="s">
        <v>2926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95">(T3878-W3878)/T3878</f>
        <v>0.5243888888888889</v>
      </c>
      <c r="Z3878" s="2" t="s">
        <v>3231</v>
      </c>
      <c r="AA3878" s="2" t="s">
        <v>46</v>
      </c>
      <c r="AB3878" s="2" t="s">
        <v>61</v>
      </c>
      <c r="AC3878" s="2" t="s">
        <v>58</v>
      </c>
      <c r="AF3878" s="2">
        <f t="shared" si="491"/>
        <v>0</v>
      </c>
      <c r="AG3878" s="2">
        <v>0.85609999999999997</v>
      </c>
      <c r="AH3878" s="2">
        <v>1.8</v>
      </c>
      <c r="AJ3878" s="2">
        <f t="shared" si="492"/>
        <v>0</v>
      </c>
      <c r="AK3878" s="2">
        <f t="shared" si="490"/>
        <v>7.5512000000000006</v>
      </c>
      <c r="AL3878" s="5">
        <f t="shared" ref="AL3878:AL3909" si="496">(T3878-W3878)/T3878</f>
        <v>0.5243888888888889</v>
      </c>
    </row>
    <row r="3879" spans="1:38" hidden="1" x14ac:dyDescent="0.2">
      <c r="A3879" s="2">
        <v>2026</v>
      </c>
      <c r="B3879" s="2">
        <v>5</v>
      </c>
      <c r="D3879" s="2" t="s">
        <v>1147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1148</v>
      </c>
      <c r="J3879" s="2" t="s">
        <v>1149</v>
      </c>
      <c r="L3879" s="2" t="s">
        <v>134</v>
      </c>
      <c r="M3879" s="2" t="s">
        <v>41</v>
      </c>
      <c r="O3879" s="2" t="s">
        <v>2926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95"/>
        <v>0.62926666666666664</v>
      </c>
      <c r="Z3879" s="2" t="s">
        <v>3231</v>
      </c>
      <c r="AA3879" s="2" t="s">
        <v>46</v>
      </c>
      <c r="AB3879" s="2" t="s">
        <v>61</v>
      </c>
      <c r="AC3879" s="2" t="s">
        <v>58</v>
      </c>
      <c r="AF3879" s="2">
        <f t="shared" si="491"/>
        <v>0</v>
      </c>
      <c r="AG3879" s="2">
        <v>1.1122000000000001</v>
      </c>
      <c r="AH3879" s="2">
        <v>3</v>
      </c>
      <c r="AJ3879" s="2">
        <f t="shared" si="492"/>
        <v>0</v>
      </c>
      <c r="AK3879" s="2">
        <f t="shared" si="490"/>
        <v>15.102399999999999</v>
      </c>
      <c r="AL3879" s="5">
        <f t="shared" si="496"/>
        <v>0.62926666666666664</v>
      </c>
    </row>
    <row r="3880" spans="1:38" hidden="1" x14ac:dyDescent="0.2">
      <c r="A3880" s="2">
        <v>2026</v>
      </c>
      <c r="B3880" s="2">
        <v>5</v>
      </c>
      <c r="D3880" s="2" t="s">
        <v>1147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1148</v>
      </c>
      <c r="J3880" s="2" t="s">
        <v>1149</v>
      </c>
      <c r="L3880" s="2" t="s">
        <v>134</v>
      </c>
      <c r="M3880" s="2" t="s">
        <v>41</v>
      </c>
      <c r="O3880" s="2" t="s">
        <v>2926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95"/>
        <v>0.5295333333333333</v>
      </c>
      <c r="Z3880" s="2" t="s">
        <v>3231</v>
      </c>
      <c r="AA3880" s="2" t="s">
        <v>46</v>
      </c>
      <c r="AB3880" s="2" t="s">
        <v>61</v>
      </c>
      <c r="AC3880" s="2" t="s">
        <v>58</v>
      </c>
      <c r="AF3880" s="2">
        <f t="shared" si="491"/>
        <v>0</v>
      </c>
      <c r="AG3880" s="2">
        <v>1.4114</v>
      </c>
      <c r="AH3880" s="2">
        <v>3</v>
      </c>
      <c r="AJ3880" s="2">
        <f t="shared" si="492"/>
        <v>0</v>
      </c>
      <c r="AK3880" s="2">
        <f t="shared" si="490"/>
        <v>6.3544</v>
      </c>
      <c r="AL3880" s="5">
        <f t="shared" si="496"/>
        <v>0.5295333333333333</v>
      </c>
    </row>
    <row r="3881" spans="1:38" hidden="1" x14ac:dyDescent="0.2">
      <c r="A3881" s="2">
        <v>2026</v>
      </c>
      <c r="B3881" s="2">
        <v>5</v>
      </c>
      <c r="D3881" s="2" t="s">
        <v>1147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1148</v>
      </c>
      <c r="J3881" s="2" t="s">
        <v>1149</v>
      </c>
      <c r="L3881" s="2" t="s">
        <v>134</v>
      </c>
      <c r="M3881" s="2" t="s">
        <v>41</v>
      </c>
      <c r="O3881" s="2" t="s">
        <v>2926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95"/>
        <v>1</v>
      </c>
      <c r="Z3881" s="2" t="s">
        <v>3231</v>
      </c>
      <c r="AA3881" s="2" t="s">
        <v>46</v>
      </c>
      <c r="AB3881" s="2" t="s">
        <v>61</v>
      </c>
      <c r="AC3881" s="2" t="s">
        <v>58</v>
      </c>
      <c r="AF3881" s="2">
        <f t="shared" si="491"/>
        <v>0</v>
      </c>
      <c r="AJ3881" s="2">
        <f t="shared" si="492"/>
        <v>0</v>
      </c>
      <c r="AK3881" s="2">
        <f t="shared" si="490"/>
        <v>12</v>
      </c>
      <c r="AL3881" s="5">
        <f t="shared" si="496"/>
        <v>1</v>
      </c>
    </row>
    <row r="3882" spans="1:38" hidden="1" x14ac:dyDescent="0.2">
      <c r="A3882" s="2">
        <v>2026</v>
      </c>
      <c r="B3882" s="2">
        <v>5</v>
      </c>
      <c r="D3882" s="2" t="s">
        <v>1147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1148</v>
      </c>
      <c r="J3882" s="2" t="s">
        <v>1149</v>
      </c>
      <c r="L3882" s="2" t="s">
        <v>134</v>
      </c>
      <c r="M3882" s="2" t="s">
        <v>41</v>
      </c>
      <c r="O3882" s="2" t="s">
        <v>2926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95"/>
        <v>0.34694347826086952</v>
      </c>
      <c r="Z3882" s="2" t="s">
        <v>3231</v>
      </c>
      <c r="AA3882" s="2" t="s">
        <v>46</v>
      </c>
      <c r="AB3882" s="2" t="s">
        <v>68</v>
      </c>
      <c r="AC3882" s="2" t="s">
        <v>58</v>
      </c>
      <c r="AF3882" s="2">
        <f t="shared" si="491"/>
        <v>0</v>
      </c>
      <c r="AG3882" s="2">
        <v>15.020300000000001</v>
      </c>
      <c r="AH3882" s="2">
        <v>27.6</v>
      </c>
      <c r="AJ3882" s="2">
        <f t="shared" si="492"/>
        <v>0</v>
      </c>
      <c r="AK3882" s="2">
        <f t="shared" si="490"/>
        <v>7.9796999999999993</v>
      </c>
      <c r="AL3882" s="5">
        <f t="shared" si="496"/>
        <v>0.34694347826086952</v>
      </c>
    </row>
    <row r="3883" spans="1:38" hidden="1" x14ac:dyDescent="0.2">
      <c r="A3883" s="2">
        <v>2026</v>
      </c>
      <c r="B3883" s="2">
        <v>5</v>
      </c>
      <c r="D3883" s="2" t="s">
        <v>1147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1148</v>
      </c>
      <c r="J3883" s="2" t="s">
        <v>1149</v>
      </c>
      <c r="L3883" s="2" t="s">
        <v>134</v>
      </c>
      <c r="M3883" s="2" t="s">
        <v>41</v>
      </c>
      <c r="O3883" s="2" t="s">
        <v>2926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95"/>
        <v>0.36042307692307685</v>
      </c>
      <c r="Z3883" s="2" t="s">
        <v>3231</v>
      </c>
      <c r="AA3883" s="2" t="s">
        <v>46</v>
      </c>
      <c r="AB3883" s="2" t="s">
        <v>68</v>
      </c>
      <c r="AC3883" s="2" t="s">
        <v>58</v>
      </c>
      <c r="AF3883" s="2">
        <f t="shared" si="491"/>
        <v>0</v>
      </c>
      <c r="AG3883" s="2">
        <v>8.3145000000000007</v>
      </c>
      <c r="AH3883" s="2">
        <v>15</v>
      </c>
      <c r="AJ3883" s="2">
        <f t="shared" si="492"/>
        <v>0</v>
      </c>
      <c r="AK3883" s="2">
        <f t="shared" si="490"/>
        <v>4.6854999999999993</v>
      </c>
      <c r="AL3883" s="5">
        <f t="shared" si="496"/>
        <v>0.36042307692307685</v>
      </c>
    </row>
    <row r="3884" spans="1:38" hidden="1" x14ac:dyDescent="0.2">
      <c r="A3884" s="2">
        <v>2026</v>
      </c>
      <c r="B3884" s="2">
        <v>5</v>
      </c>
      <c r="D3884" s="2" t="s">
        <v>1147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1148</v>
      </c>
      <c r="J3884" s="2" t="s">
        <v>1149</v>
      </c>
      <c r="L3884" s="2" t="s">
        <v>134</v>
      </c>
      <c r="M3884" s="2" t="s">
        <v>41</v>
      </c>
      <c r="O3884" s="2" t="s">
        <v>2926</v>
      </c>
      <c r="P3884" s="2" t="s">
        <v>85</v>
      </c>
      <c r="Q3884" s="2" t="s">
        <v>1213</v>
      </c>
      <c r="R3884" s="2" t="s">
        <v>1214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95"/>
        <v>1</v>
      </c>
      <c r="Z3884" s="2" t="s">
        <v>3231</v>
      </c>
      <c r="AA3884" s="2" t="s">
        <v>88</v>
      </c>
      <c r="AB3884" s="2" t="s">
        <v>91</v>
      </c>
      <c r="AC3884" s="2" t="s">
        <v>85</v>
      </c>
      <c r="AF3884" s="2">
        <f t="shared" si="491"/>
        <v>0</v>
      </c>
      <c r="AJ3884" s="2">
        <f t="shared" si="492"/>
        <v>0</v>
      </c>
      <c r="AK3884" s="2">
        <f t="shared" si="490"/>
        <v>13.2</v>
      </c>
      <c r="AL3884" s="5">
        <f t="shared" si="496"/>
        <v>1</v>
      </c>
    </row>
    <row r="3885" spans="1:38" hidden="1" x14ac:dyDescent="0.2">
      <c r="A3885" s="2">
        <v>2026</v>
      </c>
      <c r="B3885" s="2">
        <v>5</v>
      </c>
      <c r="D3885" s="2" t="s">
        <v>1147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1148</v>
      </c>
      <c r="J3885" s="2" t="s">
        <v>1149</v>
      </c>
      <c r="L3885" s="2" t="s">
        <v>134</v>
      </c>
      <c r="M3885" s="2" t="s">
        <v>41</v>
      </c>
      <c r="O3885" s="2" t="s">
        <v>2926</v>
      </c>
      <c r="P3885" s="2" t="s">
        <v>2901</v>
      </c>
      <c r="Q3885" s="2" t="s">
        <v>2930</v>
      </c>
      <c r="R3885" s="2" t="s">
        <v>2931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95"/>
        <v>0.15454545454545454</v>
      </c>
      <c r="Z3885" s="2" t="s">
        <v>3231</v>
      </c>
      <c r="AA3885" s="2" t="s">
        <v>72</v>
      </c>
      <c r="AB3885" s="2" t="s">
        <v>2901</v>
      </c>
      <c r="AC3885" s="2" t="s">
        <v>2901</v>
      </c>
      <c r="AF3885" s="2">
        <f t="shared" si="491"/>
        <v>0</v>
      </c>
      <c r="AG3885" s="2">
        <v>139.5</v>
      </c>
      <c r="AJ3885" s="2">
        <f t="shared" si="492"/>
        <v>0</v>
      </c>
      <c r="AK3885" s="2">
        <f t="shared" si="490"/>
        <v>25.5</v>
      </c>
      <c r="AL3885" s="5">
        <f t="shared" si="496"/>
        <v>0.15454545454545454</v>
      </c>
    </row>
    <row r="3886" spans="1:38" hidden="1" x14ac:dyDescent="0.2">
      <c r="A3886" s="2">
        <v>2026</v>
      </c>
      <c r="B3886" s="2">
        <v>5</v>
      </c>
      <c r="D3886" s="2" t="s">
        <v>690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691</v>
      </c>
      <c r="K3886" s="2">
        <v>913036545</v>
      </c>
      <c r="L3886" s="2" t="s">
        <v>178</v>
      </c>
      <c r="M3886" s="2" t="s">
        <v>41</v>
      </c>
      <c r="O3886" s="2" t="s">
        <v>2932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95"/>
        <v>0.58491111111111116</v>
      </c>
      <c r="Z3886" s="2" t="s">
        <v>3231</v>
      </c>
      <c r="AA3886" s="2" t="s">
        <v>46</v>
      </c>
      <c r="AB3886" s="2" t="s">
        <v>47</v>
      </c>
      <c r="AC3886" s="2" t="s">
        <v>48</v>
      </c>
      <c r="AF3886" s="2">
        <f t="shared" si="491"/>
        <v>0</v>
      </c>
      <c r="AG3886" s="2">
        <v>3.7357999999999998</v>
      </c>
      <c r="AH3886" s="2">
        <v>9</v>
      </c>
      <c r="AJ3886" s="2">
        <f t="shared" si="492"/>
        <v>0</v>
      </c>
      <c r="AK3886" s="2">
        <f t="shared" si="490"/>
        <v>21.056800000000003</v>
      </c>
      <c r="AL3886" s="5">
        <f t="shared" si="496"/>
        <v>0.58491111111111116</v>
      </c>
    </row>
    <row r="3887" spans="1:38" hidden="1" x14ac:dyDescent="0.2">
      <c r="A3887" s="2">
        <v>2026</v>
      </c>
      <c r="B3887" s="2">
        <v>5</v>
      </c>
      <c r="D3887" s="2" t="s">
        <v>312</v>
      </c>
      <c r="E3887" s="2" t="s">
        <v>2450</v>
      </c>
      <c r="F3887" s="2" t="s">
        <v>39</v>
      </c>
      <c r="G3887" s="2">
        <v>505814030</v>
      </c>
      <c r="H3887" s="2" t="s">
        <v>291</v>
      </c>
      <c r="I3887" s="2" t="s">
        <v>2451</v>
      </c>
      <c r="J3887" s="2" t="s">
        <v>2452</v>
      </c>
      <c r="L3887" s="2" t="s">
        <v>340</v>
      </c>
      <c r="M3887" s="2" t="s">
        <v>81</v>
      </c>
      <c r="O3887" s="2" t="s">
        <v>2933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95"/>
        <v>0.36923076923076914</v>
      </c>
      <c r="Z3887" s="2" t="s">
        <v>3231</v>
      </c>
      <c r="AA3887" s="2" t="s">
        <v>46</v>
      </c>
      <c r="AB3887" s="2" t="s">
        <v>61</v>
      </c>
      <c r="AC3887" s="2" t="s">
        <v>58</v>
      </c>
      <c r="AF3887" s="2">
        <f t="shared" si="491"/>
        <v>0</v>
      </c>
      <c r="AG3887" s="2">
        <v>8.1999999999999993</v>
      </c>
      <c r="AH3887" s="2">
        <v>13</v>
      </c>
      <c r="AJ3887" s="2">
        <f t="shared" si="492"/>
        <v>0</v>
      </c>
      <c r="AK3887" s="2">
        <f t="shared" si="490"/>
        <v>4.7999999999999989</v>
      </c>
      <c r="AL3887" s="5">
        <f t="shared" si="496"/>
        <v>0.36923076923076914</v>
      </c>
    </row>
    <row r="3888" spans="1:38" hidden="1" x14ac:dyDescent="0.2">
      <c r="A3888" s="2">
        <v>2026</v>
      </c>
      <c r="B3888" s="2">
        <v>5</v>
      </c>
      <c r="D3888" s="2" t="s">
        <v>312</v>
      </c>
      <c r="E3888" s="2" t="s">
        <v>2450</v>
      </c>
      <c r="F3888" s="2" t="s">
        <v>39</v>
      </c>
      <c r="G3888" s="2">
        <v>505814030</v>
      </c>
      <c r="H3888" s="2" t="s">
        <v>291</v>
      </c>
      <c r="I3888" s="2" t="s">
        <v>2451</v>
      </c>
      <c r="J3888" s="2" t="s">
        <v>2452</v>
      </c>
      <c r="L3888" s="2" t="s">
        <v>340</v>
      </c>
      <c r="M3888" s="2" t="s">
        <v>81</v>
      </c>
      <c r="O3888" s="2" t="s">
        <v>2933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95"/>
        <v>0.34694347826086952</v>
      </c>
      <c r="Z3888" s="2" t="s">
        <v>3231</v>
      </c>
      <c r="AA3888" s="2" t="s">
        <v>46</v>
      </c>
      <c r="AB3888" s="2" t="s">
        <v>68</v>
      </c>
      <c r="AC3888" s="2" t="s">
        <v>58</v>
      </c>
      <c r="AF3888" s="2">
        <f t="shared" si="491"/>
        <v>0</v>
      </c>
      <c r="AG3888" s="2">
        <v>15.020300000000001</v>
      </c>
      <c r="AH3888" s="2">
        <v>27.6</v>
      </c>
      <c r="AJ3888" s="2">
        <f t="shared" si="492"/>
        <v>0</v>
      </c>
      <c r="AK3888" s="2">
        <f t="shared" si="490"/>
        <v>7.9796999999999993</v>
      </c>
      <c r="AL3888" s="5">
        <f t="shared" si="496"/>
        <v>0.34694347826086952</v>
      </c>
    </row>
    <row r="3889" spans="1:38" hidden="1" x14ac:dyDescent="0.2">
      <c r="A3889" s="2">
        <v>2026</v>
      </c>
      <c r="B3889" s="2">
        <v>5</v>
      </c>
      <c r="D3889" s="2" t="s">
        <v>312</v>
      </c>
      <c r="E3889" s="2" t="s">
        <v>2450</v>
      </c>
      <c r="F3889" s="2" t="s">
        <v>39</v>
      </c>
      <c r="G3889" s="2">
        <v>505814030</v>
      </c>
      <c r="H3889" s="2" t="s">
        <v>291</v>
      </c>
      <c r="I3889" s="2" t="s">
        <v>2451</v>
      </c>
      <c r="J3889" s="2" t="s">
        <v>2452</v>
      </c>
      <c r="L3889" s="2" t="s">
        <v>340</v>
      </c>
      <c r="M3889" s="2" t="s">
        <v>81</v>
      </c>
      <c r="O3889" s="2" t="s">
        <v>2933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95"/>
        <v>1</v>
      </c>
      <c r="Z3889" s="2" t="s">
        <v>170</v>
      </c>
      <c r="AA3889" s="2" t="s">
        <v>170</v>
      </c>
      <c r="AF3889" s="2">
        <f t="shared" si="491"/>
        <v>0</v>
      </c>
      <c r="AJ3889" s="2">
        <f t="shared" si="492"/>
        <v>0</v>
      </c>
      <c r="AK3889" s="2">
        <f t="shared" si="490"/>
        <v>5</v>
      </c>
      <c r="AL3889" s="5">
        <f t="shared" si="496"/>
        <v>1</v>
      </c>
    </row>
    <row r="3890" spans="1:38" hidden="1" x14ac:dyDescent="0.2">
      <c r="A3890" s="2">
        <v>2026</v>
      </c>
      <c r="B3890" s="2">
        <v>5</v>
      </c>
      <c r="D3890" s="2" t="s">
        <v>303</v>
      </c>
      <c r="P3890" s="2" t="s">
        <v>3234</v>
      </c>
      <c r="Q3890" s="2" t="s">
        <v>1790</v>
      </c>
      <c r="R3890" s="2" t="s">
        <v>1791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95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3234</v>
      </c>
      <c r="AF3890" s="2">
        <f t="shared" si="491"/>
        <v>0</v>
      </c>
      <c r="AJ3890" s="2">
        <f t="shared" si="492"/>
        <v>0</v>
      </c>
      <c r="AK3890" s="2">
        <f t="shared" si="490"/>
        <v>1649.08</v>
      </c>
      <c r="AL3890" s="5">
        <f t="shared" si="496"/>
        <v>0.44294386247649742</v>
      </c>
    </row>
    <row r="3891" spans="1:38" hidden="1" x14ac:dyDescent="0.2">
      <c r="A3891" s="2">
        <v>2026</v>
      </c>
      <c r="B3891" s="2">
        <v>5</v>
      </c>
      <c r="D3891" s="2" t="s">
        <v>716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95"/>
        <v>0.59999999999999987</v>
      </c>
      <c r="Z3891" s="2" t="s">
        <v>118</v>
      </c>
      <c r="AA3891" s="2" t="s">
        <v>191</v>
      </c>
      <c r="AB3891" s="2" t="s">
        <v>190</v>
      </c>
      <c r="AC3891" s="2" t="s">
        <v>40</v>
      </c>
      <c r="AF3891" s="2">
        <f t="shared" si="491"/>
        <v>0</v>
      </c>
      <c r="AG3891" s="2">
        <f>W3891</f>
        <v>95.100000000000009</v>
      </c>
      <c r="AJ3891" s="2">
        <f t="shared" si="492"/>
        <v>0</v>
      </c>
      <c r="AK3891" s="2">
        <f t="shared" si="490"/>
        <v>142.64999999999998</v>
      </c>
      <c r="AL3891" s="5">
        <f t="shared" si="496"/>
        <v>0.59999999999999987</v>
      </c>
    </row>
    <row r="3892" spans="1:38" hidden="1" x14ac:dyDescent="0.2">
      <c r="A3892" s="2">
        <v>2026</v>
      </c>
      <c r="B3892" s="2">
        <v>5</v>
      </c>
      <c r="D3892" s="2" t="s">
        <v>716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95"/>
        <v>0.5</v>
      </c>
      <c r="Z3892" s="2" t="s">
        <v>118</v>
      </c>
      <c r="AA3892" s="2" t="s">
        <v>191</v>
      </c>
      <c r="AB3892" s="2" t="s">
        <v>191</v>
      </c>
      <c r="AC3892" s="2" t="s">
        <v>40</v>
      </c>
      <c r="AF3892" s="2">
        <f t="shared" si="491"/>
        <v>0</v>
      </c>
      <c r="AG3892" s="2">
        <f>W3892</f>
        <v>27.5</v>
      </c>
      <c r="AJ3892" s="2">
        <f t="shared" si="492"/>
        <v>0</v>
      </c>
      <c r="AK3892" s="2">
        <f t="shared" si="490"/>
        <v>27.5</v>
      </c>
      <c r="AL3892" s="5">
        <f t="shared" si="496"/>
        <v>0.5</v>
      </c>
    </row>
    <row r="3893" spans="1:38" hidden="1" x14ac:dyDescent="0.2">
      <c r="A3893" s="2">
        <v>2026</v>
      </c>
      <c r="B3893" s="2">
        <v>5</v>
      </c>
      <c r="D3893" s="2" t="s">
        <v>716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95"/>
        <v>1</v>
      </c>
      <c r="Z3893" s="2" t="s">
        <v>120</v>
      </c>
      <c r="AA3893" s="2" t="s">
        <v>3385</v>
      </c>
      <c r="AF3893" s="2">
        <f t="shared" si="491"/>
        <v>0</v>
      </c>
      <c r="AJ3893" s="2">
        <f t="shared" si="492"/>
        <v>0</v>
      </c>
      <c r="AK3893" s="2">
        <f t="shared" si="490"/>
        <v>297.5</v>
      </c>
      <c r="AL3893" s="5">
        <f t="shared" si="496"/>
        <v>1</v>
      </c>
    </row>
    <row r="3894" spans="1:38" hidden="1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2934</v>
      </c>
      <c r="P3894" s="2" t="s">
        <v>115</v>
      </c>
      <c r="Q3894" s="2" t="s">
        <v>1153</v>
      </c>
      <c r="R3894" s="2" t="s">
        <v>1154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95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91"/>
        <v>0</v>
      </c>
      <c r="AJ3894" s="2">
        <f t="shared" si="492"/>
        <v>0</v>
      </c>
      <c r="AK3894" s="2">
        <f t="shared" ref="AK3894:AK3950" si="497">T3894-W3894</f>
        <v>146.92000000000002</v>
      </c>
      <c r="AL3894" s="5">
        <f t="shared" si="496"/>
        <v>0.57007605152879093</v>
      </c>
    </row>
    <row r="3895" spans="1:38" hidden="1" x14ac:dyDescent="0.2">
      <c r="A3895" s="2">
        <v>2026</v>
      </c>
      <c r="B3895" s="2">
        <v>5</v>
      </c>
      <c r="D3895" s="2" t="s">
        <v>1349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2935</v>
      </c>
      <c r="J3895" s="2" t="s">
        <v>2936</v>
      </c>
      <c r="K3895" s="2">
        <v>915170083</v>
      </c>
      <c r="L3895" s="2" t="s">
        <v>462</v>
      </c>
      <c r="M3895" s="2" t="s">
        <v>81</v>
      </c>
      <c r="O3895" s="2" t="s">
        <v>2937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95"/>
        <v>0.47191304347826091</v>
      </c>
      <c r="Z3895" s="2" t="s">
        <v>3231</v>
      </c>
      <c r="AA3895" s="2" t="s">
        <v>76</v>
      </c>
      <c r="AB3895" s="2" t="s">
        <v>77</v>
      </c>
      <c r="AC3895" s="2" t="s">
        <v>78</v>
      </c>
      <c r="AF3895" s="2">
        <f t="shared" si="491"/>
        <v>0</v>
      </c>
      <c r="AG3895" s="2">
        <v>121.46</v>
      </c>
      <c r="AH3895" s="2">
        <v>210</v>
      </c>
      <c r="AJ3895" s="2">
        <f t="shared" si="492"/>
        <v>0</v>
      </c>
      <c r="AK3895" s="2">
        <f t="shared" si="497"/>
        <v>108.54</v>
      </c>
      <c r="AL3895" s="5">
        <f t="shared" si="496"/>
        <v>0.47191304347826091</v>
      </c>
    </row>
    <row r="3896" spans="1:38" hidden="1" x14ac:dyDescent="0.2">
      <c r="A3896" s="2">
        <v>2026</v>
      </c>
      <c r="B3896" s="2">
        <v>5</v>
      </c>
      <c r="D3896" s="2" t="s">
        <v>1349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95"/>
        <v>0</v>
      </c>
      <c r="Z3896" s="2" t="s">
        <v>3231</v>
      </c>
      <c r="AA3896" s="2" t="s">
        <v>97</v>
      </c>
      <c r="AB3896" s="2" t="s">
        <v>77</v>
      </c>
      <c r="AC3896" s="2" t="s">
        <v>94</v>
      </c>
      <c r="AF3896" s="2">
        <f t="shared" si="491"/>
        <v>0</v>
      </c>
      <c r="AJ3896" s="2">
        <f t="shared" si="492"/>
        <v>0</v>
      </c>
      <c r="AK3896" s="2">
        <f t="shared" si="497"/>
        <v>0</v>
      </c>
      <c r="AL3896" s="5">
        <f t="shared" si="496"/>
        <v>0</v>
      </c>
    </row>
    <row r="3897" spans="1:38" hidden="1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2938</v>
      </c>
      <c r="P3897" s="2" t="s">
        <v>73</v>
      </c>
      <c r="Q3897" s="2" t="s">
        <v>1027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95"/>
        <v>0.43388888888888894</v>
      </c>
      <c r="Z3897" s="2" t="s">
        <v>3231</v>
      </c>
      <c r="AA3897" s="2" t="s">
        <v>76</v>
      </c>
      <c r="AB3897" s="2" t="s">
        <v>77</v>
      </c>
      <c r="AC3897" s="2" t="s">
        <v>78</v>
      </c>
      <c r="AF3897" s="2">
        <f t="shared" si="491"/>
        <v>0</v>
      </c>
      <c r="AJ3897" s="2">
        <f t="shared" si="492"/>
        <v>0</v>
      </c>
      <c r="AK3897" s="2">
        <f t="shared" si="497"/>
        <v>117.15</v>
      </c>
      <c r="AL3897" s="5">
        <f t="shared" si="496"/>
        <v>0.43388888888888894</v>
      </c>
    </row>
    <row r="3898" spans="1:38" hidden="1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2938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95"/>
        <v>0</v>
      </c>
      <c r="Z3898" s="2" t="s">
        <v>3231</v>
      </c>
      <c r="AA3898" s="2" t="s">
        <v>97</v>
      </c>
      <c r="AB3898" s="2" t="s">
        <v>77</v>
      </c>
      <c r="AC3898" s="2" t="s">
        <v>94</v>
      </c>
      <c r="AF3898" s="2">
        <f t="shared" si="491"/>
        <v>0</v>
      </c>
      <c r="AJ3898" s="2">
        <f t="shared" si="492"/>
        <v>0</v>
      </c>
      <c r="AK3898" s="2">
        <f t="shared" si="497"/>
        <v>0</v>
      </c>
      <c r="AL3898" s="5">
        <f t="shared" si="496"/>
        <v>0</v>
      </c>
    </row>
    <row r="3899" spans="1:38" hidden="1" x14ac:dyDescent="0.2">
      <c r="A3899" s="2">
        <v>2026</v>
      </c>
      <c r="B3899" s="2">
        <v>5</v>
      </c>
      <c r="D3899" s="2" t="s">
        <v>2939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95"/>
        <v>0.4142857142857142</v>
      </c>
      <c r="Z3899" s="2" t="s">
        <v>3231</v>
      </c>
      <c r="AA3899" s="2" t="s">
        <v>46</v>
      </c>
      <c r="AB3899" s="2" t="s">
        <v>61</v>
      </c>
      <c r="AC3899" s="2" t="s">
        <v>58</v>
      </c>
      <c r="AF3899" s="2">
        <f t="shared" si="491"/>
        <v>0</v>
      </c>
      <c r="AG3899" s="2">
        <v>8.1999999999999993</v>
      </c>
      <c r="AH3899" s="2">
        <v>13</v>
      </c>
      <c r="AJ3899" s="2">
        <f t="shared" si="492"/>
        <v>0</v>
      </c>
      <c r="AK3899" s="2">
        <f t="shared" si="497"/>
        <v>5.7999999999999989</v>
      </c>
      <c r="AL3899" s="5">
        <f t="shared" si="496"/>
        <v>0.4142857142857142</v>
      </c>
    </row>
    <row r="3900" spans="1:38" hidden="1" x14ac:dyDescent="0.2">
      <c r="A3900" s="2">
        <v>2026</v>
      </c>
      <c r="B3900" s="2">
        <v>5</v>
      </c>
      <c r="D3900" s="2" t="s">
        <v>982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95"/>
        <v>0.41111111111111115</v>
      </c>
      <c r="Z3900" s="2" t="s">
        <v>3231</v>
      </c>
      <c r="AA3900" s="2" t="s">
        <v>46</v>
      </c>
      <c r="AB3900" s="2" t="s">
        <v>57</v>
      </c>
      <c r="AC3900" s="2" t="s">
        <v>58</v>
      </c>
      <c r="AF3900" s="2">
        <f t="shared" si="491"/>
        <v>0</v>
      </c>
      <c r="AG3900" s="2">
        <v>10.6</v>
      </c>
      <c r="AH3900" s="2">
        <v>18</v>
      </c>
      <c r="AJ3900" s="2">
        <f t="shared" si="492"/>
        <v>0</v>
      </c>
      <c r="AK3900" s="2">
        <f t="shared" si="497"/>
        <v>14.8</v>
      </c>
      <c r="AL3900" s="5">
        <f t="shared" si="496"/>
        <v>0.41111111111111115</v>
      </c>
    </row>
    <row r="3901" spans="1:38" hidden="1" x14ac:dyDescent="0.2">
      <c r="A3901" s="2">
        <v>2026</v>
      </c>
      <c r="B3901" s="2">
        <v>5</v>
      </c>
      <c r="D3901" s="2" t="s">
        <v>983</v>
      </c>
      <c r="E3901" s="2" t="s">
        <v>109</v>
      </c>
      <c r="F3901" s="2" t="s">
        <v>718</v>
      </c>
      <c r="G3901" s="2">
        <v>500594309</v>
      </c>
      <c r="H3901" s="2" t="s">
        <v>291</v>
      </c>
      <c r="I3901" s="2" t="s">
        <v>984</v>
      </c>
      <c r="J3901" s="2" t="s">
        <v>985</v>
      </c>
      <c r="L3901" s="2" t="s">
        <v>294</v>
      </c>
      <c r="M3901" s="2" t="s">
        <v>81</v>
      </c>
      <c r="O3901" s="2" t="s">
        <v>2940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95"/>
        <v>0.42947272727272723</v>
      </c>
      <c r="Z3901" s="2" t="s">
        <v>3231</v>
      </c>
      <c r="AA3901" s="2" t="s">
        <v>76</v>
      </c>
      <c r="AB3901" s="2" t="s">
        <v>77</v>
      </c>
      <c r="AC3901" s="2" t="s">
        <v>78</v>
      </c>
      <c r="AF3901" s="2">
        <f t="shared" si="491"/>
        <v>0</v>
      </c>
      <c r="AG3901" s="2">
        <v>125.51600000000001</v>
      </c>
      <c r="AH3901" s="2">
        <v>220</v>
      </c>
      <c r="AJ3901" s="2">
        <f t="shared" si="492"/>
        <v>0</v>
      </c>
      <c r="AK3901" s="2">
        <f t="shared" si="497"/>
        <v>94.483999999999995</v>
      </c>
      <c r="AL3901" s="5">
        <f t="shared" si="496"/>
        <v>0.42947272727272723</v>
      </c>
    </row>
    <row r="3902" spans="1:38" hidden="1" x14ac:dyDescent="0.2">
      <c r="A3902" s="2">
        <v>2026</v>
      </c>
      <c r="B3902" s="2">
        <v>5</v>
      </c>
      <c r="D3902" s="2" t="s">
        <v>983</v>
      </c>
      <c r="E3902" s="2" t="s">
        <v>109</v>
      </c>
      <c r="F3902" s="2" t="s">
        <v>718</v>
      </c>
      <c r="G3902" s="2">
        <v>500594309</v>
      </c>
      <c r="H3902" s="2" t="s">
        <v>291</v>
      </c>
      <c r="I3902" s="2" t="s">
        <v>984</v>
      </c>
      <c r="J3902" s="2" t="s">
        <v>985</v>
      </c>
      <c r="L3902" s="2" t="s">
        <v>294</v>
      </c>
      <c r="M3902" s="2" t="s">
        <v>81</v>
      </c>
      <c r="O3902" s="2" t="s">
        <v>2940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95"/>
        <v>0.45375609756097557</v>
      </c>
      <c r="Z3902" s="2" t="s">
        <v>3231</v>
      </c>
      <c r="AA3902" s="2" t="s">
        <v>76</v>
      </c>
      <c r="AB3902" s="2" t="s">
        <v>77</v>
      </c>
      <c r="AC3902" s="2" t="s">
        <v>78</v>
      </c>
      <c r="AF3902" s="2">
        <f t="shared" si="491"/>
        <v>0</v>
      </c>
      <c r="AG3902" s="2">
        <v>111.98</v>
      </c>
      <c r="AH3902" s="2">
        <v>210</v>
      </c>
      <c r="AJ3902" s="2">
        <f t="shared" si="492"/>
        <v>0</v>
      </c>
      <c r="AK3902" s="2">
        <f t="shared" si="497"/>
        <v>93.02</v>
      </c>
      <c r="AL3902" s="5">
        <f t="shared" si="496"/>
        <v>0.45375609756097557</v>
      </c>
    </row>
    <row r="3903" spans="1:38" hidden="1" x14ac:dyDescent="0.2">
      <c r="A3903" s="2">
        <v>2026</v>
      </c>
      <c r="B3903" s="2">
        <v>5</v>
      </c>
      <c r="D3903" s="2" t="s">
        <v>983</v>
      </c>
      <c r="E3903" s="2" t="s">
        <v>109</v>
      </c>
      <c r="F3903" s="2" t="s">
        <v>718</v>
      </c>
      <c r="G3903" s="2">
        <v>500594309</v>
      </c>
      <c r="H3903" s="2" t="s">
        <v>291</v>
      </c>
      <c r="I3903" s="2" t="s">
        <v>984</v>
      </c>
      <c r="J3903" s="2" t="s">
        <v>985</v>
      </c>
      <c r="L3903" s="2" t="s">
        <v>294</v>
      </c>
      <c r="M3903" s="2" t="s">
        <v>81</v>
      </c>
      <c r="O3903" s="2" t="s">
        <v>2940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95"/>
        <v>0</v>
      </c>
      <c r="Z3903" s="2" t="s">
        <v>3231</v>
      </c>
      <c r="AA3903" s="2" t="s">
        <v>97</v>
      </c>
      <c r="AB3903" s="2" t="s">
        <v>77</v>
      </c>
      <c r="AC3903" s="2" t="s">
        <v>94</v>
      </c>
      <c r="AF3903" s="2">
        <f t="shared" si="491"/>
        <v>0</v>
      </c>
      <c r="AG3903" s="2">
        <v>1.48</v>
      </c>
      <c r="AH3903" s="2">
        <v>1.48</v>
      </c>
      <c r="AJ3903" s="2">
        <f t="shared" si="492"/>
        <v>0</v>
      </c>
      <c r="AK3903" s="2">
        <f t="shared" si="497"/>
        <v>0</v>
      </c>
      <c r="AL3903" s="5">
        <f t="shared" si="496"/>
        <v>0</v>
      </c>
    </row>
    <row r="3904" spans="1:38" hidden="1" x14ac:dyDescent="0.2">
      <c r="A3904" s="2">
        <v>2026</v>
      </c>
      <c r="B3904" s="2">
        <v>5</v>
      </c>
      <c r="D3904" s="2" t="s">
        <v>1357</v>
      </c>
      <c r="E3904" s="2" t="s">
        <v>753</v>
      </c>
      <c r="F3904" s="2" t="s">
        <v>39</v>
      </c>
      <c r="G3904" s="2">
        <v>518238334</v>
      </c>
      <c r="H3904" s="2" t="s">
        <v>41</v>
      </c>
      <c r="I3904" s="2" t="s">
        <v>763</v>
      </c>
      <c r="J3904" s="2" t="s">
        <v>1358</v>
      </c>
      <c r="L3904" s="2" t="s">
        <v>419</v>
      </c>
      <c r="P3904" s="2" t="s">
        <v>283</v>
      </c>
      <c r="Q3904" s="2" t="s">
        <v>1514</v>
      </c>
      <c r="R3904" s="2" t="s">
        <v>1515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95"/>
        <v>0.39011111111111113</v>
      </c>
      <c r="Z3904" s="2" t="s">
        <v>3231</v>
      </c>
      <c r="AA3904" s="2" t="s">
        <v>72</v>
      </c>
      <c r="AB3904" s="2" t="s">
        <v>1604</v>
      </c>
      <c r="AC3904" s="2" t="s">
        <v>1604</v>
      </c>
      <c r="AF3904" s="2">
        <f t="shared" si="491"/>
        <v>0</v>
      </c>
      <c r="AJ3904" s="2">
        <f t="shared" si="492"/>
        <v>0</v>
      </c>
      <c r="AK3904" s="2">
        <f t="shared" si="497"/>
        <v>17.555</v>
      </c>
      <c r="AL3904" s="5">
        <f t="shared" si="496"/>
        <v>0.39011111111111113</v>
      </c>
    </row>
    <row r="3905" spans="1:38" hidden="1" x14ac:dyDescent="0.2">
      <c r="A3905" s="2">
        <v>2026</v>
      </c>
      <c r="B3905" s="2">
        <v>5</v>
      </c>
      <c r="D3905" s="2" t="s">
        <v>2561</v>
      </c>
      <c r="E3905" s="2" t="s">
        <v>109</v>
      </c>
      <c r="F3905" s="2" t="s">
        <v>718</v>
      </c>
      <c r="G3905" s="2">
        <v>500228264</v>
      </c>
      <c r="H3905" s="2" t="s">
        <v>110</v>
      </c>
      <c r="I3905" s="2" t="s">
        <v>2941</v>
      </c>
      <c r="J3905" s="2" t="s">
        <v>2942</v>
      </c>
      <c r="K3905" s="2">
        <v>962004672</v>
      </c>
      <c r="L3905" s="2" t="s">
        <v>399</v>
      </c>
      <c r="M3905" s="2" t="s">
        <v>81</v>
      </c>
      <c r="O3905" s="2" t="s">
        <v>2943</v>
      </c>
      <c r="P3905" s="2" t="s">
        <v>73</v>
      </c>
      <c r="Q3905" s="2" t="s">
        <v>682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95"/>
        <v>0.52504545454545459</v>
      </c>
      <c r="Z3905" s="2" t="s">
        <v>3231</v>
      </c>
      <c r="AA3905" s="2" t="s">
        <v>76</v>
      </c>
      <c r="AB3905" s="2" t="s">
        <v>77</v>
      </c>
      <c r="AC3905" s="2" t="s">
        <v>78</v>
      </c>
      <c r="AF3905" s="2">
        <f t="shared" si="491"/>
        <v>0</v>
      </c>
      <c r="AG3905" s="2">
        <v>104.49</v>
      </c>
      <c r="AH3905" s="2">
        <v>220</v>
      </c>
      <c r="AJ3905" s="2">
        <f t="shared" si="492"/>
        <v>0</v>
      </c>
      <c r="AK3905" s="2">
        <f t="shared" si="497"/>
        <v>115.51</v>
      </c>
      <c r="AL3905" s="5">
        <f t="shared" si="496"/>
        <v>0.52504545454545459</v>
      </c>
    </row>
    <row r="3906" spans="1:38" hidden="1" x14ac:dyDescent="0.2">
      <c r="A3906" s="2">
        <v>2026</v>
      </c>
      <c r="B3906" s="2">
        <v>5</v>
      </c>
      <c r="D3906" s="2" t="s">
        <v>2561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95"/>
        <v>1</v>
      </c>
      <c r="Z3906" s="2" t="s">
        <v>3231</v>
      </c>
      <c r="AA3906" s="2" t="s">
        <v>97</v>
      </c>
      <c r="AB3906" s="2" t="s">
        <v>77</v>
      </c>
      <c r="AC3906" s="2" t="s">
        <v>94</v>
      </c>
      <c r="AF3906" s="2">
        <f t="shared" si="491"/>
        <v>0</v>
      </c>
      <c r="AJ3906" s="2">
        <f t="shared" si="492"/>
        <v>0</v>
      </c>
      <c r="AK3906" s="2">
        <f t="shared" si="497"/>
        <v>1.48</v>
      </c>
      <c r="AL3906" s="5">
        <f t="shared" si="496"/>
        <v>1</v>
      </c>
    </row>
    <row r="3907" spans="1:38" hidden="1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2944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95"/>
        <v>0.31428571428571428</v>
      </c>
      <c r="Z3907" s="2" t="s">
        <v>3231</v>
      </c>
      <c r="AA3907" s="2" t="s">
        <v>46</v>
      </c>
      <c r="AB3907" s="2" t="s">
        <v>47</v>
      </c>
      <c r="AC3907" s="2" t="s">
        <v>48</v>
      </c>
      <c r="AF3907" s="2">
        <f t="shared" ref="AF3907:AF3970" si="498">AJ3907</f>
        <v>0</v>
      </c>
      <c r="AG3907" s="2">
        <v>14.4</v>
      </c>
      <c r="AH3907" s="2">
        <v>21</v>
      </c>
      <c r="AJ3907" s="2">
        <f t="shared" ref="AJ3907:AJ3970" si="499">AI3907*T3907</f>
        <v>0</v>
      </c>
      <c r="AK3907" s="2">
        <f t="shared" si="497"/>
        <v>6.6</v>
      </c>
      <c r="AL3907" s="5">
        <f t="shared" si="496"/>
        <v>0.31428571428571428</v>
      </c>
    </row>
    <row r="3908" spans="1:38" hidden="1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2945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95"/>
        <v>0.29333333333333333</v>
      </c>
      <c r="Z3908" s="2" t="s">
        <v>3231</v>
      </c>
      <c r="AA3908" s="2" t="s">
        <v>46</v>
      </c>
      <c r="AB3908" s="2" t="s">
        <v>57</v>
      </c>
      <c r="AC3908" s="2" t="s">
        <v>58</v>
      </c>
      <c r="AF3908" s="2">
        <f t="shared" si="498"/>
        <v>0</v>
      </c>
      <c r="AG3908" s="2">
        <v>10.6</v>
      </c>
      <c r="AH3908" s="2">
        <v>18</v>
      </c>
      <c r="AJ3908" s="2">
        <f t="shared" si="499"/>
        <v>0</v>
      </c>
      <c r="AK3908" s="2">
        <f t="shared" si="497"/>
        <v>44</v>
      </c>
      <c r="AL3908" s="5">
        <f t="shared" si="496"/>
        <v>0.29333333333333333</v>
      </c>
    </row>
    <row r="3909" spans="1:38" hidden="1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2944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95"/>
        <v>0.38692653061224486</v>
      </c>
      <c r="Z3909" s="2" t="s">
        <v>3231</v>
      </c>
      <c r="AA3909" s="2" t="s">
        <v>46</v>
      </c>
      <c r="AB3909" s="2" t="s">
        <v>68</v>
      </c>
      <c r="AC3909" s="2" t="s">
        <v>58</v>
      </c>
      <c r="AF3909" s="2">
        <f t="shared" si="498"/>
        <v>0</v>
      </c>
      <c r="AG3909" s="2">
        <v>15.020300000000001</v>
      </c>
      <c r="AH3909" s="2">
        <v>27.6</v>
      </c>
      <c r="AJ3909" s="2">
        <f t="shared" si="499"/>
        <v>0</v>
      </c>
      <c r="AK3909" s="2">
        <f t="shared" si="497"/>
        <v>9.4796999999999993</v>
      </c>
      <c r="AL3909" s="5">
        <f t="shared" si="496"/>
        <v>0.38692653061224486</v>
      </c>
    </row>
    <row r="3910" spans="1:38" hidden="1" x14ac:dyDescent="0.2">
      <c r="A3910" s="2">
        <v>2026</v>
      </c>
      <c r="B3910" s="2">
        <v>5</v>
      </c>
      <c r="D3910" s="2" t="s">
        <v>1528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1529</v>
      </c>
      <c r="J3910" s="2" t="s">
        <v>1530</v>
      </c>
      <c r="K3910" s="2">
        <v>962461409</v>
      </c>
      <c r="L3910" s="2" t="s">
        <v>345</v>
      </c>
      <c r="M3910" s="2" t="s">
        <v>40</v>
      </c>
      <c r="O3910" s="2" t="s">
        <v>2946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500">(T3910-W3910)/T3910</f>
        <v>1</v>
      </c>
      <c r="Z3910" s="2" t="s">
        <v>118</v>
      </c>
      <c r="AA3910" s="2" t="s">
        <v>1312</v>
      </c>
      <c r="AF3910" s="2">
        <f t="shared" si="498"/>
        <v>0</v>
      </c>
      <c r="AJ3910" s="2">
        <f t="shared" si="499"/>
        <v>0</v>
      </c>
      <c r="AK3910" s="2">
        <f t="shared" si="497"/>
        <v>104.83</v>
      </c>
      <c r="AL3910" s="5">
        <f t="shared" ref="AL3910:AL3940" si="501">(T3910-W3910)/T3910</f>
        <v>1</v>
      </c>
    </row>
    <row r="3911" spans="1:38" hidden="1" x14ac:dyDescent="0.2">
      <c r="A3911" s="2">
        <v>2026</v>
      </c>
      <c r="B3911" s="2">
        <v>5</v>
      </c>
      <c r="D3911" s="2" t="s">
        <v>2947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500"/>
        <v>0.29333333333333333</v>
      </c>
      <c r="Z3911" s="2" t="s">
        <v>3231</v>
      </c>
      <c r="AA3911" s="2" t="s">
        <v>46</v>
      </c>
      <c r="AB3911" s="2" t="s">
        <v>57</v>
      </c>
      <c r="AC3911" s="2" t="s">
        <v>58</v>
      </c>
      <c r="AF3911" s="2">
        <f t="shared" si="498"/>
        <v>0</v>
      </c>
      <c r="AG3911" s="2">
        <v>10.6</v>
      </c>
      <c r="AH3911" s="2">
        <v>18</v>
      </c>
      <c r="AJ3911" s="2">
        <f t="shared" si="499"/>
        <v>0</v>
      </c>
      <c r="AK3911" s="2">
        <f t="shared" si="497"/>
        <v>44</v>
      </c>
      <c r="AL3911" s="5">
        <f t="shared" si="501"/>
        <v>0.29333333333333333</v>
      </c>
    </row>
    <row r="3912" spans="1:38" hidden="1" x14ac:dyDescent="0.2">
      <c r="A3912" s="2">
        <v>2026</v>
      </c>
      <c r="B3912" s="2">
        <v>5</v>
      </c>
      <c r="D3912" s="2" t="s">
        <v>2235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500"/>
        <v>0.25454545454545452</v>
      </c>
      <c r="Z3912" s="2" t="s">
        <v>3231</v>
      </c>
      <c r="AA3912" s="2" t="s">
        <v>46</v>
      </c>
      <c r="AB3912" s="2" t="s">
        <v>61</v>
      </c>
      <c r="AC3912" s="2" t="s">
        <v>58</v>
      </c>
      <c r="AF3912" s="2">
        <f t="shared" si="498"/>
        <v>0</v>
      </c>
      <c r="AG3912" s="2">
        <v>8.1999999999999993</v>
      </c>
      <c r="AH3912" s="2">
        <v>13</v>
      </c>
      <c r="AJ3912" s="2">
        <f t="shared" si="499"/>
        <v>0</v>
      </c>
      <c r="AK3912" s="2">
        <f t="shared" si="497"/>
        <v>28</v>
      </c>
      <c r="AL3912" s="5">
        <f t="shared" si="501"/>
        <v>0.25454545454545452</v>
      </c>
    </row>
    <row r="3913" spans="1:38" hidden="1" x14ac:dyDescent="0.2">
      <c r="A3913" s="2">
        <v>2026</v>
      </c>
      <c r="B3913" s="2">
        <v>5</v>
      </c>
      <c r="D3913" s="2" t="s">
        <v>2235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500"/>
        <v>1</v>
      </c>
      <c r="Z3913" s="2" t="s">
        <v>170</v>
      </c>
      <c r="AA3913" s="2" t="s">
        <v>170</v>
      </c>
      <c r="AF3913" s="2">
        <f t="shared" si="498"/>
        <v>0</v>
      </c>
      <c r="AJ3913" s="2">
        <f t="shared" si="499"/>
        <v>0</v>
      </c>
      <c r="AK3913" s="2">
        <f t="shared" si="497"/>
        <v>5</v>
      </c>
      <c r="AL3913" s="5">
        <f t="shared" si="501"/>
        <v>1</v>
      </c>
    </row>
    <row r="3914" spans="1:38" hidden="1" x14ac:dyDescent="0.2">
      <c r="A3914" s="2">
        <v>2026</v>
      </c>
      <c r="B3914" s="2">
        <v>5</v>
      </c>
      <c r="C3914" s="2" t="s">
        <v>3440</v>
      </c>
      <c r="D3914" s="2" t="s">
        <v>2948</v>
      </c>
      <c r="E3914" s="2" t="s">
        <v>753</v>
      </c>
      <c r="F3914" s="2" t="s">
        <v>39</v>
      </c>
      <c r="L3914" s="2" t="s">
        <v>481</v>
      </c>
      <c r="M3914" s="2" t="s">
        <v>81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500"/>
        <v>0.33938947368421052</v>
      </c>
      <c r="Z3914" s="2" t="s">
        <v>3231</v>
      </c>
      <c r="AA3914" s="2" t="s">
        <v>76</v>
      </c>
      <c r="AB3914" s="2" t="s">
        <v>77</v>
      </c>
      <c r="AC3914" s="2" t="s">
        <v>78</v>
      </c>
      <c r="AF3914" s="2">
        <f t="shared" si="498"/>
        <v>0</v>
      </c>
      <c r="AG3914" s="2">
        <v>125.51600000000001</v>
      </c>
      <c r="AH3914" s="2">
        <v>220</v>
      </c>
      <c r="AJ3914" s="2">
        <f t="shared" si="499"/>
        <v>0</v>
      </c>
      <c r="AK3914" s="2">
        <f t="shared" si="497"/>
        <v>64.483999999999995</v>
      </c>
      <c r="AL3914" s="5">
        <f t="shared" si="501"/>
        <v>0.33938947368421052</v>
      </c>
    </row>
    <row r="3915" spans="1:38" hidden="1" x14ac:dyDescent="0.2">
      <c r="A3915" s="2">
        <v>2026</v>
      </c>
      <c r="B3915" s="2">
        <v>5</v>
      </c>
      <c r="D3915" s="2" t="s">
        <v>2948</v>
      </c>
      <c r="M3915" s="2" t="s">
        <v>40</v>
      </c>
      <c r="P3915" s="2" t="s">
        <v>188</v>
      </c>
      <c r="Q3915" s="2" t="s">
        <v>1310</v>
      </c>
      <c r="R3915" s="2" t="s">
        <v>1311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1312</v>
      </c>
      <c r="AF3915" s="2">
        <f t="shared" si="498"/>
        <v>0</v>
      </c>
      <c r="AJ3915" s="2">
        <f t="shared" si="499"/>
        <v>0</v>
      </c>
      <c r="AK3915" s="2">
        <f t="shared" si="497"/>
        <v>0</v>
      </c>
      <c r="AL3915" s="5">
        <v>0</v>
      </c>
    </row>
    <row r="3916" spans="1:38" hidden="1" x14ac:dyDescent="0.2">
      <c r="A3916" s="2">
        <v>2026</v>
      </c>
      <c r="B3916" s="2">
        <v>5</v>
      </c>
      <c r="C3916" s="2" t="s">
        <v>3440</v>
      </c>
      <c r="D3916" s="2" t="s">
        <v>2948</v>
      </c>
      <c r="E3916" s="2" t="s">
        <v>753</v>
      </c>
      <c r="F3916" s="2" t="s">
        <v>39</v>
      </c>
      <c r="L3916" s="2" t="s">
        <v>481</v>
      </c>
      <c r="M3916" s="2" t="s">
        <v>81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500"/>
        <v>0</v>
      </c>
      <c r="Z3916" s="2" t="s">
        <v>3231</v>
      </c>
      <c r="AA3916" s="2" t="s">
        <v>97</v>
      </c>
      <c r="AB3916" s="2" t="s">
        <v>77</v>
      </c>
      <c r="AC3916" s="2" t="s">
        <v>94</v>
      </c>
      <c r="AF3916" s="2">
        <f t="shared" si="498"/>
        <v>0</v>
      </c>
      <c r="AJ3916" s="2">
        <f t="shared" si="499"/>
        <v>0</v>
      </c>
      <c r="AK3916" s="2">
        <f t="shared" si="497"/>
        <v>0</v>
      </c>
      <c r="AL3916" s="5">
        <f t="shared" si="501"/>
        <v>0</v>
      </c>
    </row>
    <row r="3917" spans="1:38" hidden="1" x14ac:dyDescent="0.2">
      <c r="A3917" s="2">
        <v>2026</v>
      </c>
      <c r="B3917" s="2">
        <v>5</v>
      </c>
      <c r="D3917" s="2" t="s">
        <v>2881</v>
      </c>
      <c r="G3917" s="2">
        <v>506647188</v>
      </c>
      <c r="I3917" s="2" t="s">
        <v>2949</v>
      </c>
      <c r="M3917" s="2" t="s">
        <v>40</v>
      </c>
      <c r="O3917" s="2" t="s">
        <v>2950</v>
      </c>
      <c r="P3917" s="2" t="s">
        <v>115</v>
      </c>
      <c r="Q3917" s="2" t="s">
        <v>780</v>
      </c>
      <c r="R3917" s="2" t="s">
        <v>781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500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98"/>
        <v>0</v>
      </c>
      <c r="AG3917" s="2">
        <v>35.931699999999999</v>
      </c>
      <c r="AJ3917" s="2">
        <f t="shared" si="499"/>
        <v>0</v>
      </c>
      <c r="AK3917" s="2">
        <f t="shared" si="497"/>
        <v>69.596600000000009</v>
      </c>
      <c r="AL3917" s="5">
        <f t="shared" si="501"/>
        <v>0.49198784108581933</v>
      </c>
    </row>
    <row r="3918" spans="1:38" hidden="1" x14ac:dyDescent="0.2">
      <c r="A3918" s="2">
        <v>2026</v>
      </c>
      <c r="B3918" s="2">
        <v>5</v>
      </c>
      <c r="D3918" s="2" t="s">
        <v>2881</v>
      </c>
      <c r="M3918" s="2" t="s">
        <v>40</v>
      </c>
      <c r="O3918" s="2" t="s">
        <v>2950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500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98"/>
        <v>0</v>
      </c>
      <c r="AG3918" s="2">
        <v>5.33</v>
      </c>
      <c r="AJ3918" s="2">
        <f t="shared" si="499"/>
        <v>0</v>
      </c>
      <c r="AK3918" s="2">
        <f t="shared" si="497"/>
        <v>60.230000000000004</v>
      </c>
      <c r="AL3918" s="5">
        <f t="shared" si="501"/>
        <v>0.58549625741226796</v>
      </c>
    </row>
    <row r="3919" spans="1:38" hidden="1" x14ac:dyDescent="0.2">
      <c r="A3919" s="2">
        <v>2026</v>
      </c>
      <c r="B3919" s="2">
        <v>5</v>
      </c>
      <c r="D3919" s="2" t="s">
        <v>2135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B3919" s="2" t="s">
        <v>190</v>
      </c>
      <c r="AC3919" s="2" t="s">
        <v>40</v>
      </c>
      <c r="AF3919" s="2">
        <f t="shared" si="498"/>
        <v>0</v>
      </c>
      <c r="AG3919" s="2">
        <f>W3919</f>
        <v>-27.400000000000002</v>
      </c>
      <c r="AJ3919" s="2">
        <f t="shared" si="499"/>
        <v>0</v>
      </c>
      <c r="AK3919" s="2">
        <f t="shared" si="497"/>
        <v>-41.099999999999994</v>
      </c>
    </row>
    <row r="3920" spans="1:38" hidden="1" x14ac:dyDescent="0.2">
      <c r="A3920" s="2">
        <v>2026</v>
      </c>
      <c r="B3920" s="2">
        <v>5</v>
      </c>
      <c r="D3920" s="2" t="s">
        <v>2135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B3920" s="2" t="s">
        <v>191</v>
      </c>
      <c r="AC3920" s="2" t="s">
        <v>40</v>
      </c>
      <c r="AF3920" s="2">
        <f t="shared" si="498"/>
        <v>0</v>
      </c>
      <c r="AG3920" s="2">
        <f>W3920</f>
        <v>0</v>
      </c>
      <c r="AJ3920" s="2">
        <f t="shared" si="499"/>
        <v>0</v>
      </c>
      <c r="AK3920" s="2">
        <f t="shared" si="497"/>
        <v>-6.25</v>
      </c>
    </row>
    <row r="3921" spans="1:38" hidden="1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2951</v>
      </c>
      <c r="P3921" s="2" t="s">
        <v>115</v>
      </c>
      <c r="Q3921" s="2" t="s">
        <v>1153</v>
      </c>
      <c r="R3921" s="2" t="s">
        <v>1154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500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98"/>
        <v>0</v>
      </c>
      <c r="AJ3921" s="2">
        <f t="shared" si="499"/>
        <v>0</v>
      </c>
      <c r="AK3921" s="2">
        <f t="shared" si="497"/>
        <v>146.92000000000002</v>
      </c>
      <c r="AL3921" s="5">
        <f t="shared" si="501"/>
        <v>0.57007605152879093</v>
      </c>
    </row>
    <row r="3922" spans="1:38" hidden="1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2952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500"/>
        <v>0.29333333333333333</v>
      </c>
      <c r="Z3922" s="2" t="s">
        <v>3231</v>
      </c>
      <c r="AA3922" s="2" t="s">
        <v>46</v>
      </c>
      <c r="AB3922" s="2" t="s">
        <v>57</v>
      </c>
      <c r="AC3922" s="2" t="s">
        <v>58</v>
      </c>
      <c r="AF3922" s="2">
        <f t="shared" si="498"/>
        <v>0</v>
      </c>
      <c r="AG3922" s="2">
        <v>10.6</v>
      </c>
      <c r="AH3922" s="2">
        <v>18</v>
      </c>
      <c r="AJ3922" s="2">
        <f t="shared" si="499"/>
        <v>0</v>
      </c>
      <c r="AK3922" s="2">
        <f t="shared" si="497"/>
        <v>17.600000000000001</v>
      </c>
      <c r="AL3922" s="5">
        <f t="shared" si="501"/>
        <v>0.29333333333333333</v>
      </c>
    </row>
    <row r="3923" spans="1:38" hidden="1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2953</v>
      </c>
      <c r="P3923" s="2" t="s">
        <v>43</v>
      </c>
      <c r="Q3923" s="2" t="s">
        <v>2873</v>
      </c>
      <c r="R3923" s="2" t="s">
        <v>2874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500"/>
        <v>0.28439999999999999</v>
      </c>
      <c r="Z3923" s="2" t="s">
        <v>3231</v>
      </c>
      <c r="AA3923" s="2" t="s">
        <v>46</v>
      </c>
      <c r="AB3923" s="2" t="s">
        <v>91</v>
      </c>
      <c r="AC3923" s="2" t="s">
        <v>58</v>
      </c>
      <c r="AF3923" s="2">
        <f t="shared" si="498"/>
        <v>0</v>
      </c>
      <c r="AJ3923" s="2">
        <f t="shared" si="499"/>
        <v>0</v>
      </c>
      <c r="AK3923" s="2">
        <f t="shared" si="497"/>
        <v>14.219999999999999</v>
      </c>
      <c r="AL3923" s="5">
        <f t="shared" si="501"/>
        <v>0.28439999999999999</v>
      </c>
    </row>
    <row r="3924" spans="1:38" hidden="1" x14ac:dyDescent="0.2">
      <c r="A3924" s="2">
        <v>2026</v>
      </c>
      <c r="B3924" s="2">
        <v>5</v>
      </c>
      <c r="D3924" s="2" t="s">
        <v>776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777</v>
      </c>
      <c r="J3924" s="2" t="s">
        <v>778</v>
      </c>
      <c r="L3924" s="2" t="s">
        <v>340</v>
      </c>
      <c r="M3924" s="2" t="s">
        <v>40</v>
      </c>
      <c r="O3924" s="2" t="s">
        <v>2954</v>
      </c>
      <c r="P3924" s="2" t="s">
        <v>115</v>
      </c>
      <c r="Q3924" s="2" t="s">
        <v>780</v>
      </c>
      <c r="R3924" s="2" t="s">
        <v>781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500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98"/>
        <v>0</v>
      </c>
      <c r="AG3924" s="2">
        <v>35.931699999999999</v>
      </c>
      <c r="AJ3924" s="2">
        <f t="shared" si="499"/>
        <v>0</v>
      </c>
      <c r="AK3924" s="2">
        <f t="shared" si="497"/>
        <v>85.316600000000008</v>
      </c>
      <c r="AL3924" s="5">
        <f t="shared" si="501"/>
        <v>0.54279552105865891</v>
      </c>
    </row>
    <row r="3925" spans="1:38" hidden="1" x14ac:dyDescent="0.2">
      <c r="A3925" s="2">
        <v>2026</v>
      </c>
      <c r="B3925" s="2">
        <v>5</v>
      </c>
      <c r="D3925" s="2" t="s">
        <v>782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783</v>
      </c>
      <c r="J3925" s="2" t="s">
        <v>784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500"/>
        <v>0.45578623188405798</v>
      </c>
      <c r="Z3925" s="2" t="s">
        <v>3231</v>
      </c>
      <c r="AA3925" s="2" t="s">
        <v>46</v>
      </c>
      <c r="AB3925" s="2" t="s">
        <v>68</v>
      </c>
      <c r="AC3925" s="2" t="s">
        <v>58</v>
      </c>
      <c r="AF3925" s="2">
        <f t="shared" si="498"/>
        <v>0</v>
      </c>
      <c r="AG3925" s="2">
        <v>15.020300000000001</v>
      </c>
      <c r="AH3925" s="2">
        <v>27.6</v>
      </c>
      <c r="AJ3925" s="2">
        <f t="shared" si="499"/>
        <v>0</v>
      </c>
      <c r="AK3925" s="2">
        <f t="shared" si="497"/>
        <v>12.579700000000001</v>
      </c>
      <c r="AL3925" s="5">
        <f t="shared" si="501"/>
        <v>0.45578623188405798</v>
      </c>
    </row>
    <row r="3926" spans="1:38" hidden="1" x14ac:dyDescent="0.2">
      <c r="A3926" s="2">
        <v>2026</v>
      </c>
      <c r="B3926" s="2">
        <v>5</v>
      </c>
      <c r="D3926" s="2" t="s">
        <v>2955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2956</v>
      </c>
      <c r="J3926" s="2" t="s">
        <v>2957</v>
      </c>
      <c r="K3926" s="2">
        <v>962543971</v>
      </c>
      <c r="L3926" s="2" t="s">
        <v>134</v>
      </c>
      <c r="M3926" s="2" t="s">
        <v>110</v>
      </c>
      <c r="O3926" s="2" t="s">
        <v>2958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500"/>
        <v>0.42639130434782607</v>
      </c>
      <c r="Z3926" s="2" t="s">
        <v>3231</v>
      </c>
      <c r="AA3926" s="2" t="s">
        <v>76</v>
      </c>
      <c r="AB3926" s="2" t="s">
        <v>77</v>
      </c>
      <c r="AC3926" s="2" t="s">
        <v>78</v>
      </c>
      <c r="AF3926" s="2">
        <f t="shared" si="498"/>
        <v>0</v>
      </c>
      <c r="AG3926" s="2">
        <v>131.93</v>
      </c>
      <c r="AH3926" s="2">
        <v>220</v>
      </c>
      <c r="AJ3926" s="2">
        <f t="shared" si="499"/>
        <v>0</v>
      </c>
      <c r="AK3926" s="2">
        <f t="shared" si="497"/>
        <v>98.07</v>
      </c>
      <c r="AL3926" s="5">
        <f t="shared" si="501"/>
        <v>0.42639130434782607</v>
      </c>
    </row>
    <row r="3927" spans="1:38" hidden="1" x14ac:dyDescent="0.2">
      <c r="A3927" s="2">
        <v>2026</v>
      </c>
      <c r="B3927" s="2">
        <v>5</v>
      </c>
      <c r="D3927" s="2" t="s">
        <v>2955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500"/>
        <v>0</v>
      </c>
      <c r="Z3927" s="2" t="s">
        <v>3231</v>
      </c>
      <c r="AA3927" s="2" t="s">
        <v>97</v>
      </c>
      <c r="AB3927" s="2" t="s">
        <v>77</v>
      </c>
      <c r="AC3927" s="2" t="s">
        <v>94</v>
      </c>
      <c r="AF3927" s="2">
        <f t="shared" si="498"/>
        <v>0</v>
      </c>
      <c r="AJ3927" s="2">
        <f t="shared" si="499"/>
        <v>0</v>
      </c>
      <c r="AK3927" s="2">
        <f t="shared" si="497"/>
        <v>0</v>
      </c>
      <c r="AL3927" s="5">
        <f t="shared" si="501"/>
        <v>0</v>
      </c>
    </row>
    <row r="3928" spans="1:38" hidden="1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2959</v>
      </c>
      <c r="P3928" s="2" t="s">
        <v>43</v>
      </c>
      <c r="Q3928" s="2" t="s">
        <v>2927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500"/>
        <v>0.65133333333333332</v>
      </c>
      <c r="Z3928" s="2" t="s">
        <v>3231</v>
      </c>
      <c r="AA3928" s="2" t="s">
        <v>46</v>
      </c>
      <c r="AB3928" s="2" t="s">
        <v>91</v>
      </c>
      <c r="AC3928" s="2" t="s">
        <v>58</v>
      </c>
      <c r="AF3928" s="2">
        <f t="shared" si="498"/>
        <v>0</v>
      </c>
      <c r="AG3928" s="2">
        <v>5.23</v>
      </c>
      <c r="AH3928" s="2">
        <v>10.8</v>
      </c>
      <c r="AJ3928" s="2">
        <f t="shared" si="499"/>
        <v>0</v>
      </c>
      <c r="AK3928" s="2">
        <f t="shared" si="497"/>
        <v>9.77</v>
      </c>
      <c r="AL3928" s="5">
        <f t="shared" si="501"/>
        <v>0.65133333333333332</v>
      </c>
    </row>
    <row r="3929" spans="1:38" hidden="1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2959</v>
      </c>
      <c r="P3929" s="2" t="s">
        <v>43</v>
      </c>
      <c r="Q3929" s="2" t="s">
        <v>2928</v>
      </c>
      <c r="R3929" s="2" t="s">
        <v>2929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500"/>
        <v>0.80600000000000005</v>
      </c>
      <c r="Z3929" s="2" t="s">
        <v>3231</v>
      </c>
      <c r="AA3929" s="2" t="s">
        <v>46</v>
      </c>
      <c r="AB3929" s="2" t="s">
        <v>91</v>
      </c>
      <c r="AC3929" s="2" t="s">
        <v>58</v>
      </c>
      <c r="AF3929" s="2">
        <f t="shared" si="498"/>
        <v>0</v>
      </c>
      <c r="AG3929" s="2">
        <v>0.97</v>
      </c>
      <c r="AH3929" s="2">
        <v>6</v>
      </c>
      <c r="AJ3929" s="2">
        <f t="shared" si="499"/>
        <v>0</v>
      </c>
      <c r="AK3929" s="2">
        <f t="shared" si="497"/>
        <v>4.03</v>
      </c>
      <c r="AL3929" s="5">
        <f t="shared" si="501"/>
        <v>0.80600000000000005</v>
      </c>
    </row>
    <row r="3930" spans="1:38" hidden="1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500"/>
        <v>0.58491111111111116</v>
      </c>
      <c r="Z3930" s="2" t="s">
        <v>3231</v>
      </c>
      <c r="AA3930" s="2" t="s">
        <v>46</v>
      </c>
      <c r="AB3930" s="2" t="s">
        <v>47</v>
      </c>
      <c r="AC3930" s="2" t="s">
        <v>48</v>
      </c>
      <c r="AF3930" s="2">
        <f t="shared" si="498"/>
        <v>0</v>
      </c>
      <c r="AG3930" s="2">
        <v>3.7357999999999998</v>
      </c>
      <c r="AH3930" s="2">
        <v>9</v>
      </c>
      <c r="AJ3930" s="2">
        <f t="shared" si="499"/>
        <v>0</v>
      </c>
      <c r="AK3930" s="2">
        <f t="shared" si="497"/>
        <v>5.2642000000000007</v>
      </c>
      <c r="AL3930" s="5">
        <f t="shared" si="501"/>
        <v>0.58491111111111116</v>
      </c>
    </row>
    <row r="3931" spans="1:38" hidden="1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500"/>
        <v>0.41111111111111109</v>
      </c>
      <c r="Z3931" s="2" t="s">
        <v>3231</v>
      </c>
      <c r="AA3931" s="2" t="s">
        <v>46</v>
      </c>
      <c r="AB3931" s="2" t="s">
        <v>57</v>
      </c>
      <c r="AC3931" s="2" t="s">
        <v>58</v>
      </c>
      <c r="AF3931" s="2">
        <f t="shared" si="498"/>
        <v>0</v>
      </c>
      <c r="AG3931" s="2">
        <v>10.6</v>
      </c>
      <c r="AH3931" s="2">
        <v>18</v>
      </c>
      <c r="AJ3931" s="2">
        <f t="shared" si="499"/>
        <v>0</v>
      </c>
      <c r="AK3931" s="2">
        <f t="shared" si="497"/>
        <v>37</v>
      </c>
      <c r="AL3931" s="5">
        <f t="shared" si="501"/>
        <v>0.41111111111111109</v>
      </c>
    </row>
    <row r="3932" spans="1:38" hidden="1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500"/>
        <v>0.24885496183206102</v>
      </c>
      <c r="Z3932" s="2" t="s">
        <v>3231</v>
      </c>
      <c r="AA3932" s="2" t="s">
        <v>46</v>
      </c>
      <c r="AB3932" s="2" t="s">
        <v>61</v>
      </c>
      <c r="AC3932" s="2" t="s">
        <v>58</v>
      </c>
      <c r="AF3932" s="2">
        <f t="shared" si="498"/>
        <v>0</v>
      </c>
      <c r="AG3932" s="2">
        <v>8.1999999999999993</v>
      </c>
      <c r="AH3932" s="2">
        <v>13</v>
      </c>
      <c r="AJ3932" s="2">
        <f t="shared" si="499"/>
        <v>0</v>
      </c>
      <c r="AK3932" s="2">
        <f t="shared" si="497"/>
        <v>32.599999999999994</v>
      </c>
      <c r="AL3932" s="5">
        <f t="shared" si="501"/>
        <v>0.24885496183206102</v>
      </c>
    </row>
    <row r="3933" spans="1:38" hidden="1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500"/>
        <v>0.42875000000000008</v>
      </c>
      <c r="Z3933" s="2" t="s">
        <v>3231</v>
      </c>
      <c r="AA3933" s="2" t="s">
        <v>46</v>
      </c>
      <c r="AB3933" s="2" t="s">
        <v>61</v>
      </c>
      <c r="AC3933" s="2" t="s">
        <v>58</v>
      </c>
      <c r="AF3933" s="2">
        <f t="shared" si="498"/>
        <v>0</v>
      </c>
      <c r="AJ3933" s="2">
        <f t="shared" si="499"/>
        <v>0</v>
      </c>
      <c r="AK3933" s="2">
        <f t="shared" si="497"/>
        <v>6.8600000000000012</v>
      </c>
      <c r="AL3933" s="5">
        <f t="shared" si="501"/>
        <v>0.42875000000000008</v>
      </c>
    </row>
    <row r="3934" spans="1:38" hidden="1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500"/>
        <v>0.36923076923076914</v>
      </c>
      <c r="Z3934" s="2" t="s">
        <v>3231</v>
      </c>
      <c r="AA3934" s="2" t="s">
        <v>46</v>
      </c>
      <c r="AB3934" s="2" t="s">
        <v>61</v>
      </c>
      <c r="AC3934" s="2" t="s">
        <v>58</v>
      </c>
      <c r="AF3934" s="2">
        <f t="shared" si="498"/>
        <v>0</v>
      </c>
      <c r="AG3934" s="2">
        <v>8.1999999999999993</v>
      </c>
      <c r="AH3934" s="2">
        <v>13</v>
      </c>
      <c r="AJ3934" s="2">
        <f t="shared" si="499"/>
        <v>0</v>
      </c>
      <c r="AK3934" s="2">
        <f t="shared" si="497"/>
        <v>4.7999999999999989</v>
      </c>
      <c r="AL3934" s="5">
        <f t="shared" si="501"/>
        <v>0.36923076923076914</v>
      </c>
    </row>
    <row r="3935" spans="1:38" hidden="1" x14ac:dyDescent="0.2">
      <c r="A3935" s="2">
        <v>2026</v>
      </c>
      <c r="B3935" s="2">
        <v>5</v>
      </c>
      <c r="D3935" s="2" t="s">
        <v>434</v>
      </c>
      <c r="E3935" s="2" t="s">
        <v>38</v>
      </c>
      <c r="F3935" s="2" t="s">
        <v>39</v>
      </c>
      <c r="L3935" s="2" t="s">
        <v>100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500"/>
        <v>0.42947272727272723</v>
      </c>
      <c r="Z3935" s="2" t="s">
        <v>3231</v>
      </c>
      <c r="AA3935" s="2" t="s">
        <v>76</v>
      </c>
      <c r="AB3935" s="2" t="s">
        <v>77</v>
      </c>
      <c r="AC3935" s="2" t="s">
        <v>78</v>
      </c>
      <c r="AF3935" s="2">
        <f t="shared" si="498"/>
        <v>0</v>
      </c>
      <c r="AG3935" s="2">
        <v>125.51600000000001</v>
      </c>
      <c r="AH3935" s="2">
        <v>220</v>
      </c>
      <c r="AJ3935" s="2">
        <f t="shared" si="499"/>
        <v>0</v>
      </c>
      <c r="AK3935" s="2">
        <f t="shared" si="497"/>
        <v>94.483999999999995</v>
      </c>
      <c r="AL3935" s="5">
        <f t="shared" si="501"/>
        <v>0.42947272727272723</v>
      </c>
    </row>
    <row r="3936" spans="1:38" hidden="1" x14ac:dyDescent="0.2">
      <c r="A3936" s="2">
        <v>2026</v>
      </c>
      <c r="B3936" s="2">
        <v>5</v>
      </c>
      <c r="D3936" s="2" t="s">
        <v>434</v>
      </c>
      <c r="E3936" s="2" t="s">
        <v>38</v>
      </c>
      <c r="F3936" s="2" t="s">
        <v>39</v>
      </c>
      <c r="L3936" s="2" t="s">
        <v>100</v>
      </c>
      <c r="M3936" s="2" t="s">
        <v>41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500"/>
        <v>1</v>
      </c>
      <c r="Z3936" s="2" t="s">
        <v>3231</v>
      </c>
      <c r="AA3936" s="2" t="s">
        <v>97</v>
      </c>
      <c r="AB3936" s="2" t="s">
        <v>77</v>
      </c>
      <c r="AC3936" s="2" t="s">
        <v>94</v>
      </c>
      <c r="AF3936" s="2">
        <f t="shared" si="498"/>
        <v>0</v>
      </c>
      <c r="AJ3936" s="2">
        <f t="shared" si="499"/>
        <v>0</v>
      </c>
      <c r="AK3936" s="2">
        <f t="shared" si="497"/>
        <v>1.48</v>
      </c>
      <c r="AL3936" s="5">
        <f t="shared" si="501"/>
        <v>1</v>
      </c>
    </row>
    <row r="3937" spans="1:38" hidden="1" x14ac:dyDescent="0.2">
      <c r="A3937" s="2">
        <v>2026</v>
      </c>
      <c r="B3937" s="2">
        <v>5</v>
      </c>
      <c r="D3937" s="2" t="s">
        <v>1019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1020</v>
      </c>
      <c r="J3937" s="2" t="s">
        <v>1021</v>
      </c>
      <c r="L3937" s="2" t="s">
        <v>294</v>
      </c>
      <c r="M3937" s="2" t="s">
        <v>81</v>
      </c>
      <c r="O3937" s="2" t="s">
        <v>2960</v>
      </c>
      <c r="P3937" s="2" t="s">
        <v>1040</v>
      </c>
      <c r="Q3937" s="2" t="s">
        <v>2961</v>
      </c>
      <c r="R3937" s="2" t="s">
        <v>2962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500"/>
        <v>0.35232383808095952</v>
      </c>
      <c r="Z3937" s="2" t="s">
        <v>3231</v>
      </c>
      <c r="AA3937" s="2" t="s">
        <v>76</v>
      </c>
      <c r="AB3937" s="2" t="s">
        <v>77</v>
      </c>
      <c r="AC3937" s="2" t="s">
        <v>1040</v>
      </c>
      <c r="AF3937" s="2">
        <f t="shared" si="498"/>
        <v>0</v>
      </c>
      <c r="AJ3937" s="2">
        <f t="shared" si="499"/>
        <v>0</v>
      </c>
      <c r="AK3937" s="2">
        <f t="shared" si="497"/>
        <v>94</v>
      </c>
      <c r="AL3937" s="5">
        <f t="shared" si="501"/>
        <v>0.35232383808095952</v>
      </c>
    </row>
    <row r="3938" spans="1:38" hidden="1" x14ac:dyDescent="0.2">
      <c r="A3938" s="2">
        <v>2026</v>
      </c>
      <c r="B3938" s="2">
        <v>5</v>
      </c>
      <c r="D3938" s="2" t="s">
        <v>1019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1020</v>
      </c>
      <c r="J3938" s="2" t="s">
        <v>1021</v>
      </c>
      <c r="L3938" s="2" t="s">
        <v>294</v>
      </c>
      <c r="M3938" s="2" t="s">
        <v>81</v>
      </c>
      <c r="O3938" s="2" t="s">
        <v>2960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500"/>
        <v>0</v>
      </c>
      <c r="Z3938" s="2" t="s">
        <v>3231</v>
      </c>
      <c r="AA3938" s="2" t="s">
        <v>97</v>
      </c>
      <c r="AB3938" s="2" t="s">
        <v>77</v>
      </c>
      <c r="AC3938" s="2" t="s">
        <v>94</v>
      </c>
      <c r="AF3938" s="2">
        <f t="shared" si="498"/>
        <v>0</v>
      </c>
      <c r="AG3938" s="2">
        <v>1.48</v>
      </c>
      <c r="AH3938" s="2">
        <v>1.48</v>
      </c>
      <c r="AJ3938" s="2">
        <f t="shared" si="499"/>
        <v>0</v>
      </c>
      <c r="AK3938" s="2">
        <f t="shared" si="497"/>
        <v>0</v>
      </c>
      <c r="AL3938" s="5">
        <f t="shared" si="501"/>
        <v>0</v>
      </c>
    </row>
    <row r="3939" spans="1:38" hidden="1" x14ac:dyDescent="0.2">
      <c r="A3939" s="2">
        <v>2026</v>
      </c>
      <c r="B3939" s="2">
        <v>5</v>
      </c>
      <c r="D3939" s="2" t="s">
        <v>1905</v>
      </c>
      <c r="G3939" s="2">
        <v>505757486</v>
      </c>
      <c r="I3939" s="2" t="s">
        <v>2963</v>
      </c>
      <c r="M3939" s="2" t="s">
        <v>81</v>
      </c>
      <c r="O3939" s="2" t="s">
        <v>2964</v>
      </c>
      <c r="P3939" s="2" t="s">
        <v>73</v>
      </c>
      <c r="Q3939" s="2" t="s">
        <v>1077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500"/>
        <v>0.38066770186335414</v>
      </c>
      <c r="Z3939" s="2" t="s">
        <v>3231</v>
      </c>
      <c r="AA3939" s="2" t="s">
        <v>76</v>
      </c>
      <c r="AB3939" s="2" t="s">
        <v>77</v>
      </c>
      <c r="AC3939" s="2" t="s">
        <v>78</v>
      </c>
      <c r="AF3939" s="2">
        <f t="shared" si="498"/>
        <v>0</v>
      </c>
      <c r="AG3939" s="2">
        <f>144.14+15.4</f>
        <v>159.54</v>
      </c>
      <c r="AH3939" s="2">
        <v>280</v>
      </c>
      <c r="AJ3939" s="2">
        <f t="shared" si="499"/>
        <v>0</v>
      </c>
      <c r="AK3939" s="2">
        <f t="shared" si="497"/>
        <v>98.060000000000031</v>
      </c>
      <c r="AL3939" s="5">
        <f t="shared" si="501"/>
        <v>0.38066770186335414</v>
      </c>
    </row>
    <row r="3940" spans="1:38" hidden="1" x14ac:dyDescent="0.2">
      <c r="A3940" s="2">
        <v>2026</v>
      </c>
      <c r="B3940" s="2">
        <v>5</v>
      </c>
      <c r="D3940" s="2" t="s">
        <v>1905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500"/>
        <v>0</v>
      </c>
      <c r="Z3940" s="2" t="s">
        <v>3231</v>
      </c>
      <c r="AA3940" s="2" t="s">
        <v>97</v>
      </c>
      <c r="AB3940" s="2" t="s">
        <v>77</v>
      </c>
      <c r="AC3940" s="2" t="s">
        <v>94</v>
      </c>
      <c r="AF3940" s="2">
        <f t="shared" si="498"/>
        <v>0</v>
      </c>
      <c r="AJ3940" s="2">
        <f t="shared" si="499"/>
        <v>0</v>
      </c>
      <c r="AK3940" s="2">
        <f t="shared" si="497"/>
        <v>0</v>
      </c>
      <c r="AL3940" s="5">
        <f t="shared" si="501"/>
        <v>0</v>
      </c>
    </row>
    <row r="3941" spans="1:38" hidden="1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98"/>
        <v>0</v>
      </c>
      <c r="AJ3941" s="2">
        <f t="shared" si="499"/>
        <v>0</v>
      </c>
    </row>
    <row r="3942" spans="1:38" hidden="1" x14ac:dyDescent="0.2">
      <c r="A3942" s="2">
        <v>2026</v>
      </c>
      <c r="B3942" s="2">
        <v>5</v>
      </c>
      <c r="D3942" s="2" t="s">
        <v>2965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2966</v>
      </c>
      <c r="J3942" s="2" t="s">
        <v>2967</v>
      </c>
      <c r="K3942" s="2">
        <v>966567958</v>
      </c>
      <c r="L3942" s="2" t="s">
        <v>345</v>
      </c>
      <c r="M3942" s="2" t="s">
        <v>81</v>
      </c>
      <c r="O3942" s="2" t="s">
        <v>2968</v>
      </c>
      <c r="P3942" s="2" t="s">
        <v>283</v>
      </c>
      <c r="Q3942" s="2" t="s">
        <v>1438</v>
      </c>
      <c r="R3942" s="2" t="s">
        <v>1439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502">(T3942-W3942)/T3942</f>
        <v>0.25579710144927542</v>
      </c>
      <c r="Z3942" s="2" t="s">
        <v>3231</v>
      </c>
      <c r="AA3942" s="2" t="s">
        <v>72</v>
      </c>
      <c r="AB3942" s="2" t="s">
        <v>120</v>
      </c>
      <c r="AC3942" s="2" t="s">
        <v>120</v>
      </c>
      <c r="AF3942" s="2">
        <f t="shared" si="498"/>
        <v>0</v>
      </c>
      <c r="AG3942" s="2">
        <v>5.1349999999999998</v>
      </c>
      <c r="AJ3942" s="2">
        <f t="shared" si="499"/>
        <v>0</v>
      </c>
      <c r="AK3942" s="2">
        <f t="shared" si="497"/>
        <v>17.650000000000006</v>
      </c>
      <c r="AL3942" s="5">
        <f t="shared" ref="AL3942:AL3947" si="503">(T3942-W3942)/T3942</f>
        <v>0.25579710144927542</v>
      </c>
    </row>
    <row r="3943" spans="1:38" hidden="1" x14ac:dyDescent="0.2">
      <c r="A3943" s="2">
        <v>2026</v>
      </c>
      <c r="B3943" s="2">
        <v>5</v>
      </c>
      <c r="D3943" s="2" t="s">
        <v>2965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2966</v>
      </c>
      <c r="J3943" s="2" t="s">
        <v>2967</v>
      </c>
      <c r="K3943" s="2">
        <v>966567958</v>
      </c>
      <c r="L3943" s="2" t="s">
        <v>345</v>
      </c>
      <c r="M3943" s="2" t="s">
        <v>81</v>
      </c>
      <c r="O3943" s="2" t="s">
        <v>2968</v>
      </c>
      <c r="P3943" s="2" t="s">
        <v>283</v>
      </c>
      <c r="Q3943" s="2" t="s">
        <v>1592</v>
      </c>
      <c r="R3943" s="2" t="s">
        <v>1593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502"/>
        <v>0.25579710144927542</v>
      </c>
      <c r="Z3943" s="2" t="s">
        <v>3231</v>
      </c>
      <c r="AA3943" s="2" t="s">
        <v>72</v>
      </c>
      <c r="AB3943" s="2" t="s">
        <v>120</v>
      </c>
      <c r="AC3943" s="2" t="s">
        <v>120</v>
      </c>
      <c r="AF3943" s="2">
        <f t="shared" si="498"/>
        <v>0</v>
      </c>
      <c r="AG3943" s="2">
        <v>5.1349999999999998</v>
      </c>
      <c r="AJ3943" s="2">
        <f t="shared" si="499"/>
        <v>0</v>
      </c>
      <c r="AK3943" s="2">
        <f t="shared" si="497"/>
        <v>17.650000000000006</v>
      </c>
      <c r="AL3943" s="5">
        <f t="shared" si="503"/>
        <v>0.25579710144927542</v>
      </c>
    </row>
    <row r="3944" spans="1:38" hidden="1" x14ac:dyDescent="0.2">
      <c r="A3944" s="2">
        <v>2026</v>
      </c>
      <c r="B3944" s="2">
        <v>5</v>
      </c>
      <c r="D3944" s="2" t="s">
        <v>2965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2966</v>
      </c>
      <c r="J3944" s="2" t="s">
        <v>2967</v>
      </c>
      <c r="K3944" s="2">
        <v>966567958</v>
      </c>
      <c r="L3944" s="2" t="s">
        <v>345</v>
      </c>
      <c r="M3944" s="2" t="s">
        <v>81</v>
      </c>
      <c r="O3944" s="2" t="s">
        <v>2968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502"/>
        <v>0.31428571428571428</v>
      </c>
      <c r="Z3944" s="2" t="s">
        <v>3231</v>
      </c>
      <c r="AA3944" s="2" t="s">
        <v>46</v>
      </c>
      <c r="AB3944" s="2" t="s">
        <v>47</v>
      </c>
      <c r="AC3944" s="2" t="s">
        <v>48</v>
      </c>
      <c r="AF3944" s="2">
        <f t="shared" si="498"/>
        <v>0</v>
      </c>
      <c r="AG3944" s="2">
        <v>14.4</v>
      </c>
      <c r="AH3944" s="2">
        <v>21</v>
      </c>
      <c r="AJ3944" s="2">
        <f t="shared" si="499"/>
        <v>0</v>
      </c>
      <c r="AK3944" s="2">
        <f t="shared" si="497"/>
        <v>6.6</v>
      </c>
      <c r="AL3944" s="5">
        <f t="shared" si="503"/>
        <v>0.31428571428571428</v>
      </c>
    </row>
    <row r="3945" spans="1:38" hidden="1" x14ac:dyDescent="0.2">
      <c r="A3945" s="2">
        <v>2026</v>
      </c>
      <c r="B3945" s="2">
        <v>5</v>
      </c>
      <c r="D3945" s="2" t="s">
        <v>2965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2966</v>
      </c>
      <c r="J3945" s="2" t="s">
        <v>2967</v>
      </c>
      <c r="K3945" s="2">
        <v>966567958</v>
      </c>
      <c r="L3945" s="2" t="s">
        <v>345</v>
      </c>
      <c r="M3945" s="2" t="s">
        <v>81</v>
      </c>
      <c r="O3945" s="2" t="s">
        <v>2968</v>
      </c>
      <c r="P3945" s="2" t="s">
        <v>43</v>
      </c>
      <c r="Q3945" s="2" t="s">
        <v>861</v>
      </c>
      <c r="R3945" s="2" t="s">
        <v>862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502"/>
        <v>0.61904761904761907</v>
      </c>
      <c r="Z3945" s="2" t="s">
        <v>3231</v>
      </c>
      <c r="AA3945" s="2" t="s">
        <v>46</v>
      </c>
      <c r="AB3945" s="2" t="s">
        <v>47</v>
      </c>
      <c r="AC3945" s="2" t="s">
        <v>48</v>
      </c>
      <c r="AF3945" s="2">
        <f t="shared" si="498"/>
        <v>0</v>
      </c>
      <c r="AJ3945" s="2">
        <f t="shared" si="499"/>
        <v>0</v>
      </c>
      <c r="AK3945" s="2">
        <f t="shared" si="497"/>
        <v>26</v>
      </c>
      <c r="AL3945" s="5">
        <f t="shared" si="503"/>
        <v>0.61904761904761907</v>
      </c>
    </row>
    <row r="3946" spans="1:38" hidden="1" x14ac:dyDescent="0.2">
      <c r="A3946" s="2">
        <v>2026</v>
      </c>
      <c r="B3946" s="2">
        <v>5</v>
      </c>
      <c r="D3946" s="2" t="s">
        <v>2965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2966</v>
      </c>
      <c r="J3946" s="2" t="s">
        <v>2967</v>
      </c>
      <c r="K3946" s="2">
        <v>966567958</v>
      </c>
      <c r="L3946" s="2" t="s">
        <v>345</v>
      </c>
      <c r="M3946" s="2" t="s">
        <v>81</v>
      </c>
      <c r="O3946" s="2" t="s">
        <v>2968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502"/>
        <v>0.48696666666666666</v>
      </c>
      <c r="Z3946" s="2" t="s">
        <v>3231</v>
      </c>
      <c r="AA3946" s="2" t="s">
        <v>46</v>
      </c>
      <c r="AB3946" s="2" t="s">
        <v>57</v>
      </c>
      <c r="AC3946" s="2" t="s">
        <v>58</v>
      </c>
      <c r="AF3946" s="2">
        <f t="shared" si="498"/>
        <v>0</v>
      </c>
      <c r="AG3946" s="2">
        <v>9.2346000000000004</v>
      </c>
      <c r="AJ3946" s="2">
        <f t="shared" si="499"/>
        <v>0</v>
      </c>
      <c r="AK3946" s="2">
        <f t="shared" si="497"/>
        <v>8.7653999999999996</v>
      </c>
      <c r="AL3946" s="5">
        <f t="shared" si="503"/>
        <v>0.48696666666666666</v>
      </c>
    </row>
    <row r="3947" spans="1:38" hidden="1" x14ac:dyDescent="0.2">
      <c r="A3947" s="2">
        <v>2026</v>
      </c>
      <c r="B3947" s="2">
        <v>5</v>
      </c>
      <c r="D3947" s="2" t="s">
        <v>2965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2966</v>
      </c>
      <c r="J3947" s="2" t="s">
        <v>2967</v>
      </c>
      <c r="K3947" s="2">
        <v>966567958</v>
      </c>
      <c r="L3947" s="2" t="s">
        <v>345</v>
      </c>
      <c r="M3947" s="2" t="s">
        <v>81</v>
      </c>
      <c r="O3947" s="2" t="s">
        <v>2968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502"/>
        <v>0.25454545454545452</v>
      </c>
      <c r="Z3947" s="2" t="s">
        <v>3231</v>
      </c>
      <c r="AA3947" s="2" t="s">
        <v>46</v>
      </c>
      <c r="AB3947" s="2" t="s">
        <v>61</v>
      </c>
      <c r="AC3947" s="2" t="s">
        <v>58</v>
      </c>
      <c r="AF3947" s="2">
        <f t="shared" si="498"/>
        <v>0</v>
      </c>
      <c r="AG3947" s="2">
        <v>8.1999999999999993</v>
      </c>
      <c r="AH3947" s="2">
        <v>13</v>
      </c>
      <c r="AJ3947" s="2">
        <f t="shared" si="499"/>
        <v>0</v>
      </c>
      <c r="AK3947" s="2">
        <f t="shared" si="497"/>
        <v>28</v>
      </c>
      <c r="AL3947" s="5">
        <f t="shared" si="503"/>
        <v>0.25454545454545452</v>
      </c>
    </row>
    <row r="3948" spans="1:38" hidden="1" x14ac:dyDescent="0.2">
      <c r="A3948" s="2">
        <v>2026</v>
      </c>
      <c r="B3948" s="2">
        <v>5</v>
      </c>
      <c r="D3948" s="2" t="s">
        <v>2965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2966</v>
      </c>
      <c r="J3948" s="2" t="s">
        <v>2967</v>
      </c>
      <c r="K3948" s="2">
        <v>966567958</v>
      </c>
      <c r="L3948" s="2" t="s">
        <v>345</v>
      </c>
      <c r="M3948" s="2" t="s">
        <v>81</v>
      </c>
      <c r="O3948" s="2" t="s">
        <v>2968</v>
      </c>
      <c r="P3948" s="2" t="s">
        <v>43</v>
      </c>
      <c r="Q3948" s="2" t="s">
        <v>2969</v>
      </c>
      <c r="R3948" s="2" t="s">
        <v>2970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3231</v>
      </c>
      <c r="AA3948" s="2" t="s">
        <v>46</v>
      </c>
      <c r="AB3948" s="2" t="s">
        <v>57</v>
      </c>
      <c r="AC3948" s="2" t="s">
        <v>58</v>
      </c>
      <c r="AF3948" s="2">
        <f t="shared" si="498"/>
        <v>0</v>
      </c>
      <c r="AG3948" s="2">
        <v>19.68</v>
      </c>
      <c r="AJ3948" s="2">
        <f t="shared" si="499"/>
        <v>0</v>
      </c>
      <c r="AK3948" s="2">
        <f t="shared" si="497"/>
        <v>-19.68</v>
      </c>
      <c r="AL3948" s="5">
        <f>IF(T3948=0,IF(W3948&gt;0,-100%,0%),(T3948-W3948)/T3948)</f>
        <v>-1</v>
      </c>
    </row>
    <row r="3949" spans="1:38" hidden="1" x14ac:dyDescent="0.2">
      <c r="A3949" s="2">
        <v>2026</v>
      </c>
      <c r="B3949" s="2">
        <v>5</v>
      </c>
      <c r="D3949" s="2" t="s">
        <v>2965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2966</v>
      </c>
      <c r="J3949" s="2" t="s">
        <v>2967</v>
      </c>
      <c r="K3949" s="2">
        <v>966567958</v>
      </c>
      <c r="L3949" s="2" t="s">
        <v>345</v>
      </c>
      <c r="M3949" s="2" t="s">
        <v>81</v>
      </c>
      <c r="O3949" s="2" t="s">
        <v>2968</v>
      </c>
      <c r="P3949" s="2" t="s">
        <v>43</v>
      </c>
      <c r="Q3949" s="2" t="s">
        <v>2971</v>
      </c>
      <c r="R3949" s="2" t="s">
        <v>2972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3231</v>
      </c>
      <c r="AA3949" s="2" t="s">
        <v>46</v>
      </c>
      <c r="AB3949" s="2" t="s">
        <v>57</v>
      </c>
      <c r="AC3949" s="2" t="s">
        <v>58</v>
      </c>
      <c r="AF3949" s="2">
        <f t="shared" si="498"/>
        <v>0</v>
      </c>
      <c r="AG3949" s="2">
        <v>11.525</v>
      </c>
      <c r="AJ3949" s="2">
        <f t="shared" si="499"/>
        <v>0</v>
      </c>
      <c r="AK3949" s="2">
        <f t="shared" si="497"/>
        <v>25.9</v>
      </c>
      <c r="AL3949" s="5">
        <f>(T3949-W3949)/T3949</f>
        <v>0.35972222222222222</v>
      </c>
    </row>
    <row r="3950" spans="1:38" hidden="1" x14ac:dyDescent="0.2">
      <c r="A3950" s="2">
        <v>2026</v>
      </c>
      <c r="B3950" s="2">
        <v>5</v>
      </c>
      <c r="D3950" s="2" t="s">
        <v>2242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2973</v>
      </c>
      <c r="J3950" s="2" t="s">
        <v>2974</v>
      </c>
      <c r="K3950" s="2">
        <v>939310247</v>
      </c>
      <c r="L3950" s="2" t="s">
        <v>462</v>
      </c>
      <c r="M3950" s="2" t="s">
        <v>40</v>
      </c>
      <c r="O3950" s="2" t="s">
        <v>2975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98"/>
        <v>0</v>
      </c>
      <c r="AG3950" s="2">
        <v>25.2</v>
      </c>
      <c r="AJ3950" s="2">
        <f t="shared" si="499"/>
        <v>0</v>
      </c>
      <c r="AK3950" s="2">
        <f t="shared" si="497"/>
        <v>54.269999999999996</v>
      </c>
      <c r="AL3950" s="5">
        <f>(T3950-W3950)/T3950</f>
        <v>0.68289920724801811</v>
      </c>
    </row>
    <row r="3951" spans="1:38" hidden="1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2976</v>
      </c>
      <c r="P3951" s="2" t="s">
        <v>115</v>
      </c>
      <c r="Q3951" s="2" t="s">
        <v>1582</v>
      </c>
      <c r="R3951" s="2" t="s">
        <v>1583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98"/>
        <v>0</v>
      </c>
      <c r="AG3951" s="2">
        <f>4893.23+171</f>
        <v>5064.2299999999996</v>
      </c>
      <c r="AJ3951" s="2">
        <f t="shared" si="499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hidden="1" x14ac:dyDescent="0.2">
      <c r="A3952" s="2">
        <v>2026</v>
      </c>
      <c r="B3952" s="2">
        <v>5</v>
      </c>
      <c r="C3952" s="2" t="s">
        <v>3455</v>
      </c>
      <c r="D3952" s="2" t="s">
        <v>3453</v>
      </c>
      <c r="E3952" s="2" t="s">
        <v>109</v>
      </c>
      <c r="F3952" s="2" t="s">
        <v>39</v>
      </c>
      <c r="J3952" s="2" t="s">
        <v>472</v>
      </c>
      <c r="L3952" s="2" t="s">
        <v>294</v>
      </c>
      <c r="M3952" s="2" t="s">
        <v>1174</v>
      </c>
      <c r="O3952" s="2" t="s">
        <v>2977</v>
      </c>
      <c r="P3952" s="2" t="s">
        <v>115</v>
      </c>
      <c r="Q3952" s="2" t="s">
        <v>957</v>
      </c>
      <c r="R3952" s="2" t="s">
        <v>958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504">(T3952-W3952)/T3952</f>
        <v>0.34856696878147031</v>
      </c>
      <c r="Z3952" s="2" t="s">
        <v>105</v>
      </c>
      <c r="AA3952" s="2" t="s">
        <v>617</v>
      </c>
      <c r="AB3952" s="2" t="s">
        <v>959</v>
      </c>
      <c r="AC3952" s="2" t="s">
        <v>115</v>
      </c>
      <c r="AF3952" s="2">
        <f t="shared" si="498"/>
        <v>0</v>
      </c>
      <c r="AG3952" s="2">
        <v>6468.73</v>
      </c>
      <c r="AJ3952" s="2">
        <f t="shared" si="499"/>
        <v>0</v>
      </c>
      <c r="AK3952" s="2">
        <f t="shared" ref="AK3952:AK3983" si="505">T3952-W3952</f>
        <v>3461.2700000000004</v>
      </c>
      <c r="AL3952" s="5">
        <f t="shared" ref="AL3952:AL3983" si="506">(T3952-W3952)/T3952</f>
        <v>0.34856696878147031</v>
      </c>
    </row>
    <row r="3953" spans="1:38" hidden="1" x14ac:dyDescent="0.2">
      <c r="A3953" s="2">
        <v>2026</v>
      </c>
      <c r="B3953" s="2">
        <v>5</v>
      </c>
      <c r="C3953" s="2" t="s">
        <v>3375</v>
      </c>
      <c r="D3953" s="2" t="s">
        <v>3454</v>
      </c>
      <c r="E3953" s="2" t="s">
        <v>753</v>
      </c>
      <c r="F3953" s="2" t="s">
        <v>39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134</v>
      </c>
      <c r="M3953" s="2" t="s">
        <v>110</v>
      </c>
      <c r="O3953" s="2" t="s">
        <v>2978</v>
      </c>
      <c r="P3953" s="2" t="s">
        <v>3234</v>
      </c>
      <c r="Q3953" s="2" t="s">
        <v>2979</v>
      </c>
      <c r="R3953" s="2" t="s">
        <v>2980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504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3234</v>
      </c>
      <c r="AF3953" s="2">
        <f t="shared" si="498"/>
        <v>0</v>
      </c>
      <c r="AJ3953" s="2">
        <f t="shared" si="499"/>
        <v>0</v>
      </c>
      <c r="AK3953" s="2">
        <f t="shared" si="505"/>
        <v>1163.8</v>
      </c>
      <c r="AL3953" s="5">
        <f t="shared" si="506"/>
        <v>0.47308943089430894</v>
      </c>
    </row>
    <row r="3954" spans="1:38" hidden="1" x14ac:dyDescent="0.2">
      <c r="A3954" s="2">
        <v>2026</v>
      </c>
      <c r="B3954" s="2">
        <v>5</v>
      </c>
      <c r="D3954" s="2" t="s">
        <v>2571</v>
      </c>
      <c r="P3954" s="2" t="s">
        <v>73</v>
      </c>
      <c r="Q3954" s="2" t="s">
        <v>1451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504"/>
        <v>0.46762608695652175</v>
      </c>
      <c r="Z3954" s="2" t="s">
        <v>3231</v>
      </c>
      <c r="AA3954" s="2" t="s">
        <v>76</v>
      </c>
      <c r="AB3954" s="2" t="s">
        <v>77</v>
      </c>
      <c r="AC3954" s="2" t="s">
        <v>78</v>
      </c>
      <c r="AF3954" s="2">
        <f t="shared" si="498"/>
        <v>0</v>
      </c>
      <c r="AG3954" s="2">
        <v>122.446</v>
      </c>
      <c r="AH3954" s="2">
        <v>230</v>
      </c>
      <c r="AJ3954" s="2">
        <f t="shared" si="499"/>
        <v>0</v>
      </c>
      <c r="AK3954" s="2">
        <f t="shared" si="505"/>
        <v>107.554</v>
      </c>
      <c r="AL3954" s="5">
        <f t="shared" si="506"/>
        <v>0.46762608695652175</v>
      </c>
    </row>
    <row r="3955" spans="1:38" hidden="1" x14ac:dyDescent="0.2">
      <c r="A3955" s="2">
        <v>2026</v>
      </c>
      <c r="B3955" s="2">
        <v>5</v>
      </c>
      <c r="D3955" s="2" t="s">
        <v>2571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504"/>
        <v>0</v>
      </c>
      <c r="Z3955" s="2" t="s">
        <v>3231</v>
      </c>
      <c r="AA3955" s="2" t="s">
        <v>97</v>
      </c>
      <c r="AB3955" s="2" t="s">
        <v>77</v>
      </c>
      <c r="AC3955" s="2" t="s">
        <v>94</v>
      </c>
      <c r="AF3955" s="2">
        <f t="shared" si="498"/>
        <v>0</v>
      </c>
      <c r="AJ3955" s="2">
        <f t="shared" si="499"/>
        <v>0</v>
      </c>
      <c r="AK3955" s="2">
        <f t="shared" si="505"/>
        <v>0</v>
      </c>
      <c r="AL3955" s="5">
        <f t="shared" si="506"/>
        <v>0</v>
      </c>
    </row>
    <row r="3956" spans="1:38" hidden="1" x14ac:dyDescent="0.2">
      <c r="A3956" s="2">
        <v>2026</v>
      </c>
      <c r="B3956" s="2">
        <v>5</v>
      </c>
      <c r="D3956" s="2" t="s">
        <v>845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846</v>
      </c>
      <c r="L3956" s="2" t="s">
        <v>419</v>
      </c>
      <c r="M3956" s="2" t="s">
        <v>41</v>
      </c>
      <c r="O3956" s="2" t="s">
        <v>2981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504"/>
        <v>0.44777500000000003</v>
      </c>
      <c r="Z3956" s="2" t="s">
        <v>3231</v>
      </c>
      <c r="AA3956" s="2" t="s">
        <v>46</v>
      </c>
      <c r="AB3956" s="2" t="s">
        <v>47</v>
      </c>
      <c r="AC3956" s="2" t="s">
        <v>48</v>
      </c>
      <c r="AF3956" s="2">
        <f t="shared" si="498"/>
        <v>0</v>
      </c>
      <c r="AG3956" s="2">
        <v>6.6266999999999996</v>
      </c>
      <c r="AH3956" s="2">
        <v>12</v>
      </c>
      <c r="AJ3956" s="2">
        <f t="shared" si="499"/>
        <v>0</v>
      </c>
      <c r="AK3956" s="2">
        <f t="shared" si="505"/>
        <v>5.3733000000000004</v>
      </c>
      <c r="AL3956" s="5">
        <f t="shared" si="506"/>
        <v>0.44777500000000003</v>
      </c>
    </row>
    <row r="3957" spans="1:38" hidden="1" x14ac:dyDescent="0.2">
      <c r="A3957" s="2">
        <v>2026</v>
      </c>
      <c r="B3957" s="2">
        <v>5</v>
      </c>
      <c r="D3957" s="2" t="s">
        <v>845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846</v>
      </c>
      <c r="L3957" s="2" t="s">
        <v>419</v>
      </c>
      <c r="M3957" s="2" t="s">
        <v>41</v>
      </c>
      <c r="O3957" s="2" t="s">
        <v>2981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504"/>
        <v>0.41111111111111115</v>
      </c>
      <c r="Z3957" s="2" t="s">
        <v>3231</v>
      </c>
      <c r="AA3957" s="2" t="s">
        <v>46</v>
      </c>
      <c r="AB3957" s="2" t="s">
        <v>57</v>
      </c>
      <c r="AC3957" s="2" t="s">
        <v>58</v>
      </c>
      <c r="AF3957" s="2">
        <f t="shared" si="498"/>
        <v>0</v>
      </c>
      <c r="AG3957" s="2">
        <v>10.6</v>
      </c>
      <c r="AH3957" s="2">
        <v>18</v>
      </c>
      <c r="AJ3957" s="2">
        <f t="shared" si="499"/>
        <v>0</v>
      </c>
      <c r="AK3957" s="2">
        <f t="shared" si="505"/>
        <v>14.8</v>
      </c>
      <c r="AL3957" s="5">
        <f t="shared" si="506"/>
        <v>0.41111111111111115</v>
      </c>
    </row>
    <row r="3958" spans="1:38" hidden="1" x14ac:dyDescent="0.2">
      <c r="A3958" s="2">
        <v>2026</v>
      </c>
      <c r="B3958" s="2">
        <v>5</v>
      </c>
      <c r="C3958" s="2" t="s">
        <v>3375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2982</v>
      </c>
      <c r="P3958" s="2" t="s">
        <v>115</v>
      </c>
      <c r="Q3958" s="2" t="s">
        <v>1385</v>
      </c>
      <c r="R3958" s="2" t="s">
        <v>1386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504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98"/>
        <v>0</v>
      </c>
      <c r="AG3958" s="2">
        <v>71.381</v>
      </c>
      <c r="AJ3958" s="2">
        <f t="shared" si="499"/>
        <v>0</v>
      </c>
      <c r="AK3958" s="2">
        <f t="shared" si="505"/>
        <v>81.028999999999996</v>
      </c>
      <c r="AL3958" s="5">
        <f t="shared" si="506"/>
        <v>0.53165146643921002</v>
      </c>
    </row>
    <row r="3959" spans="1:38" hidden="1" x14ac:dyDescent="0.2">
      <c r="A3959" s="2">
        <v>2026</v>
      </c>
      <c r="B3959" s="2">
        <v>5</v>
      </c>
      <c r="C3959" s="2" t="s">
        <v>3375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2982</v>
      </c>
      <c r="P3959" s="2" t="s">
        <v>115</v>
      </c>
      <c r="Q3959" s="2" t="s">
        <v>736</v>
      </c>
      <c r="R3959" s="2" t="s">
        <v>737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504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98"/>
        <v>0</v>
      </c>
      <c r="AG3959" s="2">
        <f>9.75+0.63</f>
        <v>10.38</v>
      </c>
      <c r="AJ3959" s="2">
        <f t="shared" si="499"/>
        <v>0</v>
      </c>
      <c r="AK3959" s="2">
        <f t="shared" si="505"/>
        <v>22.23</v>
      </c>
      <c r="AL3959" s="5">
        <f t="shared" si="506"/>
        <v>0.51709699930216324</v>
      </c>
    </row>
    <row r="3960" spans="1:38" hidden="1" x14ac:dyDescent="0.2">
      <c r="A3960" s="2">
        <v>2026</v>
      </c>
      <c r="B3960" s="2">
        <v>5</v>
      </c>
      <c r="D3960" s="2" t="s">
        <v>1257</v>
      </c>
      <c r="P3960" s="2" t="s">
        <v>73</v>
      </c>
      <c r="Q3960" s="2" t="s">
        <v>1451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504"/>
        <v>0.46762608695652175</v>
      </c>
      <c r="Z3960" s="2" t="s">
        <v>3231</v>
      </c>
      <c r="AA3960" s="2" t="s">
        <v>76</v>
      </c>
      <c r="AB3960" s="2" t="s">
        <v>77</v>
      </c>
      <c r="AC3960" s="2" t="s">
        <v>78</v>
      </c>
      <c r="AF3960" s="2">
        <f t="shared" si="498"/>
        <v>0</v>
      </c>
      <c r="AG3960" s="2">
        <v>122.446</v>
      </c>
      <c r="AH3960" s="2">
        <v>230</v>
      </c>
      <c r="AJ3960" s="2">
        <f t="shared" si="499"/>
        <v>0</v>
      </c>
      <c r="AK3960" s="2">
        <f t="shared" si="505"/>
        <v>107.554</v>
      </c>
      <c r="AL3960" s="5">
        <f t="shared" si="506"/>
        <v>0.46762608695652175</v>
      </c>
    </row>
    <row r="3961" spans="1:38" hidden="1" x14ac:dyDescent="0.2">
      <c r="A3961" s="2">
        <v>2026</v>
      </c>
      <c r="B3961" s="2">
        <v>5</v>
      </c>
      <c r="D3961" s="2" t="s">
        <v>1257</v>
      </c>
      <c r="P3961" s="2" t="s">
        <v>1040</v>
      </c>
      <c r="Q3961" s="2" t="s">
        <v>2983</v>
      </c>
      <c r="R3961" s="2" t="s">
        <v>2984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504"/>
        <v>0.41537037037037039</v>
      </c>
      <c r="Z3961" s="2" t="s">
        <v>3231</v>
      </c>
      <c r="AA3961" s="2" t="s">
        <v>76</v>
      </c>
      <c r="AB3961" s="2" t="s">
        <v>77</v>
      </c>
      <c r="AC3961" s="2" t="s">
        <v>1040</v>
      </c>
      <c r="AF3961" s="2">
        <f t="shared" si="498"/>
        <v>0</v>
      </c>
      <c r="AJ3961" s="2">
        <f t="shared" si="499"/>
        <v>0</v>
      </c>
      <c r="AK3961" s="2">
        <f t="shared" si="505"/>
        <v>112.15</v>
      </c>
      <c r="AL3961" s="5">
        <f t="shared" si="506"/>
        <v>0.41537037037037039</v>
      </c>
    </row>
    <row r="3962" spans="1:38" hidden="1" x14ac:dyDescent="0.2">
      <c r="A3962" s="2">
        <v>2026</v>
      </c>
      <c r="B3962" s="2">
        <v>5</v>
      </c>
      <c r="D3962" s="2" t="s">
        <v>1257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504"/>
        <v>0</v>
      </c>
      <c r="Z3962" s="2" t="s">
        <v>3231</v>
      </c>
      <c r="AA3962" s="2" t="s">
        <v>97</v>
      </c>
      <c r="AB3962" s="2" t="s">
        <v>77</v>
      </c>
      <c r="AC3962" s="2" t="s">
        <v>94</v>
      </c>
      <c r="AF3962" s="2">
        <f t="shared" si="498"/>
        <v>0</v>
      </c>
      <c r="AJ3962" s="2">
        <f t="shared" si="499"/>
        <v>0</v>
      </c>
      <c r="AK3962" s="2">
        <f t="shared" si="505"/>
        <v>0</v>
      </c>
      <c r="AL3962" s="5">
        <f t="shared" si="506"/>
        <v>0</v>
      </c>
    </row>
    <row r="3963" spans="1:38" hidden="1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2985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504"/>
        <v>1</v>
      </c>
      <c r="Z3963" s="2" t="s">
        <v>120</v>
      </c>
      <c r="AA3963" s="2" t="s">
        <v>493</v>
      </c>
      <c r="AF3963" s="2">
        <f t="shared" si="498"/>
        <v>0</v>
      </c>
      <c r="AJ3963" s="2">
        <f t="shared" si="499"/>
        <v>0</v>
      </c>
      <c r="AK3963" s="2">
        <f t="shared" si="505"/>
        <v>1357.82</v>
      </c>
      <c r="AL3963" s="5">
        <f t="shared" si="506"/>
        <v>1</v>
      </c>
    </row>
    <row r="3964" spans="1:38" hidden="1" x14ac:dyDescent="0.2">
      <c r="A3964" s="2">
        <v>2026</v>
      </c>
      <c r="B3964" s="2">
        <v>5</v>
      </c>
      <c r="D3964" s="2" t="s">
        <v>2986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2987</v>
      </c>
      <c r="J3964" s="2" t="s">
        <v>1104</v>
      </c>
      <c r="K3964" s="2">
        <v>934645042</v>
      </c>
      <c r="L3964" s="2" t="s">
        <v>100</v>
      </c>
      <c r="M3964" s="2" t="s">
        <v>40</v>
      </c>
      <c r="O3964" s="2" t="s">
        <v>2988</v>
      </c>
      <c r="P3964" s="2" t="s">
        <v>115</v>
      </c>
      <c r="Q3964" s="2" t="s">
        <v>792</v>
      </c>
      <c r="R3964" s="2" t="s">
        <v>793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504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98"/>
        <v>0</v>
      </c>
      <c r="AG3964" s="2">
        <f>88.6+1.81</f>
        <v>90.41</v>
      </c>
      <c r="AJ3964" s="2">
        <f t="shared" si="499"/>
        <v>0</v>
      </c>
      <c r="AK3964" s="2">
        <f t="shared" si="505"/>
        <v>97.509999999999991</v>
      </c>
      <c r="AL3964" s="5">
        <f t="shared" si="506"/>
        <v>0.51889101745423583</v>
      </c>
    </row>
    <row r="3965" spans="1:38" hidden="1" x14ac:dyDescent="0.2">
      <c r="A3965" s="2">
        <v>2026</v>
      </c>
      <c r="B3965" s="2">
        <v>5</v>
      </c>
      <c r="D3965" s="2" t="s">
        <v>2986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2987</v>
      </c>
      <c r="J3965" s="2" t="s">
        <v>1104</v>
      </c>
      <c r="K3965" s="2">
        <v>934645042</v>
      </c>
      <c r="L3965" s="2" t="s">
        <v>100</v>
      </c>
      <c r="M3965" s="2" t="s">
        <v>40</v>
      </c>
      <c r="O3965" s="2" t="s">
        <v>2988</v>
      </c>
      <c r="P3965" s="2" t="s">
        <v>115</v>
      </c>
      <c r="Q3965" s="2" t="s">
        <v>796</v>
      </c>
      <c r="R3965" s="2" t="s">
        <v>2989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504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98"/>
        <v>0</v>
      </c>
      <c r="AG3965" s="2">
        <f>12.87+0.3</f>
        <v>13.17</v>
      </c>
      <c r="AJ3965" s="2">
        <f t="shared" si="499"/>
        <v>0</v>
      </c>
      <c r="AK3965" s="2">
        <f t="shared" si="505"/>
        <v>15.209999999999999</v>
      </c>
      <c r="AL3965" s="5">
        <f t="shared" si="506"/>
        <v>0.53594080338266381</v>
      </c>
    </row>
    <row r="3966" spans="1:38" hidden="1" x14ac:dyDescent="0.2">
      <c r="A3966" s="2">
        <v>2026</v>
      </c>
      <c r="B3966" s="2">
        <v>5</v>
      </c>
      <c r="D3966" s="2" t="s">
        <v>2986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2987</v>
      </c>
      <c r="J3966" s="2" t="s">
        <v>1104</v>
      </c>
      <c r="K3966" s="2">
        <v>934645042</v>
      </c>
      <c r="L3966" s="2" t="s">
        <v>100</v>
      </c>
      <c r="M3966" s="2" t="s">
        <v>40</v>
      </c>
      <c r="O3966" s="2" t="s">
        <v>2988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504"/>
        <v>0.6</v>
      </c>
      <c r="Z3966" s="2" t="s">
        <v>118</v>
      </c>
      <c r="AA3966" s="2" t="s">
        <v>191</v>
      </c>
      <c r="AB3966" s="2" t="s">
        <v>190</v>
      </c>
      <c r="AC3966" s="2" t="s">
        <v>40</v>
      </c>
      <c r="AF3966" s="2">
        <f t="shared" si="498"/>
        <v>0</v>
      </c>
      <c r="AG3966" s="2">
        <f>W3966</f>
        <v>37.6</v>
      </c>
      <c r="AJ3966" s="2">
        <f t="shared" si="499"/>
        <v>0</v>
      </c>
      <c r="AK3966" s="2">
        <f t="shared" si="505"/>
        <v>56.4</v>
      </c>
      <c r="AL3966" s="5">
        <f t="shared" si="506"/>
        <v>0.6</v>
      </c>
    </row>
    <row r="3967" spans="1:38" hidden="1" x14ac:dyDescent="0.2">
      <c r="A3967" s="2">
        <v>2026</v>
      </c>
      <c r="B3967" s="2">
        <v>5</v>
      </c>
      <c r="D3967" s="2" t="s">
        <v>2986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2987</v>
      </c>
      <c r="J3967" s="2" t="s">
        <v>1104</v>
      </c>
      <c r="K3967" s="2">
        <v>934645042</v>
      </c>
      <c r="L3967" s="2" t="s">
        <v>100</v>
      </c>
      <c r="M3967" s="2" t="s">
        <v>40</v>
      </c>
      <c r="O3967" s="2" t="s">
        <v>2988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504"/>
        <v>0.5</v>
      </c>
      <c r="Z3967" s="2" t="s">
        <v>118</v>
      </c>
      <c r="AA3967" s="2" t="s">
        <v>191</v>
      </c>
      <c r="AB3967" s="2" t="s">
        <v>191</v>
      </c>
      <c r="AC3967" s="2" t="s">
        <v>40</v>
      </c>
      <c r="AF3967" s="2">
        <f t="shared" si="498"/>
        <v>0</v>
      </c>
      <c r="AG3967" s="2">
        <f>W3967</f>
        <v>27.5</v>
      </c>
      <c r="AJ3967" s="2">
        <f t="shared" si="499"/>
        <v>0</v>
      </c>
      <c r="AK3967" s="2">
        <f t="shared" si="505"/>
        <v>27.5</v>
      </c>
      <c r="AL3967" s="5">
        <f t="shared" si="506"/>
        <v>0.5</v>
      </c>
    </row>
    <row r="3968" spans="1:38" hidden="1" x14ac:dyDescent="0.2">
      <c r="A3968" s="2">
        <v>2026</v>
      </c>
      <c r="B3968" s="2">
        <v>5</v>
      </c>
      <c r="D3968" s="2" t="s">
        <v>2986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2987</v>
      </c>
      <c r="J3968" s="2" t="s">
        <v>1104</v>
      </c>
      <c r="K3968" s="2">
        <v>934645042</v>
      </c>
      <c r="L3968" s="2" t="s">
        <v>100</v>
      </c>
      <c r="M3968" s="2" t="s">
        <v>40</v>
      </c>
      <c r="O3968" s="2" t="s">
        <v>2988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504"/>
        <v>1</v>
      </c>
      <c r="Z3968" s="2" t="s">
        <v>118</v>
      </c>
      <c r="AA3968" s="2" t="s">
        <v>1312</v>
      </c>
      <c r="AF3968" s="2">
        <f t="shared" si="498"/>
        <v>0</v>
      </c>
      <c r="AJ3968" s="2">
        <f t="shared" si="499"/>
        <v>0</v>
      </c>
      <c r="AK3968" s="2">
        <f t="shared" si="505"/>
        <v>87.5</v>
      </c>
      <c r="AL3968" s="5">
        <f t="shared" si="506"/>
        <v>1</v>
      </c>
    </row>
    <row r="3969" spans="1:38" hidden="1" x14ac:dyDescent="0.2">
      <c r="A3969" s="2">
        <v>2026</v>
      </c>
      <c r="B3969" s="2">
        <v>5</v>
      </c>
      <c r="D3969" s="2" t="s">
        <v>1055</v>
      </c>
      <c r="E3969" s="2" t="s">
        <v>184</v>
      </c>
      <c r="F3969" s="2" t="s">
        <v>1056</v>
      </c>
      <c r="G3969" s="2">
        <v>500199523</v>
      </c>
      <c r="H3969" s="2" t="s">
        <v>291</v>
      </c>
      <c r="I3969" s="2" t="s">
        <v>294</v>
      </c>
      <c r="J3969" s="2" t="s">
        <v>1057</v>
      </c>
      <c r="L3969" s="2" t="s">
        <v>294</v>
      </c>
      <c r="M3969" s="2" t="s">
        <v>81</v>
      </c>
      <c r="O3969" s="2" t="s">
        <v>2990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504"/>
        <v>0.4729523809523809</v>
      </c>
      <c r="Z3969" s="2" t="s">
        <v>3231</v>
      </c>
      <c r="AA3969" s="2" t="s">
        <v>76</v>
      </c>
      <c r="AB3969" s="2" t="s">
        <v>77</v>
      </c>
      <c r="AC3969" s="2" t="s">
        <v>78</v>
      </c>
      <c r="AF3969" s="2">
        <f t="shared" si="498"/>
        <v>0</v>
      </c>
      <c r="AG3969" s="2">
        <v>110.68</v>
      </c>
      <c r="AH3969" s="2">
        <v>210</v>
      </c>
      <c r="AJ3969" s="2">
        <f t="shared" si="499"/>
        <v>0</v>
      </c>
      <c r="AK3969" s="2">
        <f t="shared" si="505"/>
        <v>198.64</v>
      </c>
      <c r="AL3969" s="5">
        <f t="shared" si="506"/>
        <v>0.4729523809523809</v>
      </c>
    </row>
    <row r="3970" spans="1:38" hidden="1" x14ac:dyDescent="0.2">
      <c r="A3970" s="2">
        <v>2026</v>
      </c>
      <c r="B3970" s="2">
        <v>5</v>
      </c>
      <c r="D3970" s="2" t="s">
        <v>1055</v>
      </c>
      <c r="E3970" s="2" t="s">
        <v>184</v>
      </c>
      <c r="F3970" s="2" t="s">
        <v>1056</v>
      </c>
      <c r="G3970" s="2">
        <v>500199523</v>
      </c>
      <c r="H3970" s="2" t="s">
        <v>291</v>
      </c>
      <c r="I3970" s="2" t="s">
        <v>294</v>
      </c>
      <c r="J3970" s="2" t="s">
        <v>1057</v>
      </c>
      <c r="L3970" s="2" t="s">
        <v>294</v>
      </c>
      <c r="M3970" s="2" t="s">
        <v>81</v>
      </c>
      <c r="O3970" s="2" t="s">
        <v>2990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504"/>
        <v>0</v>
      </c>
      <c r="Z3970" s="2" t="s">
        <v>3231</v>
      </c>
      <c r="AA3970" s="2" t="s">
        <v>97</v>
      </c>
      <c r="AB3970" s="2" t="s">
        <v>77</v>
      </c>
      <c r="AC3970" s="2" t="s">
        <v>94</v>
      </c>
      <c r="AF3970" s="2">
        <f t="shared" si="498"/>
        <v>0</v>
      </c>
      <c r="AJ3970" s="2">
        <f t="shared" si="499"/>
        <v>0</v>
      </c>
      <c r="AK3970" s="2">
        <f t="shared" si="505"/>
        <v>0</v>
      </c>
      <c r="AL3970" s="5">
        <f t="shared" si="506"/>
        <v>0</v>
      </c>
    </row>
    <row r="3971" spans="1:38" hidden="1" x14ac:dyDescent="0.2">
      <c r="A3971" s="2">
        <v>2026</v>
      </c>
      <c r="B3971" s="2">
        <v>5</v>
      </c>
      <c r="D3971" s="2" t="s">
        <v>2991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3231</v>
      </c>
      <c r="AA3971" s="2" t="s">
        <v>76</v>
      </c>
      <c r="AB3971" s="2" t="s">
        <v>77</v>
      </c>
      <c r="AC3971" s="2" t="s">
        <v>78</v>
      </c>
      <c r="AF3971" s="2">
        <f t="shared" ref="AF3971:AF4034" si="507">AJ3971</f>
        <v>0</v>
      </c>
      <c r="AG3971" s="2">
        <v>125.51600000000001</v>
      </c>
      <c r="AH3971" s="2">
        <v>220</v>
      </c>
      <c r="AJ3971" s="2">
        <f t="shared" ref="AJ3971:AJ4034" si="508">AI3971*T3971</f>
        <v>0</v>
      </c>
      <c r="AK3971" s="2">
        <f t="shared" si="505"/>
        <v>94.483999999999995</v>
      </c>
      <c r="AL3971" s="5">
        <f t="shared" si="506"/>
        <v>0.42947272727272723</v>
      </c>
    </row>
    <row r="3972" spans="1:38" hidden="1" x14ac:dyDescent="0.2">
      <c r="A3972" s="2">
        <v>2026</v>
      </c>
      <c r="B3972" s="2">
        <v>5</v>
      </c>
      <c r="D3972" s="2" t="s">
        <v>2991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09">(T3972-W3972)/T3972</f>
        <v>0</v>
      </c>
      <c r="Z3972" s="2" t="s">
        <v>3231</v>
      </c>
      <c r="AA3972" s="2" t="s">
        <v>97</v>
      </c>
      <c r="AB3972" s="2" t="s">
        <v>77</v>
      </c>
      <c r="AC3972" s="2" t="s">
        <v>94</v>
      </c>
      <c r="AF3972" s="2">
        <f t="shared" si="507"/>
        <v>0</v>
      </c>
      <c r="AJ3972" s="2">
        <f t="shared" si="508"/>
        <v>0</v>
      </c>
      <c r="AK3972" s="2">
        <f t="shared" si="505"/>
        <v>0</v>
      </c>
      <c r="AL3972" s="5">
        <f t="shared" si="506"/>
        <v>0</v>
      </c>
    </row>
    <row r="3973" spans="1:38" hidden="1" x14ac:dyDescent="0.2">
      <c r="A3973" s="2">
        <v>2026</v>
      </c>
      <c r="B3973" s="2">
        <v>5</v>
      </c>
      <c r="D3973" s="2" t="s">
        <v>2992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09"/>
        <v>0.44659999999999994</v>
      </c>
      <c r="Z3973" s="2" t="s">
        <v>3231</v>
      </c>
      <c r="AA3973" s="2" t="s">
        <v>76</v>
      </c>
      <c r="AB3973" s="2" t="s">
        <v>77</v>
      </c>
      <c r="AC3973" s="2" t="s">
        <v>78</v>
      </c>
      <c r="AF3973" s="2">
        <f t="shared" si="507"/>
        <v>0</v>
      </c>
      <c r="AG3973" s="2">
        <v>110.68</v>
      </c>
      <c r="AH3973" s="2">
        <v>210</v>
      </c>
      <c r="AJ3973" s="2">
        <f t="shared" si="508"/>
        <v>0</v>
      </c>
      <c r="AK3973" s="2">
        <f t="shared" si="505"/>
        <v>89.32</v>
      </c>
      <c r="AL3973" s="5">
        <f t="shared" si="506"/>
        <v>0.44659999999999994</v>
      </c>
    </row>
    <row r="3974" spans="1:38" hidden="1" x14ac:dyDescent="0.2">
      <c r="A3974" s="2">
        <v>2026</v>
      </c>
      <c r="B3974" s="2">
        <v>5</v>
      </c>
      <c r="D3974" s="2" t="s">
        <v>2992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09"/>
        <v>0</v>
      </c>
      <c r="Z3974" s="2" t="s">
        <v>3231</v>
      </c>
      <c r="AA3974" s="2" t="s">
        <v>97</v>
      </c>
      <c r="AB3974" s="2" t="s">
        <v>77</v>
      </c>
      <c r="AC3974" s="2" t="s">
        <v>94</v>
      </c>
      <c r="AF3974" s="2">
        <f t="shared" si="507"/>
        <v>0</v>
      </c>
      <c r="AJ3974" s="2">
        <f t="shared" si="508"/>
        <v>0</v>
      </c>
      <c r="AK3974" s="2">
        <f t="shared" si="505"/>
        <v>0</v>
      </c>
      <c r="AL3974" s="5">
        <f t="shared" si="506"/>
        <v>0</v>
      </c>
    </row>
    <row r="3975" spans="1:38" hidden="1" x14ac:dyDescent="0.2">
      <c r="A3975" s="2">
        <v>2026</v>
      </c>
      <c r="B3975" s="2">
        <v>5</v>
      </c>
      <c r="D3975" s="2" t="s">
        <v>1597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1598</v>
      </c>
      <c r="J3975" s="2" t="s">
        <v>1599</v>
      </c>
      <c r="L3975" s="2" t="s">
        <v>202</v>
      </c>
      <c r="M3975" s="2" t="s">
        <v>81</v>
      </c>
      <c r="O3975" s="2" t="s">
        <v>2993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09"/>
        <v>0.37426086956521742</v>
      </c>
      <c r="Z3975" s="2" t="s">
        <v>3231</v>
      </c>
      <c r="AA3975" s="2" t="s">
        <v>76</v>
      </c>
      <c r="AB3975" s="2" t="s">
        <v>77</v>
      </c>
      <c r="AC3975" s="2" t="s">
        <v>78</v>
      </c>
      <c r="AF3975" s="2">
        <f t="shared" si="507"/>
        <v>0</v>
      </c>
      <c r="AG3975" s="2">
        <v>143.91999999999999</v>
      </c>
      <c r="AJ3975" s="2">
        <f t="shared" si="508"/>
        <v>0</v>
      </c>
      <c r="AK3975" s="2">
        <f t="shared" si="505"/>
        <v>86.080000000000013</v>
      </c>
      <c r="AL3975" s="5">
        <f t="shared" si="506"/>
        <v>0.37426086956521742</v>
      </c>
    </row>
    <row r="3976" spans="1:38" hidden="1" x14ac:dyDescent="0.2">
      <c r="A3976" s="2">
        <v>2026</v>
      </c>
      <c r="B3976" s="2">
        <v>5</v>
      </c>
      <c r="D3976" s="2" t="s">
        <v>1597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1598</v>
      </c>
      <c r="J3976" s="2" t="s">
        <v>1599</v>
      </c>
      <c r="L3976" s="2" t="s">
        <v>202</v>
      </c>
      <c r="M3976" s="2" t="s">
        <v>81</v>
      </c>
      <c r="O3976" s="2" t="s">
        <v>2993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09"/>
        <v>0</v>
      </c>
      <c r="Z3976" s="2" t="s">
        <v>3231</v>
      </c>
      <c r="AA3976" s="2" t="s">
        <v>97</v>
      </c>
      <c r="AB3976" s="2" t="s">
        <v>77</v>
      </c>
      <c r="AC3976" s="2" t="s">
        <v>94</v>
      </c>
      <c r="AF3976" s="2">
        <f t="shared" si="507"/>
        <v>0</v>
      </c>
      <c r="AG3976" s="2">
        <v>1.48</v>
      </c>
      <c r="AH3976" s="2">
        <v>1.48</v>
      </c>
      <c r="AJ3976" s="2">
        <f t="shared" si="508"/>
        <v>0</v>
      </c>
      <c r="AK3976" s="2">
        <f t="shared" si="505"/>
        <v>0</v>
      </c>
      <c r="AL3976" s="5">
        <f t="shared" si="506"/>
        <v>0</v>
      </c>
    </row>
    <row r="3977" spans="1:38" hidden="1" x14ac:dyDescent="0.2">
      <c r="A3977" s="2">
        <v>2026</v>
      </c>
      <c r="B3977" s="2">
        <v>5</v>
      </c>
      <c r="D3977" s="2" t="s">
        <v>1723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3238</v>
      </c>
      <c r="J3977" s="2" t="s">
        <v>3239</v>
      </c>
      <c r="L3977" s="2" t="s">
        <v>572</v>
      </c>
      <c r="M3977" s="2" t="s">
        <v>81</v>
      </c>
      <c r="O3977" s="2" t="s">
        <v>3241</v>
      </c>
      <c r="P3977" s="2" t="s">
        <v>73</v>
      </c>
      <c r="Q3977" s="2" t="s">
        <v>2418</v>
      </c>
      <c r="R3977" s="2" t="s">
        <v>2419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09"/>
        <v>0.53546153846153843</v>
      </c>
      <c r="Z3977" s="2" t="s">
        <v>3231</v>
      </c>
      <c r="AA3977" s="2" t="s">
        <v>76</v>
      </c>
      <c r="AB3977" s="2" t="s">
        <v>77</v>
      </c>
      <c r="AC3977" s="2" t="s">
        <v>78</v>
      </c>
      <c r="AF3977" s="2">
        <f t="shared" si="507"/>
        <v>0</v>
      </c>
      <c r="AG3977" s="2">
        <v>120.78</v>
      </c>
      <c r="AH3977" s="2">
        <v>210</v>
      </c>
      <c r="AJ3977" s="2">
        <f t="shared" si="508"/>
        <v>0</v>
      </c>
      <c r="AK3977" s="2">
        <f t="shared" si="505"/>
        <v>139.22</v>
      </c>
      <c r="AL3977" s="5">
        <f t="shared" si="506"/>
        <v>0.53546153846153843</v>
      </c>
    </row>
    <row r="3978" spans="1:38" hidden="1" x14ac:dyDescent="0.2">
      <c r="A3978" s="2">
        <v>2026</v>
      </c>
      <c r="B3978" s="2">
        <v>5</v>
      </c>
      <c r="D3978" s="2" t="s">
        <v>1723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3238</v>
      </c>
      <c r="J3978" s="2" t="s">
        <v>3239</v>
      </c>
      <c r="L3978" s="2" t="s">
        <v>572</v>
      </c>
      <c r="M3978" s="2" t="s">
        <v>81</v>
      </c>
      <c r="O3978" s="2" t="s">
        <v>3241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09"/>
        <v>0</v>
      </c>
      <c r="Z3978" s="2" t="s">
        <v>3231</v>
      </c>
      <c r="AA3978" s="2" t="s">
        <v>97</v>
      </c>
      <c r="AB3978" s="2" t="s">
        <v>77</v>
      </c>
      <c r="AC3978" s="2" t="s">
        <v>94</v>
      </c>
      <c r="AF3978" s="2">
        <f t="shared" si="507"/>
        <v>0</v>
      </c>
      <c r="AJ3978" s="2">
        <f t="shared" si="508"/>
        <v>0</v>
      </c>
      <c r="AK3978" s="2">
        <f t="shared" si="505"/>
        <v>0</v>
      </c>
      <c r="AL3978" s="5">
        <f t="shared" si="506"/>
        <v>0</v>
      </c>
    </row>
    <row r="3979" spans="1:38" hidden="1" x14ac:dyDescent="0.2">
      <c r="A3979" s="2">
        <v>2026</v>
      </c>
      <c r="B3979" s="2">
        <v>5</v>
      </c>
      <c r="D3979" s="2" t="s">
        <v>875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09"/>
        <v>0.6</v>
      </c>
      <c r="Z3979" s="2" t="s">
        <v>118</v>
      </c>
      <c r="AA3979" s="2" t="s">
        <v>191</v>
      </c>
      <c r="AB3979" s="2" t="s">
        <v>190</v>
      </c>
      <c r="AC3979" s="2" t="s">
        <v>40</v>
      </c>
      <c r="AF3979" s="2">
        <f t="shared" si="507"/>
        <v>0</v>
      </c>
      <c r="AG3979" s="2">
        <f>W3979</f>
        <v>24</v>
      </c>
      <c r="AJ3979" s="2">
        <f t="shared" si="508"/>
        <v>0</v>
      </c>
      <c r="AK3979" s="2">
        <f t="shared" si="505"/>
        <v>36</v>
      </c>
      <c r="AL3979" s="5">
        <f t="shared" si="506"/>
        <v>0.6</v>
      </c>
    </row>
    <row r="3980" spans="1:38" hidden="1" x14ac:dyDescent="0.2">
      <c r="A3980" s="2">
        <v>2026</v>
      </c>
      <c r="B3980" s="2">
        <v>5</v>
      </c>
      <c r="D3980" s="2" t="s">
        <v>875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09"/>
        <v>0.5</v>
      </c>
      <c r="Z3980" s="2" t="s">
        <v>118</v>
      </c>
      <c r="AA3980" s="2" t="s">
        <v>191</v>
      </c>
      <c r="AB3980" s="2" t="s">
        <v>191</v>
      </c>
      <c r="AC3980" s="2" t="s">
        <v>40</v>
      </c>
      <c r="AF3980" s="2">
        <f t="shared" si="507"/>
        <v>0</v>
      </c>
      <c r="AG3980" s="2">
        <f>W3980</f>
        <v>27.5</v>
      </c>
      <c r="AJ3980" s="2">
        <f t="shared" si="508"/>
        <v>0</v>
      </c>
      <c r="AK3980" s="2">
        <f t="shared" si="505"/>
        <v>27.5</v>
      </c>
      <c r="AL3980" s="5">
        <f t="shared" si="506"/>
        <v>0.5</v>
      </c>
    </row>
    <row r="3981" spans="1:38" hidden="1" x14ac:dyDescent="0.2">
      <c r="A3981" s="2">
        <v>2026</v>
      </c>
      <c r="B3981" s="2">
        <v>5</v>
      </c>
      <c r="D3981" s="2" t="s">
        <v>2053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2783</v>
      </c>
      <c r="J3981" s="2" t="s">
        <v>2824</v>
      </c>
      <c r="K3981" s="2">
        <v>914732950</v>
      </c>
      <c r="L3981" s="2" t="s">
        <v>481</v>
      </c>
      <c r="M3981" s="2" t="s">
        <v>40</v>
      </c>
      <c r="O3981" s="2" t="s">
        <v>2994</v>
      </c>
      <c r="P3981" s="2" t="s">
        <v>1608</v>
      </c>
      <c r="Q3981" s="2" t="s">
        <v>1606</v>
      </c>
      <c r="R3981" s="2" t="s">
        <v>1607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1608</v>
      </c>
      <c r="AF3981" s="2">
        <f t="shared" si="507"/>
        <v>0</v>
      </c>
      <c r="AG3981" s="2">
        <v>10.15</v>
      </c>
      <c r="AJ3981" s="2">
        <f t="shared" si="508"/>
        <v>0</v>
      </c>
      <c r="AK3981" s="2">
        <f t="shared" si="505"/>
        <v>-68.86</v>
      </c>
      <c r="AL3981" s="5">
        <f t="shared" si="506"/>
        <v>1</v>
      </c>
    </row>
    <row r="3982" spans="1:38" hidden="1" x14ac:dyDescent="0.2">
      <c r="A3982" s="2">
        <v>2026</v>
      </c>
      <c r="B3982" s="2">
        <v>5</v>
      </c>
      <c r="D3982" s="2" t="s">
        <v>2053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10">(T3982-W3982)/T3982</f>
        <v>0.6</v>
      </c>
      <c r="Z3982" s="2" t="s">
        <v>118</v>
      </c>
      <c r="AA3982" s="2" t="s">
        <v>191</v>
      </c>
      <c r="AB3982" s="2" t="s">
        <v>190</v>
      </c>
      <c r="AC3982" s="2" t="s">
        <v>40</v>
      </c>
      <c r="AF3982" s="2">
        <f t="shared" si="507"/>
        <v>0</v>
      </c>
      <c r="AG3982" s="2">
        <f>W3982</f>
        <v>58.800000000000004</v>
      </c>
      <c r="AJ3982" s="2">
        <f t="shared" si="508"/>
        <v>0</v>
      </c>
      <c r="AK3982" s="2">
        <f t="shared" si="505"/>
        <v>88.199999999999989</v>
      </c>
      <c r="AL3982" s="5">
        <f t="shared" si="506"/>
        <v>0.6</v>
      </c>
    </row>
    <row r="3983" spans="1:38" hidden="1" x14ac:dyDescent="0.2">
      <c r="A3983" s="2">
        <v>2026</v>
      </c>
      <c r="B3983" s="2">
        <v>5</v>
      </c>
      <c r="D3983" s="2" t="s">
        <v>2053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10"/>
        <v>0.5</v>
      </c>
      <c r="Z3983" s="2" t="s">
        <v>118</v>
      </c>
      <c r="AA3983" s="2" t="s">
        <v>191</v>
      </c>
      <c r="AB3983" s="2" t="s">
        <v>191</v>
      </c>
      <c r="AC3983" s="2" t="s">
        <v>40</v>
      </c>
      <c r="AF3983" s="2">
        <f t="shared" si="507"/>
        <v>0</v>
      </c>
      <c r="AG3983" s="2">
        <f>W3983</f>
        <v>27.5</v>
      </c>
      <c r="AJ3983" s="2">
        <f t="shared" si="508"/>
        <v>0</v>
      </c>
      <c r="AK3983" s="2">
        <f t="shared" si="505"/>
        <v>27.5</v>
      </c>
      <c r="AL3983" s="5">
        <f t="shared" si="506"/>
        <v>0.5</v>
      </c>
    </row>
    <row r="3984" spans="1:38" hidden="1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10"/>
        <v>0.37321392902323725</v>
      </c>
      <c r="Z3984" s="2" t="s">
        <v>3231</v>
      </c>
      <c r="AA3984" s="2" t="s">
        <v>76</v>
      </c>
      <c r="AB3984" s="2" t="s">
        <v>77</v>
      </c>
      <c r="AC3984" s="2" t="s">
        <v>78</v>
      </c>
      <c r="AF3984" s="2">
        <f t="shared" si="507"/>
        <v>0</v>
      </c>
      <c r="AG3984" s="2">
        <v>125.51600000000001</v>
      </c>
      <c r="AH3984" s="2">
        <v>220</v>
      </c>
      <c r="AJ3984" s="2">
        <f t="shared" si="508"/>
        <v>0</v>
      </c>
      <c r="AK3984" s="2">
        <f t="shared" ref="AK3984:AK4015" si="511">T3984-W3984</f>
        <v>224.21199999999999</v>
      </c>
      <c r="AL3984" s="5">
        <f t="shared" ref="AL3984:AL4015" si="512">(T3984-W3984)/T3984</f>
        <v>0.37321392902323725</v>
      </c>
    </row>
    <row r="3985" spans="1:38" hidden="1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1347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10"/>
        <v>0.56271602692377654</v>
      </c>
      <c r="Z3985" s="2" t="s">
        <v>3231</v>
      </c>
      <c r="AA3985" s="2" t="s">
        <v>76</v>
      </c>
      <c r="AB3985" s="2" t="s">
        <v>77</v>
      </c>
      <c r="AC3985" s="2" t="s">
        <v>78</v>
      </c>
      <c r="AF3985" s="2">
        <f t="shared" si="507"/>
        <v>0</v>
      </c>
      <c r="AJ3985" s="2">
        <f t="shared" si="508"/>
        <v>0</v>
      </c>
      <c r="AK3985" s="2">
        <f t="shared" si="511"/>
        <v>123.72999999999999</v>
      </c>
      <c r="AL3985" s="5">
        <f t="shared" si="512"/>
        <v>0.56271602692377654</v>
      </c>
    </row>
    <row r="3986" spans="1:38" hidden="1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10"/>
        <v>0.47693761814744795</v>
      </c>
      <c r="Z3986" s="2" t="s">
        <v>3231</v>
      </c>
      <c r="AA3986" s="2" t="s">
        <v>76</v>
      </c>
      <c r="AB3986" s="2" t="s">
        <v>77</v>
      </c>
      <c r="AC3986" s="2" t="s">
        <v>78</v>
      </c>
      <c r="AF3986" s="2">
        <f t="shared" si="507"/>
        <v>0</v>
      </c>
      <c r="AG3986" s="2">
        <v>110.68</v>
      </c>
      <c r="AH3986" s="2">
        <v>210</v>
      </c>
      <c r="AJ3986" s="2">
        <f t="shared" si="508"/>
        <v>0</v>
      </c>
      <c r="AK3986" s="2">
        <f t="shared" si="511"/>
        <v>100.91999999999999</v>
      </c>
      <c r="AL3986" s="5">
        <f t="shared" si="512"/>
        <v>0.47693761814744795</v>
      </c>
    </row>
    <row r="3987" spans="1:38" hidden="1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10"/>
        <v>0</v>
      </c>
      <c r="Z3987" s="2" t="s">
        <v>3231</v>
      </c>
      <c r="AA3987" s="2" t="s">
        <v>97</v>
      </c>
      <c r="AB3987" s="2" t="s">
        <v>77</v>
      </c>
      <c r="AC3987" s="2" t="s">
        <v>94</v>
      </c>
      <c r="AF3987" s="2">
        <f t="shared" si="507"/>
        <v>0</v>
      </c>
      <c r="AJ3987" s="2">
        <f t="shared" si="508"/>
        <v>0</v>
      </c>
      <c r="AK3987" s="2">
        <f t="shared" si="511"/>
        <v>0</v>
      </c>
      <c r="AL3987" s="5">
        <f t="shared" si="512"/>
        <v>0</v>
      </c>
    </row>
    <row r="3988" spans="1:38" hidden="1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1040</v>
      </c>
      <c r="Q3988" s="2" t="s">
        <v>2995</v>
      </c>
      <c r="R3988" s="2" t="s">
        <v>2996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10"/>
        <v>0.41106099656357398</v>
      </c>
      <c r="Z3988" s="2" t="s">
        <v>3231</v>
      </c>
      <c r="AA3988" s="2" t="s">
        <v>76</v>
      </c>
      <c r="AB3988" s="2" t="s">
        <v>77</v>
      </c>
      <c r="AC3988" s="2" t="s">
        <v>1040</v>
      </c>
      <c r="AF3988" s="2">
        <f t="shared" si="507"/>
        <v>0</v>
      </c>
      <c r="AJ3988" s="2">
        <f t="shared" si="508"/>
        <v>0</v>
      </c>
      <c r="AK3988" s="2">
        <f t="shared" si="511"/>
        <v>191.39000000000004</v>
      </c>
      <c r="AL3988" s="5">
        <f t="shared" si="512"/>
        <v>0.41106099656357398</v>
      </c>
    </row>
    <row r="3989" spans="1:38" hidden="1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10"/>
        <v>0.23333333333333334</v>
      </c>
      <c r="Z3989" s="2" t="s">
        <v>170</v>
      </c>
      <c r="AA3989" s="2" t="s">
        <v>170</v>
      </c>
      <c r="AF3989" s="2">
        <f t="shared" si="507"/>
        <v>0</v>
      </c>
      <c r="AJ3989" s="2">
        <f t="shared" si="508"/>
        <v>0</v>
      </c>
      <c r="AK3989" s="2">
        <f t="shared" si="511"/>
        <v>7</v>
      </c>
      <c r="AL3989" s="5">
        <f t="shared" si="512"/>
        <v>0.23333333333333334</v>
      </c>
    </row>
    <row r="3990" spans="1:38" hidden="1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10"/>
        <v>0</v>
      </c>
      <c r="Z3990" s="2" t="s">
        <v>3231</v>
      </c>
      <c r="AA3990" s="2" t="s">
        <v>97</v>
      </c>
      <c r="AB3990" s="2" t="s">
        <v>77</v>
      </c>
      <c r="AC3990" s="2" t="s">
        <v>94</v>
      </c>
      <c r="AF3990" s="2">
        <f t="shared" si="507"/>
        <v>0</v>
      </c>
      <c r="AJ3990" s="2">
        <f t="shared" si="508"/>
        <v>0</v>
      </c>
      <c r="AK3990" s="2">
        <f t="shared" si="511"/>
        <v>0</v>
      </c>
      <c r="AL3990" s="5">
        <f t="shared" si="512"/>
        <v>0</v>
      </c>
    </row>
    <row r="3991" spans="1:38" hidden="1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10"/>
        <v>0.12471332542506916</v>
      </c>
      <c r="Z3991" s="2" t="s">
        <v>3231</v>
      </c>
      <c r="AA3991" s="2" t="s">
        <v>76</v>
      </c>
      <c r="AB3991" s="2" t="s">
        <v>77</v>
      </c>
      <c r="AC3991" s="2" t="s">
        <v>78</v>
      </c>
      <c r="AF3991" s="2">
        <f t="shared" si="507"/>
        <v>0</v>
      </c>
      <c r="AG3991" s="2">
        <v>110.68</v>
      </c>
      <c r="AH3991" s="2">
        <v>210</v>
      </c>
      <c r="AJ3991" s="2">
        <f t="shared" si="508"/>
        <v>0</v>
      </c>
      <c r="AK3991" s="2">
        <f t="shared" si="511"/>
        <v>31.539999999999992</v>
      </c>
      <c r="AL3991" s="5">
        <f t="shared" si="512"/>
        <v>0.12471332542506916</v>
      </c>
    </row>
    <row r="3992" spans="1:38" hidden="1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10"/>
        <v>0</v>
      </c>
      <c r="Z3992" s="2" t="s">
        <v>3231</v>
      </c>
      <c r="AA3992" s="2" t="s">
        <v>97</v>
      </c>
      <c r="AB3992" s="2" t="s">
        <v>77</v>
      </c>
      <c r="AC3992" s="2" t="s">
        <v>94</v>
      </c>
      <c r="AF3992" s="2">
        <f t="shared" si="507"/>
        <v>0</v>
      </c>
      <c r="AJ3992" s="2">
        <f t="shared" si="508"/>
        <v>0</v>
      </c>
      <c r="AK3992" s="2">
        <f t="shared" si="511"/>
        <v>0</v>
      </c>
      <c r="AL3992" s="5">
        <f t="shared" si="512"/>
        <v>0</v>
      </c>
    </row>
    <row r="3993" spans="1:38" hidden="1" x14ac:dyDescent="0.2">
      <c r="A3993" s="2">
        <v>2026</v>
      </c>
      <c r="B3993" s="2">
        <v>5</v>
      </c>
      <c r="D3993" s="2" t="s">
        <v>894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10"/>
        <v>0.42947272727272723</v>
      </c>
      <c r="Z3993" s="2" t="s">
        <v>3231</v>
      </c>
      <c r="AA3993" s="2" t="s">
        <v>76</v>
      </c>
      <c r="AB3993" s="2" t="s">
        <v>77</v>
      </c>
      <c r="AC3993" s="2" t="s">
        <v>78</v>
      </c>
      <c r="AF3993" s="2">
        <f t="shared" si="507"/>
        <v>0</v>
      </c>
      <c r="AG3993" s="2">
        <v>125.51600000000001</v>
      </c>
      <c r="AH3993" s="2">
        <v>220</v>
      </c>
      <c r="AJ3993" s="2">
        <f t="shared" si="508"/>
        <v>0</v>
      </c>
      <c r="AK3993" s="2">
        <f t="shared" si="511"/>
        <v>94.483999999999995</v>
      </c>
      <c r="AL3993" s="5">
        <f t="shared" si="512"/>
        <v>0.42947272727272723</v>
      </c>
    </row>
    <row r="3994" spans="1:38" hidden="1" x14ac:dyDescent="0.2">
      <c r="A3994" s="2">
        <v>2026</v>
      </c>
      <c r="B3994" s="2">
        <v>5</v>
      </c>
      <c r="D3994" s="2" t="s">
        <v>894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10"/>
        <v>0</v>
      </c>
      <c r="Z3994" s="2" t="s">
        <v>3231</v>
      </c>
      <c r="AA3994" s="2" t="s">
        <v>97</v>
      </c>
      <c r="AB3994" s="2" t="s">
        <v>77</v>
      </c>
      <c r="AC3994" s="2" t="s">
        <v>94</v>
      </c>
      <c r="AF3994" s="2">
        <f t="shared" si="507"/>
        <v>0</v>
      </c>
      <c r="AJ3994" s="2">
        <f t="shared" si="508"/>
        <v>0</v>
      </c>
      <c r="AK3994" s="2">
        <f t="shared" si="511"/>
        <v>0</v>
      </c>
      <c r="AL3994" s="5">
        <f t="shared" si="512"/>
        <v>0</v>
      </c>
    </row>
    <row r="3995" spans="1:38" hidden="1" x14ac:dyDescent="0.2">
      <c r="A3995" s="2">
        <v>2026</v>
      </c>
      <c r="B3995" s="2">
        <v>5</v>
      </c>
      <c r="D3995" s="2" t="s">
        <v>1626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1627</v>
      </c>
      <c r="J3995" s="2" t="s">
        <v>1628</v>
      </c>
      <c r="L3995" s="2" t="s">
        <v>294</v>
      </c>
      <c r="M3995" s="2" t="s">
        <v>40</v>
      </c>
      <c r="O3995" s="2" t="s">
        <v>2997</v>
      </c>
      <c r="P3995" s="2" t="s">
        <v>115</v>
      </c>
      <c r="Q3995" s="2" t="s">
        <v>673</v>
      </c>
      <c r="R3995" s="2" t="s">
        <v>674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10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507"/>
        <v>0</v>
      </c>
      <c r="AJ3995" s="2">
        <f t="shared" si="508"/>
        <v>0</v>
      </c>
      <c r="AK3995" s="2">
        <f t="shared" si="511"/>
        <v>9.715799999999998</v>
      </c>
      <c r="AL3995" s="5">
        <f t="shared" si="512"/>
        <v>0.649886287625418</v>
      </c>
    </row>
    <row r="3996" spans="1:38" hidden="1" x14ac:dyDescent="0.2">
      <c r="A3996" s="2">
        <v>2026</v>
      </c>
      <c r="B3996" s="2">
        <v>5</v>
      </c>
      <c r="D3996" s="2" t="s">
        <v>1626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1627</v>
      </c>
      <c r="J3996" s="2" t="s">
        <v>1628</v>
      </c>
      <c r="L3996" s="2" t="s">
        <v>294</v>
      </c>
      <c r="M3996" s="2" t="s">
        <v>40</v>
      </c>
      <c r="O3996" s="2" t="s">
        <v>2997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510"/>
        <v>1</v>
      </c>
      <c r="Z3996" s="2" t="s">
        <v>170</v>
      </c>
      <c r="AA3996" s="2" t="s">
        <v>170</v>
      </c>
      <c r="AF3996" s="2">
        <f t="shared" si="507"/>
        <v>0</v>
      </c>
      <c r="AJ3996" s="2">
        <f t="shared" si="508"/>
        <v>0</v>
      </c>
      <c r="AK3996" s="2">
        <f t="shared" si="511"/>
        <v>5</v>
      </c>
      <c r="AL3996" s="5">
        <f t="shared" si="512"/>
        <v>1</v>
      </c>
    </row>
    <row r="3997" spans="1:38" hidden="1" x14ac:dyDescent="0.2">
      <c r="A3997" s="2">
        <v>2026</v>
      </c>
      <c r="B3997" s="2">
        <v>5</v>
      </c>
      <c r="D3997" s="2" t="s">
        <v>1283</v>
      </c>
      <c r="E3997" s="2" t="s">
        <v>184</v>
      </c>
      <c r="F3997" s="2" t="s">
        <v>2998</v>
      </c>
      <c r="G3997" s="2">
        <v>517805383</v>
      </c>
      <c r="H3997" s="2" t="s">
        <v>40</v>
      </c>
      <c r="I3997" s="2" t="s">
        <v>100</v>
      </c>
      <c r="J3997" s="2" t="s">
        <v>2999</v>
      </c>
      <c r="K3997" s="2">
        <v>964651239</v>
      </c>
      <c r="L3997" s="2" t="s">
        <v>100</v>
      </c>
      <c r="M3997" s="2" t="s">
        <v>40</v>
      </c>
      <c r="O3997" s="2" t="s">
        <v>3000</v>
      </c>
      <c r="P3997" s="2" t="s">
        <v>283</v>
      </c>
      <c r="Q3997" s="2" t="s">
        <v>3001</v>
      </c>
      <c r="R3997" s="2" t="s">
        <v>3002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10"/>
        <v>0.31578947368421051</v>
      </c>
      <c r="Z3997" s="2" t="s">
        <v>118</v>
      </c>
      <c r="AA3997" s="2" t="s">
        <v>182</v>
      </c>
      <c r="AB3997" s="2" t="s">
        <v>3386</v>
      </c>
      <c r="AC3997" s="2" t="s">
        <v>1329</v>
      </c>
      <c r="AF3997" s="2">
        <f t="shared" si="507"/>
        <v>0</v>
      </c>
      <c r="AG3997" s="2">
        <v>773.5</v>
      </c>
      <c r="AJ3997" s="2">
        <f t="shared" si="508"/>
        <v>0</v>
      </c>
      <c r="AK3997" s="2">
        <f t="shared" si="511"/>
        <v>357</v>
      </c>
      <c r="AL3997" s="5">
        <f t="shared" si="512"/>
        <v>0.31578947368421051</v>
      </c>
    </row>
    <row r="3998" spans="1:38" hidden="1" x14ac:dyDescent="0.2">
      <c r="A3998" s="2">
        <v>2026</v>
      </c>
      <c r="B3998" s="2">
        <v>5</v>
      </c>
      <c r="D3998" s="2" t="s">
        <v>3003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3004</v>
      </c>
      <c r="J3998" s="2" t="s">
        <v>3005</v>
      </c>
      <c r="K3998" s="2">
        <v>969030161</v>
      </c>
      <c r="L3998" s="2" t="s">
        <v>3006</v>
      </c>
      <c r="M3998" s="2" t="s">
        <v>40</v>
      </c>
      <c r="O3998" s="2" t="s">
        <v>3007</v>
      </c>
      <c r="P3998" s="2" t="s">
        <v>115</v>
      </c>
      <c r="Q3998" s="2" t="s">
        <v>1473</v>
      </c>
      <c r="R3998" s="2" t="s">
        <v>1474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10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507"/>
        <v>0</v>
      </c>
      <c r="AG3998" s="2">
        <v>343.38</v>
      </c>
      <c r="AJ3998" s="2">
        <f t="shared" si="508"/>
        <v>0</v>
      </c>
      <c r="AK3998" s="2">
        <f t="shared" si="511"/>
        <v>347.23</v>
      </c>
      <c r="AL3998" s="5">
        <f t="shared" si="512"/>
        <v>0.50278739085735802</v>
      </c>
    </row>
    <row r="3999" spans="1:38" hidden="1" x14ac:dyDescent="0.2">
      <c r="A3999" s="2">
        <v>2026</v>
      </c>
      <c r="B3999" s="2">
        <v>5</v>
      </c>
      <c r="D3999" s="2" t="s">
        <v>3003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3004</v>
      </c>
      <c r="J3999" s="2" t="s">
        <v>3005</v>
      </c>
      <c r="K3999" s="2">
        <v>969030161</v>
      </c>
      <c r="L3999" s="2" t="s">
        <v>3006</v>
      </c>
      <c r="M3999" s="2" t="s">
        <v>40</v>
      </c>
      <c r="O3999" s="2" t="s">
        <v>3007</v>
      </c>
      <c r="P3999" s="2" t="s">
        <v>115</v>
      </c>
      <c r="Q3999" s="2" t="s">
        <v>1582</v>
      </c>
      <c r="R3999" s="2" t="s">
        <v>1583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10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507"/>
        <v>0</v>
      </c>
      <c r="AG3999" s="2">
        <f>4893.23+171</f>
        <v>5064.2299999999996</v>
      </c>
      <c r="AJ3999" s="2">
        <f t="shared" si="508"/>
        <v>0</v>
      </c>
      <c r="AK3999" s="2">
        <f t="shared" si="511"/>
        <v>1925.7700000000004</v>
      </c>
      <c r="AL3999" s="5">
        <f t="shared" si="512"/>
        <v>0.27550357653791135</v>
      </c>
    </row>
    <row r="4000" spans="1:38" hidden="1" x14ac:dyDescent="0.2">
      <c r="A4000" s="2">
        <v>2026</v>
      </c>
      <c r="B4000" s="2">
        <v>5</v>
      </c>
      <c r="D4000" s="2" t="s">
        <v>2338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3008</v>
      </c>
      <c r="L4000" s="2" t="s">
        <v>178</v>
      </c>
      <c r="M4000" s="2" t="s">
        <v>41</v>
      </c>
      <c r="O4000" s="2" t="s">
        <v>3009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10"/>
        <v>0.34034999999999999</v>
      </c>
      <c r="Z4000" s="2" t="s">
        <v>3231</v>
      </c>
      <c r="AA4000" s="2" t="s">
        <v>76</v>
      </c>
      <c r="AB4000" s="2" t="s">
        <v>77</v>
      </c>
      <c r="AC4000" s="2" t="s">
        <v>78</v>
      </c>
      <c r="AF4000" s="2">
        <f t="shared" si="507"/>
        <v>0</v>
      </c>
      <c r="AG4000" s="2">
        <v>131.93</v>
      </c>
      <c r="AH4000" s="2">
        <v>220</v>
      </c>
      <c r="AJ4000" s="2">
        <f t="shared" si="508"/>
        <v>0</v>
      </c>
      <c r="AK4000" s="2">
        <f t="shared" si="511"/>
        <v>68.069999999999993</v>
      </c>
      <c r="AL4000" s="5">
        <f t="shared" si="512"/>
        <v>0.34034999999999999</v>
      </c>
    </row>
    <row r="4001" spans="1:38" hidden="1" x14ac:dyDescent="0.2">
      <c r="A4001" s="2">
        <v>2026</v>
      </c>
      <c r="B4001" s="2">
        <v>5</v>
      </c>
      <c r="D4001" s="2" t="s">
        <v>2338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10"/>
        <v>0</v>
      </c>
      <c r="Z4001" s="2" t="s">
        <v>3231</v>
      </c>
      <c r="AA4001" s="2" t="s">
        <v>97</v>
      </c>
      <c r="AB4001" s="2" t="s">
        <v>77</v>
      </c>
      <c r="AC4001" s="2" t="s">
        <v>94</v>
      </c>
      <c r="AF4001" s="2">
        <f t="shared" si="507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hidden="1" x14ac:dyDescent="0.2">
      <c r="A4002" s="2">
        <v>2026</v>
      </c>
      <c r="B4002" s="2">
        <v>5</v>
      </c>
      <c r="D4002" s="2" t="s">
        <v>3010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3244</v>
      </c>
      <c r="L4002" s="2" t="s">
        <v>113</v>
      </c>
      <c r="M4002" s="2" t="s">
        <v>110</v>
      </c>
      <c r="O4002" s="2" t="s">
        <v>3245</v>
      </c>
      <c r="P4002" s="2" t="s">
        <v>73</v>
      </c>
      <c r="Q4002" s="2" t="s">
        <v>833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10"/>
        <v>0.45165454545454548</v>
      </c>
      <c r="Z4002" s="2" t="s">
        <v>3231</v>
      </c>
      <c r="AA4002" s="2" t="s">
        <v>76</v>
      </c>
      <c r="AB4002" s="2" t="s">
        <v>77</v>
      </c>
      <c r="AC4002" s="2" t="s">
        <v>78</v>
      </c>
      <c r="AF4002" s="2">
        <f t="shared" si="507"/>
        <v>0</v>
      </c>
      <c r="AG4002" s="2">
        <v>120.636</v>
      </c>
      <c r="AH4002" s="2">
        <v>220</v>
      </c>
      <c r="AJ4002" s="2">
        <f t="shared" si="508"/>
        <v>0</v>
      </c>
      <c r="AK4002" s="2">
        <f t="shared" si="511"/>
        <v>99.364000000000004</v>
      </c>
      <c r="AL4002" s="5">
        <f t="shared" si="512"/>
        <v>0.45165454545454548</v>
      </c>
    </row>
    <row r="4003" spans="1:38" hidden="1" x14ac:dyDescent="0.2">
      <c r="A4003" s="2">
        <v>2026</v>
      </c>
      <c r="B4003" s="2">
        <v>5</v>
      </c>
      <c r="D4003" s="2" t="s">
        <v>3010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3244</v>
      </c>
      <c r="L4003" s="2" t="s">
        <v>113</v>
      </c>
      <c r="M4003" s="2" t="s">
        <v>110</v>
      </c>
      <c r="O4003" s="2" t="s">
        <v>3245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10"/>
        <v>0</v>
      </c>
      <c r="Z4003" s="2" t="s">
        <v>3231</v>
      </c>
      <c r="AA4003" s="2" t="s">
        <v>97</v>
      </c>
      <c r="AB4003" s="2" t="s">
        <v>77</v>
      </c>
      <c r="AC4003" s="2" t="s">
        <v>94</v>
      </c>
      <c r="AF4003" s="2">
        <f t="shared" si="507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hidden="1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3011</v>
      </c>
      <c r="P4004" s="2" t="s">
        <v>115</v>
      </c>
      <c r="Q4004" s="2" t="s">
        <v>2215</v>
      </c>
      <c r="R4004" s="2" t="s">
        <v>2216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10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507"/>
        <v>0</v>
      </c>
      <c r="AG4004" s="2">
        <f>78.74+0.63</f>
        <v>79.36999999999999</v>
      </c>
      <c r="AJ4004" s="2">
        <f t="shared" si="508"/>
        <v>0</v>
      </c>
      <c r="AK4004" s="2">
        <f t="shared" si="511"/>
        <v>73.650000000000006</v>
      </c>
      <c r="AL4004" s="5">
        <f t="shared" si="512"/>
        <v>0.48130963272774802</v>
      </c>
    </row>
    <row r="4005" spans="1:38" hidden="1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10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507"/>
        <v>0</v>
      </c>
      <c r="AG4005" s="2">
        <f>78.74+0.63</f>
        <v>79.36999999999999</v>
      </c>
      <c r="AJ4005" s="2">
        <f t="shared" si="508"/>
        <v>0</v>
      </c>
      <c r="AK4005" s="2">
        <f t="shared" si="511"/>
        <v>9.9999999999994316E-2</v>
      </c>
      <c r="AL4005" s="5">
        <f t="shared" si="512"/>
        <v>1.2583364791744597E-3</v>
      </c>
    </row>
    <row r="4006" spans="1:38" hidden="1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3012</v>
      </c>
      <c r="R4006" s="2" t="s">
        <v>3013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10"/>
        <v>1</v>
      </c>
      <c r="Z4006" s="2" t="s">
        <v>105</v>
      </c>
      <c r="AA4006" s="2" t="s">
        <v>617</v>
      </c>
      <c r="AB4006" s="2" t="s">
        <v>3442</v>
      </c>
      <c r="AC4006" s="2" t="s">
        <v>115</v>
      </c>
      <c r="AF4006" s="2">
        <f t="shared" si="507"/>
        <v>0</v>
      </c>
      <c r="AJ4006" s="2">
        <f t="shared" si="508"/>
        <v>0</v>
      </c>
      <c r="AK4006" s="2">
        <f t="shared" si="511"/>
        <v>3990</v>
      </c>
      <c r="AL4006" s="5">
        <f t="shared" si="512"/>
        <v>1</v>
      </c>
    </row>
    <row r="4007" spans="1:38" hidden="1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3014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10"/>
        <v>0.47838888888888892</v>
      </c>
      <c r="Z4007" s="2" t="s">
        <v>3231</v>
      </c>
      <c r="AA4007" s="2" t="s">
        <v>46</v>
      </c>
      <c r="AB4007" s="2" t="s">
        <v>61</v>
      </c>
      <c r="AC4007" s="2" t="s">
        <v>58</v>
      </c>
      <c r="AF4007" s="2">
        <f t="shared" si="507"/>
        <v>0</v>
      </c>
      <c r="AG4007" s="2">
        <v>3.7555999999999998</v>
      </c>
      <c r="AH4007" s="2">
        <v>7.2</v>
      </c>
      <c r="AJ4007" s="2">
        <f t="shared" si="508"/>
        <v>0</v>
      </c>
      <c r="AK4007" s="2">
        <f t="shared" si="511"/>
        <v>51.666000000000004</v>
      </c>
      <c r="AL4007" s="5">
        <f t="shared" si="512"/>
        <v>0.47838888888888892</v>
      </c>
    </row>
    <row r="4008" spans="1:38" hidden="1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10"/>
        <v>0.62926666666666664</v>
      </c>
      <c r="Z4008" s="2" t="s">
        <v>3231</v>
      </c>
      <c r="AA4008" s="2" t="s">
        <v>46</v>
      </c>
      <c r="AB4008" s="2" t="s">
        <v>61</v>
      </c>
      <c r="AC4008" s="2" t="s">
        <v>58</v>
      </c>
      <c r="AF4008" s="2">
        <f t="shared" si="507"/>
        <v>0</v>
      </c>
      <c r="AG4008" s="2">
        <v>1.1122000000000001</v>
      </c>
      <c r="AH4008" s="2">
        <v>3</v>
      </c>
      <c r="AJ4008" s="2">
        <f t="shared" si="508"/>
        <v>0</v>
      </c>
      <c r="AK4008" s="2">
        <f t="shared" si="511"/>
        <v>37.756</v>
      </c>
      <c r="AL4008" s="5">
        <f t="shared" si="512"/>
        <v>0.62926666666666664</v>
      </c>
    </row>
    <row r="4009" spans="1:38" hidden="1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10"/>
        <v>0.38692653061224486</v>
      </c>
      <c r="Z4009" s="2" t="s">
        <v>3231</v>
      </c>
      <c r="AA4009" s="2" t="s">
        <v>46</v>
      </c>
      <c r="AB4009" s="2" t="s">
        <v>68</v>
      </c>
      <c r="AC4009" s="2" t="s">
        <v>58</v>
      </c>
      <c r="AF4009" s="2">
        <f t="shared" si="507"/>
        <v>0</v>
      </c>
      <c r="AG4009" s="2">
        <v>15.020300000000001</v>
      </c>
      <c r="AH4009" s="2">
        <v>27.6</v>
      </c>
      <c r="AJ4009" s="2">
        <f t="shared" si="508"/>
        <v>0</v>
      </c>
      <c r="AK4009" s="2">
        <f t="shared" si="511"/>
        <v>18.959399999999999</v>
      </c>
      <c r="AL4009" s="5">
        <f t="shared" si="512"/>
        <v>0.38692653061224486</v>
      </c>
    </row>
    <row r="4010" spans="1:38" hidden="1" x14ac:dyDescent="0.2">
      <c r="A4010" s="2">
        <v>2026</v>
      </c>
      <c r="B4010" s="2">
        <v>5</v>
      </c>
      <c r="D4010" s="2" t="s">
        <v>3015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10"/>
        <v>0.34714285714285725</v>
      </c>
      <c r="Z4010" s="2" t="s">
        <v>3231</v>
      </c>
      <c r="AA4010" s="2" t="s">
        <v>46</v>
      </c>
      <c r="AB4010" s="2" t="s">
        <v>61</v>
      </c>
      <c r="AC4010" s="2" t="s">
        <v>58</v>
      </c>
      <c r="AF4010" s="2">
        <f t="shared" si="507"/>
        <v>0</v>
      </c>
      <c r="AJ4010" s="2">
        <f t="shared" si="508"/>
        <v>0</v>
      </c>
      <c r="AK4010" s="2">
        <f t="shared" si="511"/>
        <v>4.8600000000000012</v>
      </c>
      <c r="AL4010" s="5">
        <f t="shared" si="512"/>
        <v>0.34714285714285725</v>
      </c>
    </row>
    <row r="4011" spans="1:38" hidden="1" x14ac:dyDescent="0.2">
      <c r="A4011" s="2">
        <v>2026</v>
      </c>
      <c r="B4011" s="2">
        <v>5</v>
      </c>
      <c r="D4011" s="2" t="s">
        <v>3015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510"/>
        <v>1</v>
      </c>
      <c r="Z4011" s="2" t="s">
        <v>170</v>
      </c>
      <c r="AA4011" s="2" t="s">
        <v>170</v>
      </c>
      <c r="AF4011" s="2">
        <f t="shared" si="507"/>
        <v>0</v>
      </c>
      <c r="AJ4011" s="2">
        <f t="shared" si="508"/>
        <v>0</v>
      </c>
      <c r="AK4011" s="2">
        <f t="shared" si="511"/>
        <v>5</v>
      </c>
      <c r="AL4011" s="5">
        <f t="shared" si="512"/>
        <v>1</v>
      </c>
    </row>
    <row r="4012" spans="1:38" hidden="1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10"/>
        <v>0.31428571428571428</v>
      </c>
      <c r="Z4012" s="2" t="s">
        <v>3231</v>
      </c>
      <c r="AA4012" s="2" t="s">
        <v>46</v>
      </c>
      <c r="AB4012" s="2" t="s">
        <v>47</v>
      </c>
      <c r="AC4012" s="2" t="s">
        <v>48</v>
      </c>
      <c r="AF4012" s="2">
        <f t="shared" si="507"/>
        <v>0</v>
      </c>
      <c r="AG4012" s="2">
        <v>14.4</v>
      </c>
      <c r="AH4012" s="2">
        <v>21</v>
      </c>
      <c r="AJ4012" s="2">
        <f t="shared" si="508"/>
        <v>0</v>
      </c>
      <c r="AK4012" s="2">
        <f t="shared" si="511"/>
        <v>6.6</v>
      </c>
      <c r="AL4012" s="5">
        <f t="shared" si="512"/>
        <v>0.31428571428571428</v>
      </c>
    </row>
    <row r="4013" spans="1:38" hidden="1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10"/>
        <v>0.25454545454545452</v>
      </c>
      <c r="Z4013" s="2" t="s">
        <v>3231</v>
      </c>
      <c r="AA4013" s="2" t="s">
        <v>46</v>
      </c>
      <c r="AB4013" s="2" t="s">
        <v>61</v>
      </c>
      <c r="AC4013" s="2" t="s">
        <v>58</v>
      </c>
      <c r="AF4013" s="2">
        <f t="shared" si="507"/>
        <v>0</v>
      </c>
      <c r="AG4013" s="2">
        <v>8.1999999999999993</v>
      </c>
      <c r="AH4013" s="2">
        <v>13</v>
      </c>
      <c r="AJ4013" s="2">
        <f t="shared" si="508"/>
        <v>0</v>
      </c>
      <c r="AK4013" s="2">
        <f t="shared" si="511"/>
        <v>28</v>
      </c>
      <c r="AL4013" s="5">
        <f t="shared" si="512"/>
        <v>0.25454545454545452</v>
      </c>
    </row>
    <row r="4014" spans="1:38" hidden="1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621</v>
      </c>
      <c r="R4014" s="2" t="s">
        <v>622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10"/>
        <v>1</v>
      </c>
      <c r="Z4014" s="2" t="s">
        <v>3231</v>
      </c>
      <c r="AA4014" s="2" t="s">
        <v>88</v>
      </c>
      <c r="AB4014" s="2" t="s">
        <v>61</v>
      </c>
      <c r="AC4014" s="2" t="s">
        <v>85</v>
      </c>
      <c r="AF4014" s="2">
        <f t="shared" si="507"/>
        <v>0</v>
      </c>
      <c r="AJ4014" s="2">
        <f t="shared" si="508"/>
        <v>0</v>
      </c>
      <c r="AK4014" s="2">
        <f t="shared" si="511"/>
        <v>10.15</v>
      </c>
      <c r="AL4014" s="5">
        <f t="shared" si="512"/>
        <v>1</v>
      </c>
    </row>
    <row r="4015" spans="1:38" hidden="1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10"/>
        <v>0.6</v>
      </c>
      <c r="Z4015" s="2" t="s">
        <v>118</v>
      </c>
      <c r="AA4015" s="2" t="s">
        <v>191</v>
      </c>
      <c r="AB4015" s="2" t="s">
        <v>190</v>
      </c>
      <c r="AC4015" s="2" t="s">
        <v>40</v>
      </c>
      <c r="AF4015" s="2">
        <f t="shared" si="507"/>
        <v>0</v>
      </c>
      <c r="AG4015" s="2">
        <f>W4015</f>
        <v>30.400000000000002</v>
      </c>
      <c r="AJ4015" s="2">
        <f t="shared" si="508"/>
        <v>0</v>
      </c>
      <c r="AK4015" s="2">
        <f t="shared" si="511"/>
        <v>45.599999999999994</v>
      </c>
      <c r="AL4015" s="5">
        <f t="shared" si="512"/>
        <v>0.6</v>
      </c>
    </row>
    <row r="4016" spans="1:38" hidden="1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10"/>
        <v>0.5</v>
      </c>
      <c r="Z4016" s="2" t="s">
        <v>118</v>
      </c>
      <c r="AA4016" s="2" t="s">
        <v>191</v>
      </c>
      <c r="AB4016" s="2" t="s">
        <v>191</v>
      </c>
      <c r="AC4016" s="2" t="s">
        <v>40</v>
      </c>
      <c r="AF4016" s="2">
        <f t="shared" si="507"/>
        <v>0</v>
      </c>
      <c r="AG4016" s="2">
        <f>W4016</f>
        <v>27.5</v>
      </c>
      <c r="AJ4016" s="2">
        <f t="shared" si="508"/>
        <v>0</v>
      </c>
      <c r="AK4016" s="2">
        <f t="shared" ref="AK4016:AK4044" si="513">T4016-W4016</f>
        <v>27.5</v>
      </c>
      <c r="AL4016" s="5">
        <f t="shared" ref="AL4016:AL4044" si="514">(T4016-W4016)/T4016</f>
        <v>0.5</v>
      </c>
    </row>
    <row r="4017" spans="1:38" hidden="1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10"/>
        <v>1</v>
      </c>
      <c r="Z4017" s="2" t="s">
        <v>120</v>
      </c>
      <c r="AA4017" s="2" t="s">
        <v>3385</v>
      </c>
      <c r="AF4017" s="2">
        <f t="shared" si="507"/>
        <v>0</v>
      </c>
      <c r="AJ4017" s="2">
        <f t="shared" si="508"/>
        <v>0</v>
      </c>
      <c r="AK4017" s="2">
        <f t="shared" si="513"/>
        <v>5.99</v>
      </c>
      <c r="AL4017" s="5">
        <f t="shared" si="514"/>
        <v>1</v>
      </c>
    </row>
    <row r="4018" spans="1:38" hidden="1" x14ac:dyDescent="0.2">
      <c r="A4018" s="2">
        <v>2026</v>
      </c>
      <c r="B4018" s="2">
        <v>5</v>
      </c>
      <c r="D4018" s="2" t="s">
        <v>1744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1128</v>
      </c>
      <c r="J4018" s="2" t="s">
        <v>1745</v>
      </c>
      <c r="K4018" s="2">
        <v>968602188</v>
      </c>
      <c r="L4018" s="2" t="s">
        <v>462</v>
      </c>
      <c r="M4018" s="2" t="s">
        <v>40</v>
      </c>
      <c r="O4018" s="2" t="s">
        <v>3016</v>
      </c>
      <c r="P4018" s="2" t="s">
        <v>115</v>
      </c>
      <c r="Q4018" s="2" t="s">
        <v>1473</v>
      </c>
      <c r="R4018" s="2" t="s">
        <v>1474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10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507"/>
        <v>0</v>
      </c>
      <c r="AG4018" s="2">
        <v>343.38</v>
      </c>
      <c r="AJ4018" s="2">
        <f t="shared" si="508"/>
        <v>0</v>
      </c>
      <c r="AK4018" s="2">
        <f t="shared" si="513"/>
        <v>355.91999999999996</v>
      </c>
      <c r="AL4018" s="5">
        <f t="shared" si="514"/>
        <v>0.50896610896610894</v>
      </c>
    </row>
    <row r="4019" spans="1:38" hidden="1" x14ac:dyDescent="0.2">
      <c r="A4019" s="2">
        <v>2026</v>
      </c>
      <c r="B4019" s="2">
        <v>5</v>
      </c>
      <c r="D4019" s="2" t="s">
        <v>1744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1128</v>
      </c>
      <c r="J4019" s="2" t="s">
        <v>1745</v>
      </c>
      <c r="K4019" s="2">
        <v>968602188</v>
      </c>
      <c r="L4019" s="2" t="s">
        <v>462</v>
      </c>
      <c r="M4019" s="2" t="s">
        <v>40</v>
      </c>
      <c r="O4019" s="2" t="s">
        <v>3016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10"/>
        <v>0.6</v>
      </c>
      <c r="Z4019" s="2" t="s">
        <v>118</v>
      </c>
      <c r="AA4019" s="2" t="s">
        <v>191</v>
      </c>
      <c r="AB4019" s="2" t="s">
        <v>190</v>
      </c>
      <c r="AC4019" s="2" t="s">
        <v>40</v>
      </c>
      <c r="AF4019" s="2">
        <f t="shared" si="507"/>
        <v>0</v>
      </c>
      <c r="AG4019" s="2">
        <f>W4019</f>
        <v>90</v>
      </c>
      <c r="AJ4019" s="2">
        <f t="shared" si="508"/>
        <v>0</v>
      </c>
      <c r="AK4019" s="2">
        <f t="shared" si="513"/>
        <v>135</v>
      </c>
      <c r="AL4019" s="5">
        <f t="shared" si="514"/>
        <v>0.6</v>
      </c>
    </row>
    <row r="4020" spans="1:38" hidden="1" x14ac:dyDescent="0.2">
      <c r="A4020" s="2">
        <v>2026</v>
      </c>
      <c r="B4020" s="2">
        <v>5</v>
      </c>
      <c r="D4020" s="2" t="s">
        <v>1744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1128</v>
      </c>
      <c r="J4020" s="2" t="s">
        <v>1745</v>
      </c>
      <c r="K4020" s="2">
        <v>968602188</v>
      </c>
      <c r="L4020" s="2" t="s">
        <v>462</v>
      </c>
      <c r="M4020" s="2" t="s">
        <v>40</v>
      </c>
      <c r="O4020" s="2" t="s">
        <v>3016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B4020" s="2" t="s">
        <v>191</v>
      </c>
      <c r="AC4020" s="2" t="s">
        <v>40</v>
      </c>
      <c r="AF4020" s="2">
        <f t="shared" si="507"/>
        <v>0</v>
      </c>
      <c r="AG4020" s="2">
        <f>W4020</f>
        <v>0</v>
      </c>
      <c r="AJ4020" s="2">
        <f t="shared" si="508"/>
        <v>0</v>
      </c>
      <c r="AK4020" s="2">
        <f t="shared" si="513"/>
        <v>0</v>
      </c>
      <c r="AL4020" s="5">
        <v>0</v>
      </c>
    </row>
    <row r="4021" spans="1:38" hidden="1" x14ac:dyDescent="0.2">
      <c r="A4021" s="2">
        <v>2026</v>
      </c>
      <c r="B4021" s="2">
        <v>5</v>
      </c>
      <c r="D4021" s="2" t="s">
        <v>1297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1298</v>
      </c>
      <c r="L4021" s="2" t="s">
        <v>340</v>
      </c>
      <c r="M4021" s="2" t="s">
        <v>81</v>
      </c>
      <c r="O4021" s="2" t="s">
        <v>3017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9" si="515">(T4021-W4021)/T4021</f>
        <v>0.46676190476190477</v>
      </c>
      <c r="Z4021" s="2" t="s">
        <v>3231</v>
      </c>
      <c r="AA4021" s="2" t="s">
        <v>76</v>
      </c>
      <c r="AB4021" s="2" t="s">
        <v>77</v>
      </c>
      <c r="AC4021" s="2" t="s">
        <v>78</v>
      </c>
      <c r="AF4021" s="2">
        <f t="shared" si="507"/>
        <v>0</v>
      </c>
      <c r="AG4021" s="2">
        <v>111.98</v>
      </c>
      <c r="AH4021" s="2">
        <v>210</v>
      </c>
      <c r="AJ4021" s="2">
        <f t="shared" si="508"/>
        <v>0</v>
      </c>
      <c r="AK4021" s="2">
        <f t="shared" si="513"/>
        <v>98.02</v>
      </c>
      <c r="AL4021" s="5">
        <f t="shared" si="514"/>
        <v>0.46676190476190477</v>
      </c>
    </row>
    <row r="4022" spans="1:38" hidden="1" x14ac:dyDescent="0.2">
      <c r="A4022" s="2">
        <v>2026</v>
      </c>
      <c r="B4022" s="2">
        <v>5</v>
      </c>
      <c r="D4022" s="2" t="s">
        <v>1297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1298</v>
      </c>
      <c r="L4022" s="2" t="s">
        <v>340</v>
      </c>
      <c r="M4022" s="2" t="s">
        <v>81</v>
      </c>
      <c r="O4022" s="2" t="s">
        <v>3017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15"/>
        <v>0</v>
      </c>
      <c r="Z4022" s="2" t="s">
        <v>3231</v>
      </c>
      <c r="AA4022" s="2" t="s">
        <v>97</v>
      </c>
      <c r="AB4022" s="2" t="s">
        <v>77</v>
      </c>
      <c r="AC4022" s="2" t="s">
        <v>94</v>
      </c>
      <c r="AF4022" s="2">
        <f t="shared" si="507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13"/>
        <v>0</v>
      </c>
      <c r="AL4022" s="5">
        <f t="shared" si="514"/>
        <v>0</v>
      </c>
    </row>
    <row r="4023" spans="1:38" hidden="1" x14ac:dyDescent="0.2">
      <c r="A4023" s="2">
        <v>2026</v>
      </c>
      <c r="B4023" s="2">
        <v>5</v>
      </c>
      <c r="D4023" s="2" t="s">
        <v>618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619</v>
      </c>
      <c r="J4023" s="2" t="s">
        <v>620</v>
      </c>
      <c r="L4023" s="2" t="s">
        <v>419</v>
      </c>
      <c r="M4023" s="2" t="s">
        <v>41</v>
      </c>
      <c r="P4023" s="2" t="s">
        <v>43</v>
      </c>
      <c r="Q4023" s="2" t="s">
        <v>1365</v>
      </c>
      <c r="R4023" s="2" t="s">
        <v>1366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515"/>
        <v>0.71491228070175439</v>
      </c>
      <c r="Z4023" s="2" t="s">
        <v>3231</v>
      </c>
      <c r="AA4023" s="2" t="s">
        <v>46</v>
      </c>
      <c r="AB4023" s="2" t="s">
        <v>47</v>
      </c>
      <c r="AC4023" s="2" t="s">
        <v>48</v>
      </c>
      <c r="AF4023" s="2">
        <f t="shared" si="507"/>
        <v>0</v>
      </c>
      <c r="AJ4023" s="2">
        <f t="shared" si="508"/>
        <v>0</v>
      </c>
      <c r="AK4023" s="2">
        <f t="shared" si="513"/>
        <v>48.900000000000006</v>
      </c>
      <c r="AL4023" s="5">
        <f t="shared" si="514"/>
        <v>0.71491228070175439</v>
      </c>
    </row>
    <row r="4024" spans="1:38" hidden="1" x14ac:dyDescent="0.2">
      <c r="A4024" s="2">
        <v>2026</v>
      </c>
      <c r="B4024" s="2">
        <v>5</v>
      </c>
      <c r="D4024" s="2" t="s">
        <v>618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619</v>
      </c>
      <c r="J4024" s="2" t="s">
        <v>620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15"/>
        <v>0.58491111111111116</v>
      </c>
      <c r="Z4024" s="2" t="s">
        <v>3231</v>
      </c>
      <c r="AA4024" s="2" t="s">
        <v>46</v>
      </c>
      <c r="AB4024" s="2" t="s">
        <v>47</v>
      </c>
      <c r="AC4024" s="2" t="s">
        <v>48</v>
      </c>
      <c r="AF4024" s="2">
        <f t="shared" si="507"/>
        <v>0</v>
      </c>
      <c r="AG4024" s="2">
        <v>3.7357999999999998</v>
      </c>
      <c r="AH4024" s="2">
        <v>9</v>
      </c>
      <c r="AJ4024" s="2">
        <f t="shared" si="508"/>
        <v>0</v>
      </c>
      <c r="AK4024" s="2">
        <f t="shared" si="513"/>
        <v>10.528400000000001</v>
      </c>
      <c r="AL4024" s="5">
        <f t="shared" si="514"/>
        <v>0.58491111111111116</v>
      </c>
    </row>
    <row r="4025" spans="1:38" hidden="1" x14ac:dyDescent="0.2">
      <c r="A4025" s="2">
        <v>2026</v>
      </c>
      <c r="B4025" s="2">
        <v>5</v>
      </c>
      <c r="D4025" s="2" t="s">
        <v>618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619</v>
      </c>
      <c r="J4025" s="2" t="s">
        <v>620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15"/>
        <v>0.26896551724137929</v>
      </c>
      <c r="Z4025" s="2" t="s">
        <v>3231</v>
      </c>
      <c r="AA4025" s="2" t="s">
        <v>46</v>
      </c>
      <c r="AB4025" s="2" t="s">
        <v>57</v>
      </c>
      <c r="AC4025" s="2" t="s">
        <v>58</v>
      </c>
      <c r="AF4025" s="2">
        <f t="shared" si="507"/>
        <v>0</v>
      </c>
      <c r="AG4025" s="2">
        <v>10.6</v>
      </c>
      <c r="AH4025" s="2">
        <v>18</v>
      </c>
      <c r="AJ4025" s="2">
        <f t="shared" si="508"/>
        <v>0</v>
      </c>
      <c r="AK4025" s="2">
        <f t="shared" si="513"/>
        <v>39</v>
      </c>
      <c r="AL4025" s="5">
        <f t="shared" si="514"/>
        <v>0.26896551724137929</v>
      </c>
    </row>
    <row r="4026" spans="1:38" hidden="1" x14ac:dyDescent="0.2">
      <c r="A4026" s="2">
        <v>2026</v>
      </c>
      <c r="B4026" s="2">
        <v>5</v>
      </c>
      <c r="D4026" s="2" t="s">
        <v>618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619</v>
      </c>
      <c r="J4026" s="2" t="s">
        <v>620</v>
      </c>
      <c r="L4026" s="2" t="s">
        <v>419</v>
      </c>
      <c r="M4026" s="2" t="s">
        <v>41</v>
      </c>
      <c r="O4026" s="2" t="s">
        <v>3018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15"/>
        <v>0.29692307692307696</v>
      </c>
      <c r="Z4026" s="2" t="s">
        <v>3231</v>
      </c>
      <c r="AA4026" s="2" t="s">
        <v>46</v>
      </c>
      <c r="AB4026" s="2" t="s">
        <v>61</v>
      </c>
      <c r="AC4026" s="2" t="s">
        <v>58</v>
      </c>
      <c r="AF4026" s="2">
        <f t="shared" si="507"/>
        <v>0</v>
      </c>
      <c r="AG4026" s="2">
        <v>9.14</v>
      </c>
      <c r="AH4026" s="2">
        <v>16</v>
      </c>
      <c r="AJ4026" s="2">
        <f t="shared" si="508"/>
        <v>0</v>
      </c>
      <c r="AK4026" s="2">
        <f t="shared" si="513"/>
        <v>11.580000000000002</v>
      </c>
      <c r="AL4026" s="5">
        <f t="shared" si="514"/>
        <v>0.29692307692307696</v>
      </c>
    </row>
    <row r="4027" spans="1:38" hidden="1" x14ac:dyDescent="0.2">
      <c r="A4027" s="2">
        <v>2026</v>
      </c>
      <c r="B4027" s="2">
        <v>5</v>
      </c>
      <c r="D4027" s="2" t="s">
        <v>618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619</v>
      </c>
      <c r="J4027" s="2" t="s">
        <v>620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15"/>
        <v>0.3692307692307692</v>
      </c>
      <c r="Z4027" s="2" t="s">
        <v>3231</v>
      </c>
      <c r="AA4027" s="2" t="s">
        <v>46</v>
      </c>
      <c r="AB4027" s="2" t="s">
        <v>61</v>
      </c>
      <c r="AC4027" s="2" t="s">
        <v>58</v>
      </c>
      <c r="AF4027" s="2">
        <f t="shared" si="507"/>
        <v>0</v>
      </c>
      <c r="AG4027" s="2">
        <v>8.1999999999999993</v>
      </c>
      <c r="AH4027" s="2">
        <v>13</v>
      </c>
      <c r="AJ4027" s="2">
        <f t="shared" si="508"/>
        <v>0</v>
      </c>
      <c r="AK4027" s="2">
        <f t="shared" si="513"/>
        <v>14.399999999999999</v>
      </c>
      <c r="AL4027" s="5">
        <f t="shared" si="514"/>
        <v>0.3692307692307692</v>
      </c>
    </row>
    <row r="4028" spans="1:38" hidden="1" x14ac:dyDescent="0.2">
      <c r="A4028" s="2">
        <v>2026</v>
      </c>
      <c r="B4028" s="2">
        <v>5</v>
      </c>
      <c r="D4028" s="2" t="s">
        <v>618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619</v>
      </c>
      <c r="J4028" s="2" t="s">
        <v>620</v>
      </c>
      <c r="L4028" s="2" t="s">
        <v>419</v>
      </c>
      <c r="M4028" s="2" t="s">
        <v>41</v>
      </c>
      <c r="O4028" s="2" t="s">
        <v>3019</v>
      </c>
      <c r="P4028" s="2" t="s">
        <v>43</v>
      </c>
      <c r="Q4028" s="2" t="s">
        <v>3020</v>
      </c>
      <c r="R4028" s="2" t="s">
        <v>3021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15"/>
        <v>0.62374999999999992</v>
      </c>
      <c r="Z4028" s="2" t="s">
        <v>3231</v>
      </c>
      <c r="AA4028" s="2" t="s">
        <v>46</v>
      </c>
      <c r="AB4028" s="2" t="s">
        <v>61</v>
      </c>
      <c r="AC4028" s="2" t="s">
        <v>58</v>
      </c>
      <c r="AF4028" s="2">
        <f t="shared" si="507"/>
        <v>0</v>
      </c>
      <c r="AG4028" s="2">
        <v>0.90300000000000002</v>
      </c>
      <c r="AH4028" s="2">
        <v>2.4</v>
      </c>
      <c r="AJ4028" s="2">
        <f t="shared" si="508"/>
        <v>0</v>
      </c>
      <c r="AK4028" s="2">
        <f t="shared" si="513"/>
        <v>17.963999999999999</v>
      </c>
      <c r="AL4028" s="5">
        <f t="shared" si="514"/>
        <v>0.62374999999999992</v>
      </c>
    </row>
    <row r="4029" spans="1:38" hidden="1" x14ac:dyDescent="0.2">
      <c r="A4029" s="2">
        <v>2026</v>
      </c>
      <c r="B4029" s="2">
        <v>5</v>
      </c>
      <c r="D4029" s="2" t="s">
        <v>618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619</v>
      </c>
      <c r="J4029" s="2" t="s">
        <v>620</v>
      </c>
      <c r="L4029" s="2" t="s">
        <v>419</v>
      </c>
      <c r="M4029" s="2" t="s">
        <v>41</v>
      </c>
      <c r="O4029" s="2" t="s">
        <v>3019</v>
      </c>
      <c r="P4029" s="2" t="s">
        <v>43</v>
      </c>
      <c r="Q4029" s="2" t="s">
        <v>3022</v>
      </c>
      <c r="R4029" s="2" t="s">
        <v>3023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15"/>
        <v>0.62416666666666665</v>
      </c>
      <c r="Z4029" s="2" t="s">
        <v>3231</v>
      </c>
      <c r="AA4029" s="2" t="s">
        <v>46</v>
      </c>
      <c r="AB4029" s="2" t="s">
        <v>61</v>
      </c>
      <c r="AC4029" s="2" t="s">
        <v>58</v>
      </c>
      <c r="AF4029" s="2">
        <f t="shared" si="507"/>
        <v>0</v>
      </c>
      <c r="AG4029" s="2">
        <v>0.90200000000000002</v>
      </c>
      <c r="AH4029" s="2">
        <v>2.8</v>
      </c>
      <c r="AJ4029" s="2">
        <f t="shared" si="508"/>
        <v>0</v>
      </c>
      <c r="AK4029" s="2">
        <f t="shared" si="513"/>
        <v>17.975999999999999</v>
      </c>
      <c r="AL4029" s="5">
        <f t="shared" si="514"/>
        <v>0.62416666666666665</v>
      </c>
    </row>
    <row r="4030" spans="1:38" hidden="1" x14ac:dyDescent="0.2">
      <c r="A4030" s="2">
        <v>2026</v>
      </c>
      <c r="B4030" s="2">
        <v>5</v>
      </c>
      <c r="C4030" s="2" t="s">
        <v>3455</v>
      </c>
      <c r="D4030" s="2" t="s">
        <v>625</v>
      </c>
      <c r="E4030" s="2" t="s">
        <v>38</v>
      </c>
      <c r="F4030" s="2" t="s">
        <v>39</v>
      </c>
      <c r="G4030" s="2" t="s">
        <v>626</v>
      </c>
      <c r="H4030" s="2" t="s">
        <v>40</v>
      </c>
      <c r="I4030" s="2" t="s">
        <v>627</v>
      </c>
      <c r="J4030" s="2" t="s">
        <v>628</v>
      </c>
      <c r="L4030" s="2" t="s">
        <v>627</v>
      </c>
      <c r="M4030" s="2" t="s">
        <v>40</v>
      </c>
      <c r="O4030" s="2" t="s">
        <v>3024</v>
      </c>
      <c r="P4030" s="2" t="s">
        <v>115</v>
      </c>
      <c r="Q4030" s="2" t="s">
        <v>3025</v>
      </c>
      <c r="R4030" s="2" t="s">
        <v>3026</v>
      </c>
      <c r="S4030" s="2">
        <v>2</v>
      </c>
      <c r="T4030" s="2">
        <v>351.42</v>
      </c>
      <c r="V4030" s="2">
        <f t="shared" ref="V4030:V4031" si="516">T4030</f>
        <v>351.42</v>
      </c>
      <c r="W4030" s="2">
        <f>106.17*S4030</f>
        <v>212.34</v>
      </c>
      <c r="X4030" s="5">
        <f t="shared" si="515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507"/>
        <v>0</v>
      </c>
      <c r="AG4030" s="2">
        <f>104.4+1.77</f>
        <v>106.17</v>
      </c>
      <c r="AJ4030" s="2">
        <f t="shared" si="508"/>
        <v>0</v>
      </c>
      <c r="AK4030" s="2">
        <f t="shared" si="513"/>
        <v>139.08000000000001</v>
      </c>
      <c r="AL4030" s="5">
        <f t="shared" si="514"/>
        <v>0.39576575038415573</v>
      </c>
    </row>
    <row r="4031" spans="1:38" hidden="1" x14ac:dyDescent="0.2">
      <c r="A4031" s="2">
        <v>2026</v>
      </c>
      <c r="B4031" s="2">
        <v>5</v>
      </c>
      <c r="C4031" s="2" t="s">
        <v>3377</v>
      </c>
      <c r="D4031" s="2" t="s">
        <v>625</v>
      </c>
      <c r="E4031" s="2" t="s">
        <v>38</v>
      </c>
      <c r="F4031" s="2" t="s">
        <v>39</v>
      </c>
      <c r="G4031" s="2" t="s">
        <v>626</v>
      </c>
      <c r="H4031" s="2" t="s">
        <v>40</v>
      </c>
      <c r="I4031" s="2" t="s">
        <v>627</v>
      </c>
      <c r="J4031" s="2" t="s">
        <v>628</v>
      </c>
      <c r="L4031" s="2" t="s">
        <v>627</v>
      </c>
      <c r="M4031" s="2" t="s">
        <v>40</v>
      </c>
      <c r="O4031" s="2" t="s">
        <v>3027</v>
      </c>
      <c r="P4031" s="2" t="s">
        <v>115</v>
      </c>
      <c r="Q4031" s="2" t="s">
        <v>906</v>
      </c>
      <c r="R4031" s="2" t="s">
        <v>907</v>
      </c>
      <c r="S4031" s="2">
        <v>1</v>
      </c>
      <c r="T4031" s="2">
        <v>465.7</v>
      </c>
      <c r="V4031" s="2">
        <f t="shared" si="516"/>
        <v>465.7</v>
      </c>
      <c r="W4031" s="2">
        <v>345.20339999999999</v>
      </c>
      <c r="X4031" s="5">
        <f t="shared" si="515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507"/>
        <v>0</v>
      </c>
      <c r="AG4031" s="2">
        <v>342.22</v>
      </c>
      <c r="AJ4031" s="2">
        <f t="shared" si="508"/>
        <v>0</v>
      </c>
      <c r="AK4031" s="2">
        <f t="shared" si="513"/>
        <v>120.4966</v>
      </c>
      <c r="AL4031" s="5">
        <f t="shared" si="514"/>
        <v>0.25874296757569254</v>
      </c>
    </row>
    <row r="4032" spans="1:38" hidden="1" x14ac:dyDescent="0.2">
      <c r="A4032" s="2">
        <v>2026</v>
      </c>
      <c r="B4032" s="2">
        <v>5</v>
      </c>
      <c r="D4032" s="2" t="s">
        <v>3028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15"/>
        <v>0.42947272727272723</v>
      </c>
      <c r="Z4032" s="2" t="s">
        <v>3231</v>
      </c>
      <c r="AA4032" s="2" t="s">
        <v>76</v>
      </c>
      <c r="AB4032" s="2" t="s">
        <v>77</v>
      </c>
      <c r="AC4032" s="2" t="s">
        <v>78</v>
      </c>
      <c r="AF4032" s="2">
        <f t="shared" si="507"/>
        <v>0</v>
      </c>
      <c r="AG4032" s="2">
        <v>125.51600000000001</v>
      </c>
      <c r="AH4032" s="2">
        <v>220</v>
      </c>
      <c r="AJ4032" s="2">
        <f t="shared" si="508"/>
        <v>0</v>
      </c>
      <c r="AK4032" s="2">
        <f t="shared" si="513"/>
        <v>94.483999999999995</v>
      </c>
      <c r="AL4032" s="5">
        <f t="shared" si="514"/>
        <v>0.42947272727272723</v>
      </c>
    </row>
    <row r="4033" spans="1:38" hidden="1" x14ac:dyDescent="0.2">
      <c r="A4033" s="2">
        <v>2026</v>
      </c>
      <c r="B4033" s="2">
        <v>5</v>
      </c>
      <c r="D4033" s="2" t="s">
        <v>3028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15"/>
        <v>0</v>
      </c>
      <c r="Z4033" s="2" t="s">
        <v>3231</v>
      </c>
      <c r="AA4033" s="2" t="s">
        <v>97</v>
      </c>
      <c r="AB4033" s="2" t="s">
        <v>77</v>
      </c>
      <c r="AC4033" s="2" t="s">
        <v>94</v>
      </c>
      <c r="AF4033" s="2">
        <f t="shared" si="507"/>
        <v>0</v>
      </c>
      <c r="AJ4033" s="2">
        <f>AI4033*T4033</f>
        <v>0</v>
      </c>
      <c r="AK4033" s="2">
        <f t="shared" si="513"/>
        <v>0</v>
      </c>
      <c r="AL4033" s="5">
        <f t="shared" si="514"/>
        <v>0</v>
      </c>
    </row>
    <row r="4034" spans="1:38" hidden="1" x14ac:dyDescent="0.2">
      <c r="A4034" s="2">
        <v>2026</v>
      </c>
      <c r="B4034" s="2">
        <v>5</v>
      </c>
      <c r="D4034" s="2" t="s">
        <v>3029</v>
      </c>
      <c r="M4034" s="2" t="s">
        <v>40</v>
      </c>
      <c r="O4034" s="2" t="s">
        <v>3030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15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507"/>
        <v>0</v>
      </c>
      <c r="AJ4034" s="2">
        <f t="shared" si="508"/>
        <v>0</v>
      </c>
      <c r="AK4034" s="2">
        <f t="shared" si="513"/>
        <v>352.72999999999996</v>
      </c>
      <c r="AL4034" s="5">
        <f t="shared" si="514"/>
        <v>0.50440440440440437</v>
      </c>
    </row>
    <row r="4035" spans="1:38" hidden="1" x14ac:dyDescent="0.2">
      <c r="A4035" s="2">
        <v>2026</v>
      </c>
      <c r="B4035" s="2">
        <v>5</v>
      </c>
      <c r="D4035" s="2" t="s">
        <v>3029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15"/>
        <v>0.6</v>
      </c>
      <c r="Z4035" s="2" t="s">
        <v>118</v>
      </c>
      <c r="AA4035" s="2" t="s">
        <v>191</v>
      </c>
      <c r="AB4035" s="2" t="s">
        <v>190</v>
      </c>
      <c r="AC4035" s="2" t="s">
        <v>40</v>
      </c>
      <c r="AF4035" s="2">
        <f t="shared" ref="AF4035:AF4042" si="517">AJ4035</f>
        <v>0</v>
      </c>
      <c r="AG4035" s="2">
        <f>W4035</f>
        <v>70</v>
      </c>
      <c r="AJ4035" s="2">
        <f t="shared" ref="AJ4035:AJ4044" si="518">AI4035*T4035</f>
        <v>0</v>
      </c>
      <c r="AK4035" s="2">
        <f t="shared" si="513"/>
        <v>105</v>
      </c>
      <c r="AL4035" s="5">
        <f t="shared" si="514"/>
        <v>0.6</v>
      </c>
    </row>
    <row r="4036" spans="1:38" hidden="1" x14ac:dyDescent="0.2">
      <c r="A4036" s="2">
        <v>2026</v>
      </c>
      <c r="B4036" s="2">
        <v>5</v>
      </c>
      <c r="D4036" s="2" t="s">
        <v>3029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15"/>
        <v>0.5</v>
      </c>
      <c r="Z4036" s="2" t="s">
        <v>118</v>
      </c>
      <c r="AA4036" s="2" t="s">
        <v>191</v>
      </c>
      <c r="AB4036" s="2" t="s">
        <v>191</v>
      </c>
      <c r="AC4036" s="2" t="s">
        <v>40</v>
      </c>
      <c r="AF4036" s="2">
        <f t="shared" si="517"/>
        <v>0</v>
      </c>
      <c r="AG4036" s="2">
        <f>W4036</f>
        <v>110</v>
      </c>
      <c r="AJ4036" s="2">
        <f t="shared" si="518"/>
        <v>0</v>
      </c>
      <c r="AK4036" s="2">
        <f t="shared" si="513"/>
        <v>110</v>
      </c>
      <c r="AL4036" s="5">
        <f t="shared" si="514"/>
        <v>0.5</v>
      </c>
    </row>
    <row r="4037" spans="1:38" hidden="1" x14ac:dyDescent="0.2">
      <c r="A4037" s="2">
        <v>2026</v>
      </c>
      <c r="B4037" s="2">
        <v>5</v>
      </c>
      <c r="D4037" s="2" t="s">
        <v>661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662</v>
      </c>
      <c r="J4037" s="2" t="s">
        <v>663</v>
      </c>
      <c r="L4037" s="2" t="s">
        <v>345</v>
      </c>
      <c r="M4037" s="2" t="s">
        <v>81</v>
      </c>
      <c r="O4037" s="2" t="s">
        <v>3031</v>
      </c>
      <c r="P4037" s="2" t="s">
        <v>73</v>
      </c>
      <c r="Q4037" s="2" t="s">
        <v>3032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15"/>
        <v>0.39445595854922277</v>
      </c>
      <c r="Z4037" s="2" t="s">
        <v>3231</v>
      </c>
      <c r="AA4037" s="2" t="s">
        <v>76</v>
      </c>
      <c r="AB4037" s="2" t="s">
        <v>77</v>
      </c>
      <c r="AC4037" s="2" t="s">
        <v>78</v>
      </c>
      <c r="AF4037" s="2">
        <f t="shared" si="517"/>
        <v>0</v>
      </c>
      <c r="AG4037" s="2">
        <v>125.51600000000001</v>
      </c>
      <c r="AH4037" s="2">
        <v>220</v>
      </c>
      <c r="AJ4037" s="2">
        <f t="shared" si="518"/>
        <v>0</v>
      </c>
      <c r="AK4037" s="2">
        <f t="shared" si="513"/>
        <v>76.13</v>
      </c>
      <c r="AL4037" s="5">
        <f t="shared" si="514"/>
        <v>0.39445595854922277</v>
      </c>
    </row>
    <row r="4038" spans="1:38" hidden="1" x14ac:dyDescent="0.2">
      <c r="A4038" s="2">
        <v>2026</v>
      </c>
      <c r="B4038" s="2">
        <v>5</v>
      </c>
      <c r="D4038" s="2" t="s">
        <v>661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662</v>
      </c>
      <c r="J4038" s="2" t="s">
        <v>663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15"/>
        <v>0.49690909090909086</v>
      </c>
      <c r="Z4038" s="2" t="s">
        <v>3231</v>
      </c>
      <c r="AA4038" s="2" t="s">
        <v>76</v>
      </c>
      <c r="AB4038" s="2" t="s">
        <v>77</v>
      </c>
      <c r="AC4038" s="2" t="s">
        <v>78</v>
      </c>
      <c r="AF4038" s="2">
        <f t="shared" si="517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hidden="1" x14ac:dyDescent="0.2">
      <c r="A4039" s="2">
        <v>2026</v>
      </c>
      <c r="B4039" s="2">
        <v>5</v>
      </c>
      <c r="D4039" s="2" t="s">
        <v>661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662</v>
      </c>
      <c r="J4039" s="2" t="s">
        <v>663</v>
      </c>
      <c r="L4039" s="2" t="s">
        <v>345</v>
      </c>
      <c r="M4039" s="2" t="s">
        <v>81</v>
      </c>
      <c r="P4039" s="2" t="s">
        <v>1040</v>
      </c>
      <c r="Q4039" s="2" t="s">
        <v>3033</v>
      </c>
      <c r="R4039" s="2" t="s">
        <v>3034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15"/>
        <v>0.45881818181818179</v>
      </c>
      <c r="Z4039" s="2" t="s">
        <v>3231</v>
      </c>
      <c r="AA4039" s="2" t="s">
        <v>76</v>
      </c>
      <c r="AB4039" s="2" t="s">
        <v>77</v>
      </c>
      <c r="AC4039" s="2" t="s">
        <v>1040</v>
      </c>
      <c r="AF4039" s="2">
        <f t="shared" si="517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hidden="1" x14ac:dyDescent="0.2">
      <c r="A4040" s="2">
        <v>2026</v>
      </c>
      <c r="B4040" s="2">
        <v>5</v>
      </c>
      <c r="D4040" s="2" t="s">
        <v>661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662</v>
      </c>
      <c r="J4040" s="2" t="s">
        <v>663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15"/>
        <v>2.000401846171453E-16</v>
      </c>
      <c r="Z4040" s="2" t="s">
        <v>3231</v>
      </c>
      <c r="AA4040" s="2" t="s">
        <v>97</v>
      </c>
      <c r="AB4040" s="2" t="s">
        <v>77</v>
      </c>
      <c r="AC4040" s="2" t="s">
        <v>94</v>
      </c>
      <c r="AF4040" s="2">
        <f t="shared" si="517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hidden="1" x14ac:dyDescent="0.2">
      <c r="A4041" s="2">
        <v>2026</v>
      </c>
      <c r="B4041" s="2">
        <v>5</v>
      </c>
      <c r="D4041" s="2" t="s">
        <v>2368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2369</v>
      </c>
      <c r="J4041" s="2" t="s">
        <v>2370</v>
      </c>
      <c r="K4041" s="2">
        <v>963062174</v>
      </c>
      <c r="L4041" s="2" t="s">
        <v>419</v>
      </c>
      <c r="M4041" s="2" t="s">
        <v>41</v>
      </c>
      <c r="O4041" s="2" t="s">
        <v>3035</v>
      </c>
      <c r="P4041" s="2" t="s">
        <v>283</v>
      </c>
      <c r="Q4041" s="2" t="s">
        <v>3036</v>
      </c>
      <c r="R4041" s="2" t="s">
        <v>3037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15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17"/>
        <v>0</v>
      </c>
      <c r="AG4041" s="2">
        <v>285</v>
      </c>
      <c r="AJ4041" s="2">
        <f t="shared" si="518"/>
        <v>0</v>
      </c>
      <c r="AK4041" s="2">
        <f t="shared" si="513"/>
        <v>-45</v>
      </c>
      <c r="AL4041" s="5">
        <f t="shared" si="514"/>
        <v>-0.1875</v>
      </c>
    </row>
    <row r="4042" spans="1:38" hidden="1" x14ac:dyDescent="0.2">
      <c r="A4042" s="2">
        <v>2026</v>
      </c>
      <c r="B4042" s="2">
        <v>5</v>
      </c>
      <c r="D4042" s="2" t="s">
        <v>2368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2369</v>
      </c>
      <c r="J4042" s="2" t="s">
        <v>2370</v>
      </c>
      <c r="K4042" s="2">
        <v>963062174</v>
      </c>
      <c r="L4042" s="2" t="s">
        <v>419</v>
      </c>
      <c r="M4042" s="2" t="s">
        <v>41</v>
      </c>
      <c r="O4042" s="2" t="s">
        <v>3035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15"/>
        <v>0.37647058823529411</v>
      </c>
      <c r="Z4042" s="2" t="s">
        <v>3231</v>
      </c>
      <c r="AA4042" s="2" t="s">
        <v>46</v>
      </c>
      <c r="AB4042" s="2" t="s">
        <v>57</v>
      </c>
      <c r="AC4042" s="2" t="s">
        <v>58</v>
      </c>
      <c r="AF4042" s="2">
        <f t="shared" si="517"/>
        <v>0</v>
      </c>
      <c r="AG4042" s="2">
        <v>10.6</v>
      </c>
      <c r="AH4042" s="2">
        <v>18</v>
      </c>
      <c r="AJ4042" s="2">
        <f t="shared" si="518"/>
        <v>0</v>
      </c>
      <c r="AK4042" s="2">
        <f t="shared" si="513"/>
        <v>25.6</v>
      </c>
      <c r="AL4042" s="5">
        <f t="shared" si="514"/>
        <v>0.37647058823529411</v>
      </c>
    </row>
    <row r="4043" spans="1:38" hidden="1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3038</v>
      </c>
      <c r="P4043" s="2" t="s">
        <v>115</v>
      </c>
      <c r="Q4043" s="2" t="s">
        <v>1582</v>
      </c>
      <c r="R4043" s="2" t="s">
        <v>1583</v>
      </c>
      <c r="S4043" s="2">
        <v>1</v>
      </c>
      <c r="T4043" s="2">
        <v>5490</v>
      </c>
      <c r="U4043" s="2">
        <f t="shared" ref="U4043:U4049" si="519">T4043*23%</f>
        <v>1262.7</v>
      </c>
      <c r="V4043" s="2">
        <f t="shared" ref="V4043:V4049" si="520">T4043+U4043</f>
        <v>6752.7</v>
      </c>
      <c r="W4043" s="2">
        <v>5064.2299999999996</v>
      </c>
      <c r="X4043" s="5">
        <f t="shared" si="515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18"/>
        <v>0</v>
      </c>
      <c r="AK4043" s="2">
        <f t="shared" si="513"/>
        <v>425.77000000000044</v>
      </c>
      <c r="AL4043" s="5">
        <f t="shared" si="514"/>
        <v>7.7553734061930862E-2</v>
      </c>
    </row>
    <row r="4044" spans="1:38" hidden="1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3039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 t="shared" si="519"/>
        <v>16.79</v>
      </c>
      <c r="V4044" s="2">
        <f t="shared" si="520"/>
        <v>89.789999999999992</v>
      </c>
      <c r="W4044" s="2">
        <f>T4044*40%</f>
        <v>29.200000000000003</v>
      </c>
      <c r="X4044" s="5">
        <f t="shared" si="515"/>
        <v>0.6</v>
      </c>
      <c r="Z4044" s="2" t="s">
        <v>118</v>
      </c>
      <c r="AA4044" s="2" t="s">
        <v>191</v>
      </c>
      <c r="AB4044" s="2" t="s">
        <v>190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518"/>
        <v>0</v>
      </c>
      <c r="AK4044" s="2">
        <f t="shared" si="513"/>
        <v>43.8</v>
      </c>
      <c r="AL4044" s="5">
        <f t="shared" si="514"/>
        <v>0.6</v>
      </c>
    </row>
    <row r="4045" spans="1:38" hidden="1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3039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 t="shared" si="519"/>
        <v>12.65</v>
      </c>
      <c r="V4045" s="2">
        <f t="shared" si="520"/>
        <v>67.650000000000006</v>
      </c>
      <c r="W4045" s="2">
        <f>T4045*50%</f>
        <v>27.5</v>
      </c>
      <c r="X4045" s="5">
        <f t="shared" si="515"/>
        <v>0.5</v>
      </c>
      <c r="Z4045" s="2" t="s">
        <v>118</v>
      </c>
      <c r="AA4045" s="2" t="s">
        <v>191</v>
      </c>
      <c r="AB4045" s="2" t="s">
        <v>191</v>
      </c>
      <c r="AC4045" s="2" t="s">
        <v>40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hidden="1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 t="shared" si="519"/>
        <v>59.800000000000004</v>
      </c>
      <c r="V4046" s="10">
        <f t="shared" si="520"/>
        <v>319.8</v>
      </c>
      <c r="W4046" s="2">
        <v>152.85</v>
      </c>
      <c r="X4046" s="5">
        <f t="shared" si="515"/>
        <v>0.41211538461538466</v>
      </c>
      <c r="Z4046" s="2" t="s">
        <v>3231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hidden="1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 t="shared" si="519"/>
        <v>0.34040000000000004</v>
      </c>
      <c r="V4047" s="10">
        <f t="shared" si="520"/>
        <v>1.8204</v>
      </c>
      <c r="W4047" s="2">
        <f>1.48*S4047</f>
        <v>1.48</v>
      </c>
      <c r="X4047" s="5">
        <f t="shared" si="515"/>
        <v>0</v>
      </c>
      <c r="Z4047" s="2" t="s">
        <v>3231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hidden="1" x14ac:dyDescent="0.2">
      <c r="A4048" s="8">
        <v>2026</v>
      </c>
      <c r="B4048" s="8">
        <v>6</v>
      </c>
      <c r="C4048" s="8" t="s">
        <v>3327</v>
      </c>
      <c r="D4048" s="2" t="s">
        <v>1452</v>
      </c>
      <c r="E4048" s="2" t="s">
        <v>38</v>
      </c>
      <c r="F4048" s="2" t="s">
        <v>478</v>
      </c>
      <c r="L4048" s="2" t="s">
        <v>113</v>
      </c>
      <c r="M4048" s="2" t="s">
        <v>40</v>
      </c>
      <c r="P4048" s="2" t="s">
        <v>115</v>
      </c>
      <c r="Q4048" s="2" t="s">
        <v>1081</v>
      </c>
      <c r="R4048" s="2" t="s">
        <v>1082</v>
      </c>
      <c r="S4048" s="9">
        <v>1</v>
      </c>
      <c r="T4048" s="10">
        <v>77.48</v>
      </c>
      <c r="U4048" s="2">
        <f t="shared" si="519"/>
        <v>17.820400000000003</v>
      </c>
      <c r="V4048" s="10">
        <f t="shared" si="520"/>
        <v>95.30040000000001</v>
      </c>
      <c r="X4048" s="5">
        <f t="shared" si="515"/>
        <v>1</v>
      </c>
      <c r="Z4048" s="2" t="s">
        <v>118</v>
      </c>
      <c r="AA4048" s="2" t="s">
        <v>119</v>
      </c>
      <c r="AB4048" s="2" t="s">
        <v>120</v>
      </c>
      <c r="AC4048" s="2" t="s">
        <v>115</v>
      </c>
      <c r="AI4048" s="2"/>
      <c r="AL4048" s="2"/>
    </row>
    <row r="4049" spans="1:38" hidden="1" x14ac:dyDescent="0.2">
      <c r="A4049" s="8">
        <v>2026</v>
      </c>
      <c r="B4049" s="8">
        <v>6</v>
      </c>
      <c r="C4049" s="8" t="s">
        <v>3327</v>
      </c>
      <c r="D4049" s="2" t="s">
        <v>1452</v>
      </c>
      <c r="E4049" s="2" t="s">
        <v>38</v>
      </c>
      <c r="F4049" s="2" t="s">
        <v>478</v>
      </c>
      <c r="L4049" s="2" t="s">
        <v>113</v>
      </c>
      <c r="M4049" s="2" t="s">
        <v>40</v>
      </c>
      <c r="P4049" s="2" t="s">
        <v>115</v>
      </c>
      <c r="Q4049" s="2" t="s">
        <v>2484</v>
      </c>
      <c r="R4049" s="2" t="s">
        <v>1389</v>
      </c>
      <c r="S4049" s="9">
        <v>1</v>
      </c>
      <c r="T4049" s="10">
        <v>466.58</v>
      </c>
      <c r="U4049" s="2">
        <f t="shared" si="519"/>
        <v>107.3134</v>
      </c>
      <c r="V4049" s="10">
        <f t="shared" si="520"/>
        <v>573.89339999999993</v>
      </c>
      <c r="X4049" s="5">
        <f t="shared" si="515"/>
        <v>1</v>
      </c>
      <c r="Z4049" s="2" t="s">
        <v>118</v>
      </c>
      <c r="AA4049" s="2" t="s">
        <v>119</v>
      </c>
      <c r="AB4049" s="2" t="s">
        <v>120</v>
      </c>
      <c r="AC4049" s="2" t="s">
        <v>115</v>
      </c>
      <c r="AI4049" s="2"/>
      <c r="AL4049" s="2"/>
    </row>
    <row r="4050" spans="1:38" hidden="1" x14ac:dyDescent="0.2">
      <c r="A4050" s="8">
        <v>2026</v>
      </c>
      <c r="B4050" s="8">
        <v>6</v>
      </c>
      <c r="C4050" s="8" t="s">
        <v>3327</v>
      </c>
      <c r="D4050" s="2" t="s">
        <v>1452</v>
      </c>
      <c r="E4050" s="2" t="s">
        <v>38</v>
      </c>
      <c r="F4050" s="2" t="s">
        <v>478</v>
      </c>
      <c r="L4050" s="2" t="s">
        <v>113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21">T4050*23%</f>
        <v>28.75</v>
      </c>
      <c r="V4050" s="2">
        <f t="shared" ref="V4050:V4064" si="522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B4050" s="2" t="s">
        <v>190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hidden="1" x14ac:dyDescent="0.2">
      <c r="A4051" s="8">
        <v>2026</v>
      </c>
      <c r="B4051" s="8">
        <v>6</v>
      </c>
      <c r="C4051" s="8" t="s">
        <v>3327</v>
      </c>
      <c r="D4051" s="2" t="s">
        <v>1452</v>
      </c>
      <c r="E4051" s="2" t="s">
        <v>38</v>
      </c>
      <c r="F4051" s="2" t="s">
        <v>478</v>
      </c>
      <c r="L4051" s="2" t="s">
        <v>113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21"/>
        <v>25.3</v>
      </c>
      <c r="V4051" s="2">
        <f t="shared" si="522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B4051" s="2" t="s">
        <v>191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hidden="1" x14ac:dyDescent="0.2">
      <c r="A4052" s="8">
        <v>2026</v>
      </c>
      <c r="B4052" s="8">
        <v>6</v>
      </c>
      <c r="C4052" s="8"/>
      <c r="D4052" s="2" t="s">
        <v>1325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21"/>
        <v>4.1400000000000006</v>
      </c>
      <c r="V4052" s="10">
        <f t="shared" si="522"/>
        <v>22.14</v>
      </c>
      <c r="X4052" s="5">
        <f>(T4052-W4052)/T4052</f>
        <v>1</v>
      </c>
      <c r="Z4052" s="2" t="s">
        <v>3231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hidden="1" x14ac:dyDescent="0.2">
      <c r="A4053" s="8">
        <v>2026</v>
      </c>
      <c r="B4053" s="8">
        <v>6</v>
      </c>
      <c r="C4053" s="8"/>
      <c r="D4053" s="2" t="s">
        <v>1325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21"/>
        <v>2.99</v>
      </c>
      <c r="V4053" s="10">
        <f t="shared" si="522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3231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23">T4053-W4053</f>
        <v>4.7999999999999989</v>
      </c>
      <c r="AL4053" s="5">
        <f t="shared" ref="AL4053" si="524">(T4053-W4053)/T4053</f>
        <v>0.36923076923076914</v>
      </c>
    </row>
    <row r="4054" spans="1:38" hidden="1" x14ac:dyDescent="0.2">
      <c r="A4054" s="8">
        <v>2026</v>
      </c>
      <c r="B4054" s="8">
        <v>6</v>
      </c>
      <c r="C4054" s="8"/>
      <c r="D4054" s="2" t="s">
        <v>1325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21"/>
        <v>4.6000000000000005</v>
      </c>
      <c r="V4054" s="10">
        <f t="shared" si="522"/>
        <v>24.6</v>
      </c>
      <c r="X4054" s="5">
        <f>(T4054-W4054)/T4054</f>
        <v>1</v>
      </c>
      <c r="Z4054" s="2" t="s">
        <v>3231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hidden="1" x14ac:dyDescent="0.2">
      <c r="A4055" s="8">
        <v>2026</v>
      </c>
      <c r="B4055" s="8">
        <v>6</v>
      </c>
      <c r="C4055" s="8"/>
      <c r="D4055" s="2" t="s">
        <v>3105</v>
      </c>
      <c r="P4055" s="2" t="s">
        <v>1040</v>
      </c>
      <c r="Q4055" s="2" t="s">
        <v>3040</v>
      </c>
      <c r="R4055" s="2" t="s">
        <v>3041</v>
      </c>
      <c r="S4055" s="9">
        <v>1</v>
      </c>
      <c r="T4055" s="10">
        <v>280</v>
      </c>
      <c r="U4055" s="2">
        <f t="shared" si="521"/>
        <v>64.400000000000006</v>
      </c>
      <c r="V4055" s="2">
        <f t="shared" si="522"/>
        <v>344.4</v>
      </c>
      <c r="W4055" s="2">
        <v>153.4</v>
      </c>
      <c r="X4055" s="5">
        <f t="shared" ref="X4055:X4060" si="525">(T4055-W4055)/T4055</f>
        <v>0.45214285714285712</v>
      </c>
      <c r="Z4055" s="2" t="s">
        <v>3231</v>
      </c>
      <c r="AA4055" s="2" t="s">
        <v>76</v>
      </c>
      <c r="AB4055" s="2" t="s">
        <v>77</v>
      </c>
      <c r="AC4055" s="2" t="s">
        <v>1040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hidden="1" x14ac:dyDescent="0.2">
      <c r="A4056" s="8">
        <v>2026</v>
      </c>
      <c r="B4056" s="8">
        <v>6</v>
      </c>
      <c r="C4056" s="8"/>
      <c r="D4056" s="2" t="s">
        <v>3105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21"/>
        <v>0.34040000000000004</v>
      </c>
      <c r="V4056" s="10">
        <f t="shared" si="522"/>
        <v>1.8204</v>
      </c>
      <c r="W4056" s="2">
        <f>1.48*S4056</f>
        <v>1.48</v>
      </c>
      <c r="X4056" s="5">
        <f t="shared" si="525"/>
        <v>0</v>
      </c>
      <c r="Z4056" s="2" t="s">
        <v>3231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hidden="1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21"/>
        <v>4.83</v>
      </c>
      <c r="V4057" s="10">
        <f t="shared" si="522"/>
        <v>25.83</v>
      </c>
      <c r="X4057" s="5">
        <f t="shared" si="525"/>
        <v>1</v>
      </c>
      <c r="Z4057" s="2" t="s">
        <v>3231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hidden="1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21"/>
        <v>6.9</v>
      </c>
      <c r="V4058" s="10">
        <f t="shared" si="522"/>
        <v>36.9</v>
      </c>
      <c r="X4058" s="5">
        <f t="shared" si="525"/>
        <v>1</v>
      </c>
      <c r="Z4058" s="2" t="s">
        <v>3231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hidden="1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21"/>
        <v>4.5540000000000003</v>
      </c>
      <c r="V4059" s="10">
        <f t="shared" si="522"/>
        <v>24.353999999999999</v>
      </c>
      <c r="X4059" s="5">
        <f t="shared" si="525"/>
        <v>1</v>
      </c>
      <c r="Z4059" s="2" t="s">
        <v>3231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hidden="1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21"/>
        <v>8.2800000000000011</v>
      </c>
      <c r="V4060" s="10">
        <f t="shared" si="522"/>
        <v>44.28</v>
      </c>
      <c r="X4060" s="5">
        <f t="shared" si="525"/>
        <v>1</v>
      </c>
      <c r="Z4060" s="2" t="s">
        <v>3231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hidden="1" x14ac:dyDescent="0.2">
      <c r="A4061" s="8">
        <v>2026</v>
      </c>
      <c r="B4061" s="8">
        <v>6</v>
      </c>
      <c r="C4061" s="8"/>
      <c r="D4061" s="2" t="s">
        <v>1152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21"/>
        <v>50.6</v>
      </c>
      <c r="V4061" s="10">
        <f t="shared" si="522"/>
        <v>270.60000000000002</v>
      </c>
      <c r="W4061" s="2">
        <v>131.93</v>
      </c>
      <c r="X4061" s="5">
        <f>(T4061-W4061)/T4061</f>
        <v>0.4003181818181818</v>
      </c>
      <c r="Z4061" s="2" t="s">
        <v>3231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hidden="1" x14ac:dyDescent="0.2">
      <c r="A4062" s="8">
        <v>2026</v>
      </c>
      <c r="B4062" s="8">
        <v>6</v>
      </c>
      <c r="C4062" s="8"/>
      <c r="D4062" s="2" t="s">
        <v>1152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21"/>
        <v>0.34040000000000004</v>
      </c>
      <c r="V4062" s="10">
        <f t="shared" si="522"/>
        <v>1.8204</v>
      </c>
      <c r="W4062" s="2">
        <f>1.48*S4062</f>
        <v>1.48</v>
      </c>
      <c r="X4062" s="5">
        <f>(T4062-W4062)/T4062</f>
        <v>0</v>
      </c>
      <c r="Z4062" s="2" t="s">
        <v>3231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hidden="1" x14ac:dyDescent="0.2">
      <c r="A4063" s="8">
        <v>2026</v>
      </c>
      <c r="B4063" s="8">
        <v>6</v>
      </c>
      <c r="C4063" s="8"/>
      <c r="D4063" s="2" t="s">
        <v>688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21"/>
        <v>13.8</v>
      </c>
      <c r="V4063" s="2">
        <f t="shared" si="522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B4063" s="2" t="s">
        <v>190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hidden="1" x14ac:dyDescent="0.2">
      <c r="A4064" s="8">
        <v>2026</v>
      </c>
      <c r="B4064" s="8">
        <v>6</v>
      </c>
      <c r="C4064" s="8"/>
      <c r="D4064" s="2" t="s">
        <v>688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21"/>
        <v>12.65</v>
      </c>
      <c r="V4064" s="2">
        <f t="shared" si="522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B4064" s="2" t="s">
        <v>191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hidden="1" x14ac:dyDescent="0.2">
      <c r="A4065" s="8">
        <v>2026</v>
      </c>
      <c r="B4065" s="8">
        <v>6</v>
      </c>
      <c r="C4065" s="8"/>
      <c r="D4065" s="2" t="s">
        <v>690</v>
      </c>
      <c r="M4065" s="2" t="s">
        <v>40</v>
      </c>
      <c r="P4065" s="2" t="s">
        <v>115</v>
      </c>
      <c r="Q4065" s="2" t="s">
        <v>906</v>
      </c>
      <c r="R4065" s="2" t="s">
        <v>907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26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hidden="1" x14ac:dyDescent="0.2">
      <c r="A4066" s="8">
        <v>2026</v>
      </c>
      <c r="B4066" s="8">
        <v>6</v>
      </c>
      <c r="C4066" s="8"/>
      <c r="D4066" s="2" t="s">
        <v>1981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26"/>
        <v>0.25</v>
      </c>
      <c r="Z4066" s="2" t="s">
        <v>3231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hidden="1" x14ac:dyDescent="0.2">
      <c r="A4067" s="8">
        <v>2026</v>
      </c>
      <c r="B4067" s="8">
        <v>6</v>
      </c>
      <c r="C4067" s="8"/>
      <c r="D4067" s="2" t="s">
        <v>1170</v>
      </c>
      <c r="P4067" s="2" t="s">
        <v>43</v>
      </c>
      <c r="Q4067" s="2" t="s">
        <v>973</v>
      </c>
      <c r="R4067" s="2" t="s">
        <v>974</v>
      </c>
      <c r="S4067" s="9">
        <v>4</v>
      </c>
      <c r="T4067" s="10">
        <v>116</v>
      </c>
      <c r="U4067" s="2">
        <f t="shared" ref="U4067:U4072" si="527">T4067*23%</f>
        <v>26.68</v>
      </c>
      <c r="V4067" s="10">
        <f t="shared" ref="V4067:V4072" si="528">T4067+U4067</f>
        <v>142.68</v>
      </c>
      <c r="X4067" s="5">
        <f t="shared" ref="X4067:X4073" si="529">(T4067-W4067)/T4067</f>
        <v>1</v>
      </c>
      <c r="Z4067" s="2" t="s">
        <v>3231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hidden="1" x14ac:dyDescent="0.2">
      <c r="A4068" s="2">
        <v>2026</v>
      </c>
      <c r="B4068" s="2">
        <v>4</v>
      </c>
      <c r="D4068" s="2" t="s">
        <v>3266</v>
      </c>
      <c r="E4068" s="2" t="s">
        <v>38</v>
      </c>
      <c r="F4068" s="2" t="s">
        <v>3425</v>
      </c>
      <c r="G4068" s="2">
        <v>500844321</v>
      </c>
      <c r="H4068" s="2" t="s">
        <v>40</v>
      </c>
      <c r="I4068" s="2" t="s">
        <v>340</v>
      </c>
      <c r="J4068" s="2" t="s">
        <v>2650</v>
      </c>
      <c r="L4068" s="2" t="s">
        <v>340</v>
      </c>
      <c r="M4068" s="2" t="s">
        <v>291</v>
      </c>
      <c r="O4068" s="2" t="s">
        <v>3265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27"/>
        <v>4577</v>
      </c>
      <c r="V4068" s="2">
        <f t="shared" si="528"/>
        <v>24477</v>
      </c>
      <c r="W4068" s="2">
        <f>10699.41+285.74</f>
        <v>10985.15</v>
      </c>
      <c r="X4068" s="5">
        <f t="shared" si="529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K4068" s="2">
        <f t="shared" ref="AK4068" si="530">T4068-W4068</f>
        <v>8914.85</v>
      </c>
      <c r="AL4068" s="5">
        <f t="shared" ref="AL4068" si="531">(T4068-W4068)/T4068</f>
        <v>0.44798241206030154</v>
      </c>
    </row>
    <row r="4069" spans="1:38" hidden="1" x14ac:dyDescent="0.2">
      <c r="A4069" s="8">
        <v>2026</v>
      </c>
      <c r="B4069" s="8">
        <v>6</v>
      </c>
      <c r="C4069" s="8"/>
      <c r="D4069" s="2" t="s">
        <v>3262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2650</v>
      </c>
      <c r="L4069" s="2" t="s">
        <v>419</v>
      </c>
      <c r="M4069" s="2" t="s">
        <v>41</v>
      </c>
      <c r="O4069" s="2" t="s">
        <v>3267</v>
      </c>
      <c r="P4069" s="2" t="s">
        <v>115</v>
      </c>
      <c r="Q4069" s="2" t="s">
        <v>957</v>
      </c>
      <c r="R4069" s="2" t="s">
        <v>958</v>
      </c>
      <c r="S4069" s="9">
        <v>1</v>
      </c>
      <c r="T4069" s="10">
        <v>8930</v>
      </c>
      <c r="U4069" s="2">
        <f t="shared" si="527"/>
        <v>2053.9</v>
      </c>
      <c r="V4069" s="10">
        <f t="shared" si="528"/>
        <v>10983.9</v>
      </c>
      <c r="W4069" s="2">
        <f>6348.73+221.85</f>
        <v>6570.58</v>
      </c>
      <c r="X4069" s="5">
        <f t="shared" si="529"/>
        <v>0.2642127659574468</v>
      </c>
      <c r="Z4069" s="2" t="s">
        <v>105</v>
      </c>
      <c r="AA4069" s="2" t="s">
        <v>617</v>
      </c>
      <c r="AB4069" s="2" t="s">
        <v>3268</v>
      </c>
      <c r="AC4069" s="2" t="s">
        <v>115</v>
      </c>
      <c r="AI4069" s="2"/>
      <c r="AL4069" s="2"/>
    </row>
    <row r="4070" spans="1:38" hidden="1" x14ac:dyDescent="0.2">
      <c r="A4070" s="8">
        <v>2026</v>
      </c>
      <c r="B4070" s="8">
        <v>6</v>
      </c>
      <c r="C4070" s="8"/>
      <c r="D4070" s="2" t="s">
        <v>3262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2650</v>
      </c>
      <c r="L4070" s="2" t="s">
        <v>419</v>
      </c>
      <c r="M4070" s="2" t="s">
        <v>41</v>
      </c>
      <c r="O4070" s="2" t="s">
        <v>3267</v>
      </c>
      <c r="P4070" s="2" t="s">
        <v>115</v>
      </c>
      <c r="Q4070" s="2" t="s">
        <v>1582</v>
      </c>
      <c r="R4070" s="2" t="s">
        <v>1583</v>
      </c>
      <c r="S4070" s="9">
        <v>1</v>
      </c>
      <c r="T4070" s="10">
        <v>6990</v>
      </c>
      <c r="U4070" s="2">
        <f t="shared" si="527"/>
        <v>1607.7</v>
      </c>
      <c r="V4070" s="10">
        <f t="shared" si="528"/>
        <v>8597.7000000000007</v>
      </c>
      <c r="W4070" s="2">
        <f>4893.23+171</f>
        <v>5064.2299999999996</v>
      </c>
      <c r="X4070" s="5">
        <f t="shared" si="529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hidden="1" x14ac:dyDescent="0.2">
      <c r="A4071" s="8">
        <v>2026</v>
      </c>
      <c r="B4071" s="8">
        <v>6</v>
      </c>
      <c r="C4071" s="8"/>
      <c r="D4071" s="2" t="s">
        <v>3109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27"/>
        <v>72.22</v>
      </c>
      <c r="V4071" s="2">
        <f t="shared" si="528"/>
        <v>386.22</v>
      </c>
      <c r="W4071" s="2">
        <f>T4071*40%</f>
        <v>125.60000000000001</v>
      </c>
      <c r="X4071" s="5">
        <f t="shared" si="529"/>
        <v>0.6</v>
      </c>
      <c r="Z4071" s="2" t="s">
        <v>118</v>
      </c>
      <c r="AA4071" s="2" t="s">
        <v>191</v>
      </c>
      <c r="AB4071" s="2" t="s">
        <v>190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hidden="1" x14ac:dyDescent="0.2">
      <c r="A4072" s="8">
        <v>2026</v>
      </c>
      <c r="B4072" s="8">
        <v>6</v>
      </c>
      <c r="C4072" s="8"/>
      <c r="D4072" s="2" t="s">
        <v>3109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27"/>
        <v>50.6</v>
      </c>
      <c r="V4072" s="2">
        <f t="shared" si="528"/>
        <v>270.60000000000002</v>
      </c>
      <c r="W4072" s="2">
        <f>T4072*50%</f>
        <v>110</v>
      </c>
      <c r="X4072" s="5">
        <f t="shared" si="529"/>
        <v>0.5</v>
      </c>
      <c r="Z4072" s="2" t="s">
        <v>118</v>
      </c>
      <c r="AA4072" s="2" t="s">
        <v>191</v>
      </c>
      <c r="AB4072" s="2" t="s">
        <v>191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hidden="1" x14ac:dyDescent="0.2">
      <c r="A4073" s="8">
        <v>2026</v>
      </c>
      <c r="B4073" s="8">
        <v>6</v>
      </c>
      <c r="C4073" s="8"/>
      <c r="D4073" s="2" t="s">
        <v>3109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U4073" s="2">
        <f>T4073*23%</f>
        <v>23</v>
      </c>
      <c r="V4073" s="10">
        <f>T4073+U4073</f>
        <v>123</v>
      </c>
      <c r="X4073" s="5">
        <f t="shared" si="529"/>
        <v>1</v>
      </c>
      <c r="Z4073" s="2" t="s">
        <v>120</v>
      </c>
      <c r="AA4073" s="2" t="s">
        <v>3385</v>
      </c>
      <c r="AI4073" s="2"/>
      <c r="AK4073" s="2">
        <f t="shared" ref="AK4073" si="532">T4073-W4073</f>
        <v>100</v>
      </c>
      <c r="AL4073" s="5">
        <f t="shared" ref="AL4073" si="533">(T4073-W4073)/T4073</f>
        <v>1</v>
      </c>
    </row>
    <row r="4074" spans="1:38" hidden="1" x14ac:dyDescent="0.2">
      <c r="A4074" s="8">
        <v>2026</v>
      </c>
      <c r="B4074" s="8">
        <v>6</v>
      </c>
      <c r="C4074" s="8"/>
      <c r="D4074" s="2" t="s">
        <v>2127</v>
      </c>
      <c r="P4074" s="2" t="s">
        <v>1040</v>
      </c>
      <c r="Q4074" s="2" t="s">
        <v>3042</v>
      </c>
      <c r="R4074" s="2" t="s">
        <v>3043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3231</v>
      </c>
      <c r="AA4074" s="2" t="s">
        <v>1043</v>
      </c>
      <c r="AB4074" s="2" t="s">
        <v>1272</v>
      </c>
      <c r="AC4074" s="2" t="s">
        <v>1040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hidden="1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3231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34">T4075-W4075</f>
        <v>18.878</v>
      </c>
      <c r="AL4075" s="5">
        <f t="shared" ref="AL4075" si="535">(T4075-W4075)/T4075</f>
        <v>0.5243888888888889</v>
      </c>
    </row>
    <row r="4076" spans="1:38" hidden="1" x14ac:dyDescent="0.2">
      <c r="A4076" s="8">
        <v>2026</v>
      </c>
      <c r="B4076" s="8">
        <v>6</v>
      </c>
      <c r="C4076" s="8"/>
      <c r="D4076" s="2" t="s">
        <v>3103</v>
      </c>
      <c r="P4076" s="2" t="s">
        <v>115</v>
      </c>
      <c r="Q4076" s="2" t="s">
        <v>835</v>
      </c>
      <c r="R4076" s="2" t="s">
        <v>836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hidden="1" x14ac:dyDescent="0.2">
      <c r="A4077" s="8">
        <v>2026</v>
      </c>
      <c r="B4077" s="8">
        <v>6</v>
      </c>
      <c r="C4077" s="8"/>
      <c r="D4077" s="2" t="s">
        <v>3103</v>
      </c>
      <c r="P4077" s="2" t="s">
        <v>115</v>
      </c>
      <c r="Q4077" s="2" t="s">
        <v>2118</v>
      </c>
      <c r="R4077" s="2" t="s">
        <v>2119</v>
      </c>
      <c r="S4077" s="9">
        <v>1</v>
      </c>
      <c r="T4077" s="10">
        <v>700</v>
      </c>
      <c r="U4077" s="2">
        <f>T4077*23%</f>
        <v>161</v>
      </c>
      <c r="V4077" s="10">
        <f>T4077+U4077</f>
        <v>861</v>
      </c>
      <c r="X4077" s="5">
        <f t="shared" ref="X4077" si="536">(T4077-W4077)/T4077</f>
        <v>1</v>
      </c>
      <c r="AI4077" s="2"/>
      <c r="AK4077" s="2">
        <f t="shared" ref="AK4077" si="537">T4077-W4077</f>
        <v>700</v>
      </c>
      <c r="AL4077" s="5">
        <f t="shared" ref="AL4077" si="538">(T4077-W4077)/T4077</f>
        <v>1</v>
      </c>
    </row>
    <row r="4078" spans="1:38" hidden="1" x14ac:dyDescent="0.2">
      <c r="A4078" s="8">
        <v>2026</v>
      </c>
      <c r="B4078" s="8">
        <v>6</v>
      </c>
      <c r="C4078" s="8"/>
      <c r="D4078" s="2" t="s">
        <v>3103</v>
      </c>
      <c r="P4078" s="2" t="s">
        <v>115</v>
      </c>
      <c r="Q4078" s="2" t="s">
        <v>1185</v>
      </c>
      <c r="R4078" s="2" t="s">
        <v>1186</v>
      </c>
      <c r="S4078" s="9">
        <v>1</v>
      </c>
      <c r="T4078" s="10">
        <v>11500</v>
      </c>
      <c r="U4078" s="2">
        <f>T4078*23%</f>
        <v>2645</v>
      </c>
      <c r="V4078" s="10">
        <f>T4078+U4078</f>
        <v>14145</v>
      </c>
      <c r="X4078" s="5">
        <f t="shared" ref="X4078" si="539">(T4078-W4078)/T4078</f>
        <v>1</v>
      </c>
      <c r="Z4078" s="2" t="s">
        <v>105</v>
      </c>
      <c r="AI4078" s="2"/>
      <c r="AL4078" s="2"/>
    </row>
    <row r="4079" spans="1:38" hidden="1" x14ac:dyDescent="0.2">
      <c r="A4079" s="8">
        <v>2026</v>
      </c>
      <c r="B4079" s="8">
        <v>6</v>
      </c>
      <c r="C4079" s="8" t="s">
        <v>3383</v>
      </c>
      <c r="D4079" s="2" t="s">
        <v>1357</v>
      </c>
      <c r="E4079" s="2" t="s">
        <v>753</v>
      </c>
      <c r="F4079" s="2" t="s">
        <v>39</v>
      </c>
      <c r="G4079" s="2">
        <v>518238334</v>
      </c>
      <c r="H4079" s="2" t="s">
        <v>41</v>
      </c>
      <c r="I4079" s="2" t="s">
        <v>763</v>
      </c>
      <c r="J4079" s="2" t="s">
        <v>1358</v>
      </c>
      <c r="L4079" s="2" t="s">
        <v>419</v>
      </c>
      <c r="M4079" s="2" t="s">
        <v>41</v>
      </c>
      <c r="P4079" s="2" t="s">
        <v>43</v>
      </c>
      <c r="Q4079" s="2" t="s">
        <v>2927</v>
      </c>
      <c r="R4079" s="2" t="s">
        <v>270</v>
      </c>
      <c r="S4079" s="9">
        <v>1</v>
      </c>
      <c r="T4079" s="10">
        <v>10.8</v>
      </c>
      <c r="U4079" s="2">
        <f t="shared" ref="U4079:U4105" si="540">T4079*23%</f>
        <v>2.4840000000000004</v>
      </c>
      <c r="V4079" s="10">
        <f t="shared" ref="V4079:V4106" si="541">T4079+U4079</f>
        <v>13.284000000000001</v>
      </c>
      <c r="W4079" s="2">
        <v>5.23</v>
      </c>
      <c r="X4079" s="5">
        <f t="shared" ref="X4079:X4109" si="542">(T4079-W4079)/T4079</f>
        <v>0.51574074074074072</v>
      </c>
      <c r="Z4079" s="2" t="s">
        <v>3231</v>
      </c>
      <c r="AA4079" s="2" t="s">
        <v>46</v>
      </c>
      <c r="AB4079" s="2" t="s">
        <v>91</v>
      </c>
      <c r="AC4079" s="2" t="s">
        <v>58</v>
      </c>
      <c r="AI4079" s="2"/>
      <c r="AK4079" s="2">
        <f t="shared" ref="AK4079:AK4109" si="543">T4079-W4079</f>
        <v>5.57</v>
      </c>
      <c r="AL4079" s="5">
        <f t="shared" ref="AL4079:AL4109" si="544">(T4079-W4079)/T4079</f>
        <v>0.51574074074074072</v>
      </c>
    </row>
    <row r="4080" spans="1:38" hidden="1" x14ac:dyDescent="0.2">
      <c r="A4080" s="8">
        <v>2026</v>
      </c>
      <c r="B4080" s="8">
        <v>6</v>
      </c>
      <c r="C4080" s="8" t="s">
        <v>3383</v>
      </c>
      <c r="D4080" s="2" t="s">
        <v>1357</v>
      </c>
      <c r="E4080" s="2" t="s">
        <v>753</v>
      </c>
      <c r="F4080" s="2" t="s">
        <v>39</v>
      </c>
      <c r="G4080" s="2">
        <v>518238334</v>
      </c>
      <c r="H4080" s="2" t="s">
        <v>41</v>
      </c>
      <c r="I4080" s="2" t="s">
        <v>763</v>
      </c>
      <c r="J4080" s="2" t="s">
        <v>1358</v>
      </c>
      <c r="L4080" s="2" t="s">
        <v>419</v>
      </c>
      <c r="M4080" s="2" t="s">
        <v>41</v>
      </c>
      <c r="P4080" s="2" t="s">
        <v>43</v>
      </c>
      <c r="Q4080" s="2" t="s">
        <v>2928</v>
      </c>
      <c r="R4080" s="2" t="s">
        <v>2929</v>
      </c>
      <c r="S4080" s="9">
        <v>1</v>
      </c>
      <c r="T4080" s="10">
        <v>3.6</v>
      </c>
      <c r="U4080" s="2">
        <f t="shared" si="540"/>
        <v>0.82800000000000007</v>
      </c>
      <c r="V4080" s="10">
        <f t="shared" si="541"/>
        <v>4.4279999999999999</v>
      </c>
      <c r="W4080" s="2">
        <f>0.97*S4080</f>
        <v>0.97</v>
      </c>
      <c r="X4080" s="5">
        <f t="shared" si="542"/>
        <v>0.73055555555555551</v>
      </c>
      <c r="Z4080" s="2" t="s">
        <v>3231</v>
      </c>
      <c r="AA4080" s="2" t="s">
        <v>46</v>
      </c>
      <c r="AB4080" s="2" t="s">
        <v>91</v>
      </c>
      <c r="AC4080" s="2" t="s">
        <v>58</v>
      </c>
      <c r="AI4080" s="2"/>
      <c r="AK4080" s="2">
        <f t="shared" si="543"/>
        <v>2.63</v>
      </c>
      <c r="AL4080" s="5">
        <f t="shared" si="544"/>
        <v>0.73055555555555551</v>
      </c>
    </row>
    <row r="4081" spans="1:38" hidden="1" x14ac:dyDescent="0.2">
      <c r="A4081" s="8">
        <v>2026</v>
      </c>
      <c r="B4081" s="8">
        <v>6</v>
      </c>
      <c r="C4081" s="8" t="s">
        <v>3383</v>
      </c>
      <c r="D4081" s="2" t="s">
        <v>1357</v>
      </c>
      <c r="E4081" s="2" t="s">
        <v>753</v>
      </c>
      <c r="F4081" s="2" t="s">
        <v>39</v>
      </c>
      <c r="G4081" s="2">
        <v>518238334</v>
      </c>
      <c r="H4081" s="2" t="s">
        <v>41</v>
      </c>
      <c r="I4081" s="2" t="s">
        <v>763</v>
      </c>
      <c r="J4081" s="2" t="s">
        <v>1358</v>
      </c>
      <c r="L4081" s="2" t="s">
        <v>419</v>
      </c>
      <c r="M4081" s="2" t="s">
        <v>41</v>
      </c>
      <c r="P4081" s="2" t="s">
        <v>43</v>
      </c>
      <c r="Q4081" s="2" t="s">
        <v>352</v>
      </c>
      <c r="R4081" s="2" t="s">
        <v>353</v>
      </c>
      <c r="S4081" s="9">
        <v>1</v>
      </c>
      <c r="T4081" s="10">
        <v>21</v>
      </c>
      <c r="U4081" s="2">
        <f t="shared" si="540"/>
        <v>4.83</v>
      </c>
      <c r="V4081" s="10">
        <f t="shared" si="541"/>
        <v>25.83</v>
      </c>
      <c r="W4081" s="2">
        <f>10.67*S4081</f>
        <v>10.67</v>
      </c>
      <c r="X4081" s="5">
        <f t="shared" si="542"/>
        <v>0.4919047619047619</v>
      </c>
      <c r="Z4081" s="2" t="s">
        <v>3231</v>
      </c>
      <c r="AA4081" s="2" t="s">
        <v>46</v>
      </c>
      <c r="AB4081" s="2" t="s">
        <v>47</v>
      </c>
      <c r="AC4081" s="2" t="s">
        <v>48</v>
      </c>
      <c r="AI4081" s="2"/>
      <c r="AK4081" s="2">
        <f t="shared" si="543"/>
        <v>10.33</v>
      </c>
      <c r="AL4081" s="5">
        <f t="shared" si="544"/>
        <v>0.4919047619047619</v>
      </c>
    </row>
    <row r="4082" spans="1:38" hidden="1" x14ac:dyDescent="0.2">
      <c r="A4082" s="8">
        <v>2026</v>
      </c>
      <c r="B4082" s="8">
        <v>6</v>
      </c>
      <c r="C4082" s="8" t="s">
        <v>3383</v>
      </c>
      <c r="D4082" s="2" t="s">
        <v>1357</v>
      </c>
      <c r="E4082" s="2" t="s">
        <v>753</v>
      </c>
      <c r="F4082" s="2" t="s">
        <v>39</v>
      </c>
      <c r="G4082" s="2">
        <v>518238334</v>
      </c>
      <c r="H4082" s="2" t="s">
        <v>41</v>
      </c>
      <c r="I4082" s="2" t="s">
        <v>763</v>
      </c>
      <c r="J4082" s="2" t="s">
        <v>1358</v>
      </c>
      <c r="L4082" s="2" t="s">
        <v>419</v>
      </c>
      <c r="M4082" s="2" t="s">
        <v>41</v>
      </c>
      <c r="P4082" s="2" t="s">
        <v>43</v>
      </c>
      <c r="Q4082" s="2" t="s">
        <v>159</v>
      </c>
      <c r="R4082" s="2" t="s">
        <v>160</v>
      </c>
      <c r="S4082" s="9">
        <v>1</v>
      </c>
      <c r="T4082" s="10">
        <v>21</v>
      </c>
      <c r="U4082" s="2">
        <f t="shared" si="540"/>
        <v>4.83</v>
      </c>
      <c r="V4082" s="10">
        <f t="shared" si="541"/>
        <v>25.83</v>
      </c>
      <c r="W4082" s="2">
        <f>9.3*S4082</f>
        <v>9.3000000000000007</v>
      </c>
      <c r="X4082" s="5">
        <f t="shared" si="542"/>
        <v>0.55714285714285716</v>
      </c>
      <c r="Z4082" s="2" t="s">
        <v>3231</v>
      </c>
      <c r="AA4082" s="2" t="s">
        <v>46</v>
      </c>
      <c r="AB4082" s="2" t="s">
        <v>47</v>
      </c>
      <c r="AC4082" s="2" t="s">
        <v>48</v>
      </c>
      <c r="AI4082" s="2"/>
      <c r="AK4082" s="2">
        <f t="shared" si="543"/>
        <v>11.7</v>
      </c>
      <c r="AL4082" s="5">
        <f t="shared" si="544"/>
        <v>0.55714285714285716</v>
      </c>
    </row>
    <row r="4083" spans="1:38" hidden="1" x14ac:dyDescent="0.2">
      <c r="A4083" s="8">
        <v>2026</v>
      </c>
      <c r="B4083" s="8">
        <v>6</v>
      </c>
      <c r="C4083" s="8" t="s">
        <v>3383</v>
      </c>
      <c r="D4083" s="2" t="s">
        <v>1357</v>
      </c>
      <c r="E4083" s="2" t="s">
        <v>753</v>
      </c>
      <c r="F4083" s="2" t="s">
        <v>39</v>
      </c>
      <c r="G4083" s="2">
        <v>518238334</v>
      </c>
      <c r="H4083" s="2" t="s">
        <v>41</v>
      </c>
      <c r="I4083" s="2" t="s">
        <v>763</v>
      </c>
      <c r="J4083" s="2" t="s">
        <v>1358</v>
      </c>
      <c r="L4083" s="2" t="s">
        <v>419</v>
      </c>
      <c r="M4083" s="2" t="s">
        <v>41</v>
      </c>
      <c r="P4083" s="2" t="s">
        <v>43</v>
      </c>
      <c r="Q4083" s="2" t="s">
        <v>161</v>
      </c>
      <c r="R4083" s="2" t="s">
        <v>162</v>
      </c>
      <c r="S4083" s="9">
        <v>1</v>
      </c>
      <c r="T4083" s="10">
        <v>9</v>
      </c>
      <c r="U4083" s="2">
        <f t="shared" si="540"/>
        <v>2.0700000000000003</v>
      </c>
      <c r="V4083" s="10">
        <f t="shared" si="541"/>
        <v>11.07</v>
      </c>
      <c r="W4083" s="2">
        <f>3.7358*S4083</f>
        <v>3.7357999999999998</v>
      </c>
      <c r="X4083" s="5">
        <f t="shared" si="542"/>
        <v>0.58491111111111116</v>
      </c>
      <c r="Z4083" s="2" t="s">
        <v>3231</v>
      </c>
      <c r="AA4083" s="2" t="s">
        <v>46</v>
      </c>
      <c r="AB4083" s="2" t="s">
        <v>47</v>
      </c>
      <c r="AC4083" s="2" t="s">
        <v>48</v>
      </c>
      <c r="AI4083" s="2"/>
      <c r="AK4083" s="2">
        <f t="shared" si="543"/>
        <v>5.2642000000000007</v>
      </c>
      <c r="AL4083" s="5">
        <f t="shared" si="544"/>
        <v>0.58491111111111116</v>
      </c>
    </row>
    <row r="4084" spans="1:38" hidden="1" x14ac:dyDescent="0.2">
      <c r="A4084" s="8">
        <v>2026</v>
      </c>
      <c r="B4084" s="8">
        <v>6</v>
      </c>
      <c r="C4084" s="8" t="s">
        <v>3383</v>
      </c>
      <c r="D4084" s="2" t="s">
        <v>1357</v>
      </c>
      <c r="E4084" s="2" t="s">
        <v>753</v>
      </c>
      <c r="F4084" s="2" t="s">
        <v>39</v>
      </c>
      <c r="G4084" s="2">
        <v>518238334</v>
      </c>
      <c r="H4084" s="2" t="s">
        <v>41</v>
      </c>
      <c r="I4084" s="2" t="s">
        <v>763</v>
      </c>
      <c r="J4084" s="2" t="s">
        <v>1358</v>
      </c>
      <c r="L4084" s="2" t="s">
        <v>419</v>
      </c>
      <c r="M4084" s="2" t="s">
        <v>41</v>
      </c>
      <c r="P4084" s="2" t="s">
        <v>43</v>
      </c>
      <c r="Q4084" s="2" t="s">
        <v>235</v>
      </c>
      <c r="R4084" s="2" t="s">
        <v>236</v>
      </c>
      <c r="S4084" s="9">
        <v>1</v>
      </c>
      <c r="T4084" s="10">
        <v>14.4</v>
      </c>
      <c r="U4084" s="2">
        <f t="shared" si="540"/>
        <v>3.3120000000000003</v>
      </c>
      <c r="V4084" s="10">
        <f t="shared" si="541"/>
        <v>17.712</v>
      </c>
      <c r="X4084" s="5">
        <f t="shared" si="542"/>
        <v>1</v>
      </c>
      <c r="Z4084" s="2" t="s">
        <v>3231</v>
      </c>
      <c r="AA4084" s="2" t="s">
        <v>46</v>
      </c>
      <c r="AB4084" s="2" t="s">
        <v>57</v>
      </c>
      <c r="AC4084" s="2" t="s">
        <v>58</v>
      </c>
      <c r="AI4084" s="2"/>
      <c r="AK4084" s="2">
        <f t="shared" si="543"/>
        <v>14.4</v>
      </c>
      <c r="AL4084" s="5">
        <f t="shared" si="544"/>
        <v>1</v>
      </c>
    </row>
    <row r="4085" spans="1:38" hidden="1" x14ac:dyDescent="0.2">
      <c r="A4085" s="8">
        <v>2026</v>
      </c>
      <c r="B4085" s="8">
        <v>6</v>
      </c>
      <c r="C4085" s="8" t="s">
        <v>3383</v>
      </c>
      <c r="D4085" s="2" t="s">
        <v>1357</v>
      </c>
      <c r="E4085" s="2" t="s">
        <v>753</v>
      </c>
      <c r="F4085" s="2" t="s">
        <v>39</v>
      </c>
      <c r="G4085" s="2">
        <v>518238334</v>
      </c>
      <c r="H4085" s="2" t="s">
        <v>41</v>
      </c>
      <c r="I4085" s="2" t="s">
        <v>763</v>
      </c>
      <c r="J4085" s="2" t="s">
        <v>1358</v>
      </c>
      <c r="L4085" s="2" t="s">
        <v>419</v>
      </c>
      <c r="M4085" s="2" t="s">
        <v>41</v>
      </c>
      <c r="P4085" s="2" t="s">
        <v>43</v>
      </c>
      <c r="Q4085" s="2" t="s">
        <v>237</v>
      </c>
      <c r="R4085" s="2" t="s">
        <v>238</v>
      </c>
      <c r="S4085" s="9">
        <v>1</v>
      </c>
      <c r="T4085" s="10">
        <v>17.399999999999999</v>
      </c>
      <c r="U4085" s="2">
        <f t="shared" si="540"/>
        <v>4.0019999999999998</v>
      </c>
      <c r="V4085" s="10">
        <f t="shared" si="541"/>
        <v>21.401999999999997</v>
      </c>
      <c r="W4085" s="2">
        <f>9.075*S4085</f>
        <v>9.0749999999999993</v>
      </c>
      <c r="X4085" s="5">
        <f t="shared" si="542"/>
        <v>0.47844827586206895</v>
      </c>
      <c r="Z4085" s="2" t="s">
        <v>3231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43"/>
        <v>8.3249999999999993</v>
      </c>
      <c r="AL4085" s="5">
        <f t="shared" si="544"/>
        <v>0.47844827586206895</v>
      </c>
    </row>
    <row r="4086" spans="1:38" hidden="1" x14ac:dyDescent="0.2">
      <c r="A4086" s="8">
        <v>2026</v>
      </c>
      <c r="B4086" s="8">
        <v>6</v>
      </c>
      <c r="C4086" s="8" t="s">
        <v>3383</v>
      </c>
      <c r="D4086" s="2" t="s">
        <v>1357</v>
      </c>
      <c r="E4086" s="2" t="s">
        <v>753</v>
      </c>
      <c r="F4086" s="2" t="s">
        <v>39</v>
      </c>
      <c r="G4086" s="2">
        <v>518238334</v>
      </c>
      <c r="H4086" s="2" t="s">
        <v>41</v>
      </c>
      <c r="I4086" s="2" t="s">
        <v>763</v>
      </c>
      <c r="J4086" s="2" t="s">
        <v>1358</v>
      </c>
      <c r="L4086" s="2" t="s">
        <v>419</v>
      </c>
      <c r="M4086" s="2" t="s">
        <v>41</v>
      </c>
      <c r="P4086" s="2" t="s">
        <v>43</v>
      </c>
      <c r="Q4086" s="2" t="s">
        <v>239</v>
      </c>
      <c r="R4086" s="2" t="s">
        <v>240</v>
      </c>
      <c r="S4086" s="9">
        <v>1</v>
      </c>
      <c r="T4086" s="10">
        <v>21</v>
      </c>
      <c r="U4086" s="2">
        <f t="shared" si="540"/>
        <v>4.83</v>
      </c>
      <c r="V4086" s="10">
        <f t="shared" si="541"/>
        <v>25.83</v>
      </c>
      <c r="X4086" s="5">
        <f t="shared" si="542"/>
        <v>1</v>
      </c>
      <c r="Z4086" s="2" t="s">
        <v>3231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43"/>
        <v>21</v>
      </c>
      <c r="AL4086" s="5">
        <f t="shared" si="544"/>
        <v>1</v>
      </c>
    </row>
    <row r="4087" spans="1:38" hidden="1" x14ac:dyDescent="0.2">
      <c r="A4087" s="8">
        <v>2026</v>
      </c>
      <c r="B4087" s="8">
        <v>6</v>
      </c>
      <c r="C4087" s="8" t="s">
        <v>3383</v>
      </c>
      <c r="D4087" s="2" t="s">
        <v>1357</v>
      </c>
      <c r="E4087" s="2" t="s">
        <v>753</v>
      </c>
      <c r="F4087" s="2" t="s">
        <v>39</v>
      </c>
      <c r="G4087" s="2">
        <v>518238334</v>
      </c>
      <c r="H4087" s="2" t="s">
        <v>41</v>
      </c>
      <c r="I4087" s="2" t="s">
        <v>763</v>
      </c>
      <c r="J4087" s="2" t="s">
        <v>1358</v>
      </c>
      <c r="L4087" s="2" t="s">
        <v>419</v>
      </c>
      <c r="M4087" s="2" t="s">
        <v>41</v>
      </c>
      <c r="P4087" s="2" t="s">
        <v>43</v>
      </c>
      <c r="Q4087" s="2" t="s">
        <v>241</v>
      </c>
      <c r="R4087" s="2" t="s">
        <v>242</v>
      </c>
      <c r="S4087" s="9">
        <v>1</v>
      </c>
      <c r="T4087" s="10">
        <v>25.2</v>
      </c>
      <c r="U4087" s="2">
        <f t="shared" si="540"/>
        <v>5.7960000000000003</v>
      </c>
      <c r="V4087" s="10">
        <f t="shared" si="541"/>
        <v>30.995999999999999</v>
      </c>
      <c r="X4087" s="5">
        <f t="shared" si="542"/>
        <v>1</v>
      </c>
      <c r="Z4087" s="2" t="s">
        <v>3231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43"/>
        <v>25.2</v>
      </c>
      <c r="AL4087" s="5">
        <f t="shared" si="544"/>
        <v>1</v>
      </c>
    </row>
    <row r="4088" spans="1:38" hidden="1" x14ac:dyDescent="0.2">
      <c r="A4088" s="8">
        <v>2026</v>
      </c>
      <c r="B4088" s="8">
        <v>6</v>
      </c>
      <c r="C4088" s="8" t="s">
        <v>3383</v>
      </c>
      <c r="D4088" s="2" t="s">
        <v>1357</v>
      </c>
      <c r="E4088" s="2" t="s">
        <v>753</v>
      </c>
      <c r="F4088" s="2" t="s">
        <v>39</v>
      </c>
      <c r="G4088" s="2">
        <v>518238334</v>
      </c>
      <c r="H4088" s="2" t="s">
        <v>41</v>
      </c>
      <c r="I4088" s="2" t="s">
        <v>763</v>
      </c>
      <c r="J4088" s="2" t="s">
        <v>1358</v>
      </c>
      <c r="L4088" s="2" t="s">
        <v>419</v>
      </c>
      <c r="M4088" s="2" t="s">
        <v>41</v>
      </c>
      <c r="P4088" s="2" t="s">
        <v>43</v>
      </c>
      <c r="Q4088" s="2" t="s">
        <v>243</v>
      </c>
      <c r="R4088" s="2" t="s">
        <v>244</v>
      </c>
      <c r="S4088" s="9">
        <v>1</v>
      </c>
      <c r="T4088" s="10">
        <v>30</v>
      </c>
      <c r="U4088" s="2">
        <f t="shared" si="540"/>
        <v>6.9</v>
      </c>
      <c r="V4088" s="10">
        <f t="shared" si="541"/>
        <v>36.9</v>
      </c>
      <c r="X4088" s="5">
        <f t="shared" si="542"/>
        <v>1</v>
      </c>
      <c r="Z4088" s="2" t="s">
        <v>3231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43"/>
        <v>30</v>
      </c>
      <c r="AL4088" s="5">
        <f t="shared" si="544"/>
        <v>1</v>
      </c>
    </row>
    <row r="4089" spans="1:38" hidden="1" x14ac:dyDescent="0.2">
      <c r="A4089" s="8">
        <v>2026</v>
      </c>
      <c r="B4089" s="8">
        <v>6</v>
      </c>
      <c r="C4089" s="8" t="s">
        <v>3383</v>
      </c>
      <c r="D4089" s="2" t="s">
        <v>1357</v>
      </c>
      <c r="E4089" s="2" t="s">
        <v>753</v>
      </c>
      <c r="F4089" s="2" t="s">
        <v>39</v>
      </c>
      <c r="G4089" s="2">
        <v>518238334</v>
      </c>
      <c r="H4089" s="2" t="s">
        <v>41</v>
      </c>
      <c r="I4089" s="2" t="s">
        <v>763</v>
      </c>
      <c r="J4089" s="2" t="s">
        <v>1358</v>
      </c>
      <c r="L4089" s="2" t="s">
        <v>419</v>
      </c>
      <c r="M4089" s="2" t="s">
        <v>41</v>
      </c>
      <c r="P4089" s="2" t="s">
        <v>43</v>
      </c>
      <c r="Q4089" s="2" t="s">
        <v>245</v>
      </c>
      <c r="R4089" s="2" t="s">
        <v>246</v>
      </c>
      <c r="S4089" s="9">
        <v>1</v>
      </c>
      <c r="T4089" s="10">
        <v>18</v>
      </c>
      <c r="U4089" s="2">
        <f t="shared" si="540"/>
        <v>4.1400000000000006</v>
      </c>
      <c r="V4089" s="10">
        <f t="shared" si="541"/>
        <v>22.14</v>
      </c>
      <c r="X4089" s="5">
        <f t="shared" si="542"/>
        <v>1</v>
      </c>
      <c r="Z4089" s="2" t="s">
        <v>3231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43"/>
        <v>18</v>
      </c>
      <c r="AL4089" s="5">
        <f t="shared" si="544"/>
        <v>1</v>
      </c>
    </row>
    <row r="4090" spans="1:38" hidden="1" x14ac:dyDescent="0.2">
      <c r="A4090" s="8">
        <v>2026</v>
      </c>
      <c r="B4090" s="8">
        <v>6</v>
      </c>
      <c r="C4090" s="8" t="s">
        <v>3383</v>
      </c>
      <c r="D4090" s="2" t="s">
        <v>1357</v>
      </c>
      <c r="E4090" s="2" t="s">
        <v>753</v>
      </c>
      <c r="F4090" s="2" t="s">
        <v>39</v>
      </c>
      <c r="G4090" s="2">
        <v>518238334</v>
      </c>
      <c r="H4090" s="2" t="s">
        <v>41</v>
      </c>
      <c r="I4090" s="2" t="s">
        <v>763</v>
      </c>
      <c r="J4090" s="2" t="s">
        <v>1358</v>
      </c>
      <c r="L4090" s="2" t="s">
        <v>419</v>
      </c>
      <c r="M4090" s="2" t="s">
        <v>41</v>
      </c>
      <c r="P4090" s="2" t="s">
        <v>43</v>
      </c>
      <c r="Q4090" s="2" t="s">
        <v>247</v>
      </c>
      <c r="R4090" s="2" t="s">
        <v>248</v>
      </c>
      <c r="S4090" s="9">
        <v>1</v>
      </c>
      <c r="T4090" s="10">
        <v>19.8</v>
      </c>
      <c r="U4090" s="2">
        <f t="shared" si="540"/>
        <v>4.5540000000000003</v>
      </c>
      <c r="V4090" s="10">
        <f t="shared" si="541"/>
        <v>24.353999999999999</v>
      </c>
      <c r="X4090" s="5">
        <f t="shared" si="542"/>
        <v>1</v>
      </c>
      <c r="Z4090" s="2" t="s">
        <v>3231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43"/>
        <v>19.8</v>
      </c>
      <c r="AL4090" s="5">
        <f t="shared" si="544"/>
        <v>1</v>
      </c>
    </row>
    <row r="4091" spans="1:38" hidden="1" x14ac:dyDescent="0.2">
      <c r="A4091" s="8">
        <v>2026</v>
      </c>
      <c r="B4091" s="8">
        <v>6</v>
      </c>
      <c r="C4091" s="8" t="s">
        <v>3383</v>
      </c>
      <c r="D4091" s="2" t="s">
        <v>1357</v>
      </c>
      <c r="E4091" s="2" t="s">
        <v>753</v>
      </c>
      <c r="F4091" s="2" t="s">
        <v>39</v>
      </c>
      <c r="G4091" s="2">
        <v>518238334</v>
      </c>
      <c r="H4091" s="2" t="s">
        <v>41</v>
      </c>
      <c r="I4091" s="2" t="s">
        <v>763</v>
      </c>
      <c r="J4091" s="2" t="s">
        <v>1358</v>
      </c>
      <c r="L4091" s="2" t="s">
        <v>419</v>
      </c>
      <c r="M4091" s="2" t="s">
        <v>41</v>
      </c>
      <c r="P4091" s="2" t="s">
        <v>43</v>
      </c>
      <c r="Q4091" s="2" t="s">
        <v>286</v>
      </c>
      <c r="R4091" s="2" t="s">
        <v>287</v>
      </c>
      <c r="S4091" s="9">
        <v>1</v>
      </c>
      <c r="T4091" s="10">
        <v>22.8</v>
      </c>
      <c r="U4091" s="2">
        <f t="shared" si="540"/>
        <v>5.2440000000000007</v>
      </c>
      <c r="V4091" s="10">
        <f t="shared" si="541"/>
        <v>28.044</v>
      </c>
      <c r="X4091" s="5">
        <f t="shared" si="542"/>
        <v>1</v>
      </c>
      <c r="Z4091" s="2" t="s">
        <v>3231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43"/>
        <v>22.8</v>
      </c>
      <c r="AL4091" s="5">
        <f t="shared" si="544"/>
        <v>1</v>
      </c>
    </row>
    <row r="4092" spans="1:38" hidden="1" x14ac:dyDescent="0.2">
      <c r="A4092" s="8">
        <v>2026</v>
      </c>
      <c r="B4092" s="8">
        <v>6</v>
      </c>
      <c r="C4092" s="8" t="s">
        <v>3383</v>
      </c>
      <c r="D4092" s="2" t="s">
        <v>1357</v>
      </c>
      <c r="E4092" s="2" t="s">
        <v>753</v>
      </c>
      <c r="F4092" s="2" t="s">
        <v>39</v>
      </c>
      <c r="G4092" s="2">
        <v>518238334</v>
      </c>
      <c r="H4092" s="2" t="s">
        <v>41</v>
      </c>
      <c r="I4092" s="2" t="s">
        <v>763</v>
      </c>
      <c r="J4092" s="2" t="s">
        <v>1358</v>
      </c>
      <c r="L4092" s="2" t="s">
        <v>419</v>
      </c>
      <c r="M4092" s="2" t="s">
        <v>41</v>
      </c>
      <c r="P4092" s="2" t="s">
        <v>43</v>
      </c>
      <c r="Q4092" s="2" t="s">
        <v>249</v>
      </c>
      <c r="R4092" s="2" t="s">
        <v>250</v>
      </c>
      <c r="S4092" s="9">
        <v>1</v>
      </c>
      <c r="T4092" s="10">
        <v>24</v>
      </c>
      <c r="U4092" s="2">
        <f t="shared" si="540"/>
        <v>5.5200000000000005</v>
      </c>
      <c r="V4092" s="10">
        <f t="shared" si="541"/>
        <v>29.52</v>
      </c>
      <c r="W4092" s="2">
        <f>12.71*S4092</f>
        <v>12.71</v>
      </c>
      <c r="X4092" s="5">
        <f t="shared" si="542"/>
        <v>0.47041666666666665</v>
      </c>
      <c r="Z4092" s="2" t="s">
        <v>3231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43"/>
        <v>11.29</v>
      </c>
      <c r="AL4092" s="5">
        <f t="shared" si="544"/>
        <v>0.47041666666666665</v>
      </c>
    </row>
    <row r="4093" spans="1:38" hidden="1" x14ac:dyDescent="0.2">
      <c r="A4093" s="8">
        <v>2026</v>
      </c>
      <c r="B4093" s="8">
        <v>6</v>
      </c>
      <c r="C4093" s="8" t="s">
        <v>3383</v>
      </c>
      <c r="D4093" s="2" t="s">
        <v>1357</v>
      </c>
      <c r="E4093" s="2" t="s">
        <v>753</v>
      </c>
      <c r="F4093" s="2" t="s">
        <v>39</v>
      </c>
      <c r="G4093" s="2">
        <v>518238334</v>
      </c>
      <c r="H4093" s="2" t="s">
        <v>41</v>
      </c>
      <c r="I4093" s="2" t="s">
        <v>763</v>
      </c>
      <c r="J4093" s="2" t="s">
        <v>1358</v>
      </c>
      <c r="L4093" s="2" t="s">
        <v>419</v>
      </c>
      <c r="M4093" s="2" t="s">
        <v>41</v>
      </c>
      <c r="P4093" s="2" t="s">
        <v>43</v>
      </c>
      <c r="Q4093" s="2" t="s">
        <v>55</v>
      </c>
      <c r="R4093" s="2" t="s">
        <v>56</v>
      </c>
      <c r="S4093" s="9">
        <v>1</v>
      </c>
      <c r="T4093" s="10">
        <v>0</v>
      </c>
      <c r="U4093" s="2">
        <f t="shared" si="540"/>
        <v>0</v>
      </c>
      <c r="V4093" s="10">
        <f t="shared" si="541"/>
        <v>0</v>
      </c>
      <c r="W4093" s="2">
        <v>10.6</v>
      </c>
      <c r="X4093" s="5">
        <v>0</v>
      </c>
      <c r="Z4093" s="2" t="s">
        <v>3231</v>
      </c>
      <c r="AA4093" s="2" t="s">
        <v>46</v>
      </c>
      <c r="AB4093" s="2" t="s">
        <v>57</v>
      </c>
      <c r="AC4093" s="2" t="s">
        <v>58</v>
      </c>
      <c r="AI4093" s="2"/>
    </row>
    <row r="4094" spans="1:38" hidden="1" x14ac:dyDescent="0.2">
      <c r="A4094" s="8">
        <v>2026</v>
      </c>
      <c r="B4094" s="8">
        <v>6</v>
      </c>
      <c r="C4094" s="8" t="s">
        <v>3383</v>
      </c>
      <c r="D4094" s="2" t="s">
        <v>1357</v>
      </c>
      <c r="E4094" s="2" t="s">
        <v>753</v>
      </c>
      <c r="F4094" s="2" t="s">
        <v>39</v>
      </c>
      <c r="G4094" s="2">
        <v>518238334</v>
      </c>
      <c r="H4094" s="2" t="s">
        <v>41</v>
      </c>
      <c r="I4094" s="2" t="s">
        <v>763</v>
      </c>
      <c r="J4094" s="2" t="s">
        <v>1358</v>
      </c>
      <c r="L4094" s="2" t="s">
        <v>419</v>
      </c>
      <c r="M4094" s="2" t="s">
        <v>41</v>
      </c>
      <c r="P4094" s="2" t="s">
        <v>43</v>
      </c>
      <c r="Q4094" s="2" t="s">
        <v>59</v>
      </c>
      <c r="R4094" s="2" t="s">
        <v>60</v>
      </c>
      <c r="S4094" s="2">
        <v>100</v>
      </c>
      <c r="T4094" s="10">
        <v>14</v>
      </c>
      <c r="U4094" s="2">
        <f t="shared" si="540"/>
        <v>3.22</v>
      </c>
      <c r="V4094" s="10">
        <f t="shared" si="541"/>
        <v>17.22</v>
      </c>
      <c r="W4094" s="2">
        <f>0.0914*S4094</f>
        <v>9.1399999999999988</v>
      </c>
      <c r="X4094" s="5">
        <f t="shared" si="542"/>
        <v>0.34714285714285725</v>
      </c>
      <c r="Z4094" s="2" t="s">
        <v>3231</v>
      </c>
      <c r="AA4094" s="2" t="s">
        <v>46</v>
      </c>
      <c r="AB4094" s="2" t="s">
        <v>61</v>
      </c>
      <c r="AC4094" s="2" t="s">
        <v>58</v>
      </c>
      <c r="AF4094" s="2">
        <f>AJ4094</f>
        <v>0</v>
      </c>
      <c r="AG4094" s="2">
        <v>9.14</v>
      </c>
      <c r="AH4094" s="2">
        <v>16</v>
      </c>
      <c r="AI4094" s="2"/>
      <c r="AK4094" s="2">
        <f t="shared" si="543"/>
        <v>4.8600000000000012</v>
      </c>
      <c r="AL4094" s="5">
        <f t="shared" si="544"/>
        <v>0.34714285714285725</v>
      </c>
    </row>
    <row r="4095" spans="1:38" hidden="1" x14ac:dyDescent="0.2">
      <c r="A4095" s="8">
        <v>2026</v>
      </c>
      <c r="B4095" s="8">
        <v>6</v>
      </c>
      <c r="C4095" s="8" t="s">
        <v>3383</v>
      </c>
      <c r="D4095" s="2" t="s">
        <v>1357</v>
      </c>
      <c r="E4095" s="2" t="s">
        <v>753</v>
      </c>
      <c r="F4095" s="2" t="s">
        <v>39</v>
      </c>
      <c r="G4095" s="2">
        <v>518238334</v>
      </c>
      <c r="H4095" s="2" t="s">
        <v>41</v>
      </c>
      <c r="I4095" s="2" t="s">
        <v>763</v>
      </c>
      <c r="J4095" s="2" t="s">
        <v>1358</v>
      </c>
      <c r="L4095" s="2" t="s">
        <v>419</v>
      </c>
      <c r="M4095" s="2" t="s">
        <v>41</v>
      </c>
      <c r="P4095" s="2" t="s">
        <v>43</v>
      </c>
      <c r="Q4095" s="2" t="s">
        <v>62</v>
      </c>
      <c r="R4095" s="2" t="s">
        <v>63</v>
      </c>
      <c r="S4095" s="9">
        <v>100</v>
      </c>
      <c r="T4095" s="10">
        <v>13</v>
      </c>
      <c r="U4095" s="2">
        <f t="shared" si="540"/>
        <v>2.99</v>
      </c>
      <c r="V4095" s="10">
        <f t="shared" si="541"/>
        <v>15.99</v>
      </c>
      <c r="W4095" s="2">
        <f>0.082*S4095</f>
        <v>8.2000000000000011</v>
      </c>
      <c r="X4095" s="5">
        <f t="shared" si="542"/>
        <v>0.36923076923076914</v>
      </c>
      <c r="Z4095" s="2" t="s">
        <v>3231</v>
      </c>
      <c r="AA4095" s="2" t="s">
        <v>46</v>
      </c>
      <c r="AB4095" s="2" t="s">
        <v>61</v>
      </c>
      <c r="AC4095" s="2" t="s">
        <v>58</v>
      </c>
      <c r="AI4095" s="2"/>
      <c r="AK4095" s="2">
        <f t="shared" si="543"/>
        <v>4.7999999999999989</v>
      </c>
      <c r="AL4095" s="5">
        <f t="shared" si="544"/>
        <v>0.36923076923076914</v>
      </c>
    </row>
    <row r="4096" spans="1:38" hidden="1" x14ac:dyDescent="0.2">
      <c r="A4096" s="8">
        <v>2026</v>
      </c>
      <c r="B4096" s="8">
        <v>6</v>
      </c>
      <c r="C4096" s="8" t="s">
        <v>3383</v>
      </c>
      <c r="D4096" s="2" t="s">
        <v>1357</v>
      </c>
      <c r="E4096" s="2" t="s">
        <v>753</v>
      </c>
      <c r="F4096" s="2" t="s">
        <v>39</v>
      </c>
      <c r="G4096" s="2">
        <v>518238334</v>
      </c>
      <c r="H4096" s="2" t="s">
        <v>41</v>
      </c>
      <c r="I4096" s="2" t="s">
        <v>763</v>
      </c>
      <c r="J4096" s="2" t="s">
        <v>1358</v>
      </c>
      <c r="L4096" s="2" t="s">
        <v>419</v>
      </c>
      <c r="M4096" s="2" t="s">
        <v>41</v>
      </c>
      <c r="P4096" s="2" t="s">
        <v>43</v>
      </c>
      <c r="Q4096" s="2" t="s">
        <v>255</v>
      </c>
      <c r="R4096" s="2" t="s">
        <v>256</v>
      </c>
      <c r="S4096" s="9">
        <v>100</v>
      </c>
      <c r="T4096" s="10">
        <v>14</v>
      </c>
      <c r="U4096" s="2">
        <f t="shared" si="540"/>
        <v>3.22</v>
      </c>
      <c r="V4096" s="10">
        <f t="shared" si="541"/>
        <v>17.22</v>
      </c>
      <c r="W4096" s="2">
        <f>0.0914*S4096</f>
        <v>9.1399999999999988</v>
      </c>
      <c r="X4096" s="5">
        <f t="shared" si="542"/>
        <v>0.34714285714285725</v>
      </c>
      <c r="Z4096" s="2" t="s">
        <v>3231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43"/>
        <v>4.8600000000000012</v>
      </c>
      <c r="AL4096" s="5">
        <f t="shared" si="544"/>
        <v>0.34714285714285725</v>
      </c>
    </row>
    <row r="4097" spans="1:38" hidden="1" x14ac:dyDescent="0.2">
      <c r="A4097" s="8">
        <v>2026</v>
      </c>
      <c r="B4097" s="8">
        <v>6</v>
      </c>
      <c r="C4097" s="8" t="s">
        <v>3383</v>
      </c>
      <c r="D4097" s="2" t="s">
        <v>1357</v>
      </c>
      <c r="E4097" s="2" t="s">
        <v>753</v>
      </c>
      <c r="F4097" s="2" t="s">
        <v>39</v>
      </c>
      <c r="G4097" s="2">
        <v>518238334</v>
      </c>
      <c r="H4097" s="2" t="s">
        <v>41</v>
      </c>
      <c r="I4097" s="2" t="s">
        <v>763</v>
      </c>
      <c r="J4097" s="2" t="s">
        <v>1358</v>
      </c>
      <c r="L4097" s="2" t="s">
        <v>419</v>
      </c>
      <c r="M4097" s="2" t="s">
        <v>41</v>
      </c>
      <c r="P4097" s="2" t="s">
        <v>43</v>
      </c>
      <c r="Q4097" s="2" t="s">
        <v>2969</v>
      </c>
      <c r="R4097" s="2" t="s">
        <v>2970</v>
      </c>
      <c r="S4097" s="9">
        <v>1</v>
      </c>
      <c r="T4097" s="10">
        <v>0</v>
      </c>
      <c r="U4097" s="2">
        <f t="shared" si="540"/>
        <v>0</v>
      </c>
      <c r="V4097" s="10">
        <f t="shared" si="541"/>
        <v>0</v>
      </c>
      <c r="X4097" s="5">
        <v>0</v>
      </c>
      <c r="Z4097" s="2" t="s">
        <v>3231</v>
      </c>
      <c r="AA4097" s="2" t="s">
        <v>46</v>
      </c>
      <c r="AI4097" s="2"/>
    </row>
    <row r="4098" spans="1:38" hidden="1" x14ac:dyDescent="0.2">
      <c r="A4098" s="8">
        <v>2026</v>
      </c>
      <c r="B4098" s="8">
        <v>6</v>
      </c>
      <c r="C4098" s="8" t="s">
        <v>3383</v>
      </c>
      <c r="D4098" s="2" t="s">
        <v>1357</v>
      </c>
      <c r="E4098" s="2" t="s">
        <v>753</v>
      </c>
      <c r="F4098" s="2" t="s">
        <v>39</v>
      </c>
      <c r="G4098" s="2">
        <v>518238334</v>
      </c>
      <c r="H4098" s="2" t="s">
        <v>41</v>
      </c>
      <c r="I4098" s="2" t="s">
        <v>763</v>
      </c>
      <c r="J4098" s="2" t="s">
        <v>1358</v>
      </c>
      <c r="L4098" s="2" t="s">
        <v>419</v>
      </c>
      <c r="M4098" s="2" t="s">
        <v>41</v>
      </c>
      <c r="P4098" s="2" t="s">
        <v>43</v>
      </c>
      <c r="Q4098" s="2" t="s">
        <v>2971</v>
      </c>
      <c r="R4098" s="2" t="s">
        <v>2972</v>
      </c>
      <c r="S4098" s="9">
        <v>2</v>
      </c>
      <c r="T4098" s="10">
        <v>40</v>
      </c>
      <c r="U4098" s="2">
        <f t="shared" si="540"/>
        <v>9.2000000000000011</v>
      </c>
      <c r="V4098" s="10">
        <f t="shared" si="541"/>
        <v>49.2</v>
      </c>
      <c r="X4098" s="5">
        <f t="shared" si="542"/>
        <v>1</v>
      </c>
      <c r="Z4098" s="2" t="s">
        <v>3231</v>
      </c>
      <c r="AA4098" s="2" t="s">
        <v>46</v>
      </c>
      <c r="AB4098" s="2" t="s">
        <v>57</v>
      </c>
      <c r="AC4098" s="2" t="s">
        <v>58</v>
      </c>
      <c r="AI4098" s="2"/>
      <c r="AK4098" s="2">
        <f t="shared" si="543"/>
        <v>40</v>
      </c>
      <c r="AL4098" s="5">
        <f t="shared" si="544"/>
        <v>1</v>
      </c>
    </row>
    <row r="4099" spans="1:38" hidden="1" x14ac:dyDescent="0.2">
      <c r="A4099" s="8">
        <v>2026</v>
      </c>
      <c r="B4099" s="8">
        <v>6</v>
      </c>
      <c r="C4099" s="8" t="s">
        <v>3383</v>
      </c>
      <c r="D4099" s="2" t="s">
        <v>1357</v>
      </c>
      <c r="E4099" s="2" t="s">
        <v>753</v>
      </c>
      <c r="F4099" s="2" t="s">
        <v>39</v>
      </c>
      <c r="G4099" s="2">
        <v>518238334</v>
      </c>
      <c r="H4099" s="2" t="s">
        <v>41</v>
      </c>
      <c r="I4099" s="2" t="s">
        <v>763</v>
      </c>
      <c r="J4099" s="2" t="s">
        <v>1358</v>
      </c>
      <c r="L4099" s="2" t="s">
        <v>419</v>
      </c>
      <c r="M4099" s="2" t="s">
        <v>41</v>
      </c>
      <c r="P4099" s="2" t="s">
        <v>43</v>
      </c>
      <c r="Q4099" s="2" t="s">
        <v>257</v>
      </c>
      <c r="R4099" s="2" t="s">
        <v>258</v>
      </c>
      <c r="S4099" s="9">
        <v>1</v>
      </c>
      <c r="T4099" s="10">
        <v>3</v>
      </c>
      <c r="U4099" s="2">
        <f t="shared" si="540"/>
        <v>0.69000000000000006</v>
      </c>
      <c r="V4099" s="10">
        <f t="shared" si="541"/>
        <v>3.69</v>
      </c>
      <c r="X4099" s="5">
        <f t="shared" si="542"/>
        <v>1</v>
      </c>
      <c r="Z4099" s="2" t="s">
        <v>3231</v>
      </c>
      <c r="AA4099" s="2" t="s">
        <v>46</v>
      </c>
      <c r="AI4099" s="2"/>
      <c r="AK4099" s="2">
        <f t="shared" si="543"/>
        <v>3</v>
      </c>
      <c r="AL4099" s="5">
        <f t="shared" si="544"/>
        <v>1</v>
      </c>
    </row>
    <row r="4100" spans="1:38" hidden="1" x14ac:dyDescent="0.2">
      <c r="A4100" s="8">
        <v>2026</v>
      </c>
      <c r="B4100" s="8">
        <v>6</v>
      </c>
      <c r="C4100" s="8" t="s">
        <v>3383</v>
      </c>
      <c r="D4100" s="2" t="s">
        <v>1357</v>
      </c>
      <c r="E4100" s="2" t="s">
        <v>753</v>
      </c>
      <c r="F4100" s="2" t="s">
        <v>39</v>
      </c>
      <c r="G4100" s="2">
        <v>518238334</v>
      </c>
      <c r="H4100" s="2" t="s">
        <v>41</v>
      </c>
      <c r="I4100" s="2" t="s">
        <v>763</v>
      </c>
      <c r="J4100" s="2" t="s">
        <v>1358</v>
      </c>
      <c r="L4100" s="2" t="s">
        <v>419</v>
      </c>
      <c r="M4100" s="2" t="s">
        <v>41</v>
      </c>
      <c r="P4100" s="2" t="s">
        <v>43</v>
      </c>
      <c r="Q4100" s="2" t="s">
        <v>163</v>
      </c>
      <c r="R4100" s="2" t="s">
        <v>164</v>
      </c>
      <c r="S4100" s="9">
        <v>1</v>
      </c>
      <c r="T4100" s="10">
        <v>21</v>
      </c>
      <c r="U4100" s="2">
        <f t="shared" si="540"/>
        <v>4.83</v>
      </c>
      <c r="V4100" s="10">
        <f t="shared" si="541"/>
        <v>25.83</v>
      </c>
      <c r="X4100" s="5">
        <f t="shared" si="542"/>
        <v>1</v>
      </c>
      <c r="Z4100" s="2" t="s">
        <v>3231</v>
      </c>
      <c r="AA4100" s="2" t="s">
        <v>46</v>
      </c>
      <c r="AI4100" s="2"/>
      <c r="AK4100" s="2">
        <f t="shared" si="543"/>
        <v>21</v>
      </c>
      <c r="AL4100" s="5">
        <f t="shared" si="544"/>
        <v>1</v>
      </c>
    </row>
    <row r="4101" spans="1:38" hidden="1" x14ac:dyDescent="0.2">
      <c r="A4101" s="8">
        <v>2026</v>
      </c>
      <c r="B4101" s="8">
        <v>6</v>
      </c>
      <c r="C4101" s="8" t="s">
        <v>3383</v>
      </c>
      <c r="D4101" s="2" t="s">
        <v>1357</v>
      </c>
      <c r="E4101" s="2" t="s">
        <v>753</v>
      </c>
      <c r="F4101" s="2" t="s">
        <v>39</v>
      </c>
      <c r="G4101" s="2">
        <v>518238334</v>
      </c>
      <c r="H4101" s="2" t="s">
        <v>41</v>
      </c>
      <c r="I4101" s="2" t="s">
        <v>763</v>
      </c>
      <c r="J4101" s="2" t="s">
        <v>1358</v>
      </c>
      <c r="L4101" s="2" t="s">
        <v>419</v>
      </c>
      <c r="M4101" s="2" t="s">
        <v>41</v>
      </c>
      <c r="P4101" s="2" t="s">
        <v>43</v>
      </c>
      <c r="Q4101" s="2" t="s">
        <v>64</v>
      </c>
      <c r="R4101" s="2" t="s">
        <v>65</v>
      </c>
      <c r="S4101" s="9">
        <v>8</v>
      </c>
      <c r="T4101" s="10">
        <v>14.4</v>
      </c>
      <c r="U4101" s="2">
        <f t="shared" si="540"/>
        <v>3.3120000000000003</v>
      </c>
      <c r="V4101" s="10">
        <f t="shared" si="541"/>
        <v>17.712</v>
      </c>
      <c r="W4101" s="2">
        <f>0.8561*S4101</f>
        <v>6.8487999999999998</v>
      </c>
      <c r="X4101" s="5">
        <f t="shared" si="542"/>
        <v>0.5243888888888889</v>
      </c>
      <c r="Z4101" s="2" t="s">
        <v>3231</v>
      </c>
      <c r="AA4101" s="2" t="s">
        <v>46</v>
      </c>
      <c r="AB4101" s="2" t="s">
        <v>61</v>
      </c>
      <c r="AC4101" s="2" t="s">
        <v>58</v>
      </c>
      <c r="AI4101" s="2"/>
      <c r="AK4101" s="2">
        <f t="shared" si="543"/>
        <v>7.5512000000000006</v>
      </c>
      <c r="AL4101" s="5">
        <f t="shared" si="544"/>
        <v>0.5243888888888889</v>
      </c>
    </row>
    <row r="4102" spans="1:38" hidden="1" x14ac:dyDescent="0.2">
      <c r="A4102" s="8">
        <v>2026</v>
      </c>
      <c r="B4102" s="8">
        <v>6</v>
      </c>
      <c r="C4102" s="8" t="s">
        <v>3383</v>
      </c>
      <c r="D4102" s="2" t="s">
        <v>1357</v>
      </c>
      <c r="E4102" s="2" t="s">
        <v>753</v>
      </c>
      <c r="F4102" s="2" t="s">
        <v>39</v>
      </c>
      <c r="G4102" s="2">
        <v>518238334</v>
      </c>
      <c r="H4102" s="2" t="s">
        <v>41</v>
      </c>
      <c r="I4102" s="2" t="s">
        <v>763</v>
      </c>
      <c r="J4102" s="2" t="s">
        <v>1358</v>
      </c>
      <c r="L4102" s="2" t="s">
        <v>419</v>
      </c>
      <c r="M4102" s="2" t="s">
        <v>41</v>
      </c>
      <c r="P4102" s="2" t="s">
        <v>43</v>
      </c>
      <c r="Q4102" s="2" t="s">
        <v>580</v>
      </c>
      <c r="R4102" s="2" t="s">
        <v>581</v>
      </c>
      <c r="S4102" s="9">
        <v>4</v>
      </c>
      <c r="T4102" s="10">
        <v>12</v>
      </c>
      <c r="U4102" s="2">
        <f t="shared" si="540"/>
        <v>2.7600000000000002</v>
      </c>
      <c r="V4102" s="10">
        <f t="shared" si="541"/>
        <v>14.76</v>
      </c>
      <c r="X4102" s="5">
        <f t="shared" si="542"/>
        <v>1</v>
      </c>
      <c r="Z4102" s="2" t="s">
        <v>3231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43"/>
        <v>12</v>
      </c>
      <c r="AL4102" s="5">
        <f t="shared" si="544"/>
        <v>1</v>
      </c>
    </row>
    <row r="4103" spans="1:38" hidden="1" x14ac:dyDescent="0.2">
      <c r="A4103" s="8">
        <v>2026</v>
      </c>
      <c r="B4103" s="8">
        <v>6</v>
      </c>
      <c r="C4103" s="8" t="s">
        <v>3383</v>
      </c>
      <c r="D4103" s="2" t="s">
        <v>1357</v>
      </c>
      <c r="E4103" s="2" t="s">
        <v>753</v>
      </c>
      <c r="F4103" s="2" t="s">
        <v>39</v>
      </c>
      <c r="G4103" s="2">
        <v>518238334</v>
      </c>
      <c r="H4103" s="2" t="s">
        <v>41</v>
      </c>
      <c r="I4103" s="2" t="s">
        <v>763</v>
      </c>
      <c r="J4103" s="2" t="s">
        <v>1358</v>
      </c>
      <c r="L4103" s="2" t="s">
        <v>419</v>
      </c>
      <c r="M4103" s="2" t="s">
        <v>41</v>
      </c>
      <c r="P4103" s="2" t="s">
        <v>43</v>
      </c>
      <c r="Q4103" s="2" t="s">
        <v>506</v>
      </c>
      <c r="R4103" s="2" t="s">
        <v>507</v>
      </c>
      <c r="S4103" s="9">
        <v>10</v>
      </c>
      <c r="T4103" s="10">
        <v>12</v>
      </c>
      <c r="U4103" s="2">
        <f t="shared" si="540"/>
        <v>2.7600000000000002</v>
      </c>
      <c r="V4103" s="10">
        <f t="shared" si="541"/>
        <v>14.76</v>
      </c>
      <c r="X4103" s="5">
        <f t="shared" si="542"/>
        <v>1</v>
      </c>
      <c r="Z4103" s="2" t="s">
        <v>3231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43"/>
        <v>12</v>
      </c>
      <c r="AL4103" s="5">
        <f t="shared" si="544"/>
        <v>1</v>
      </c>
    </row>
    <row r="4104" spans="1:38" hidden="1" x14ac:dyDescent="0.2">
      <c r="A4104" s="8">
        <v>2026</v>
      </c>
      <c r="B4104" s="8">
        <v>6</v>
      </c>
      <c r="C4104" s="8" t="s">
        <v>3383</v>
      </c>
      <c r="D4104" s="2" t="s">
        <v>1357</v>
      </c>
      <c r="E4104" s="2" t="s">
        <v>753</v>
      </c>
      <c r="F4104" s="2" t="s">
        <v>39</v>
      </c>
      <c r="G4104" s="2">
        <v>518238334</v>
      </c>
      <c r="H4104" s="2" t="s">
        <v>41</v>
      </c>
      <c r="I4104" s="2" t="s">
        <v>763</v>
      </c>
      <c r="J4104" s="2" t="s">
        <v>1358</v>
      </c>
      <c r="L4104" s="2" t="s">
        <v>419</v>
      </c>
      <c r="M4104" s="2" t="s">
        <v>41</v>
      </c>
      <c r="P4104" s="2" t="s">
        <v>43</v>
      </c>
      <c r="Q4104" s="2" t="s">
        <v>66</v>
      </c>
      <c r="R4104" s="2" t="s">
        <v>67</v>
      </c>
      <c r="S4104" s="9">
        <v>1</v>
      </c>
      <c r="T4104" s="10">
        <v>23</v>
      </c>
      <c r="U4104" s="2">
        <f t="shared" si="540"/>
        <v>5.29</v>
      </c>
      <c r="V4104" s="10">
        <f t="shared" si="541"/>
        <v>28.29</v>
      </c>
      <c r="X4104" s="5">
        <f t="shared" si="542"/>
        <v>1</v>
      </c>
      <c r="Z4104" s="2" t="s">
        <v>3231</v>
      </c>
      <c r="AA4104" s="2" t="s">
        <v>46</v>
      </c>
      <c r="AB4104" s="2" t="s">
        <v>68</v>
      </c>
      <c r="AC4104" s="2" t="s">
        <v>58</v>
      </c>
      <c r="AI4104" s="2"/>
      <c r="AK4104" s="2">
        <f t="shared" si="543"/>
        <v>23</v>
      </c>
      <c r="AL4104" s="5">
        <f t="shared" si="544"/>
        <v>1</v>
      </c>
    </row>
    <row r="4105" spans="1:38" hidden="1" x14ac:dyDescent="0.2">
      <c r="A4105" s="8">
        <v>2026</v>
      </c>
      <c r="B4105" s="8">
        <v>6</v>
      </c>
      <c r="C4105" s="8" t="s">
        <v>3383</v>
      </c>
      <c r="D4105" s="2" t="s">
        <v>1357</v>
      </c>
      <c r="E4105" s="2" t="s">
        <v>753</v>
      </c>
      <c r="F4105" s="2" t="s">
        <v>39</v>
      </c>
      <c r="G4105" s="2">
        <v>518238334</v>
      </c>
      <c r="H4105" s="2" t="s">
        <v>41</v>
      </c>
      <c r="I4105" s="2" t="s">
        <v>763</v>
      </c>
      <c r="J4105" s="2" t="s">
        <v>1358</v>
      </c>
      <c r="L4105" s="2" t="s">
        <v>419</v>
      </c>
      <c r="M4105" s="2" t="s">
        <v>41</v>
      </c>
      <c r="P4105" s="2" t="s">
        <v>43</v>
      </c>
      <c r="Q4105" s="2" t="s">
        <v>3044</v>
      </c>
      <c r="R4105" s="2" t="s">
        <v>3045</v>
      </c>
      <c r="S4105" s="9">
        <v>1</v>
      </c>
      <c r="T4105" s="10">
        <v>7.8</v>
      </c>
      <c r="U4105" s="2">
        <f t="shared" si="540"/>
        <v>1.794</v>
      </c>
      <c r="V4105" s="10">
        <f t="shared" si="541"/>
        <v>9.5939999999999994</v>
      </c>
      <c r="X4105" s="5">
        <f t="shared" si="542"/>
        <v>1</v>
      </c>
      <c r="Z4105" s="2" t="s">
        <v>3231</v>
      </c>
      <c r="AA4105" s="2" t="s">
        <v>46</v>
      </c>
      <c r="AI4105" s="2"/>
      <c r="AK4105" s="2">
        <f t="shared" si="543"/>
        <v>7.8</v>
      </c>
      <c r="AL4105" s="5">
        <f t="shared" si="544"/>
        <v>1</v>
      </c>
    </row>
    <row r="4106" spans="1:38" hidden="1" x14ac:dyDescent="0.2">
      <c r="A4106" s="8">
        <v>2026</v>
      </c>
      <c r="B4106" s="8">
        <v>6</v>
      </c>
      <c r="C4106" s="8" t="s">
        <v>3383</v>
      </c>
      <c r="D4106" s="2" t="s">
        <v>1357</v>
      </c>
      <c r="E4106" s="2" t="s">
        <v>753</v>
      </c>
      <c r="F4106" s="2" t="s">
        <v>39</v>
      </c>
      <c r="G4106" s="2">
        <v>518238334</v>
      </c>
      <c r="H4106" s="2" t="s">
        <v>41</v>
      </c>
      <c r="I4106" s="2" t="s">
        <v>763</v>
      </c>
      <c r="J4106" s="2" t="s">
        <v>1358</v>
      </c>
      <c r="L4106" s="2" t="s">
        <v>419</v>
      </c>
      <c r="M4106" s="2" t="s">
        <v>41</v>
      </c>
      <c r="P4106" s="2" t="s">
        <v>85</v>
      </c>
      <c r="Q4106" s="2" t="s">
        <v>1975</v>
      </c>
      <c r="R4106" s="2" t="s">
        <v>1976</v>
      </c>
      <c r="S4106" s="9">
        <v>1</v>
      </c>
      <c r="T4106" s="10">
        <v>12</v>
      </c>
      <c r="U4106" s="2">
        <f>T4106*23%</f>
        <v>2.7600000000000002</v>
      </c>
      <c r="V4106" s="2">
        <f t="shared" si="541"/>
        <v>14.76</v>
      </c>
      <c r="X4106" s="5">
        <f t="shared" si="542"/>
        <v>1</v>
      </c>
      <c r="Z4106" s="2" t="s">
        <v>3231</v>
      </c>
      <c r="AA4106" s="2" t="s">
        <v>3384</v>
      </c>
      <c r="AI4106" s="2"/>
      <c r="AK4106" s="2">
        <f t="shared" si="543"/>
        <v>12</v>
      </c>
      <c r="AL4106" s="5">
        <f t="shared" si="544"/>
        <v>1</v>
      </c>
    </row>
    <row r="4107" spans="1:38" hidden="1" x14ac:dyDescent="0.2">
      <c r="A4107" s="8">
        <v>2026</v>
      </c>
      <c r="B4107" s="8">
        <v>6</v>
      </c>
      <c r="C4107" s="8" t="s">
        <v>3383</v>
      </c>
      <c r="D4107" s="2" t="s">
        <v>1357</v>
      </c>
      <c r="E4107" s="2" t="s">
        <v>753</v>
      </c>
      <c r="F4107" s="2" t="s">
        <v>39</v>
      </c>
      <c r="G4107" s="2">
        <v>518238334</v>
      </c>
      <c r="H4107" s="2" t="s">
        <v>41</v>
      </c>
      <c r="I4107" s="2" t="s">
        <v>763</v>
      </c>
      <c r="J4107" s="2" t="s">
        <v>1358</v>
      </c>
      <c r="L4107" s="2" t="s">
        <v>419</v>
      </c>
      <c r="M4107" s="2" t="s">
        <v>41</v>
      </c>
      <c r="P4107" s="2" t="s">
        <v>85</v>
      </c>
      <c r="Q4107" s="2" t="s">
        <v>271</v>
      </c>
      <c r="R4107" s="2" t="s">
        <v>272</v>
      </c>
      <c r="S4107" s="9">
        <v>1</v>
      </c>
      <c r="T4107" s="10">
        <v>12</v>
      </c>
      <c r="U4107" s="2">
        <f t="shared" ref="U4107:U4108" si="545">T4107*23%</f>
        <v>2.7600000000000002</v>
      </c>
      <c r="V4107" s="2">
        <f t="shared" ref="V4107:V4108" si="546">T4107+U4107</f>
        <v>14.76</v>
      </c>
      <c r="X4107" s="5">
        <f t="shared" si="542"/>
        <v>1</v>
      </c>
      <c r="Z4107" s="2" t="s">
        <v>3231</v>
      </c>
      <c r="AA4107" s="2" t="s">
        <v>3384</v>
      </c>
      <c r="AI4107" s="2"/>
      <c r="AK4107" s="2">
        <f t="shared" si="543"/>
        <v>12</v>
      </c>
      <c r="AL4107" s="5">
        <f t="shared" si="544"/>
        <v>1</v>
      </c>
    </row>
    <row r="4108" spans="1:38" hidden="1" x14ac:dyDescent="0.2">
      <c r="A4108" s="8">
        <v>2026</v>
      </c>
      <c r="B4108" s="8">
        <v>6</v>
      </c>
      <c r="C4108" s="8" t="s">
        <v>3383</v>
      </c>
      <c r="D4108" s="2" t="s">
        <v>1357</v>
      </c>
      <c r="E4108" s="2" t="s">
        <v>753</v>
      </c>
      <c r="F4108" s="2" t="s">
        <v>39</v>
      </c>
      <c r="G4108" s="2">
        <v>518238334</v>
      </c>
      <c r="H4108" s="2" t="s">
        <v>41</v>
      </c>
      <c r="I4108" s="2" t="s">
        <v>763</v>
      </c>
      <c r="J4108" s="2" t="s">
        <v>1358</v>
      </c>
      <c r="L4108" s="2" t="s">
        <v>419</v>
      </c>
      <c r="M4108" s="2" t="s">
        <v>41</v>
      </c>
      <c r="P4108" s="2" t="s">
        <v>85</v>
      </c>
      <c r="Q4108" s="2" t="s">
        <v>3046</v>
      </c>
      <c r="R4108" s="2" t="s">
        <v>3047</v>
      </c>
      <c r="S4108" s="9">
        <v>1</v>
      </c>
      <c r="T4108" s="10">
        <v>3</v>
      </c>
      <c r="U4108" s="2">
        <f t="shared" si="545"/>
        <v>0.69000000000000006</v>
      </c>
      <c r="V4108" s="2">
        <f t="shared" si="546"/>
        <v>3.69</v>
      </c>
      <c r="X4108" s="5">
        <f t="shared" si="542"/>
        <v>1</v>
      </c>
      <c r="Z4108" s="2" t="s">
        <v>3231</v>
      </c>
      <c r="AA4108" s="2" t="s">
        <v>3384</v>
      </c>
      <c r="AI4108" s="2"/>
      <c r="AK4108" s="2">
        <f t="shared" si="543"/>
        <v>3</v>
      </c>
      <c r="AL4108" s="5">
        <f t="shared" si="544"/>
        <v>1</v>
      </c>
    </row>
    <row r="4109" spans="1:38" hidden="1" x14ac:dyDescent="0.2">
      <c r="A4109" s="8">
        <v>2026</v>
      </c>
      <c r="B4109" s="8">
        <v>6</v>
      </c>
      <c r="C4109" s="8"/>
      <c r="D4109" s="2" t="s">
        <v>2561</v>
      </c>
      <c r="P4109" s="2" t="s">
        <v>115</v>
      </c>
      <c r="Q4109" s="2" t="s">
        <v>3048</v>
      </c>
      <c r="R4109" s="2" t="s">
        <v>3049</v>
      </c>
      <c r="S4109" s="9">
        <v>1</v>
      </c>
      <c r="T4109" s="10">
        <v>140.37</v>
      </c>
      <c r="U4109" s="2">
        <f>T4109*23%</f>
        <v>32.2851</v>
      </c>
      <c r="V4109" s="10">
        <f>T4109+U4109</f>
        <v>172.6551</v>
      </c>
      <c r="X4109" s="5">
        <f t="shared" si="542"/>
        <v>1</v>
      </c>
      <c r="AI4109" s="2"/>
      <c r="AK4109" s="2">
        <f t="shared" si="543"/>
        <v>140.37</v>
      </c>
      <c r="AL4109" s="5">
        <f t="shared" si="544"/>
        <v>1</v>
      </c>
    </row>
    <row r="4110" spans="1:38" hidden="1" x14ac:dyDescent="0.2">
      <c r="A4110" s="8">
        <v>2026</v>
      </c>
      <c r="B4110" s="8">
        <v>6</v>
      </c>
      <c r="C4110" s="8"/>
      <c r="D4110" s="2" t="s">
        <v>2561</v>
      </c>
      <c r="M4110" s="2" t="s">
        <v>40</v>
      </c>
      <c r="P4110" s="2" t="s">
        <v>188</v>
      </c>
      <c r="Q4110" s="2" t="s">
        <v>189</v>
      </c>
      <c r="R4110" s="2" t="s">
        <v>190</v>
      </c>
      <c r="S4110" s="9">
        <v>1</v>
      </c>
      <c r="T4110" s="10">
        <v>333</v>
      </c>
      <c r="U4110" s="2">
        <f>T4110*23%</f>
        <v>76.59</v>
      </c>
      <c r="V4110" s="2">
        <f>T4110+U4110</f>
        <v>409.59000000000003</v>
      </c>
      <c r="W4110" s="2">
        <f>T4110*40%</f>
        <v>133.20000000000002</v>
      </c>
      <c r="X4110" s="5">
        <f>(T4110-W4110)/T4110</f>
        <v>0.6</v>
      </c>
      <c r="Z4110" s="2" t="s">
        <v>118</v>
      </c>
      <c r="AA4110" s="2" t="s">
        <v>191</v>
      </c>
      <c r="AB4110" s="2" t="s">
        <v>190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>T4110-W4110</f>
        <v>199.79999999999998</v>
      </c>
      <c r="AL4110" s="5">
        <f>(T4110-W4110)/T4110</f>
        <v>0.6</v>
      </c>
    </row>
    <row r="4111" spans="1:38" hidden="1" x14ac:dyDescent="0.2">
      <c r="A4111" s="8">
        <v>2026</v>
      </c>
      <c r="B4111" s="8">
        <v>6</v>
      </c>
      <c r="C4111" s="8"/>
      <c r="D4111" s="2" t="s">
        <v>2561</v>
      </c>
      <c r="M4111" s="2" t="s">
        <v>40</v>
      </c>
      <c r="P4111" s="2" t="s">
        <v>188</v>
      </c>
      <c r="Q4111" s="2" t="s">
        <v>192</v>
      </c>
      <c r="R4111" s="2" t="s">
        <v>191</v>
      </c>
      <c r="S4111" s="9">
        <v>2</v>
      </c>
      <c r="T4111" s="10">
        <v>110</v>
      </c>
      <c r="U4111" s="2">
        <f>T4111*23%</f>
        <v>25.3</v>
      </c>
      <c r="V4111" s="2">
        <f>T4111+U4111</f>
        <v>135.30000000000001</v>
      </c>
      <c r="W4111" s="2">
        <f>T4111*50%</f>
        <v>55</v>
      </c>
      <c r="X4111" s="5">
        <f>(T4111-W4111)/T4111</f>
        <v>0.5</v>
      </c>
      <c r="Z4111" s="2" t="s">
        <v>118</v>
      </c>
      <c r="AA4111" s="2" t="s">
        <v>191</v>
      </c>
      <c r="AB4111" s="2" t="s">
        <v>191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>T4111-W4111</f>
        <v>55</v>
      </c>
      <c r="AL4111" s="5">
        <f>(T4111-W4111)/T4111</f>
        <v>0.5</v>
      </c>
    </row>
    <row r="4112" spans="1:38" hidden="1" x14ac:dyDescent="0.2">
      <c r="A4112" s="8">
        <v>2026</v>
      </c>
      <c r="B4112" s="8">
        <v>6</v>
      </c>
      <c r="C4112" s="8"/>
      <c r="D4112" s="2" t="s">
        <v>750</v>
      </c>
      <c r="P4112" s="2" t="s">
        <v>115</v>
      </c>
      <c r="Q4112" s="2" t="s">
        <v>3050</v>
      </c>
      <c r="R4112" s="2" t="s">
        <v>3051</v>
      </c>
      <c r="S4112" s="9">
        <v>1</v>
      </c>
      <c r="T4112" s="10">
        <v>76.150000000000006</v>
      </c>
      <c r="U4112" s="2">
        <f>T4112*23%</f>
        <v>17.514500000000002</v>
      </c>
      <c r="V4112" s="10">
        <f>T4112+U4112</f>
        <v>93.664500000000004</v>
      </c>
      <c r="X4112" s="5">
        <f t="shared" ref="X4112" si="547">(T4112-W4112)/T4112</f>
        <v>1</v>
      </c>
      <c r="AI4112" s="2"/>
      <c r="AK4112" s="2">
        <f t="shared" ref="AK4112" si="548">T4112-W4112</f>
        <v>76.150000000000006</v>
      </c>
      <c r="AL4112" s="5">
        <f t="shared" ref="AL4112" si="549">(T4112-W4112)/T4112</f>
        <v>1</v>
      </c>
    </row>
    <row r="4113" spans="1:38" hidden="1" x14ac:dyDescent="0.2">
      <c r="A4113" s="8">
        <v>2026</v>
      </c>
      <c r="B4113" s="8">
        <v>6</v>
      </c>
      <c r="C4113" s="8"/>
      <c r="D4113" s="2" t="s">
        <v>750</v>
      </c>
      <c r="M4113" s="2" t="s">
        <v>40</v>
      </c>
      <c r="P4113" s="2" t="s">
        <v>115</v>
      </c>
      <c r="Q4113" s="2" t="s">
        <v>180</v>
      </c>
      <c r="R4113" s="2" t="s">
        <v>181</v>
      </c>
      <c r="S4113" s="9">
        <v>2</v>
      </c>
      <c r="T4113" s="10">
        <v>1198.8</v>
      </c>
      <c r="U4113" s="2">
        <f>T4113*23%</f>
        <v>275.72399999999999</v>
      </c>
      <c r="V4113" s="10">
        <f>T4113+U4113</f>
        <v>1474.5239999999999</v>
      </c>
      <c r="W4113" s="2">
        <f>346.57*S4113</f>
        <v>693.14</v>
      </c>
      <c r="X4113" s="5">
        <f>(T4113-W4113)/T4113</f>
        <v>0.42180513847180512</v>
      </c>
      <c r="Z4113" s="2" t="s">
        <v>118</v>
      </c>
      <c r="AA4113" s="2" t="s">
        <v>182</v>
      </c>
      <c r="AB4113" s="2" t="s">
        <v>120</v>
      </c>
      <c r="AC4113" s="2" t="s">
        <v>115</v>
      </c>
      <c r="AI4113" s="2"/>
      <c r="AK4113" s="2">
        <f>T4113-W4113</f>
        <v>505.65999999999997</v>
      </c>
      <c r="AL4113" s="5">
        <f>(T4113-W4113)/T4113</f>
        <v>0.42180513847180512</v>
      </c>
    </row>
    <row r="4114" spans="1:38" hidden="1" x14ac:dyDescent="0.2">
      <c r="A4114" s="8">
        <v>2026</v>
      </c>
      <c r="B4114" s="8">
        <v>6</v>
      </c>
      <c r="C4114" s="8"/>
      <c r="D4114" s="2" t="s">
        <v>750</v>
      </c>
      <c r="P4114" s="2" t="s">
        <v>115</v>
      </c>
      <c r="Q4114" s="2" t="s">
        <v>468</v>
      </c>
      <c r="R4114" s="2" t="s">
        <v>469</v>
      </c>
      <c r="S4114" s="9">
        <v>1</v>
      </c>
      <c r="T4114" s="10">
        <v>418.99</v>
      </c>
      <c r="U4114" s="2">
        <f t="shared" ref="U4114:U4115" si="550">T4114*23%</f>
        <v>96.367699999999999</v>
      </c>
      <c r="V4114" s="10">
        <f t="shared" ref="V4114:V4115" si="551">T4114+U4114</f>
        <v>515.35770000000002</v>
      </c>
      <c r="X4114" s="5">
        <f t="shared" ref="X4114:X4115" si="552">(T4114-W4114)/T4114</f>
        <v>1</v>
      </c>
      <c r="AI4114" s="2"/>
      <c r="AK4114" s="2">
        <f t="shared" ref="AK4114:AK4115" si="553">T4114-W4114</f>
        <v>418.99</v>
      </c>
      <c r="AL4114" s="5">
        <f t="shared" ref="AL4114:AL4115" si="554">(T4114-W4114)/T4114</f>
        <v>1</v>
      </c>
    </row>
    <row r="4115" spans="1:38" hidden="1" x14ac:dyDescent="0.2">
      <c r="A4115" s="8">
        <v>2026</v>
      </c>
      <c r="B4115" s="8">
        <v>6</v>
      </c>
      <c r="C4115" s="8"/>
      <c r="D4115" s="2" t="s">
        <v>750</v>
      </c>
      <c r="P4115" s="2" t="s">
        <v>115</v>
      </c>
      <c r="Q4115" s="2" t="s">
        <v>2215</v>
      </c>
      <c r="R4115" s="2" t="s">
        <v>2216</v>
      </c>
      <c r="S4115" s="9">
        <v>1</v>
      </c>
      <c r="T4115" s="10">
        <v>131.16</v>
      </c>
      <c r="U4115" s="2">
        <f t="shared" si="550"/>
        <v>30.166800000000002</v>
      </c>
      <c r="V4115" s="10">
        <f t="shared" si="551"/>
        <v>161.32679999999999</v>
      </c>
      <c r="X4115" s="5">
        <f t="shared" si="552"/>
        <v>1</v>
      </c>
      <c r="AI4115" s="2"/>
      <c r="AK4115" s="2">
        <f t="shared" si="553"/>
        <v>131.16</v>
      </c>
      <c r="AL4115" s="5">
        <f t="shared" si="554"/>
        <v>1</v>
      </c>
    </row>
    <row r="4116" spans="1:38" hidden="1" x14ac:dyDescent="0.2">
      <c r="A4116" s="8">
        <v>2026</v>
      </c>
      <c r="B4116" s="8">
        <v>6</v>
      </c>
      <c r="C4116" s="8"/>
      <c r="D4116" s="2" t="s">
        <v>750</v>
      </c>
      <c r="M4116" s="2" t="s">
        <v>40</v>
      </c>
      <c r="P4116" s="2" t="s">
        <v>188</v>
      </c>
      <c r="Q4116" s="2" t="s">
        <v>189</v>
      </c>
      <c r="R4116" s="2" t="s">
        <v>190</v>
      </c>
      <c r="S4116" s="9">
        <v>1</v>
      </c>
      <c r="T4116" s="10">
        <v>238</v>
      </c>
      <c r="U4116" s="2">
        <f t="shared" ref="U4116:U4121" si="555">T4116*23%</f>
        <v>54.74</v>
      </c>
      <c r="V4116" s="2">
        <f t="shared" ref="V4116:V4121" si="556">T4116+U4116</f>
        <v>292.74</v>
      </c>
      <c r="W4116" s="2">
        <f>T4116*40%</f>
        <v>95.2</v>
      </c>
      <c r="X4116" s="5">
        <f>(T4116-W4116)/T4116</f>
        <v>0.60000000000000009</v>
      </c>
      <c r="Z4116" s="2" t="s">
        <v>118</v>
      </c>
      <c r="AA4116" s="2" t="s">
        <v>191</v>
      </c>
      <c r="AB4116" s="2" t="s">
        <v>190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>T4116-W4116</f>
        <v>142.80000000000001</v>
      </c>
      <c r="AL4116" s="5">
        <f>(T4116-W4116)/T4116</f>
        <v>0.60000000000000009</v>
      </c>
    </row>
    <row r="4117" spans="1:38" hidden="1" x14ac:dyDescent="0.2">
      <c r="A4117" s="8">
        <v>2026</v>
      </c>
      <c r="B4117" s="8">
        <v>6</v>
      </c>
      <c r="C4117" s="8"/>
      <c r="D4117" s="2" t="s">
        <v>750</v>
      </c>
      <c r="M4117" s="2" t="s">
        <v>40</v>
      </c>
      <c r="P4117" s="2" t="s">
        <v>188</v>
      </c>
      <c r="Q4117" s="2" t="s">
        <v>192</v>
      </c>
      <c r="R4117" s="2" t="s">
        <v>191</v>
      </c>
      <c r="S4117" s="9">
        <v>1</v>
      </c>
      <c r="T4117" s="10">
        <v>55</v>
      </c>
      <c r="U4117" s="2">
        <f t="shared" si="555"/>
        <v>12.65</v>
      </c>
      <c r="V4117" s="2">
        <f t="shared" si="556"/>
        <v>67.650000000000006</v>
      </c>
      <c r="W4117" s="2">
        <f>T4117*50%</f>
        <v>27.5</v>
      </c>
      <c r="X4117" s="5">
        <f>(T4117-W4117)/T4117</f>
        <v>0.5</v>
      </c>
      <c r="Z4117" s="2" t="s">
        <v>118</v>
      </c>
      <c r="AA4117" s="2" t="s">
        <v>191</v>
      </c>
      <c r="AB4117" s="2" t="s">
        <v>191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>T4117-W4117</f>
        <v>27.5</v>
      </c>
      <c r="AL4117" s="5">
        <f>(T4117-W4117)/T4117</f>
        <v>0.5</v>
      </c>
    </row>
    <row r="4118" spans="1:38" hidden="1" x14ac:dyDescent="0.2">
      <c r="A4118" s="8">
        <v>2026</v>
      </c>
      <c r="B4118" s="8">
        <v>6</v>
      </c>
      <c r="C4118" s="8"/>
      <c r="D4118" s="2" t="s">
        <v>1528</v>
      </c>
      <c r="P4118" s="2" t="s">
        <v>283</v>
      </c>
      <c r="Q4118" s="2" t="s">
        <v>3052</v>
      </c>
      <c r="R4118" s="2" t="s">
        <v>3053</v>
      </c>
      <c r="S4118" s="9">
        <v>1</v>
      </c>
      <c r="T4118" s="10">
        <v>17.5</v>
      </c>
      <c r="U4118" s="2">
        <f t="shared" si="555"/>
        <v>4.0250000000000004</v>
      </c>
      <c r="V4118" s="10">
        <f t="shared" si="556"/>
        <v>21.524999999999999</v>
      </c>
      <c r="X4118" s="5">
        <f t="shared" ref="X4118" si="557">(T4118-W4118)/T4118</f>
        <v>1</v>
      </c>
      <c r="AI4118" s="2"/>
      <c r="AK4118" s="2">
        <f t="shared" ref="AK4118" si="558">T4118-W4118</f>
        <v>17.5</v>
      </c>
      <c r="AL4118" s="5">
        <f t="shared" ref="AL4118" si="559">(T4118-W4118)/T4118</f>
        <v>1</v>
      </c>
    </row>
    <row r="4119" spans="1:38" hidden="1" x14ac:dyDescent="0.2">
      <c r="A4119" s="8">
        <v>2026</v>
      </c>
      <c r="B4119" s="8">
        <v>6</v>
      </c>
      <c r="C4119" s="8"/>
      <c r="D4119" s="2" t="s">
        <v>1528</v>
      </c>
      <c r="P4119" s="2" t="s">
        <v>170</v>
      </c>
      <c r="Q4119" s="2" t="s">
        <v>171</v>
      </c>
      <c r="R4119" s="2" t="s">
        <v>171</v>
      </c>
      <c r="S4119" s="9">
        <v>1</v>
      </c>
      <c r="T4119" s="10">
        <v>8</v>
      </c>
      <c r="U4119" s="2">
        <f t="shared" si="555"/>
        <v>1.84</v>
      </c>
      <c r="V4119" s="10">
        <f t="shared" si="556"/>
        <v>9.84</v>
      </c>
      <c r="X4119" s="5">
        <f t="shared" ref="X4119:X4120" si="560">(T4119-W4119)/T4119</f>
        <v>1</v>
      </c>
      <c r="Z4119" s="2" t="s">
        <v>170</v>
      </c>
      <c r="AA4119" s="2" t="s">
        <v>170</v>
      </c>
      <c r="AI4119" s="2"/>
      <c r="AK4119" s="2">
        <f t="shared" ref="AK4119" si="561">T4119-W4119</f>
        <v>8</v>
      </c>
      <c r="AL4119" s="5">
        <f t="shared" ref="AL4119" si="562">(T4119-W4119)/T4119</f>
        <v>1</v>
      </c>
    </row>
    <row r="4120" spans="1:38" hidden="1" x14ac:dyDescent="0.2">
      <c r="A4120" s="8">
        <v>2026</v>
      </c>
      <c r="B4120" s="8">
        <v>6</v>
      </c>
      <c r="C4120" s="8"/>
      <c r="D4120" s="2" t="s">
        <v>2517</v>
      </c>
      <c r="Q4120" s="2" t="s">
        <v>2979</v>
      </c>
      <c r="R4120" s="2" t="s">
        <v>2980</v>
      </c>
      <c r="S4120" s="9">
        <v>1</v>
      </c>
      <c r="T4120" s="10">
        <v>2460</v>
      </c>
      <c r="U4120" s="2">
        <f t="shared" si="555"/>
        <v>565.80000000000007</v>
      </c>
      <c r="V4120" s="10">
        <f t="shared" si="556"/>
        <v>3025.8</v>
      </c>
      <c r="X4120" s="5">
        <f t="shared" si="560"/>
        <v>1</v>
      </c>
      <c r="Z4120" s="2" t="s">
        <v>105</v>
      </c>
      <c r="AI4120" s="2"/>
      <c r="AL4120" s="2"/>
    </row>
    <row r="4121" spans="1:38" hidden="1" x14ac:dyDescent="0.2">
      <c r="A4121" s="8">
        <v>2026</v>
      </c>
      <c r="B4121" s="8">
        <v>6</v>
      </c>
      <c r="C4121" s="8"/>
      <c r="D4121" s="2" t="s">
        <v>360</v>
      </c>
      <c r="E4121" s="2" t="s">
        <v>109</v>
      </c>
      <c r="F4121" s="2" t="s">
        <v>39</v>
      </c>
      <c r="G4121" s="2">
        <v>503413909</v>
      </c>
      <c r="H4121" s="2" t="s">
        <v>110</v>
      </c>
      <c r="I4121" s="2" t="s">
        <v>361</v>
      </c>
      <c r="J4121" s="2" t="s">
        <v>362</v>
      </c>
      <c r="L4121" s="2" t="s">
        <v>361</v>
      </c>
      <c r="P4121" s="2" t="s">
        <v>283</v>
      </c>
      <c r="Q4121" s="2" t="s">
        <v>3054</v>
      </c>
      <c r="R4121" s="2" t="s">
        <v>3055</v>
      </c>
      <c r="S4121" s="9">
        <v>2</v>
      </c>
      <c r="T4121" s="10">
        <v>17.8</v>
      </c>
      <c r="U4121" s="2">
        <f t="shared" si="555"/>
        <v>4.0940000000000003</v>
      </c>
      <c r="V4121" s="10">
        <f t="shared" si="556"/>
        <v>21.894000000000002</v>
      </c>
      <c r="W4121" s="2">
        <f>6.23*2</f>
        <v>12.46</v>
      </c>
      <c r="X4121" s="5">
        <f t="shared" ref="X4121:X4124" si="563">(T4121-W4121)/T4121</f>
        <v>0.3</v>
      </c>
      <c r="Z4121" s="2" t="s">
        <v>3231</v>
      </c>
      <c r="AA4121" s="2" t="s">
        <v>156</v>
      </c>
      <c r="AB4121" s="2" t="s">
        <v>3408</v>
      </c>
      <c r="AC4121" s="2" t="s">
        <v>1329</v>
      </c>
      <c r="AI4121" s="2"/>
      <c r="AK4121" s="2">
        <f t="shared" ref="AK4121" si="564">T4121-W4121</f>
        <v>5.34</v>
      </c>
      <c r="AL4121" s="5">
        <f t="shared" ref="AL4121" si="565">(T4121-W4121)/T4121</f>
        <v>0.3</v>
      </c>
    </row>
    <row r="4122" spans="1:38" hidden="1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1783</v>
      </c>
      <c r="R4122" s="2" t="s">
        <v>1784</v>
      </c>
      <c r="S4122" s="9">
        <v>1</v>
      </c>
      <c r="T4122" s="10">
        <v>2150</v>
      </c>
      <c r="U4122" s="2">
        <f t="shared" ref="U4122:U4123" si="566">T4122*23%</f>
        <v>494.5</v>
      </c>
      <c r="V4122" s="10">
        <f t="shared" ref="V4122:V4123" si="567">T4122+U4122</f>
        <v>2644.5</v>
      </c>
      <c r="X4122" s="5">
        <f t="shared" si="563"/>
        <v>1</v>
      </c>
      <c r="Z4122" s="2" t="s">
        <v>105</v>
      </c>
      <c r="AI4122" s="2"/>
      <c r="AL4122" s="2"/>
    </row>
    <row r="4123" spans="1:38" hidden="1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1330</v>
      </c>
      <c r="R4123" s="2" t="s">
        <v>1331</v>
      </c>
      <c r="S4123" s="9">
        <v>1</v>
      </c>
      <c r="T4123" s="10">
        <v>2190</v>
      </c>
      <c r="U4123" s="2">
        <f t="shared" si="566"/>
        <v>503.70000000000005</v>
      </c>
      <c r="V4123" s="10">
        <f t="shared" si="567"/>
        <v>2693.7</v>
      </c>
      <c r="W4123" s="2">
        <v>1578</v>
      </c>
      <c r="X4123" s="5">
        <f t="shared" si="563"/>
        <v>0.27945205479452057</v>
      </c>
      <c r="Z4123" s="2" t="s">
        <v>105</v>
      </c>
      <c r="AA4123" s="2" t="s">
        <v>388</v>
      </c>
      <c r="AB4123" s="2" t="s">
        <v>1332</v>
      </c>
      <c r="AC4123" s="2" t="s">
        <v>1329</v>
      </c>
      <c r="AI4123" s="2"/>
      <c r="AK4123" s="2">
        <f t="shared" ref="AK4123:AK4124" si="568">T4123-W4123</f>
        <v>612</v>
      </c>
      <c r="AL4123" s="5">
        <f t="shared" ref="AL4123:AL4124" si="569">(T4123-W4123)/T4123</f>
        <v>0.27945205479452057</v>
      </c>
    </row>
    <row r="4124" spans="1:38" hidden="1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40</v>
      </c>
      <c r="Q4124" s="2" t="s">
        <v>364</v>
      </c>
      <c r="R4124" s="2" t="s">
        <v>365</v>
      </c>
      <c r="S4124" s="9">
        <v>4</v>
      </c>
      <c r="T4124" s="10">
        <v>701.35</v>
      </c>
      <c r="U4124" s="2">
        <f>T4124*23%</f>
        <v>161.31050000000002</v>
      </c>
      <c r="V4124" s="10">
        <f>T4124+U4124</f>
        <v>862.66050000000007</v>
      </c>
      <c r="X4124" s="5">
        <f t="shared" si="563"/>
        <v>1</v>
      </c>
      <c r="Z4124" s="2" t="s">
        <v>120</v>
      </c>
      <c r="AA4124" s="2" t="s">
        <v>3385</v>
      </c>
      <c r="AI4124" s="2"/>
      <c r="AK4124" s="2">
        <f t="shared" si="568"/>
        <v>701.35</v>
      </c>
      <c r="AL4124" s="5">
        <f t="shared" si="569"/>
        <v>1</v>
      </c>
    </row>
    <row r="4125" spans="1:38" hidden="1" x14ac:dyDescent="0.2">
      <c r="A4125" s="8">
        <v>2026</v>
      </c>
      <c r="B4125" s="8">
        <v>6</v>
      </c>
      <c r="C4125" s="8" t="s">
        <v>3397</v>
      </c>
      <c r="D4125" s="2" t="s">
        <v>2948</v>
      </c>
      <c r="E4125" s="2" t="s">
        <v>753</v>
      </c>
      <c r="F4125" s="2" t="s">
        <v>39</v>
      </c>
      <c r="L4125" s="2" t="s">
        <v>481</v>
      </c>
      <c r="M4125" s="2" t="s">
        <v>81</v>
      </c>
      <c r="P4125" s="2" t="s">
        <v>73</v>
      </c>
      <c r="Q4125" s="2" t="s">
        <v>1136</v>
      </c>
      <c r="R4125" s="2" t="s">
        <v>535</v>
      </c>
      <c r="S4125" s="9">
        <v>1</v>
      </c>
      <c r="T4125" s="10">
        <v>230</v>
      </c>
      <c r="U4125" s="2">
        <f>T4125*23%</f>
        <v>52.900000000000006</v>
      </c>
      <c r="V4125" s="10">
        <f>T4125+U4125</f>
        <v>282.89999999999998</v>
      </c>
      <c r="W4125" s="2">
        <v>122.25</v>
      </c>
      <c r="X4125" s="5">
        <f>(T4125-W4125)/T4125</f>
        <v>0.46847826086956523</v>
      </c>
      <c r="Z4125" s="2" t="s">
        <v>3231</v>
      </c>
      <c r="AA4125" s="2" t="s">
        <v>76</v>
      </c>
      <c r="AB4125" s="2" t="s">
        <v>77</v>
      </c>
      <c r="AC4125" s="2" t="s">
        <v>78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hidden="1" x14ac:dyDescent="0.2">
      <c r="A4126" s="8">
        <v>2026</v>
      </c>
      <c r="B4126" s="8">
        <v>6</v>
      </c>
      <c r="C4126" s="8" t="s">
        <v>3397</v>
      </c>
      <c r="D4126" s="2" t="s">
        <v>2948</v>
      </c>
      <c r="E4126" s="2" t="s">
        <v>753</v>
      </c>
      <c r="F4126" s="2" t="s">
        <v>39</v>
      </c>
      <c r="L4126" s="2" t="s">
        <v>481</v>
      </c>
      <c r="M4126" s="2" t="s">
        <v>81</v>
      </c>
      <c r="P4126" s="2" t="s">
        <v>94</v>
      </c>
      <c r="Q4126" s="2" t="s">
        <v>95</v>
      </c>
      <c r="R4126" s="2" t="s">
        <v>96</v>
      </c>
      <c r="S4126" s="9">
        <v>1</v>
      </c>
      <c r="T4126" s="10">
        <v>1.48</v>
      </c>
      <c r="U4126" s="2">
        <f>T4126*23%</f>
        <v>0.34040000000000004</v>
      </c>
      <c r="V4126" s="10">
        <f>T4126+U4126</f>
        <v>1.8204</v>
      </c>
      <c r="W4126" s="2">
        <f>1.48*S4126</f>
        <v>1.48</v>
      </c>
      <c r="X4126" s="5">
        <f>(T4126-W4126)/T4126</f>
        <v>0</v>
      </c>
      <c r="Z4126" s="2" t="s">
        <v>3231</v>
      </c>
      <c r="AA4126" s="2" t="s">
        <v>97</v>
      </c>
      <c r="AB4126" s="2" t="s">
        <v>77</v>
      </c>
      <c r="AC4126" s="2" t="s">
        <v>94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hidden="1" x14ac:dyDescent="0.2">
      <c r="A4127" s="8">
        <v>2026</v>
      </c>
      <c r="B4127" s="8">
        <v>6</v>
      </c>
      <c r="C4127" s="8"/>
      <c r="D4127" s="2" t="s">
        <v>3110</v>
      </c>
      <c r="P4127" s="2" t="s">
        <v>115</v>
      </c>
      <c r="Q4127" s="2" t="s">
        <v>957</v>
      </c>
      <c r="R4127" s="2" t="s">
        <v>958</v>
      </c>
      <c r="S4127" s="9">
        <v>1</v>
      </c>
      <c r="T4127" s="10">
        <v>8930</v>
      </c>
      <c r="U4127" s="2">
        <f t="shared" ref="U4127:U4128" si="570">T4127*23%</f>
        <v>2053.9</v>
      </c>
      <c r="V4127" s="10">
        <f t="shared" ref="V4127:V4128" si="571">T4127+U4127</f>
        <v>10983.9</v>
      </c>
      <c r="X4127" s="5">
        <f t="shared" ref="X4127:X4129" si="572">(T4127-W4127)/T4127</f>
        <v>1</v>
      </c>
      <c r="Z4127" s="2" t="s">
        <v>105</v>
      </c>
      <c r="AI4127" s="2"/>
      <c r="AL4127" s="2"/>
    </row>
    <row r="4128" spans="1:38" hidden="1" x14ac:dyDescent="0.2">
      <c r="A4128" s="8">
        <v>2026</v>
      </c>
      <c r="B4128" s="8">
        <v>6</v>
      </c>
      <c r="C4128" s="8"/>
      <c r="D4128" s="2" t="s">
        <v>3110</v>
      </c>
      <c r="P4128" s="2" t="s">
        <v>115</v>
      </c>
      <c r="Q4128" s="2" t="s">
        <v>1582</v>
      </c>
      <c r="R4128" s="2" t="s">
        <v>1583</v>
      </c>
      <c r="S4128" s="9">
        <v>1</v>
      </c>
      <c r="T4128" s="10">
        <v>7490</v>
      </c>
      <c r="U4128" s="2">
        <f t="shared" si="570"/>
        <v>1722.7</v>
      </c>
      <c r="V4128" s="10">
        <f t="shared" si="571"/>
        <v>9212.7000000000007</v>
      </c>
      <c r="X4128" s="5">
        <f t="shared" si="572"/>
        <v>1</v>
      </c>
      <c r="Z4128" s="2" t="s">
        <v>105</v>
      </c>
      <c r="AI4128" s="2"/>
      <c r="AL4128" s="2"/>
    </row>
    <row r="4129" spans="1:38" hidden="1" x14ac:dyDescent="0.2">
      <c r="A4129" s="8">
        <v>2026</v>
      </c>
      <c r="B4129" s="8">
        <v>6</v>
      </c>
      <c r="C4129" s="8"/>
      <c r="D4129" s="2" t="s">
        <v>383</v>
      </c>
      <c r="Q4129" s="2" t="s">
        <v>3056</v>
      </c>
      <c r="R4129" s="2" t="s">
        <v>3057</v>
      </c>
      <c r="S4129" s="9">
        <v>1</v>
      </c>
      <c r="T4129" s="10">
        <v>10</v>
      </c>
      <c r="U4129" s="2">
        <f t="shared" ref="U4129:U4134" si="573">T4129*23%</f>
        <v>2.3000000000000003</v>
      </c>
      <c r="V4129" s="10">
        <f t="shared" ref="V4129:V4134" si="574">T4129+U4129</f>
        <v>12.3</v>
      </c>
      <c r="X4129" s="5">
        <f t="shared" si="572"/>
        <v>1</v>
      </c>
      <c r="AI4129" s="2"/>
      <c r="AK4129" s="2">
        <f t="shared" ref="AK4129" si="575">T4129-W4129</f>
        <v>10</v>
      </c>
      <c r="AL4129" s="5">
        <f t="shared" ref="AL4129" si="576">(T4129-W4129)/T4129</f>
        <v>1</v>
      </c>
    </row>
    <row r="4130" spans="1:38" hidden="1" x14ac:dyDescent="0.2">
      <c r="A4130" s="8">
        <v>2026</v>
      </c>
      <c r="B4130" s="8">
        <v>6</v>
      </c>
      <c r="C4130" s="8"/>
      <c r="D4130" s="2" t="s">
        <v>383</v>
      </c>
      <c r="P4130" s="2" t="s">
        <v>167</v>
      </c>
      <c r="Q4130" s="2" t="s">
        <v>2185</v>
      </c>
      <c r="R4130" s="2" t="s">
        <v>2186</v>
      </c>
      <c r="S4130" s="9">
        <v>4</v>
      </c>
      <c r="T4130" s="10">
        <v>12</v>
      </c>
      <c r="U4130" s="2">
        <f t="shared" si="573"/>
        <v>2.7600000000000002</v>
      </c>
      <c r="V4130" s="10">
        <f t="shared" si="574"/>
        <v>14.76</v>
      </c>
      <c r="X4130" s="5">
        <f>(T4130-W4130)/T4130</f>
        <v>1</v>
      </c>
      <c r="Z4130" s="2" t="s">
        <v>3231</v>
      </c>
      <c r="AA4130" s="2" t="s">
        <v>88</v>
      </c>
      <c r="AB4130" s="2" t="s">
        <v>120</v>
      </c>
      <c r="AC4130" s="2" t="s">
        <v>167</v>
      </c>
      <c r="AF4130" s="2">
        <f>AJ4130</f>
        <v>0</v>
      </c>
      <c r="AI4130" s="2"/>
      <c r="AJ4130" s="2">
        <f>AI4130*T4130</f>
        <v>0</v>
      </c>
      <c r="AK4130" s="2">
        <f>T4130-W4130</f>
        <v>12</v>
      </c>
      <c r="AL4130" s="5">
        <f>(T4130-W4130)/T4130</f>
        <v>1</v>
      </c>
    </row>
    <row r="4131" spans="1:38" hidden="1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3058</v>
      </c>
      <c r="R4131" s="2" t="s">
        <v>3059</v>
      </c>
      <c r="S4131" s="9">
        <v>2</v>
      </c>
      <c r="T4131" s="10">
        <v>4</v>
      </c>
      <c r="U4131" s="2">
        <f t="shared" si="573"/>
        <v>0.92</v>
      </c>
      <c r="V4131" s="10">
        <f t="shared" si="574"/>
        <v>4.92</v>
      </c>
      <c r="X4131" s="5">
        <f>(T4131-W4131)/T4131</f>
        <v>1</v>
      </c>
      <c r="Z4131" s="2" t="s">
        <v>3231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4</v>
      </c>
      <c r="AL4131" s="5">
        <f>(T4131-W4131)/T4131</f>
        <v>1</v>
      </c>
    </row>
    <row r="4132" spans="1:38" hidden="1" x14ac:dyDescent="0.2">
      <c r="A4132" s="8">
        <v>2026</v>
      </c>
      <c r="B4132" s="8">
        <v>6</v>
      </c>
      <c r="C4132" s="8"/>
      <c r="D4132" s="2" t="s">
        <v>383</v>
      </c>
      <c r="P4132" s="2" t="s">
        <v>170</v>
      </c>
      <c r="Q4132" s="2" t="s">
        <v>171</v>
      </c>
      <c r="R4132" s="2" t="s">
        <v>171</v>
      </c>
      <c r="S4132" s="9">
        <v>1</v>
      </c>
      <c r="T4132" s="10">
        <v>5</v>
      </c>
      <c r="U4132" s="2">
        <f t="shared" si="573"/>
        <v>1.1500000000000001</v>
      </c>
      <c r="V4132" s="10">
        <f t="shared" si="574"/>
        <v>6.15</v>
      </c>
      <c r="X4132" s="5">
        <f t="shared" ref="X4132" si="577">(T4132-W4132)/T4132</f>
        <v>1</v>
      </c>
      <c r="Z4132" s="2" t="s">
        <v>170</v>
      </c>
      <c r="AA4132" s="2" t="s">
        <v>170</v>
      </c>
      <c r="AI4132" s="2"/>
      <c r="AK4132" s="2">
        <f t="shared" ref="AK4132" si="578">T4132-W4132</f>
        <v>5</v>
      </c>
      <c r="AL4132" s="5">
        <f t="shared" ref="AL4132" si="579">(T4132-W4132)/T4132</f>
        <v>1</v>
      </c>
    </row>
    <row r="4133" spans="1:38" hidden="1" x14ac:dyDescent="0.2">
      <c r="A4133" s="8">
        <v>2026</v>
      </c>
      <c r="B4133" s="8">
        <v>6</v>
      </c>
      <c r="C4133" s="8"/>
      <c r="D4133" s="2" t="s">
        <v>383</v>
      </c>
      <c r="P4133" s="2" t="s">
        <v>188</v>
      </c>
      <c r="Q4133" s="2" t="s">
        <v>1310</v>
      </c>
      <c r="R4133" s="2" t="s">
        <v>1311</v>
      </c>
      <c r="S4133" s="9">
        <v>1</v>
      </c>
      <c r="T4133" s="10">
        <v>50.85</v>
      </c>
      <c r="U4133" s="2">
        <f t="shared" si="573"/>
        <v>11.695500000000001</v>
      </c>
      <c r="V4133" s="2">
        <f t="shared" si="574"/>
        <v>62.545500000000004</v>
      </c>
      <c r="X4133" s="5">
        <f>(T4133-W4133)/T4133</f>
        <v>1</v>
      </c>
      <c r="Z4133" s="2" t="s">
        <v>118</v>
      </c>
      <c r="AA4133" s="2" t="s">
        <v>1312</v>
      </c>
      <c r="AI4133" s="2"/>
      <c r="AL4133" s="2"/>
    </row>
    <row r="4134" spans="1:38" hidden="1" x14ac:dyDescent="0.2">
      <c r="A4134" s="8">
        <v>2026</v>
      </c>
      <c r="B4134" s="8">
        <v>6</v>
      </c>
      <c r="C4134" s="8"/>
      <c r="D4134" s="2" t="s">
        <v>776</v>
      </c>
      <c r="P4134" s="2" t="s">
        <v>115</v>
      </c>
      <c r="Q4134" s="2" t="s">
        <v>1879</v>
      </c>
      <c r="R4134" s="2" t="s">
        <v>1880</v>
      </c>
      <c r="S4134" s="9">
        <v>1</v>
      </c>
      <c r="T4134" s="10">
        <v>219.45</v>
      </c>
      <c r="U4134" s="2">
        <f t="shared" si="573"/>
        <v>50.473500000000001</v>
      </c>
      <c r="V4134" s="10">
        <f t="shared" si="574"/>
        <v>269.92349999999999</v>
      </c>
      <c r="X4134" s="5">
        <f t="shared" ref="X4134" si="580">(T4134-W4134)/T4134</f>
        <v>1</v>
      </c>
      <c r="AI4134" s="2"/>
      <c r="AK4134" s="2">
        <f t="shared" ref="AK4134" si="581">T4134-W4134</f>
        <v>219.45</v>
      </c>
      <c r="AL4134" s="5">
        <f t="shared" ref="AL4134" si="582">(T4134-W4134)/T4134</f>
        <v>1</v>
      </c>
    </row>
    <row r="4135" spans="1:38" hidden="1" x14ac:dyDescent="0.2">
      <c r="A4135" s="8">
        <v>2026</v>
      </c>
      <c r="B4135" s="8">
        <v>6</v>
      </c>
      <c r="C4135" s="8"/>
      <c r="D4135" s="2" t="s">
        <v>776</v>
      </c>
      <c r="M4135" s="2" t="s">
        <v>40</v>
      </c>
      <c r="P4135" s="2" t="s">
        <v>188</v>
      </c>
      <c r="Q4135" s="2" t="s">
        <v>189</v>
      </c>
      <c r="R4135" s="2" t="s">
        <v>190</v>
      </c>
      <c r="S4135" s="9">
        <v>1</v>
      </c>
      <c r="T4135" s="10">
        <v>60</v>
      </c>
      <c r="U4135" s="2">
        <f t="shared" ref="U4135:U4145" si="583">T4135*23%</f>
        <v>13.8</v>
      </c>
      <c r="V4135" s="2">
        <f t="shared" ref="V4135:V4145" si="584">T4135+U4135</f>
        <v>73.8</v>
      </c>
      <c r="W4135" s="2">
        <f>T4135*40%</f>
        <v>24</v>
      </c>
      <c r="X4135" s="5">
        <f t="shared" ref="X4135:X4140" si="585">(T4135-W4135)/T4135</f>
        <v>0.6</v>
      </c>
      <c r="Z4135" s="2" t="s">
        <v>118</v>
      </c>
      <c r="AA4135" s="2" t="s">
        <v>191</v>
      </c>
      <c r="AB4135" s="2" t="s">
        <v>190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>T4135-W4135</f>
        <v>36</v>
      </c>
      <c r="AL4135" s="5">
        <f>(T4135-W4135)/T4135</f>
        <v>0.6</v>
      </c>
    </row>
    <row r="4136" spans="1:38" hidden="1" x14ac:dyDescent="0.2">
      <c r="A4136" s="8">
        <v>2026</v>
      </c>
      <c r="B4136" s="8">
        <v>6</v>
      </c>
      <c r="C4136" s="8"/>
      <c r="D4136" s="2" t="s">
        <v>776</v>
      </c>
      <c r="M4136" s="2" t="s">
        <v>40</v>
      </c>
      <c r="P4136" s="2" t="s">
        <v>188</v>
      </c>
      <c r="Q4136" s="2" t="s">
        <v>192</v>
      </c>
      <c r="R4136" s="2" t="s">
        <v>191</v>
      </c>
      <c r="S4136" s="9">
        <v>1</v>
      </c>
      <c r="T4136" s="10">
        <v>55</v>
      </c>
      <c r="U4136" s="2">
        <f t="shared" si="583"/>
        <v>12.65</v>
      </c>
      <c r="V4136" s="2">
        <f t="shared" si="584"/>
        <v>67.650000000000006</v>
      </c>
      <c r="W4136" s="2">
        <f>T4136*50%</f>
        <v>27.5</v>
      </c>
      <c r="X4136" s="5">
        <f t="shared" si="585"/>
        <v>0.5</v>
      </c>
      <c r="Z4136" s="2" t="s">
        <v>118</v>
      </c>
      <c r="AA4136" s="2" t="s">
        <v>191</v>
      </c>
      <c r="AB4136" s="2" t="s">
        <v>191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>T4136-W4136</f>
        <v>27.5</v>
      </c>
      <c r="AL4136" s="5">
        <f>(T4136-W4136)/T4136</f>
        <v>0.5</v>
      </c>
    </row>
    <row r="4137" spans="1:38" hidden="1" x14ac:dyDescent="0.2">
      <c r="A4137" s="8">
        <v>2026</v>
      </c>
      <c r="B4137" s="8">
        <v>6</v>
      </c>
      <c r="C4137" s="8"/>
      <c r="D4137" s="2" t="s">
        <v>2582</v>
      </c>
      <c r="E4137" s="2" t="s">
        <v>184</v>
      </c>
      <c r="F4137" s="2" t="s">
        <v>2583</v>
      </c>
      <c r="G4137" s="2">
        <v>515259144</v>
      </c>
      <c r="H4137" s="2" t="s">
        <v>81</v>
      </c>
      <c r="I4137" s="2" t="s">
        <v>157</v>
      </c>
      <c r="J4137" s="2" t="s">
        <v>2584</v>
      </c>
      <c r="K4137" s="2">
        <v>968626165</v>
      </c>
      <c r="L4137" s="2" t="s">
        <v>100</v>
      </c>
      <c r="M4137" s="2" t="s">
        <v>81</v>
      </c>
      <c r="P4137" s="2" t="s">
        <v>1040</v>
      </c>
      <c r="Q4137" s="2" t="s">
        <v>2893</v>
      </c>
      <c r="R4137" s="2" t="s">
        <v>2894</v>
      </c>
      <c r="S4137" s="9">
        <v>1</v>
      </c>
      <c r="T4137" s="10">
        <v>223.1</v>
      </c>
      <c r="U4137" s="2">
        <f t="shared" si="583"/>
        <v>51.313000000000002</v>
      </c>
      <c r="V4137" s="2">
        <f t="shared" si="584"/>
        <v>274.41300000000001</v>
      </c>
      <c r="W4137" s="2">
        <v>141.18</v>
      </c>
      <c r="X4137" s="5">
        <f t="shared" si="585"/>
        <v>0.36718960107575072</v>
      </c>
      <c r="Z4137" s="2" t="s">
        <v>3231</v>
      </c>
      <c r="AA4137" s="2" t="s">
        <v>76</v>
      </c>
      <c r="AB4137" s="2" t="s">
        <v>77</v>
      </c>
      <c r="AC4137" s="2" t="s">
        <v>1040</v>
      </c>
      <c r="AF4137" s="2">
        <f>AJ4137</f>
        <v>0</v>
      </c>
      <c r="AI4137" s="2"/>
      <c r="AJ4137" s="2">
        <f>AI4137*T4137</f>
        <v>0</v>
      </c>
      <c r="AK4137" s="2">
        <f>T4137-W4137</f>
        <v>81.919999999999987</v>
      </c>
      <c r="AL4137" s="5">
        <f>(T4137-W4137)/T4137</f>
        <v>0.36718960107575072</v>
      </c>
    </row>
    <row r="4138" spans="1:38" hidden="1" x14ac:dyDescent="0.2">
      <c r="A4138" s="8">
        <v>2026</v>
      </c>
      <c r="B4138" s="8">
        <v>6</v>
      </c>
      <c r="C4138" s="8"/>
      <c r="D4138" s="2" t="s">
        <v>2582</v>
      </c>
      <c r="E4138" s="2" t="s">
        <v>184</v>
      </c>
      <c r="F4138" s="2" t="s">
        <v>2583</v>
      </c>
      <c r="G4138" s="2">
        <v>515259144</v>
      </c>
      <c r="H4138" s="2" t="s">
        <v>81</v>
      </c>
      <c r="I4138" s="2" t="s">
        <v>157</v>
      </c>
      <c r="J4138" s="2" t="s">
        <v>2584</v>
      </c>
      <c r="K4138" s="2">
        <v>968626165</v>
      </c>
      <c r="L4138" s="2" t="s">
        <v>100</v>
      </c>
      <c r="M4138" s="2" t="s">
        <v>81</v>
      </c>
      <c r="P4138" s="2" t="s">
        <v>94</v>
      </c>
      <c r="Q4138" s="2" t="s">
        <v>95</v>
      </c>
      <c r="R4138" s="2" t="s">
        <v>96</v>
      </c>
      <c r="S4138" s="9">
        <v>1</v>
      </c>
      <c r="T4138" s="10">
        <v>1.48</v>
      </c>
      <c r="U4138" s="2">
        <f t="shared" si="583"/>
        <v>0.34040000000000004</v>
      </c>
      <c r="V4138" s="10">
        <f t="shared" si="584"/>
        <v>1.8204</v>
      </c>
      <c r="W4138" s="2">
        <f>1.48*S4138</f>
        <v>1.48</v>
      </c>
      <c r="X4138" s="5">
        <f t="shared" si="585"/>
        <v>0</v>
      </c>
      <c r="Z4138" s="2" t="s">
        <v>3231</v>
      </c>
      <c r="AA4138" s="2" t="s">
        <v>97</v>
      </c>
      <c r="AB4138" s="2" t="s">
        <v>77</v>
      </c>
      <c r="AC4138" s="2" t="s">
        <v>94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>T4138-W4138</f>
        <v>0</v>
      </c>
      <c r="AL4138" s="5">
        <f>(T4138-W4138)/T4138</f>
        <v>0</v>
      </c>
    </row>
    <row r="4139" spans="1:38" hidden="1" x14ac:dyDescent="0.2">
      <c r="A4139" s="8">
        <v>2026</v>
      </c>
      <c r="B4139" s="8">
        <v>6</v>
      </c>
      <c r="C4139" s="8"/>
      <c r="D4139" s="2" t="s">
        <v>782</v>
      </c>
      <c r="P4139" s="2" t="s">
        <v>43</v>
      </c>
      <c r="Q4139" s="2" t="s">
        <v>55</v>
      </c>
      <c r="R4139" s="2" t="s">
        <v>56</v>
      </c>
      <c r="S4139" s="9">
        <v>1</v>
      </c>
      <c r="T4139" s="10">
        <v>18</v>
      </c>
      <c r="U4139" s="2">
        <f t="shared" si="583"/>
        <v>4.1400000000000006</v>
      </c>
      <c r="V4139" s="10">
        <f t="shared" si="584"/>
        <v>22.14</v>
      </c>
      <c r="X4139" s="5">
        <f t="shared" si="585"/>
        <v>1</v>
      </c>
      <c r="Z4139" s="2" t="s">
        <v>3231</v>
      </c>
      <c r="AA4139" s="2" t="s">
        <v>46</v>
      </c>
      <c r="AB4139" s="2" t="s">
        <v>57</v>
      </c>
      <c r="AC4139" s="2" t="s">
        <v>58</v>
      </c>
      <c r="AI4139" s="2"/>
      <c r="AL4139" s="2"/>
    </row>
    <row r="4140" spans="1:38" hidden="1" x14ac:dyDescent="0.2">
      <c r="A4140" s="8">
        <v>2026</v>
      </c>
      <c r="B4140" s="8">
        <v>6</v>
      </c>
      <c r="C4140" s="8"/>
      <c r="D4140" s="2" t="s">
        <v>785</v>
      </c>
      <c r="P4140" s="2" t="s">
        <v>43</v>
      </c>
      <c r="Q4140" s="2" t="s">
        <v>352</v>
      </c>
      <c r="R4140" s="2" t="s">
        <v>353</v>
      </c>
      <c r="S4140" s="9">
        <v>1</v>
      </c>
      <c r="T4140" s="10">
        <v>21</v>
      </c>
      <c r="U4140" s="2">
        <f t="shared" si="583"/>
        <v>4.83</v>
      </c>
      <c r="V4140" s="10">
        <f t="shared" si="584"/>
        <v>25.83</v>
      </c>
      <c r="W4140" s="2">
        <f>10.67*S4140</f>
        <v>10.67</v>
      </c>
      <c r="X4140" s="5">
        <f t="shared" si="585"/>
        <v>0.4919047619047619</v>
      </c>
      <c r="Z4140" s="2" t="s">
        <v>3231</v>
      </c>
      <c r="AA4140" s="2" t="s">
        <v>46</v>
      </c>
      <c r="AB4140" s="2" t="s">
        <v>47</v>
      </c>
      <c r="AC4140" s="2" t="s">
        <v>48</v>
      </c>
      <c r="AI4140" s="2"/>
      <c r="AK4140" s="2">
        <f t="shared" ref="AK4140" si="586">T4140-W4140</f>
        <v>10.33</v>
      </c>
      <c r="AL4140" s="5">
        <f t="shared" ref="AL4140" si="587">(T4140-W4140)/T4140</f>
        <v>0.4919047619047619</v>
      </c>
    </row>
    <row r="4141" spans="1:38" hidden="1" x14ac:dyDescent="0.2">
      <c r="A4141" s="8">
        <v>2026</v>
      </c>
      <c r="B4141" s="8">
        <v>6</v>
      </c>
      <c r="C4141" s="8"/>
      <c r="D4141" s="2" t="s">
        <v>2012</v>
      </c>
      <c r="E4141" s="2" t="s">
        <v>38</v>
      </c>
      <c r="F4141" s="2" t="s">
        <v>39</v>
      </c>
      <c r="L4141" s="2" t="s">
        <v>572</v>
      </c>
      <c r="M4141" s="2" t="s">
        <v>81</v>
      </c>
      <c r="P4141" s="2" t="s">
        <v>73</v>
      </c>
      <c r="Q4141" s="2" t="s">
        <v>914</v>
      </c>
      <c r="R4141" s="2" t="s">
        <v>75</v>
      </c>
      <c r="S4141" s="9">
        <v>1</v>
      </c>
      <c r="T4141" s="10">
        <v>230</v>
      </c>
      <c r="U4141" s="2">
        <f t="shared" si="583"/>
        <v>52.900000000000006</v>
      </c>
      <c r="V4141" s="10">
        <f t="shared" si="584"/>
        <v>282.89999999999998</v>
      </c>
      <c r="W4141" s="2">
        <f>115.92+6.06</f>
        <v>121.98</v>
      </c>
      <c r="X4141" s="5">
        <f t="shared" ref="X4141:X4150" si="588">(T4141-W4141)/T4141</f>
        <v>0.46965217391304348</v>
      </c>
      <c r="Z4141" s="2" t="s">
        <v>3231</v>
      </c>
      <c r="AA4141" s="2" t="s">
        <v>76</v>
      </c>
      <c r="AB4141" s="2" t="s">
        <v>77</v>
      </c>
      <c r="AC4141" s="2" t="s">
        <v>78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>T4141-W4141</f>
        <v>108.02</v>
      </c>
      <c r="AL4141" s="5">
        <f>(T4141-W4141)/T4141</f>
        <v>0.46965217391304348</v>
      </c>
    </row>
    <row r="4142" spans="1:38" hidden="1" x14ac:dyDescent="0.2">
      <c r="A4142" s="8">
        <v>2026</v>
      </c>
      <c r="B4142" s="8">
        <v>6</v>
      </c>
      <c r="C4142" s="8"/>
      <c r="D4142" s="2" t="s">
        <v>2012</v>
      </c>
      <c r="E4142" s="2" t="s">
        <v>38</v>
      </c>
      <c r="F4142" s="2" t="s">
        <v>39</v>
      </c>
      <c r="L4142" s="2" t="s">
        <v>572</v>
      </c>
      <c r="M4142" s="2" t="s">
        <v>81</v>
      </c>
      <c r="P4142" s="2" t="s">
        <v>94</v>
      </c>
      <c r="Q4142" s="2" t="s">
        <v>95</v>
      </c>
      <c r="R4142" s="2" t="s">
        <v>96</v>
      </c>
      <c r="S4142" s="9">
        <v>1</v>
      </c>
      <c r="T4142" s="10">
        <v>1.48</v>
      </c>
      <c r="U4142" s="2">
        <f t="shared" si="583"/>
        <v>0.34040000000000004</v>
      </c>
      <c r="V4142" s="10">
        <f t="shared" si="584"/>
        <v>1.8204</v>
      </c>
      <c r="W4142" s="2">
        <f>1.48*S4142</f>
        <v>1.48</v>
      </c>
      <c r="X4142" s="5">
        <f t="shared" si="588"/>
        <v>0</v>
      </c>
      <c r="Z4142" s="2" t="s">
        <v>3231</v>
      </c>
      <c r="AA4142" s="2" t="s">
        <v>97</v>
      </c>
      <c r="AB4142" s="2" t="s">
        <v>77</v>
      </c>
      <c r="AC4142" s="2" t="s">
        <v>94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>T4142-W4142</f>
        <v>0</v>
      </c>
      <c r="AL4142" s="5">
        <f>(T4142-W4142)/T4142</f>
        <v>0</v>
      </c>
    </row>
    <row r="4143" spans="1:38" hidden="1" x14ac:dyDescent="0.2">
      <c r="A4143" s="8">
        <v>2026</v>
      </c>
      <c r="B4143" s="8">
        <v>6</v>
      </c>
      <c r="C4143" s="8" t="s">
        <v>3327</v>
      </c>
      <c r="D4143" s="2" t="s">
        <v>1011</v>
      </c>
      <c r="E4143" s="2" t="s">
        <v>109</v>
      </c>
      <c r="F4143" s="2" t="s">
        <v>39</v>
      </c>
      <c r="J4143" s="2" t="s">
        <v>472</v>
      </c>
      <c r="L4143" s="2" t="s">
        <v>294</v>
      </c>
      <c r="M4143" s="2" t="s">
        <v>81</v>
      </c>
      <c r="P4143" s="2" t="s">
        <v>73</v>
      </c>
      <c r="Q4143" s="2" t="s">
        <v>3060</v>
      </c>
      <c r="R4143" s="2" t="s">
        <v>208</v>
      </c>
      <c r="S4143" s="9">
        <v>1</v>
      </c>
      <c r="T4143" s="10">
        <v>400</v>
      </c>
      <c r="U4143" s="2">
        <f t="shared" si="583"/>
        <v>92</v>
      </c>
      <c r="V4143" s="10">
        <f t="shared" si="584"/>
        <v>492</v>
      </c>
      <c r="W4143" s="2">
        <f>271.66+19.93</f>
        <v>291.59000000000003</v>
      </c>
      <c r="X4143" s="5">
        <f t="shared" si="588"/>
        <v>0.2710249999999999</v>
      </c>
      <c r="Z4143" s="2" t="s">
        <v>3231</v>
      </c>
      <c r="AA4143" s="2" t="s">
        <v>76</v>
      </c>
      <c r="AB4143" s="2" t="s">
        <v>77</v>
      </c>
      <c r="AC4143" s="2" t="s">
        <v>78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>T4143-W4143</f>
        <v>108.40999999999997</v>
      </c>
      <c r="AL4143" s="5">
        <f>(T4143-W4143)/T4143</f>
        <v>0.2710249999999999</v>
      </c>
    </row>
    <row r="4144" spans="1:38" hidden="1" x14ac:dyDescent="0.2">
      <c r="A4144" s="8">
        <v>2026</v>
      </c>
      <c r="B4144" s="8">
        <v>6</v>
      </c>
      <c r="C4144" s="8" t="s">
        <v>3327</v>
      </c>
      <c r="D4144" s="2" t="s">
        <v>1011</v>
      </c>
      <c r="E4144" s="2" t="s">
        <v>109</v>
      </c>
      <c r="F4144" s="2" t="s">
        <v>39</v>
      </c>
      <c r="J4144" s="2" t="s">
        <v>472</v>
      </c>
      <c r="L4144" s="2" t="s">
        <v>294</v>
      </c>
      <c r="M4144" s="2" t="s">
        <v>81</v>
      </c>
      <c r="P4144" s="2" t="s">
        <v>94</v>
      </c>
      <c r="Q4144" s="2" t="s">
        <v>95</v>
      </c>
      <c r="R4144" s="2" t="s">
        <v>96</v>
      </c>
      <c r="S4144" s="9">
        <v>1</v>
      </c>
      <c r="T4144" s="10">
        <v>1.48</v>
      </c>
      <c r="U4144" s="2">
        <f t="shared" si="583"/>
        <v>0.34040000000000004</v>
      </c>
      <c r="V4144" s="10">
        <f t="shared" si="584"/>
        <v>1.8204</v>
      </c>
      <c r="W4144" s="2">
        <f>1.48*S4144</f>
        <v>1.48</v>
      </c>
      <c r="X4144" s="5">
        <f t="shared" si="588"/>
        <v>0</v>
      </c>
      <c r="Z4144" s="2" t="s">
        <v>3231</v>
      </c>
      <c r="AA4144" s="2" t="s">
        <v>97</v>
      </c>
      <c r="AB4144" s="2" t="s">
        <v>77</v>
      </c>
      <c r="AC4144" s="2" t="s">
        <v>94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>T4144-W4144</f>
        <v>0</v>
      </c>
      <c r="AL4144" s="5">
        <f>(T4144-W4144)/T4144</f>
        <v>0</v>
      </c>
    </row>
    <row r="4145" spans="1:38" hidden="1" x14ac:dyDescent="0.2">
      <c r="A4145" s="8">
        <v>2026</v>
      </c>
      <c r="B4145" s="8">
        <v>6</v>
      </c>
      <c r="C4145" s="8"/>
      <c r="D4145" s="2" t="s">
        <v>395</v>
      </c>
      <c r="E4145" s="2" t="s">
        <v>109</v>
      </c>
      <c r="F4145" s="2" t="s">
        <v>396</v>
      </c>
      <c r="G4145" s="2">
        <v>501787160</v>
      </c>
      <c r="H4145" s="2" t="s">
        <v>41</v>
      </c>
      <c r="I4145" s="2" t="s">
        <v>397</v>
      </c>
      <c r="J4145" s="2" t="s">
        <v>398</v>
      </c>
      <c r="L4145" s="2" t="s">
        <v>399</v>
      </c>
      <c r="P4145" s="2" t="s">
        <v>283</v>
      </c>
      <c r="Q4145" s="2" t="s">
        <v>402</v>
      </c>
      <c r="R4145" s="2" t="s">
        <v>403</v>
      </c>
      <c r="S4145" s="9">
        <v>20</v>
      </c>
      <c r="T4145" s="10">
        <v>400</v>
      </c>
      <c r="U4145" s="2">
        <f t="shared" si="583"/>
        <v>92</v>
      </c>
      <c r="V4145" s="10">
        <f t="shared" si="584"/>
        <v>492</v>
      </c>
      <c r="W4145" s="2">
        <v>290</v>
      </c>
      <c r="X4145" s="5">
        <f t="shared" si="588"/>
        <v>0.27500000000000002</v>
      </c>
      <c r="Z4145" s="2" t="s">
        <v>3231</v>
      </c>
      <c r="AA4145" s="2" t="s">
        <v>46</v>
      </c>
      <c r="AB4145" s="2" t="s">
        <v>61</v>
      </c>
      <c r="AC4145" s="2" t="s">
        <v>3336</v>
      </c>
      <c r="AI4145" s="2"/>
      <c r="AK4145" s="2">
        <f t="shared" ref="AK4145" si="589">T4145-W4145</f>
        <v>110</v>
      </c>
      <c r="AL4145" s="5">
        <f t="shared" ref="AL4145" si="590">(T4145-W4145)/T4145</f>
        <v>0.27500000000000002</v>
      </c>
    </row>
    <row r="4146" spans="1:38" hidden="1" x14ac:dyDescent="0.2">
      <c r="A4146" s="8">
        <v>2026</v>
      </c>
      <c r="B4146" s="8">
        <v>6</v>
      </c>
      <c r="C4146" s="8" t="s">
        <v>3298</v>
      </c>
      <c r="D4146" s="2" t="s">
        <v>3333</v>
      </c>
      <c r="E4146" s="2" t="s">
        <v>38</v>
      </c>
      <c r="F4146" s="2" t="s">
        <v>39</v>
      </c>
      <c r="L4146" s="2" t="s">
        <v>100</v>
      </c>
      <c r="M4146" s="2" t="s">
        <v>41</v>
      </c>
      <c r="O4146" s="2" t="s">
        <v>3173</v>
      </c>
      <c r="P4146" s="2" t="s">
        <v>115</v>
      </c>
      <c r="Q4146" s="2" t="s">
        <v>288</v>
      </c>
      <c r="R4146" s="2" t="s">
        <v>289</v>
      </c>
      <c r="S4146" s="9">
        <v>1</v>
      </c>
      <c r="T4146" s="10">
        <v>5590</v>
      </c>
      <c r="U4146" s="2">
        <f t="shared" ref="U4146:U4153" si="591">T4146*23%</f>
        <v>1285.7</v>
      </c>
      <c r="V4146" s="10">
        <f t="shared" ref="V4146:V4153" si="592">T4146+U4146</f>
        <v>6875.7</v>
      </c>
      <c r="W4146" s="2">
        <v>4275.9799999999996</v>
      </c>
      <c r="X4146" s="5">
        <f t="shared" si="588"/>
        <v>0.23506618962432924</v>
      </c>
      <c r="Z4146" s="2" t="s">
        <v>105</v>
      </c>
      <c r="AA4146" s="2" t="s">
        <v>617</v>
      </c>
      <c r="AB4146" s="2" t="s">
        <v>3177</v>
      </c>
      <c r="AC4146" s="2" t="s">
        <v>115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>T4146-W4146</f>
        <v>1314.0200000000004</v>
      </c>
      <c r="AL4146" s="5">
        <f>(T4146-W4146)/T4146</f>
        <v>0.23506618962432924</v>
      </c>
    </row>
    <row r="4147" spans="1:38" hidden="1" x14ac:dyDescent="0.2">
      <c r="A4147" s="8">
        <v>2026</v>
      </c>
      <c r="B4147" s="8">
        <v>6</v>
      </c>
      <c r="C4147" s="8" t="s">
        <v>3298</v>
      </c>
      <c r="D4147" s="2" t="s">
        <v>3333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3173</v>
      </c>
      <c r="P4147" s="2" t="s">
        <v>115</v>
      </c>
      <c r="Q4147" s="2" t="s">
        <v>839</v>
      </c>
      <c r="R4147" s="2" t="s">
        <v>840</v>
      </c>
      <c r="S4147" s="9">
        <v>1</v>
      </c>
      <c r="T4147" s="10">
        <v>4440</v>
      </c>
      <c r="U4147" s="2">
        <f t="shared" si="591"/>
        <v>1021.2</v>
      </c>
      <c r="V4147" s="10">
        <f t="shared" si="592"/>
        <v>5461.2</v>
      </c>
      <c r="W4147" s="2">
        <v>3345.125</v>
      </c>
      <c r="X4147" s="5">
        <f t="shared" si="588"/>
        <v>0.24659346846846847</v>
      </c>
      <c r="Z4147" s="2" t="s">
        <v>105</v>
      </c>
      <c r="AA4147" s="2" t="s">
        <v>151</v>
      </c>
      <c r="AB4147" s="2" t="s">
        <v>152</v>
      </c>
      <c r="AC4147" s="2" t="s">
        <v>115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>T4147-W4147</f>
        <v>1094.875</v>
      </c>
      <c r="AL4147" s="5">
        <f>(T4147-W4147)/T4147</f>
        <v>0.24659346846846847</v>
      </c>
    </row>
    <row r="4148" spans="1:38" hidden="1" x14ac:dyDescent="0.2">
      <c r="A4148" s="8">
        <v>2026</v>
      </c>
      <c r="B4148" s="8">
        <v>6</v>
      </c>
      <c r="C4148" s="8" t="s">
        <v>3298</v>
      </c>
      <c r="D4148" s="2" t="s">
        <v>3333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3173</v>
      </c>
      <c r="P4148" s="2" t="s">
        <v>1612</v>
      </c>
      <c r="Q4148" s="2" t="s">
        <v>3061</v>
      </c>
      <c r="R4148" s="2" t="s">
        <v>3062</v>
      </c>
      <c r="S4148" s="9">
        <v>2</v>
      </c>
      <c r="T4148" s="10">
        <v>10000</v>
      </c>
      <c r="U4148" s="2">
        <f t="shared" si="591"/>
        <v>2300</v>
      </c>
      <c r="V4148" s="10">
        <f t="shared" si="592"/>
        <v>12300</v>
      </c>
      <c r="W4148" s="2">
        <f>3681.98*2</f>
        <v>7363.96</v>
      </c>
      <c r="X4148" s="5">
        <f t="shared" si="588"/>
        <v>0.263604</v>
      </c>
      <c r="Z4148" s="2" t="s">
        <v>105</v>
      </c>
      <c r="AA4148" s="2" t="s">
        <v>265</v>
      </c>
      <c r="AB4148" s="2" t="s">
        <v>1097</v>
      </c>
      <c r="AC4148" s="2" t="s">
        <v>1612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>T4148-W4148</f>
        <v>2636.04</v>
      </c>
      <c r="AL4148" s="5">
        <f>(T4148-W4148)/T4148</f>
        <v>0.263604</v>
      </c>
    </row>
    <row r="4149" spans="1:38" hidden="1" x14ac:dyDescent="0.2">
      <c r="A4149" s="8">
        <v>2026</v>
      </c>
      <c r="B4149" s="8">
        <v>6</v>
      </c>
      <c r="C4149" s="8" t="s">
        <v>3298</v>
      </c>
      <c r="D4149" s="2" t="s">
        <v>3333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3173</v>
      </c>
      <c r="P4149" s="2" t="s">
        <v>102</v>
      </c>
      <c r="Q4149" s="2" t="s">
        <v>1098</v>
      </c>
      <c r="R4149" s="2" t="s">
        <v>1099</v>
      </c>
      <c r="S4149" s="9">
        <v>1</v>
      </c>
      <c r="T4149" s="10">
        <v>2620</v>
      </c>
      <c r="U4149" s="2">
        <f t="shared" si="591"/>
        <v>602.6</v>
      </c>
      <c r="V4149" s="10">
        <f t="shared" si="592"/>
        <v>3222.6</v>
      </c>
      <c r="W4149" s="2">
        <v>1978.46</v>
      </c>
      <c r="X4149" s="5">
        <f t="shared" si="588"/>
        <v>0.24486259541984731</v>
      </c>
      <c r="Z4149" s="2" t="s">
        <v>105</v>
      </c>
      <c r="AA4149" s="2" t="s">
        <v>106</v>
      </c>
      <c r="AB4149" s="2" t="s">
        <v>107</v>
      </c>
      <c r="AC4149" s="2" t="s">
        <v>102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>T4149-W4149</f>
        <v>641.54</v>
      </c>
      <c r="AL4149" s="5">
        <f>(T4149-W4149)/T4149</f>
        <v>0.24486259541984731</v>
      </c>
    </row>
    <row r="4150" spans="1:38" hidden="1" x14ac:dyDescent="0.2">
      <c r="A4150" s="8">
        <v>2026</v>
      </c>
      <c r="B4150" s="8">
        <v>6</v>
      </c>
      <c r="C4150" s="8"/>
      <c r="D4150" s="2" t="s">
        <v>798</v>
      </c>
      <c r="P4150" s="2" t="s">
        <v>283</v>
      </c>
      <c r="Q4150" s="2" t="s">
        <v>1551</v>
      </c>
      <c r="R4150" s="2" t="s">
        <v>1552</v>
      </c>
      <c r="S4150" s="9">
        <v>1</v>
      </c>
      <c r="T4150" s="10">
        <v>499</v>
      </c>
      <c r="U4150" s="2">
        <f t="shared" si="591"/>
        <v>114.77000000000001</v>
      </c>
      <c r="V4150" s="10">
        <f t="shared" si="592"/>
        <v>613.77</v>
      </c>
      <c r="W4150" s="2">
        <v>297</v>
      </c>
      <c r="X4150" s="5">
        <f t="shared" si="588"/>
        <v>0.40480961923847697</v>
      </c>
      <c r="Z4150" s="2" t="s">
        <v>105</v>
      </c>
      <c r="AA4150" s="2" t="s">
        <v>388</v>
      </c>
      <c r="AB4150" s="2" t="s">
        <v>389</v>
      </c>
      <c r="AC4150" s="2" t="s">
        <v>390</v>
      </c>
      <c r="AI4150" s="2"/>
      <c r="AK4150" s="2">
        <f t="shared" ref="AK4150" si="593">T4150-W4150</f>
        <v>202</v>
      </c>
      <c r="AL4150" s="5">
        <f t="shared" ref="AL4150" si="594">(T4150-W4150)/T4150</f>
        <v>0.40480961923847697</v>
      </c>
    </row>
    <row r="4151" spans="1:38" hidden="1" x14ac:dyDescent="0.2">
      <c r="A4151" s="8">
        <v>2026</v>
      </c>
      <c r="B4151" s="8">
        <v>6</v>
      </c>
      <c r="C4151" s="8"/>
      <c r="D4151" s="2" t="s">
        <v>798</v>
      </c>
      <c r="P4151" s="2" t="s">
        <v>283</v>
      </c>
      <c r="Q4151" s="2" t="s">
        <v>400</v>
      </c>
      <c r="R4151" s="2" t="s">
        <v>401</v>
      </c>
      <c r="S4151" s="9">
        <v>2</v>
      </c>
      <c r="T4151" s="10">
        <v>0</v>
      </c>
      <c r="U4151" s="2">
        <f t="shared" si="591"/>
        <v>0</v>
      </c>
      <c r="V4151" s="10">
        <f t="shared" si="592"/>
        <v>0</v>
      </c>
      <c r="W4151" s="2">
        <f>14.5099*S4151</f>
        <v>29.0198</v>
      </c>
      <c r="X4151" s="18">
        <v>-1</v>
      </c>
      <c r="Z4151" s="2" t="s">
        <v>3231</v>
      </c>
      <c r="AA4151" s="2" t="s">
        <v>46</v>
      </c>
      <c r="AB4151" s="2" t="s">
        <v>61</v>
      </c>
      <c r="AC4151" s="2" t="s">
        <v>3336</v>
      </c>
      <c r="AI4151" s="2"/>
      <c r="AK4151" s="2">
        <f>T4151+(W4151)</f>
        <v>29.0198</v>
      </c>
      <c r="AL4151" s="18">
        <v>-1</v>
      </c>
    </row>
    <row r="4152" spans="1:38" hidden="1" x14ac:dyDescent="0.2">
      <c r="A4152" s="8">
        <v>2026</v>
      </c>
      <c r="B4152" s="8">
        <v>6</v>
      </c>
      <c r="C4152" s="8"/>
      <c r="D4152" s="2" t="s">
        <v>798</v>
      </c>
      <c r="P4152" s="2" t="s">
        <v>283</v>
      </c>
      <c r="Q4152" s="2" t="s">
        <v>402</v>
      </c>
      <c r="R4152" s="2" t="s">
        <v>403</v>
      </c>
      <c r="S4152" s="9">
        <v>2</v>
      </c>
      <c r="T4152" s="10">
        <v>0</v>
      </c>
      <c r="U4152" s="2">
        <f t="shared" si="591"/>
        <v>0</v>
      </c>
      <c r="V4152" s="10">
        <f t="shared" si="592"/>
        <v>0</v>
      </c>
      <c r="W4152" s="2">
        <f>14.5099*S4152</f>
        <v>29.0198</v>
      </c>
      <c r="X4152" s="19">
        <v>-1</v>
      </c>
      <c r="Z4152" s="2" t="s">
        <v>3231</v>
      </c>
      <c r="AA4152" s="2" t="s">
        <v>46</v>
      </c>
      <c r="AB4152" s="2" t="s">
        <v>61</v>
      </c>
      <c r="AC4152" s="2" t="s">
        <v>3336</v>
      </c>
      <c r="AI4152" s="2"/>
      <c r="AK4152" s="2">
        <f t="shared" ref="AK4152" si="595">T4152-W4152</f>
        <v>-29.0198</v>
      </c>
      <c r="AL4152" s="19">
        <v>-1</v>
      </c>
    </row>
    <row r="4153" spans="1:38" hidden="1" x14ac:dyDescent="0.2">
      <c r="A4153" s="8">
        <v>2026</v>
      </c>
      <c r="B4153" s="8">
        <v>6</v>
      </c>
      <c r="C4153" s="8"/>
      <c r="D4153" s="2" t="s">
        <v>416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417</v>
      </c>
      <c r="J4153" s="2" t="s">
        <v>418</v>
      </c>
      <c r="L4153" s="2" t="s">
        <v>419</v>
      </c>
      <c r="P4153" s="2" t="s">
        <v>43</v>
      </c>
      <c r="Q4153" s="2" t="s">
        <v>55</v>
      </c>
      <c r="R4153" s="2" t="s">
        <v>56</v>
      </c>
      <c r="S4153" s="9">
        <v>2</v>
      </c>
      <c r="T4153" s="10">
        <v>36</v>
      </c>
      <c r="U4153" s="2">
        <f t="shared" si="591"/>
        <v>8.2800000000000011</v>
      </c>
      <c r="V4153" s="10">
        <f t="shared" si="592"/>
        <v>44.28</v>
      </c>
      <c r="X4153" s="5">
        <f>(T4153-W4153)/T4153</f>
        <v>1</v>
      </c>
      <c r="Z4153" s="2" t="s">
        <v>3231</v>
      </c>
      <c r="AA4153" s="2" t="s">
        <v>46</v>
      </c>
      <c r="AB4153" s="2" t="s">
        <v>57</v>
      </c>
      <c r="AC4153" s="2" t="s">
        <v>58</v>
      </c>
      <c r="AI4153" s="2"/>
      <c r="AL4153" s="2"/>
    </row>
    <row r="4154" spans="1:38" hidden="1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170</v>
      </c>
      <c r="Q4154" s="2" t="s">
        <v>171</v>
      </c>
      <c r="R4154" s="2" t="s">
        <v>171</v>
      </c>
      <c r="S4154" s="9">
        <v>1</v>
      </c>
      <c r="T4154" s="10">
        <v>8</v>
      </c>
      <c r="U4154" s="2">
        <f>T4154*23%</f>
        <v>1.84</v>
      </c>
      <c r="V4154" s="10">
        <f>T4154+U4154</f>
        <v>9.84</v>
      </c>
      <c r="X4154" s="5">
        <f t="shared" ref="X4154" si="596">(T4154-W4154)/T4154</f>
        <v>1</v>
      </c>
      <c r="Z4154" s="2" t="s">
        <v>170</v>
      </c>
      <c r="AA4154" s="2" t="s">
        <v>170</v>
      </c>
      <c r="AI4154" s="2"/>
      <c r="AL4154" s="2"/>
    </row>
    <row r="4155" spans="1:38" hidden="1" x14ac:dyDescent="0.2">
      <c r="A4155" s="8">
        <v>2026</v>
      </c>
      <c r="B4155" s="8">
        <v>6</v>
      </c>
      <c r="C4155" s="8"/>
      <c r="D4155" s="2" t="s">
        <v>1017</v>
      </c>
      <c r="E4155" s="2" t="s">
        <v>109</v>
      </c>
      <c r="F4155" s="2" t="s">
        <v>478</v>
      </c>
      <c r="G4155" s="2">
        <v>503815284</v>
      </c>
      <c r="H4155" s="2" t="s">
        <v>40</v>
      </c>
      <c r="I4155" s="2" t="s">
        <v>157</v>
      </c>
      <c r="J4155" s="2" t="s">
        <v>2542</v>
      </c>
      <c r="L4155" s="2" t="s">
        <v>100</v>
      </c>
      <c r="M4155" s="2" t="s">
        <v>81</v>
      </c>
      <c r="P4155" s="2" t="s">
        <v>43</v>
      </c>
      <c r="Q4155" s="2" t="s">
        <v>352</v>
      </c>
      <c r="R4155" s="2" t="s">
        <v>353</v>
      </c>
      <c r="S4155" s="9">
        <v>3</v>
      </c>
      <c r="T4155" s="10">
        <v>63</v>
      </c>
      <c r="U4155" s="2">
        <f>T4155*23%</f>
        <v>14.49</v>
      </c>
      <c r="V4155" s="10">
        <f>T4155+U4155</f>
        <v>77.489999999999995</v>
      </c>
      <c r="W4155" s="2">
        <f>10.67*S4155</f>
        <v>32.01</v>
      </c>
      <c r="X4155" s="5">
        <f>(T4155-W4155)/T4155</f>
        <v>0.49190476190476196</v>
      </c>
      <c r="Z4155" s="2" t="s">
        <v>3231</v>
      </c>
      <c r="AA4155" s="2" t="s">
        <v>46</v>
      </c>
      <c r="AB4155" s="2" t="s">
        <v>47</v>
      </c>
      <c r="AC4155" s="2" t="s">
        <v>48</v>
      </c>
      <c r="AI4155" s="2"/>
      <c r="AK4155" s="2">
        <f t="shared" ref="AK4155:AK4156" si="597">T4155-W4155</f>
        <v>30.990000000000002</v>
      </c>
      <c r="AL4155" s="5">
        <f t="shared" ref="AL4155:AL4156" si="598">(T4155-W4155)/T4155</f>
        <v>0.49190476190476196</v>
      </c>
    </row>
    <row r="4156" spans="1:38" hidden="1" x14ac:dyDescent="0.2">
      <c r="A4156" s="8">
        <v>2026</v>
      </c>
      <c r="B4156" s="8">
        <v>6</v>
      </c>
      <c r="C4156" s="8"/>
      <c r="D4156" s="2" t="s">
        <v>1017</v>
      </c>
      <c r="E4156" s="2" t="s">
        <v>109</v>
      </c>
      <c r="F4156" s="2" t="s">
        <v>478</v>
      </c>
      <c r="G4156" s="2">
        <v>503815284</v>
      </c>
      <c r="H4156" s="2" t="s">
        <v>40</v>
      </c>
      <c r="I4156" s="2" t="s">
        <v>157</v>
      </c>
      <c r="J4156" s="2" t="s">
        <v>2542</v>
      </c>
      <c r="L4156" s="2" t="s">
        <v>100</v>
      </c>
      <c r="M4156" s="2" t="s">
        <v>81</v>
      </c>
      <c r="P4156" s="2" t="s">
        <v>43</v>
      </c>
      <c r="Q4156" s="2" t="s">
        <v>161</v>
      </c>
      <c r="R4156" s="2" t="s">
        <v>162</v>
      </c>
      <c r="S4156" s="9">
        <v>3</v>
      </c>
      <c r="T4156" s="10">
        <v>27</v>
      </c>
      <c r="U4156" s="2">
        <f>T4156*23%</f>
        <v>6.21</v>
      </c>
      <c r="V4156" s="10">
        <f>T4156+U4156</f>
        <v>33.21</v>
      </c>
      <c r="W4156" s="2">
        <f>3.7358*S4156</f>
        <v>11.2074</v>
      </c>
      <c r="X4156" s="5">
        <f>(T4156-W4156)/T4156</f>
        <v>0.58491111111111116</v>
      </c>
      <c r="Z4156" s="2" t="s">
        <v>3231</v>
      </c>
      <c r="AA4156" s="2" t="s">
        <v>46</v>
      </c>
      <c r="AB4156" s="2" t="s">
        <v>47</v>
      </c>
      <c r="AC4156" s="2" t="s">
        <v>48</v>
      </c>
      <c r="AI4156" s="2"/>
      <c r="AK4156" s="2">
        <f t="shared" si="597"/>
        <v>15.7926</v>
      </c>
      <c r="AL4156" s="5">
        <f t="shared" si="598"/>
        <v>0.58491111111111116</v>
      </c>
    </row>
    <row r="4157" spans="1:38" hidden="1" x14ac:dyDescent="0.2">
      <c r="A4157" s="8">
        <v>2026</v>
      </c>
      <c r="B4157" s="8">
        <v>6</v>
      </c>
      <c r="C4157" s="8"/>
      <c r="D4157" s="2" t="s">
        <v>1375</v>
      </c>
      <c r="M4157" s="2" t="s">
        <v>40</v>
      </c>
      <c r="P4157" s="2" t="s">
        <v>115</v>
      </c>
      <c r="Q4157" s="2" t="s">
        <v>374</v>
      </c>
      <c r="R4157" s="2" t="s">
        <v>375</v>
      </c>
      <c r="S4157" s="9">
        <v>1</v>
      </c>
      <c r="T4157" s="10">
        <v>41.96</v>
      </c>
      <c r="U4157" s="2">
        <f>T4157*23%</f>
        <v>9.6508000000000003</v>
      </c>
      <c r="V4157" s="10">
        <f>T4157+U4157</f>
        <v>51.610799999999998</v>
      </c>
      <c r="W4157" s="2">
        <f>23.042*S4157</f>
        <v>23.042000000000002</v>
      </c>
      <c r="X4157" s="5">
        <f t="shared" ref="X4157" si="599">(T4157-W4157)/T4157</f>
        <v>0.45085795996186839</v>
      </c>
      <c r="Z4157" s="2" t="s">
        <v>118</v>
      </c>
      <c r="AA4157" s="2" t="s">
        <v>119</v>
      </c>
      <c r="AB4157" s="2" t="s">
        <v>120</v>
      </c>
      <c r="AC4157" s="2" t="s">
        <v>115</v>
      </c>
      <c r="AI4157" s="2"/>
      <c r="AK4157" s="2">
        <f t="shared" ref="AK4157" si="600">T4157-W4157</f>
        <v>18.917999999999999</v>
      </c>
      <c r="AL4157" s="5">
        <f t="shared" ref="AL4157" si="601">(T4157-W4157)/T4157</f>
        <v>0.45085795996186839</v>
      </c>
    </row>
    <row r="4158" spans="1:38" hidden="1" x14ac:dyDescent="0.2">
      <c r="A4158" s="8">
        <v>2026</v>
      </c>
      <c r="B4158" s="8">
        <v>6</v>
      </c>
      <c r="C4158" s="8"/>
      <c r="D4158" s="2" t="s">
        <v>1557</v>
      </c>
      <c r="P4158" s="2" t="s">
        <v>283</v>
      </c>
      <c r="Q4158" s="2" t="s">
        <v>400</v>
      </c>
      <c r="R4158" s="2" t="s">
        <v>401</v>
      </c>
      <c r="S4158" s="9">
        <v>20</v>
      </c>
      <c r="T4158" s="10">
        <v>400</v>
      </c>
      <c r="U4158" s="2">
        <f t="shared" ref="U4158:U4159" si="602">T4158*23%</f>
        <v>92</v>
      </c>
      <c r="V4158" s="10">
        <f t="shared" ref="V4158:V4159" si="603">T4158+U4158</f>
        <v>492</v>
      </c>
      <c r="W4158" s="2">
        <f t="shared" ref="W4158:W4159" si="604">14.5099*S4158</f>
        <v>290.19799999999998</v>
      </c>
      <c r="X4158" s="5">
        <f t="shared" ref="X4158:X4159" si="605">(T4158-W4158)/T4158</f>
        <v>0.27450500000000005</v>
      </c>
      <c r="Z4158" s="2" t="s">
        <v>3231</v>
      </c>
      <c r="AA4158" s="2" t="s">
        <v>46</v>
      </c>
      <c r="AB4158" s="2" t="s">
        <v>61</v>
      </c>
      <c r="AC4158" s="2" t="s">
        <v>3336</v>
      </c>
      <c r="AI4158" s="2"/>
      <c r="AK4158" s="2">
        <f t="shared" ref="AK4158:AK4159" si="606">T4158-W4158</f>
        <v>109.80200000000002</v>
      </c>
      <c r="AL4158" s="5">
        <f t="shared" ref="AL4158:AL4159" si="607">(T4158-W4158)/T4158</f>
        <v>0.27450500000000005</v>
      </c>
    </row>
    <row r="4159" spans="1:38" hidden="1" x14ac:dyDescent="0.2">
      <c r="A4159" s="8">
        <v>2026</v>
      </c>
      <c r="B4159" s="8">
        <v>6</v>
      </c>
      <c r="C4159" s="8"/>
      <c r="D4159" s="2" t="s">
        <v>1557</v>
      </c>
      <c r="P4159" s="2" t="s">
        <v>283</v>
      </c>
      <c r="Q4159" s="2" t="s">
        <v>402</v>
      </c>
      <c r="R4159" s="2" t="s">
        <v>403</v>
      </c>
      <c r="S4159" s="9">
        <v>20</v>
      </c>
      <c r="T4159" s="10">
        <v>400</v>
      </c>
      <c r="U4159" s="2">
        <f t="shared" si="602"/>
        <v>92</v>
      </c>
      <c r="V4159" s="10">
        <f t="shared" si="603"/>
        <v>492</v>
      </c>
      <c r="W4159" s="2">
        <f t="shared" si="604"/>
        <v>290.19799999999998</v>
      </c>
      <c r="X4159" s="5">
        <f t="shared" si="605"/>
        <v>0.27450500000000005</v>
      </c>
      <c r="Z4159" s="2" t="s">
        <v>3231</v>
      </c>
      <c r="AA4159" s="2" t="s">
        <v>46</v>
      </c>
      <c r="AB4159" s="2" t="s">
        <v>61</v>
      </c>
      <c r="AC4159" s="2" t="s">
        <v>3336</v>
      </c>
      <c r="AI4159" s="2"/>
      <c r="AK4159" s="2">
        <f t="shared" si="606"/>
        <v>109.80200000000002</v>
      </c>
      <c r="AL4159" s="5">
        <f t="shared" si="607"/>
        <v>0.27450500000000005</v>
      </c>
    </row>
    <row r="4160" spans="1:38" hidden="1" x14ac:dyDescent="0.2">
      <c r="A4160" s="8">
        <v>2026</v>
      </c>
      <c r="B4160" s="8">
        <v>6</v>
      </c>
      <c r="C4160" s="8"/>
      <c r="D4160" s="2" t="s">
        <v>1378</v>
      </c>
      <c r="E4160" s="2" t="s">
        <v>184</v>
      </c>
      <c r="F4160" s="2" t="s">
        <v>367</v>
      </c>
      <c r="L4160" s="2" t="s">
        <v>572</v>
      </c>
      <c r="M4160" s="2" t="s">
        <v>81</v>
      </c>
      <c r="O4160" s="2" t="s">
        <v>3199</v>
      </c>
      <c r="P4160" s="2" t="s">
        <v>73</v>
      </c>
      <c r="Q4160" s="2" t="s">
        <v>534</v>
      </c>
      <c r="R4160" s="2" t="s">
        <v>535</v>
      </c>
      <c r="S4160" s="9">
        <v>1</v>
      </c>
      <c r="T4160" s="10">
        <v>200</v>
      </c>
      <c r="U4160" s="2">
        <f t="shared" ref="U4160:U4165" si="608">T4160*23%</f>
        <v>46</v>
      </c>
      <c r="V4160" s="10">
        <f t="shared" ref="V4160:V4165" si="609">T4160+U4160</f>
        <v>246</v>
      </c>
      <c r="W4160" s="2">
        <f>110.125+11.77</f>
        <v>121.895</v>
      </c>
      <c r="X4160" s="5">
        <f t="shared" ref="X4160:X4166" si="610">(T4160-W4160)/T4160</f>
        <v>0.39052500000000001</v>
      </c>
      <c r="Z4160" s="2" t="s">
        <v>3231</v>
      </c>
      <c r="AA4160" s="2" t="s">
        <v>76</v>
      </c>
      <c r="AB4160" s="2" t="s">
        <v>77</v>
      </c>
      <c r="AC4160" s="2" t="s">
        <v>78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11">AI4160*T4160</f>
        <v>0</v>
      </c>
      <c r="AK4160" s="2">
        <f t="shared" ref="AK4160:AK4166" si="612">T4160-W4160</f>
        <v>78.105000000000004</v>
      </c>
      <c r="AL4160" s="5">
        <f t="shared" ref="AL4160:AL4166" si="613">(T4160-W4160)/T4160</f>
        <v>0.39052500000000001</v>
      </c>
    </row>
    <row r="4161" spans="1:38" hidden="1" x14ac:dyDescent="0.2">
      <c r="A4161" s="8">
        <v>2026</v>
      </c>
      <c r="B4161" s="8">
        <v>6</v>
      </c>
      <c r="C4161" s="8"/>
      <c r="D4161" s="2" t="s">
        <v>1378</v>
      </c>
      <c r="E4161" s="2" t="s">
        <v>184</v>
      </c>
      <c r="F4161" s="2" t="s">
        <v>367</v>
      </c>
      <c r="L4161" s="2" t="s">
        <v>572</v>
      </c>
      <c r="M4161" s="2" t="s">
        <v>81</v>
      </c>
      <c r="P4161" s="2" t="s">
        <v>94</v>
      </c>
      <c r="Q4161" s="2" t="s">
        <v>95</v>
      </c>
      <c r="R4161" s="2" t="s">
        <v>96</v>
      </c>
      <c r="S4161" s="9">
        <v>1</v>
      </c>
      <c r="T4161" s="10">
        <v>1.48</v>
      </c>
      <c r="U4161" s="2">
        <f t="shared" si="608"/>
        <v>0.34040000000000004</v>
      </c>
      <c r="V4161" s="10">
        <f t="shared" si="609"/>
        <v>1.8204</v>
      </c>
      <c r="W4161" s="2">
        <f>1.48*S4161</f>
        <v>1.48</v>
      </c>
      <c r="X4161" s="5">
        <f t="shared" si="610"/>
        <v>0</v>
      </c>
      <c r="Z4161" s="2" t="s">
        <v>3231</v>
      </c>
      <c r="AA4161" s="2" t="s">
        <v>97</v>
      </c>
      <c r="AB4161" s="2" t="s">
        <v>77</v>
      </c>
      <c r="AC4161" s="2" t="s">
        <v>94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11"/>
        <v>0</v>
      </c>
      <c r="AK4161" s="2">
        <f t="shared" si="612"/>
        <v>0</v>
      </c>
      <c r="AL4161" s="5">
        <f t="shared" si="613"/>
        <v>0</v>
      </c>
    </row>
    <row r="4162" spans="1:38" hidden="1" x14ac:dyDescent="0.2">
      <c r="A4162" s="8">
        <v>2026</v>
      </c>
      <c r="B4162" s="8">
        <v>6</v>
      </c>
      <c r="C4162" s="8"/>
      <c r="D4162" s="2" t="s">
        <v>3106</v>
      </c>
      <c r="M4162" s="2" t="s">
        <v>40</v>
      </c>
      <c r="P4162" s="2" t="s">
        <v>188</v>
      </c>
      <c r="Q4162" s="2" t="s">
        <v>189</v>
      </c>
      <c r="R4162" s="2" t="s">
        <v>190</v>
      </c>
      <c r="S4162" s="9">
        <v>1</v>
      </c>
      <c r="T4162" s="10">
        <v>137</v>
      </c>
      <c r="U4162" s="2">
        <f t="shared" si="608"/>
        <v>31.51</v>
      </c>
      <c r="V4162" s="2">
        <f t="shared" si="609"/>
        <v>168.51</v>
      </c>
      <c r="W4162" s="2">
        <f>T4162*40%</f>
        <v>54.800000000000004</v>
      </c>
      <c r="X4162" s="5">
        <f t="shared" si="610"/>
        <v>0.59999999999999987</v>
      </c>
      <c r="Z4162" s="2" t="s">
        <v>118</v>
      </c>
      <c r="AA4162" s="2" t="s">
        <v>191</v>
      </c>
      <c r="AB4162" s="2" t="s">
        <v>190</v>
      </c>
      <c r="AC4162" s="2" t="s">
        <v>40</v>
      </c>
      <c r="AG4162" s="2">
        <f>W4162</f>
        <v>54.800000000000004</v>
      </c>
      <c r="AI4162" s="2"/>
      <c r="AJ4162" s="2">
        <f t="shared" si="611"/>
        <v>0</v>
      </c>
      <c r="AK4162" s="2">
        <f t="shared" si="612"/>
        <v>82.199999999999989</v>
      </c>
      <c r="AL4162" s="5">
        <f t="shared" si="613"/>
        <v>0.59999999999999987</v>
      </c>
    </row>
    <row r="4163" spans="1:38" hidden="1" x14ac:dyDescent="0.2">
      <c r="A4163" s="8">
        <v>2026</v>
      </c>
      <c r="B4163" s="8">
        <v>6</v>
      </c>
      <c r="C4163" s="8"/>
      <c r="D4163" s="2" t="s">
        <v>3106</v>
      </c>
      <c r="M4163" s="2" t="s">
        <v>40</v>
      </c>
      <c r="P4163" s="2" t="s">
        <v>188</v>
      </c>
      <c r="Q4163" s="2" t="s">
        <v>192</v>
      </c>
      <c r="R4163" s="2" t="s">
        <v>191</v>
      </c>
      <c r="S4163" s="9">
        <v>1.5</v>
      </c>
      <c r="T4163" s="10">
        <v>82.5</v>
      </c>
      <c r="U4163" s="2">
        <f t="shared" si="608"/>
        <v>18.975000000000001</v>
      </c>
      <c r="V4163" s="2">
        <f t="shared" si="609"/>
        <v>101.47499999999999</v>
      </c>
      <c r="W4163" s="2">
        <f>T4163*50%</f>
        <v>41.25</v>
      </c>
      <c r="X4163" s="5">
        <f t="shared" si="610"/>
        <v>0.5</v>
      </c>
      <c r="Z4163" s="2" t="s">
        <v>118</v>
      </c>
      <c r="AA4163" s="2" t="s">
        <v>191</v>
      </c>
      <c r="AB4163" s="2" t="s">
        <v>191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11"/>
        <v>0</v>
      </c>
      <c r="AK4163" s="2">
        <f t="shared" si="612"/>
        <v>41.25</v>
      </c>
      <c r="AL4163" s="5">
        <f t="shared" si="613"/>
        <v>0.5</v>
      </c>
    </row>
    <row r="4164" spans="1:38" hidden="1" x14ac:dyDescent="0.2">
      <c r="A4164" s="8">
        <v>2026</v>
      </c>
      <c r="B4164" s="8">
        <v>6</v>
      </c>
      <c r="C4164" s="8"/>
      <c r="D4164" s="2" t="s">
        <v>1244</v>
      </c>
      <c r="P4164" s="2" t="s">
        <v>73</v>
      </c>
      <c r="Q4164" s="2" t="s">
        <v>381</v>
      </c>
      <c r="R4164" s="2" t="s">
        <v>382</v>
      </c>
      <c r="S4164" s="9">
        <v>1</v>
      </c>
      <c r="T4164" s="10">
        <v>270</v>
      </c>
      <c r="U4164" s="2">
        <f t="shared" si="608"/>
        <v>62.1</v>
      </c>
      <c r="V4164" s="10">
        <f t="shared" si="609"/>
        <v>332.1</v>
      </c>
      <c r="W4164" s="2">
        <v>139.46</v>
      </c>
      <c r="X4164" s="5">
        <f t="shared" si="610"/>
        <v>0.48348148148148146</v>
      </c>
      <c r="Z4164" s="2" t="s">
        <v>3231</v>
      </c>
      <c r="AA4164" s="2" t="s">
        <v>76</v>
      </c>
      <c r="AB4164" s="2" t="s">
        <v>77</v>
      </c>
      <c r="AC4164" s="2" t="s">
        <v>78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11"/>
        <v>0</v>
      </c>
      <c r="AK4164" s="2">
        <f t="shared" si="612"/>
        <v>130.54</v>
      </c>
      <c r="AL4164" s="5">
        <f t="shared" si="613"/>
        <v>0.48348148148148146</v>
      </c>
    </row>
    <row r="4165" spans="1:38" hidden="1" x14ac:dyDescent="0.2">
      <c r="A4165" s="8">
        <v>2026</v>
      </c>
      <c r="B4165" s="8">
        <v>6</v>
      </c>
      <c r="C4165" s="8"/>
      <c r="D4165" s="2" t="s">
        <v>1244</v>
      </c>
      <c r="P4165" s="2" t="s">
        <v>94</v>
      </c>
      <c r="Q4165" s="2" t="s">
        <v>95</v>
      </c>
      <c r="R4165" s="2" t="s">
        <v>96</v>
      </c>
      <c r="S4165" s="9">
        <v>1</v>
      </c>
      <c r="T4165" s="10">
        <v>1.48</v>
      </c>
      <c r="U4165" s="2">
        <f t="shared" si="608"/>
        <v>0.34040000000000004</v>
      </c>
      <c r="V4165" s="10">
        <f t="shared" si="609"/>
        <v>1.8204</v>
      </c>
      <c r="W4165" s="2">
        <f>1.48*S4165</f>
        <v>1.48</v>
      </c>
      <c r="X4165" s="5">
        <f t="shared" si="610"/>
        <v>0</v>
      </c>
      <c r="Z4165" s="2" t="s">
        <v>3231</v>
      </c>
      <c r="AA4165" s="2" t="s">
        <v>97</v>
      </c>
      <c r="AB4165" s="2" t="s">
        <v>77</v>
      </c>
      <c r="AC4165" s="2" t="s">
        <v>94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11"/>
        <v>0</v>
      </c>
      <c r="AK4165" s="2">
        <f t="shared" si="612"/>
        <v>0</v>
      </c>
      <c r="AL4165" s="5">
        <f t="shared" si="613"/>
        <v>0</v>
      </c>
    </row>
    <row r="4166" spans="1:38" hidden="1" x14ac:dyDescent="0.2">
      <c r="A4166" s="8">
        <v>2026</v>
      </c>
      <c r="B4166" s="8">
        <v>6</v>
      </c>
      <c r="C4166" s="8"/>
      <c r="D4166" s="2" t="s">
        <v>452</v>
      </c>
      <c r="P4166" s="2" t="s">
        <v>115</v>
      </c>
      <c r="Q4166" s="2" t="s">
        <v>780</v>
      </c>
      <c r="R4166" s="2" t="s">
        <v>781</v>
      </c>
      <c r="S4166" s="9">
        <v>2</v>
      </c>
      <c r="T4166" s="10">
        <v>134.72</v>
      </c>
      <c r="U4166" s="2">
        <f t="shared" ref="U4166:U4173" si="614">T4166*23%</f>
        <v>30.985600000000002</v>
      </c>
      <c r="V4166" s="10">
        <f>T4166+U4166</f>
        <v>165.7056</v>
      </c>
      <c r="X4166" s="5">
        <f t="shared" si="610"/>
        <v>1</v>
      </c>
      <c r="AI4166" s="2"/>
      <c r="AK4166" s="2">
        <f t="shared" si="612"/>
        <v>134.72</v>
      </c>
      <c r="AL4166" s="5">
        <f t="shared" si="613"/>
        <v>1</v>
      </c>
    </row>
    <row r="4167" spans="1:38" hidden="1" x14ac:dyDescent="0.2">
      <c r="A4167" s="8">
        <v>2026</v>
      </c>
      <c r="B4167" s="8">
        <v>6</v>
      </c>
      <c r="C4167" s="8"/>
      <c r="D4167" s="2" t="s">
        <v>452</v>
      </c>
      <c r="M4167" s="2" t="s">
        <v>40</v>
      </c>
      <c r="P4167" s="2" t="s">
        <v>188</v>
      </c>
      <c r="Q4167" s="2" t="s">
        <v>189</v>
      </c>
      <c r="R4167" s="2" t="s">
        <v>190</v>
      </c>
      <c r="S4167" s="9">
        <v>4</v>
      </c>
      <c r="T4167" s="10">
        <v>601.5</v>
      </c>
      <c r="U4167" s="2">
        <f t="shared" si="614"/>
        <v>138.345</v>
      </c>
      <c r="V4167" s="2">
        <f>T4167+U4167</f>
        <v>739.84500000000003</v>
      </c>
      <c r="W4167" s="2">
        <f>T4167*40%</f>
        <v>240.60000000000002</v>
      </c>
      <c r="X4167" s="5">
        <f>(T4167-W4167)/T4167</f>
        <v>0.6</v>
      </c>
      <c r="Z4167" s="2" t="s">
        <v>118</v>
      </c>
      <c r="AA4167" s="2" t="s">
        <v>191</v>
      </c>
      <c r="AB4167" s="2" t="s">
        <v>190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>T4167-W4167</f>
        <v>360.9</v>
      </c>
      <c r="AL4167" s="5">
        <f>(T4167-W4167)/T4167</f>
        <v>0.6</v>
      </c>
    </row>
    <row r="4168" spans="1:38" hidden="1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192</v>
      </c>
      <c r="R4168" s="2" t="s">
        <v>191</v>
      </c>
      <c r="S4168" s="9">
        <v>7.5</v>
      </c>
      <c r="T4168" s="10">
        <v>371.25</v>
      </c>
      <c r="U4168" s="2">
        <f t="shared" si="614"/>
        <v>85.387500000000003</v>
      </c>
      <c r="V4168" s="2">
        <f>T4168+U4168</f>
        <v>456.63749999999999</v>
      </c>
      <c r="W4168" s="2">
        <f>T4168*50%</f>
        <v>185.625</v>
      </c>
      <c r="X4168" s="5">
        <f>(T4168-W4168)/T4168</f>
        <v>0.5</v>
      </c>
      <c r="Z4168" s="2" t="s">
        <v>118</v>
      </c>
      <c r="AA4168" s="2" t="s">
        <v>191</v>
      </c>
      <c r="AB4168" s="2" t="s">
        <v>191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>T4168-W4168</f>
        <v>185.625</v>
      </c>
      <c r="AL4168" s="5">
        <f>(T4168-W4168)/T4168</f>
        <v>0.5</v>
      </c>
    </row>
    <row r="4169" spans="1:38" hidden="1" x14ac:dyDescent="0.2">
      <c r="A4169" s="8">
        <v>2026</v>
      </c>
      <c r="B4169" s="8">
        <v>6</v>
      </c>
      <c r="C4169" s="8"/>
      <c r="D4169" s="2" t="s">
        <v>452</v>
      </c>
      <c r="P4169" s="2" t="s">
        <v>40</v>
      </c>
      <c r="Q4169" s="2" t="s">
        <v>364</v>
      </c>
      <c r="R4169" s="2" t="s">
        <v>365</v>
      </c>
      <c r="S4169" s="9">
        <v>1</v>
      </c>
      <c r="T4169" s="10">
        <v>27</v>
      </c>
      <c r="U4169" s="2">
        <f t="shared" si="614"/>
        <v>6.21</v>
      </c>
      <c r="V4169" s="10">
        <f>T4169+U4169</f>
        <v>33.21</v>
      </c>
      <c r="X4169" s="5">
        <f t="shared" ref="X4169" si="615">(T4169-W4169)/T4169</f>
        <v>1</v>
      </c>
      <c r="Z4169" s="2" t="s">
        <v>120</v>
      </c>
      <c r="AA4169" s="2" t="s">
        <v>3385</v>
      </c>
      <c r="AI4169" s="2"/>
      <c r="AK4169" s="2">
        <f t="shared" ref="AK4169" si="616">T4169-W4169</f>
        <v>27</v>
      </c>
      <c r="AL4169" s="5">
        <f t="shared" ref="AL4169" si="617">(T4169-W4169)/T4169</f>
        <v>1</v>
      </c>
    </row>
    <row r="4170" spans="1:38" hidden="1" x14ac:dyDescent="0.2">
      <c r="A4170" s="8">
        <v>2026</v>
      </c>
      <c r="B4170" s="8">
        <v>6</v>
      </c>
      <c r="C4170" s="8"/>
      <c r="D4170" s="2" t="s">
        <v>459</v>
      </c>
      <c r="E4170" s="2" t="s">
        <v>39</v>
      </c>
      <c r="F4170" s="2">
        <v>507016173</v>
      </c>
      <c r="G4170" s="2" t="s">
        <v>110</v>
      </c>
      <c r="H4170" s="2" t="s">
        <v>460</v>
      </c>
      <c r="I4170" s="2" t="s">
        <v>461</v>
      </c>
      <c r="K4170" s="2" t="s">
        <v>462</v>
      </c>
      <c r="P4170" s="2" t="s">
        <v>283</v>
      </c>
      <c r="Q4170" s="2" t="s">
        <v>402</v>
      </c>
      <c r="R4170" s="2" t="s">
        <v>403</v>
      </c>
      <c r="S4170" s="9">
        <v>8</v>
      </c>
      <c r="T4170" s="10">
        <v>192</v>
      </c>
      <c r="U4170" s="2">
        <f t="shared" si="614"/>
        <v>44.160000000000004</v>
      </c>
      <c r="V4170" s="10">
        <f t="shared" ref="V4170:V4174" si="618">T4170+U4170</f>
        <v>236.16</v>
      </c>
      <c r="W4170" s="2">
        <f>14.5099*S4170</f>
        <v>116.0792</v>
      </c>
      <c r="X4170" s="5">
        <f t="shared" ref="X4170" si="619">(T4170-W4170)/T4170</f>
        <v>0.39542083333333333</v>
      </c>
      <c r="Z4170" s="2" t="s">
        <v>3231</v>
      </c>
      <c r="AA4170" s="2" t="s">
        <v>46</v>
      </c>
      <c r="AB4170" s="2" t="s">
        <v>61</v>
      </c>
      <c r="AC4170" s="2" t="s">
        <v>3336</v>
      </c>
      <c r="AI4170" s="2"/>
      <c r="AK4170" s="2">
        <f t="shared" ref="AK4170:AK4171" si="620">T4170-W4170</f>
        <v>75.9208</v>
      </c>
      <c r="AL4170" s="5">
        <f t="shared" ref="AL4170:AL4171" si="621">(T4170-W4170)/T4170</f>
        <v>0.39542083333333333</v>
      </c>
    </row>
    <row r="4171" spans="1:38" hidden="1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43</v>
      </c>
      <c r="Q4171" s="2" t="s">
        <v>255</v>
      </c>
      <c r="R4171" s="2" t="s">
        <v>256</v>
      </c>
      <c r="S4171" s="9">
        <v>500</v>
      </c>
      <c r="T4171" s="10">
        <v>70</v>
      </c>
      <c r="U4171" s="2">
        <f t="shared" si="614"/>
        <v>16.100000000000001</v>
      </c>
      <c r="V4171" s="10">
        <f t="shared" si="618"/>
        <v>86.1</v>
      </c>
      <c r="W4171" s="2">
        <f>0.0914*S4171</f>
        <v>45.699999999999996</v>
      </c>
      <c r="X4171" s="5">
        <f>(T4171-W4171)/T4171</f>
        <v>0.3471428571428572</v>
      </c>
      <c r="Z4171" s="2" t="s">
        <v>3231</v>
      </c>
      <c r="AA4171" s="2" t="s">
        <v>46</v>
      </c>
      <c r="AB4171" s="2" t="s">
        <v>61</v>
      </c>
      <c r="AC4171" s="2" t="s">
        <v>58</v>
      </c>
      <c r="AI4171" s="2"/>
      <c r="AK4171" s="2">
        <f t="shared" si="620"/>
        <v>24.300000000000004</v>
      </c>
      <c r="AL4171" s="5">
        <f t="shared" si="621"/>
        <v>0.3471428571428572</v>
      </c>
    </row>
    <row r="4172" spans="1:38" hidden="1" x14ac:dyDescent="0.2">
      <c r="A4172" s="8">
        <v>2026</v>
      </c>
      <c r="B4172" s="8">
        <v>6</v>
      </c>
      <c r="C4172" s="8"/>
      <c r="D4172" s="2" t="s">
        <v>2147</v>
      </c>
      <c r="I4172" s="2" t="s">
        <v>316</v>
      </c>
      <c r="L4172" s="2" t="s">
        <v>100</v>
      </c>
      <c r="M4172" s="2" t="s">
        <v>81</v>
      </c>
      <c r="P4172" s="2" t="s">
        <v>73</v>
      </c>
      <c r="Q4172" s="2" t="s">
        <v>833</v>
      </c>
      <c r="R4172" s="2" t="s">
        <v>75</v>
      </c>
      <c r="S4172" s="9">
        <v>1</v>
      </c>
      <c r="T4172" s="10">
        <v>200</v>
      </c>
      <c r="U4172" s="2">
        <f t="shared" si="614"/>
        <v>46</v>
      </c>
      <c r="V4172" s="10">
        <f t="shared" si="618"/>
        <v>246</v>
      </c>
      <c r="W4172" s="2">
        <v>120.636</v>
      </c>
      <c r="X4172" s="5">
        <f>(T4172-W4172)/T4172</f>
        <v>0.39682000000000001</v>
      </c>
      <c r="Z4172" s="2" t="s">
        <v>3231</v>
      </c>
      <c r="AA4172" s="2" t="s">
        <v>76</v>
      </c>
      <c r="AB4172" s="2" t="s">
        <v>77</v>
      </c>
      <c r="AC4172" s="2" t="s">
        <v>78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>T4172-W4172</f>
        <v>79.364000000000004</v>
      </c>
      <c r="AL4172" s="5">
        <f>(T4172-W4172)/T4172</f>
        <v>0.39682000000000001</v>
      </c>
    </row>
    <row r="4173" spans="1:38" hidden="1" x14ac:dyDescent="0.2">
      <c r="A4173" s="8">
        <v>2026</v>
      </c>
      <c r="B4173" s="8">
        <v>6</v>
      </c>
      <c r="C4173" s="8"/>
      <c r="D4173" s="2" t="s">
        <v>2147</v>
      </c>
      <c r="I4173" s="2" t="s">
        <v>316</v>
      </c>
      <c r="L4173" s="2" t="s">
        <v>100</v>
      </c>
      <c r="M4173" s="2" t="s">
        <v>81</v>
      </c>
      <c r="P4173" s="2" t="s">
        <v>170</v>
      </c>
      <c r="Q4173" s="2" t="s">
        <v>171</v>
      </c>
      <c r="R4173" s="2" t="s">
        <v>171</v>
      </c>
      <c r="S4173" s="9">
        <v>1</v>
      </c>
      <c r="T4173" s="10">
        <v>30</v>
      </c>
      <c r="U4173" s="2">
        <f t="shared" si="614"/>
        <v>6.9</v>
      </c>
      <c r="V4173" s="10">
        <f t="shared" si="618"/>
        <v>36.9</v>
      </c>
      <c r="W4173" s="2">
        <v>28</v>
      </c>
      <c r="X4173" s="5">
        <f t="shared" ref="X4173" si="622">(T4173-W4173)/T4173</f>
        <v>6.6666666666666666E-2</v>
      </c>
      <c r="Z4173" s="2" t="s">
        <v>170</v>
      </c>
      <c r="AA4173" s="2" t="s">
        <v>170</v>
      </c>
      <c r="AI4173" s="2"/>
      <c r="AL4173" s="2"/>
    </row>
    <row r="4174" spans="1:38" hidden="1" x14ac:dyDescent="0.2">
      <c r="A4174" s="8">
        <v>2026</v>
      </c>
      <c r="B4174" s="8">
        <v>6</v>
      </c>
      <c r="C4174" s="8"/>
      <c r="D4174" s="2" t="s">
        <v>2147</v>
      </c>
      <c r="I4174" s="2" t="s">
        <v>316</v>
      </c>
      <c r="L4174" s="2" t="s">
        <v>100</v>
      </c>
      <c r="M4174" s="2" t="s">
        <v>81</v>
      </c>
      <c r="P4174" s="2" t="s">
        <v>94</v>
      </c>
      <c r="Q4174" s="2" t="s">
        <v>95</v>
      </c>
      <c r="R4174" s="2" t="s">
        <v>96</v>
      </c>
      <c r="S4174" s="9">
        <v>1</v>
      </c>
      <c r="T4174" s="10">
        <v>1.48</v>
      </c>
      <c r="U4174" s="2">
        <f t="shared" ref="U4174:U4179" si="623">T4174*23%</f>
        <v>0.34040000000000004</v>
      </c>
      <c r="V4174" s="10">
        <f t="shared" si="618"/>
        <v>1.8204</v>
      </c>
      <c r="W4174" s="2">
        <f>1.48*S4174</f>
        <v>1.48</v>
      </c>
      <c r="X4174" s="5">
        <f>(T4174-W4174)/T4174</f>
        <v>0</v>
      </c>
      <c r="Z4174" s="2" t="s">
        <v>3231</v>
      </c>
      <c r="AA4174" s="2" t="s">
        <v>97</v>
      </c>
      <c r="AB4174" s="2" t="s">
        <v>77</v>
      </c>
      <c r="AC4174" s="2" t="s">
        <v>94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79" si="624">T4174-W4174</f>
        <v>0</v>
      </c>
      <c r="AL4174" s="5">
        <f t="shared" ref="AL4174:AL4179" si="625">(T4174-W4174)/T4174</f>
        <v>0</v>
      </c>
    </row>
    <row r="4175" spans="1:38" hidden="1" x14ac:dyDescent="0.2">
      <c r="A4175" s="8">
        <v>2026</v>
      </c>
      <c r="B4175" s="8">
        <v>6</v>
      </c>
      <c r="C4175" s="8" t="s">
        <v>3298</v>
      </c>
      <c r="D4175" s="2" t="s">
        <v>3403</v>
      </c>
      <c r="E4175" s="2" t="s">
        <v>753</v>
      </c>
      <c r="F4175" s="2" t="s">
        <v>39</v>
      </c>
      <c r="L4175" s="2" t="s">
        <v>134</v>
      </c>
      <c r="M4175" s="2" t="s">
        <v>110</v>
      </c>
      <c r="O4175" s="2" t="s">
        <v>3233</v>
      </c>
      <c r="P4175" s="2" t="s">
        <v>1196</v>
      </c>
      <c r="Q4175" s="2" t="s">
        <v>3063</v>
      </c>
      <c r="R4175" s="2" t="s">
        <v>3064</v>
      </c>
      <c r="S4175" s="9">
        <v>1</v>
      </c>
      <c r="T4175" s="10">
        <v>5990</v>
      </c>
      <c r="U4175" s="2">
        <f t="shared" si="623"/>
        <v>1377.7</v>
      </c>
      <c r="V4175" s="10">
        <f>U4175+T4175</f>
        <v>7367.7</v>
      </c>
      <c r="W4175" s="2">
        <v>4214</v>
      </c>
      <c r="X4175" s="5">
        <f t="shared" ref="X4175" si="626">(T4175-W4175)/T4175</f>
        <v>0.29649415692821368</v>
      </c>
      <c r="Z4175" s="2" t="s">
        <v>105</v>
      </c>
      <c r="AA4175" s="2" t="s">
        <v>2750</v>
      </c>
      <c r="AB4175" s="2" t="s">
        <v>3402</v>
      </c>
      <c r="AC4175" s="2" t="s">
        <v>1196</v>
      </c>
      <c r="AI4175" s="2"/>
      <c r="AK4175" s="2">
        <f t="shared" si="624"/>
        <v>1776</v>
      </c>
      <c r="AL4175" s="5">
        <f t="shared" si="625"/>
        <v>0.29649415692821368</v>
      </c>
    </row>
    <row r="4176" spans="1:38" hidden="1" x14ac:dyDescent="0.2">
      <c r="A4176" s="8">
        <v>2026</v>
      </c>
      <c r="B4176" s="8">
        <v>6</v>
      </c>
      <c r="C4176" s="8"/>
      <c r="D4176" s="2" t="s">
        <v>841</v>
      </c>
      <c r="E4176" s="2" t="s">
        <v>109</v>
      </c>
      <c r="F4176" s="2" t="s">
        <v>842</v>
      </c>
      <c r="G4176" s="2">
        <v>504981285</v>
      </c>
      <c r="H4176" s="2" t="s">
        <v>291</v>
      </c>
      <c r="I4176" s="2" t="s">
        <v>843</v>
      </c>
      <c r="J4176" s="2" t="s">
        <v>844</v>
      </c>
      <c r="K4176" s="2">
        <v>932209225</v>
      </c>
      <c r="L4176" s="2" t="s">
        <v>340</v>
      </c>
      <c r="M4176" s="2" t="s">
        <v>40</v>
      </c>
      <c r="P4176" s="2" t="s">
        <v>188</v>
      </c>
      <c r="Q4176" s="2" t="s">
        <v>189</v>
      </c>
      <c r="R4176" s="2" t="s">
        <v>190</v>
      </c>
      <c r="S4176" s="9">
        <v>1</v>
      </c>
      <c r="T4176" s="10">
        <v>60</v>
      </c>
      <c r="U4176" s="2">
        <f t="shared" si="623"/>
        <v>13.8</v>
      </c>
      <c r="V4176" s="2">
        <f>T4176+U4176</f>
        <v>73.8</v>
      </c>
      <c r="W4176" s="2">
        <f>T4176*40%</f>
        <v>24</v>
      </c>
      <c r="X4176" s="5">
        <f>(T4176-W4176)/T4176</f>
        <v>0.6</v>
      </c>
      <c r="Z4176" s="2" t="s">
        <v>118</v>
      </c>
      <c r="AA4176" s="2" t="s">
        <v>191</v>
      </c>
      <c r="AB4176" s="2" t="s">
        <v>190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624"/>
        <v>36</v>
      </c>
      <c r="AL4176" s="5">
        <f t="shared" si="625"/>
        <v>0.6</v>
      </c>
    </row>
    <row r="4177" spans="1:38" hidden="1" x14ac:dyDescent="0.2">
      <c r="A4177" s="8">
        <v>2026</v>
      </c>
      <c r="B4177" s="8">
        <v>6</v>
      </c>
      <c r="C4177" s="8"/>
      <c r="D4177" s="2" t="s">
        <v>841</v>
      </c>
      <c r="E4177" s="2" t="s">
        <v>109</v>
      </c>
      <c r="F4177" s="2" t="s">
        <v>842</v>
      </c>
      <c r="G4177" s="2">
        <v>504981285</v>
      </c>
      <c r="H4177" s="2" t="s">
        <v>291</v>
      </c>
      <c r="I4177" s="2" t="s">
        <v>843</v>
      </c>
      <c r="J4177" s="2" t="s">
        <v>844</v>
      </c>
      <c r="K4177" s="2">
        <v>932209225</v>
      </c>
      <c r="L4177" s="2" t="s">
        <v>340</v>
      </c>
      <c r="M4177" s="2" t="s">
        <v>40</v>
      </c>
      <c r="P4177" s="2" t="s">
        <v>188</v>
      </c>
      <c r="Q4177" s="2" t="s">
        <v>192</v>
      </c>
      <c r="R4177" s="2" t="s">
        <v>191</v>
      </c>
      <c r="S4177" s="9">
        <v>2</v>
      </c>
      <c r="T4177" s="10">
        <v>110</v>
      </c>
      <c r="U4177" s="2">
        <f t="shared" si="623"/>
        <v>25.3</v>
      </c>
      <c r="V4177" s="2">
        <f>T4177+U4177</f>
        <v>135.30000000000001</v>
      </c>
      <c r="W4177" s="2">
        <f>T4177*50%</f>
        <v>55</v>
      </c>
      <c r="X4177" s="5">
        <f>(T4177-W4177)/T4177</f>
        <v>0.5</v>
      </c>
      <c r="Z4177" s="2" t="s">
        <v>118</v>
      </c>
      <c r="AA4177" s="2" t="s">
        <v>191</v>
      </c>
      <c r="AB4177" s="2" t="s">
        <v>191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624"/>
        <v>55</v>
      </c>
      <c r="AL4177" s="5">
        <f t="shared" si="625"/>
        <v>0.5</v>
      </c>
    </row>
    <row r="4178" spans="1:38" hidden="1" x14ac:dyDescent="0.2">
      <c r="A4178" s="8">
        <v>2026</v>
      </c>
      <c r="B4178" s="8">
        <v>6</v>
      </c>
      <c r="C4178" s="8"/>
      <c r="D4178" s="2" t="s">
        <v>3116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2</v>
      </c>
      <c r="T4178" s="10">
        <v>92</v>
      </c>
      <c r="U4178" s="2">
        <f t="shared" si="623"/>
        <v>21.16</v>
      </c>
      <c r="V4178" s="2">
        <f>T4178+U4178</f>
        <v>113.16</v>
      </c>
      <c r="W4178" s="2">
        <f>T4178*40%</f>
        <v>36.800000000000004</v>
      </c>
      <c r="X4178" s="5">
        <f>(T4178-W4178)/T4178</f>
        <v>0.6</v>
      </c>
      <c r="Z4178" s="2" t="s">
        <v>118</v>
      </c>
      <c r="AA4178" s="2" t="s">
        <v>191</v>
      </c>
      <c r="AB4178" s="2" t="s">
        <v>190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624"/>
        <v>55.199999999999996</v>
      </c>
      <c r="AL4178" s="5">
        <f t="shared" si="625"/>
        <v>0.6</v>
      </c>
    </row>
    <row r="4179" spans="1:38" hidden="1" x14ac:dyDescent="0.2">
      <c r="A4179" s="8">
        <v>2026</v>
      </c>
      <c r="B4179" s="8">
        <v>6</v>
      </c>
      <c r="C4179" s="8"/>
      <c r="D4179" s="2" t="s">
        <v>3116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55</v>
      </c>
      <c r="U4179" s="2">
        <f t="shared" si="623"/>
        <v>12.65</v>
      </c>
      <c r="V4179" s="2">
        <f>T4179+U4179</f>
        <v>67.650000000000006</v>
      </c>
      <c r="W4179" s="2">
        <f>T4179*50%</f>
        <v>27.5</v>
      </c>
      <c r="X4179" s="5">
        <f>(T4179-W4179)/T4179</f>
        <v>0.5</v>
      </c>
      <c r="Z4179" s="2" t="s">
        <v>118</v>
      </c>
      <c r="AA4179" s="2" t="s">
        <v>191</v>
      </c>
      <c r="AB4179" s="2" t="s">
        <v>191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624"/>
        <v>27.5</v>
      </c>
      <c r="AL4179" s="5">
        <f t="shared" si="625"/>
        <v>0.5</v>
      </c>
    </row>
    <row r="4180" spans="1:38" hidden="1" x14ac:dyDescent="0.2">
      <c r="A4180" s="8">
        <v>2026</v>
      </c>
      <c r="B4180" s="8">
        <v>6</v>
      </c>
      <c r="C4180" s="8"/>
      <c r="D4180" s="2" t="s">
        <v>3116</v>
      </c>
      <c r="P4180" s="2" t="s">
        <v>40</v>
      </c>
      <c r="Q4180" s="2" t="s">
        <v>364</v>
      </c>
      <c r="R4180" s="2" t="s">
        <v>365</v>
      </c>
      <c r="S4180" s="9">
        <v>1</v>
      </c>
      <c r="T4180" s="10">
        <v>99.93</v>
      </c>
      <c r="U4180" s="2">
        <f>T4180*23%</f>
        <v>22.983900000000002</v>
      </c>
      <c r="V4180" s="10">
        <f>T4180+U4180</f>
        <v>122.91390000000001</v>
      </c>
      <c r="X4180" s="5">
        <f t="shared" ref="X4180" si="627">(T4180-W4180)/T4180</f>
        <v>1</v>
      </c>
      <c r="AI4180" s="2"/>
      <c r="AK4180" s="2">
        <f t="shared" ref="AK4180" si="628">T4180-W4180</f>
        <v>99.93</v>
      </c>
      <c r="AL4180" s="5">
        <f t="shared" ref="AL4180" si="629">(T4180-W4180)/T4180</f>
        <v>1</v>
      </c>
    </row>
    <row r="4181" spans="1:38" hidden="1" x14ac:dyDescent="0.2">
      <c r="A4181" s="8">
        <v>2026</v>
      </c>
      <c r="B4181" s="8">
        <v>6</v>
      </c>
      <c r="C4181" s="8"/>
      <c r="D4181" s="2" t="s">
        <v>1911</v>
      </c>
      <c r="P4181" s="2" t="s">
        <v>283</v>
      </c>
      <c r="Q4181" s="2" t="s">
        <v>400</v>
      </c>
      <c r="R4181" s="2" t="s">
        <v>401</v>
      </c>
      <c r="S4181" s="9">
        <v>4</v>
      </c>
      <c r="T4181" s="10">
        <v>100</v>
      </c>
      <c r="U4181" s="2">
        <f t="shared" ref="U4181:U4182" si="630">T4181*23%</f>
        <v>23</v>
      </c>
      <c r="V4181" s="10">
        <f t="shared" ref="V4181:V4182" si="631">T4181+U4181</f>
        <v>123</v>
      </c>
      <c r="W4181" s="2">
        <f t="shared" ref="W4181:W4182" si="632">14.5099*S4181</f>
        <v>58.0396</v>
      </c>
      <c r="X4181" s="5">
        <f t="shared" ref="X4181:X4183" si="633">(T4181-W4181)/T4181</f>
        <v>0.41960399999999998</v>
      </c>
      <c r="Z4181" s="2" t="s">
        <v>3231</v>
      </c>
      <c r="AA4181" s="2" t="s">
        <v>46</v>
      </c>
      <c r="AB4181" s="2" t="s">
        <v>61</v>
      </c>
      <c r="AC4181" s="2" t="s">
        <v>3336</v>
      </c>
      <c r="AI4181" s="2"/>
      <c r="AK4181" s="2">
        <f t="shared" ref="AK4181:AK4183" si="634">T4181-W4181</f>
        <v>41.9604</v>
      </c>
      <c r="AL4181" s="5">
        <f t="shared" ref="AL4181:AL4183" si="635">(T4181-W4181)/T4181</f>
        <v>0.41960399999999998</v>
      </c>
    </row>
    <row r="4182" spans="1:38" hidden="1" x14ac:dyDescent="0.2">
      <c r="A4182" s="8">
        <v>2026</v>
      </c>
      <c r="B4182" s="8">
        <v>6</v>
      </c>
      <c r="C4182" s="8"/>
      <c r="D4182" s="2" t="s">
        <v>1911</v>
      </c>
      <c r="P4182" s="2" t="s">
        <v>283</v>
      </c>
      <c r="Q4182" s="2" t="s">
        <v>402</v>
      </c>
      <c r="R4182" s="2" t="s">
        <v>403</v>
      </c>
      <c r="S4182" s="9">
        <v>4</v>
      </c>
      <c r="T4182" s="10">
        <v>100</v>
      </c>
      <c r="U4182" s="2">
        <f t="shared" si="630"/>
        <v>23</v>
      </c>
      <c r="V4182" s="10">
        <f t="shared" si="631"/>
        <v>123</v>
      </c>
      <c r="W4182" s="2">
        <f t="shared" si="632"/>
        <v>58.0396</v>
      </c>
      <c r="X4182" s="5">
        <f t="shared" si="633"/>
        <v>0.41960399999999998</v>
      </c>
      <c r="Z4182" s="2" t="s">
        <v>3231</v>
      </c>
      <c r="AA4182" s="2" t="s">
        <v>46</v>
      </c>
      <c r="AB4182" s="2" t="s">
        <v>61</v>
      </c>
      <c r="AC4182" s="2" t="s">
        <v>3336</v>
      </c>
      <c r="AI4182" s="2"/>
      <c r="AK4182" s="2">
        <f t="shared" si="634"/>
        <v>41.9604</v>
      </c>
      <c r="AL4182" s="5">
        <f t="shared" si="635"/>
        <v>0.41960399999999998</v>
      </c>
    </row>
    <row r="4183" spans="1:38" hidden="1" x14ac:dyDescent="0.2">
      <c r="A4183" s="8">
        <v>2026</v>
      </c>
      <c r="B4183" s="8">
        <v>6</v>
      </c>
      <c r="C4183" s="8"/>
      <c r="D4183" s="2" t="s">
        <v>489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490</v>
      </c>
      <c r="J4183" s="2" t="s">
        <v>491</v>
      </c>
      <c r="K4183" s="2">
        <v>912293443</v>
      </c>
      <c r="L4183" s="2" t="s">
        <v>100</v>
      </c>
      <c r="M4183" s="2" t="s">
        <v>40</v>
      </c>
      <c r="P4183" s="2" t="s">
        <v>40</v>
      </c>
      <c r="Q4183" s="2" t="s">
        <v>492</v>
      </c>
      <c r="R4183" s="2" t="s">
        <v>493</v>
      </c>
      <c r="S4183" s="9">
        <v>1</v>
      </c>
      <c r="T4183" s="10">
        <v>678.91</v>
      </c>
      <c r="U4183" s="2">
        <f>T4183*23%</f>
        <v>156.14930000000001</v>
      </c>
      <c r="V4183" s="10">
        <f>T4183+U4183</f>
        <v>835.05930000000001</v>
      </c>
      <c r="X4183" s="5">
        <f t="shared" si="633"/>
        <v>1</v>
      </c>
      <c r="Z4183" s="2" t="s">
        <v>120</v>
      </c>
      <c r="AA4183" s="2" t="s">
        <v>493</v>
      </c>
      <c r="AI4183" s="2"/>
      <c r="AK4183" s="2">
        <f t="shared" si="634"/>
        <v>678.91</v>
      </c>
      <c r="AL4183" s="5">
        <f t="shared" si="635"/>
        <v>1</v>
      </c>
    </row>
    <row r="4184" spans="1:38" hidden="1" x14ac:dyDescent="0.2">
      <c r="A4184" s="8">
        <v>2026</v>
      </c>
      <c r="B4184" s="8">
        <v>6</v>
      </c>
      <c r="C4184" s="8"/>
      <c r="D4184" s="2" t="s">
        <v>3117</v>
      </c>
      <c r="M4184" s="2" t="s">
        <v>40</v>
      </c>
      <c r="P4184" s="2" t="s">
        <v>188</v>
      </c>
      <c r="Q4184" s="2" t="s">
        <v>189</v>
      </c>
      <c r="R4184" s="2" t="s">
        <v>190</v>
      </c>
      <c r="S4184" s="9">
        <v>1</v>
      </c>
      <c r="T4184" s="10">
        <v>60</v>
      </c>
      <c r="U4184" s="2">
        <f t="shared" ref="U4184:U4188" si="636">T4184*23%</f>
        <v>13.8</v>
      </c>
      <c r="V4184" s="2">
        <f t="shared" ref="V4184:V4188" si="637">T4184+U4184</f>
        <v>73.8</v>
      </c>
      <c r="W4184" s="2">
        <f>T4184*40%</f>
        <v>24</v>
      </c>
      <c r="X4184" s="5">
        <f>(T4184-W4184)/T4184</f>
        <v>0.6</v>
      </c>
      <c r="Z4184" s="2" t="s">
        <v>118</v>
      </c>
      <c r="AA4184" s="2" t="s">
        <v>191</v>
      </c>
      <c r="AB4184" s="2" t="s">
        <v>190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>T4184-W4184</f>
        <v>36</v>
      </c>
      <c r="AL4184" s="5">
        <f>(T4184-W4184)/T4184</f>
        <v>0.6</v>
      </c>
    </row>
    <row r="4185" spans="1:38" hidden="1" x14ac:dyDescent="0.2">
      <c r="A4185" s="8">
        <v>2026</v>
      </c>
      <c r="B4185" s="8">
        <v>6</v>
      </c>
      <c r="C4185" s="8"/>
      <c r="D4185" s="2" t="s">
        <v>3117</v>
      </c>
      <c r="M4185" s="2" t="s">
        <v>40</v>
      </c>
      <c r="P4185" s="2" t="s">
        <v>188</v>
      </c>
      <c r="Q4185" s="2" t="s">
        <v>192</v>
      </c>
      <c r="R4185" s="2" t="s">
        <v>191</v>
      </c>
      <c r="S4185" s="9">
        <v>4</v>
      </c>
      <c r="T4185" s="10">
        <v>220</v>
      </c>
      <c r="U4185" s="2">
        <f t="shared" si="636"/>
        <v>50.6</v>
      </c>
      <c r="V4185" s="2">
        <f t="shared" si="637"/>
        <v>270.60000000000002</v>
      </c>
      <c r="W4185" s="2">
        <f>T4185*50%</f>
        <v>110</v>
      </c>
      <c r="X4185" s="5">
        <f>(T4185-W4185)/T4185</f>
        <v>0.5</v>
      </c>
      <c r="Z4185" s="2" t="s">
        <v>118</v>
      </c>
      <c r="AA4185" s="2" t="s">
        <v>191</v>
      </c>
      <c r="AB4185" s="2" t="s">
        <v>191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>T4185-W4185</f>
        <v>110</v>
      </c>
      <c r="AL4185" s="5">
        <f>(T4185-W4185)/T4185</f>
        <v>0.5</v>
      </c>
    </row>
    <row r="4186" spans="1:38" hidden="1" x14ac:dyDescent="0.2">
      <c r="A4186" s="8">
        <v>2026</v>
      </c>
      <c r="B4186" s="8">
        <v>6</v>
      </c>
      <c r="C4186" s="8"/>
      <c r="D4186" s="2" t="s">
        <v>1399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3221</v>
      </c>
      <c r="J4186" s="2" t="s">
        <v>3220</v>
      </c>
      <c r="K4186" s="2">
        <v>913814877</v>
      </c>
      <c r="L4186" s="2" t="s">
        <v>202</v>
      </c>
      <c r="M4186" s="2" t="s">
        <v>81</v>
      </c>
      <c r="O4186" s="2" t="s">
        <v>3219</v>
      </c>
      <c r="P4186" s="2" t="s">
        <v>43</v>
      </c>
      <c r="Q4186" s="2" t="s">
        <v>55</v>
      </c>
      <c r="R4186" s="2" t="s">
        <v>56</v>
      </c>
      <c r="S4186" s="9">
        <v>3</v>
      </c>
      <c r="T4186" s="10">
        <v>54</v>
      </c>
      <c r="U4186" s="2">
        <f t="shared" si="636"/>
        <v>12.42</v>
      </c>
      <c r="V4186" s="10">
        <f t="shared" si="637"/>
        <v>66.42</v>
      </c>
      <c r="W4186" s="2">
        <f>10.6*S4186</f>
        <v>31.799999999999997</v>
      </c>
      <c r="X4186" s="5">
        <f>(T4186-W4186)/T4186</f>
        <v>0.41111111111111115</v>
      </c>
      <c r="Z4186" s="2" t="s">
        <v>3231</v>
      </c>
      <c r="AA4186" s="2" t="s">
        <v>46</v>
      </c>
      <c r="AB4186" s="2" t="s">
        <v>57</v>
      </c>
      <c r="AC4186" s="2" t="s">
        <v>58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>T4186-W4186</f>
        <v>22.200000000000003</v>
      </c>
      <c r="AL4186" s="5">
        <f>(T4186-W4186)/T4186</f>
        <v>0.41111111111111115</v>
      </c>
    </row>
    <row r="4187" spans="1:38" hidden="1" x14ac:dyDescent="0.2">
      <c r="A4187" s="8">
        <v>2026</v>
      </c>
      <c r="B4187" s="8">
        <v>6</v>
      </c>
      <c r="C4187" s="8"/>
      <c r="D4187" s="2" t="s">
        <v>1399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3221</v>
      </c>
      <c r="J4187" s="2" t="s">
        <v>3220</v>
      </c>
      <c r="K4187" s="2">
        <v>913814877</v>
      </c>
      <c r="L4187" s="2" t="s">
        <v>202</v>
      </c>
      <c r="M4187" s="2" t="s">
        <v>81</v>
      </c>
      <c r="O4187" s="2" t="s">
        <v>3219</v>
      </c>
      <c r="P4187" s="2" t="s">
        <v>170</v>
      </c>
      <c r="Q4187" s="2" t="s">
        <v>171</v>
      </c>
      <c r="R4187" s="2" t="s">
        <v>171</v>
      </c>
      <c r="S4187" s="9">
        <v>1</v>
      </c>
      <c r="T4187" s="10">
        <v>8</v>
      </c>
      <c r="U4187" s="2">
        <f>T4187*23%</f>
        <v>1.84</v>
      </c>
      <c r="V4187" s="10">
        <f>T4187+U4187</f>
        <v>9.84</v>
      </c>
      <c r="X4187" s="5">
        <f t="shared" ref="X4187" si="638">(T4187-W4187)/T4187</f>
        <v>1</v>
      </c>
      <c r="Z4187" s="2" t="s">
        <v>170</v>
      </c>
      <c r="AA4187" s="2" t="s">
        <v>170</v>
      </c>
      <c r="AI4187" s="2"/>
      <c r="AK4187" s="2">
        <f t="shared" ref="AK4187:AK4188" si="639">T4187-W4187</f>
        <v>8</v>
      </c>
      <c r="AL4187" s="5">
        <f t="shared" ref="AL4187:AL4188" si="640">(T4187-W4187)/T4187</f>
        <v>1</v>
      </c>
    </row>
    <row r="4188" spans="1:38" hidden="1" x14ac:dyDescent="0.2">
      <c r="A4188" s="8">
        <v>2026</v>
      </c>
      <c r="B4188" s="8">
        <v>6</v>
      </c>
      <c r="C4188" s="8"/>
      <c r="D4188" s="2" t="s">
        <v>2436</v>
      </c>
      <c r="P4188" s="2" t="s">
        <v>43</v>
      </c>
      <c r="Q4188" s="2" t="s">
        <v>2873</v>
      </c>
      <c r="R4188" s="2" t="s">
        <v>2874</v>
      </c>
      <c r="S4188" s="9">
        <v>2</v>
      </c>
      <c r="T4188" s="10">
        <v>100</v>
      </c>
      <c r="U4188" s="2">
        <f t="shared" si="636"/>
        <v>23</v>
      </c>
      <c r="V4188" s="10">
        <f t="shared" si="637"/>
        <v>123</v>
      </c>
      <c r="W4188" s="2">
        <f>W3923*S4188</f>
        <v>71.56</v>
      </c>
      <c r="X4188" s="5">
        <f>(T4188-W4188)/T4188</f>
        <v>0.28439999999999999</v>
      </c>
      <c r="Z4188" s="2" t="s">
        <v>3231</v>
      </c>
      <c r="AA4188" s="2" t="s">
        <v>46</v>
      </c>
      <c r="AB4188" s="2" t="s">
        <v>91</v>
      </c>
      <c r="AC4188" s="2" t="s">
        <v>58</v>
      </c>
      <c r="AI4188" s="2"/>
      <c r="AK4188" s="2">
        <f t="shared" si="639"/>
        <v>28.439999999999998</v>
      </c>
      <c r="AL4188" s="5">
        <f t="shared" si="640"/>
        <v>0.28439999999999999</v>
      </c>
    </row>
    <row r="4189" spans="1:38" hidden="1" x14ac:dyDescent="0.2">
      <c r="A4189" s="8">
        <v>2026</v>
      </c>
      <c r="B4189" s="8">
        <v>6</v>
      </c>
      <c r="C4189" s="8"/>
      <c r="D4189" s="2" t="s">
        <v>2436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:X4191" si="641">(T4189-W4189)/T4189</f>
        <v>1</v>
      </c>
      <c r="Z4189" s="2" t="s">
        <v>170</v>
      </c>
      <c r="AA4189" s="2" t="s">
        <v>170</v>
      </c>
      <c r="AI4189" s="2"/>
      <c r="AK4189" s="2">
        <f t="shared" ref="AK4189:AK4190" si="642">T4189-W4189</f>
        <v>8</v>
      </c>
      <c r="AL4189" s="5">
        <f t="shared" ref="AL4189:AL4190" si="643">(T4189-W4189)/T4189</f>
        <v>1</v>
      </c>
    </row>
    <row r="4190" spans="1:38" hidden="1" x14ac:dyDescent="0.2">
      <c r="A4190" s="8">
        <v>2026</v>
      </c>
      <c r="B4190" s="8">
        <v>6</v>
      </c>
      <c r="C4190" s="8"/>
      <c r="D4190" s="2" t="s">
        <v>2986</v>
      </c>
      <c r="E4190" s="2" t="s">
        <v>109</v>
      </c>
      <c r="F4190" s="2" t="s">
        <v>39</v>
      </c>
      <c r="G4190" s="2">
        <v>510594778</v>
      </c>
      <c r="H4190" s="2" t="s">
        <v>41</v>
      </c>
      <c r="I4190" s="2" t="s">
        <v>2987</v>
      </c>
      <c r="J4190" s="2" t="s">
        <v>1104</v>
      </c>
      <c r="K4190" s="2">
        <v>934645042</v>
      </c>
      <c r="L4190" s="2" t="s">
        <v>100</v>
      </c>
      <c r="P4190" s="2" t="s">
        <v>115</v>
      </c>
      <c r="Q4190" s="2" t="s">
        <v>792</v>
      </c>
      <c r="R4190" s="2" t="s">
        <v>793</v>
      </c>
      <c r="S4190" s="9">
        <v>-1</v>
      </c>
      <c r="T4190" s="10">
        <v>-187.92</v>
      </c>
      <c r="U4190" s="2">
        <f t="shared" ref="U4190:U4191" si="644">T4190*23%</f>
        <v>-43.221600000000002</v>
      </c>
      <c r="V4190" s="10">
        <f t="shared" ref="V4190:V4191" si="645">T4190+U4190</f>
        <v>-231.14159999999998</v>
      </c>
      <c r="AI4190" s="2"/>
      <c r="AK4190" s="2">
        <f t="shared" si="642"/>
        <v>-187.92</v>
      </c>
      <c r="AL4190" s="5">
        <f t="shared" si="643"/>
        <v>1</v>
      </c>
    </row>
    <row r="4191" spans="1:38" hidden="1" x14ac:dyDescent="0.2">
      <c r="A4191" s="8">
        <v>2026</v>
      </c>
      <c r="B4191" s="8">
        <v>6</v>
      </c>
      <c r="C4191" s="8"/>
      <c r="D4191" s="2" t="s">
        <v>2986</v>
      </c>
      <c r="E4191" s="2" t="s">
        <v>109</v>
      </c>
      <c r="F4191" s="2" t="s">
        <v>39</v>
      </c>
      <c r="G4191" s="2">
        <v>510594778</v>
      </c>
      <c r="H4191" s="2" t="s">
        <v>41</v>
      </c>
      <c r="I4191" s="2" t="s">
        <v>2987</v>
      </c>
      <c r="J4191" s="2" t="s">
        <v>1104</v>
      </c>
      <c r="K4191" s="2">
        <v>934645042</v>
      </c>
      <c r="L4191" s="2" t="s">
        <v>100</v>
      </c>
      <c r="P4191" s="2" t="s">
        <v>115</v>
      </c>
      <c r="Q4191" s="2" t="s">
        <v>796</v>
      </c>
      <c r="R4191" s="2" t="s">
        <v>2989</v>
      </c>
      <c r="S4191" s="9">
        <v>-1</v>
      </c>
      <c r="T4191" s="10">
        <v>-28.38</v>
      </c>
      <c r="U4191" s="2">
        <f t="shared" si="644"/>
        <v>-6.5274000000000001</v>
      </c>
      <c r="V4191" s="10">
        <f t="shared" si="645"/>
        <v>-34.907399999999996</v>
      </c>
      <c r="X4191" s="5">
        <f t="shared" si="641"/>
        <v>1</v>
      </c>
      <c r="AI4191" s="2"/>
      <c r="AK4191" s="2">
        <f t="shared" ref="AK4191" si="646">T4191-W4191</f>
        <v>-28.38</v>
      </c>
      <c r="AL4191" s="5">
        <f t="shared" ref="AL4191" si="647">(T4191-W4191)/T4191</f>
        <v>1</v>
      </c>
    </row>
    <row r="4192" spans="1:38" hidden="1" x14ac:dyDescent="0.2">
      <c r="A4192" s="8">
        <v>2026</v>
      </c>
      <c r="B4192" s="8">
        <v>6</v>
      </c>
      <c r="C4192" s="8"/>
      <c r="D4192" s="2" t="s">
        <v>2986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2987</v>
      </c>
      <c r="J4192" s="2" t="s">
        <v>1104</v>
      </c>
      <c r="K4192" s="2">
        <v>934645042</v>
      </c>
      <c r="L4192" s="2" t="s">
        <v>100</v>
      </c>
      <c r="M4192" s="2" t="s">
        <v>40</v>
      </c>
      <c r="P4192" s="2" t="s">
        <v>188</v>
      </c>
      <c r="Q4192" s="2" t="s">
        <v>189</v>
      </c>
      <c r="R4192" s="2" t="s">
        <v>190</v>
      </c>
      <c r="S4192" s="9">
        <v>-1</v>
      </c>
      <c r="T4192" s="10">
        <v>-94</v>
      </c>
      <c r="U4192" s="2">
        <f>T4192*23%</f>
        <v>-21.62</v>
      </c>
      <c r="V4192" s="2">
        <f>T4192+U4192</f>
        <v>-115.62</v>
      </c>
      <c r="W4192" s="2">
        <f>T4192*40%</f>
        <v>-37.6</v>
      </c>
      <c r="Z4192" s="2" t="s">
        <v>118</v>
      </c>
      <c r="AA4192" s="2" t="s">
        <v>191</v>
      </c>
      <c r="AB4192" s="2" t="s">
        <v>190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>T4192-W4192</f>
        <v>-56.4</v>
      </c>
    </row>
    <row r="4193" spans="1:38" hidden="1" x14ac:dyDescent="0.2">
      <c r="A4193" s="8">
        <v>2026</v>
      </c>
      <c r="B4193" s="8">
        <v>6</v>
      </c>
      <c r="C4193" s="8"/>
      <c r="D4193" s="2" t="s">
        <v>2986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2987</v>
      </c>
      <c r="J4193" s="2" t="s">
        <v>1104</v>
      </c>
      <c r="K4193" s="2">
        <v>934645042</v>
      </c>
      <c r="L4193" s="2" t="s">
        <v>100</v>
      </c>
      <c r="M4193" s="2" t="s">
        <v>40</v>
      </c>
      <c r="P4193" s="2" t="s">
        <v>188</v>
      </c>
      <c r="Q4193" s="2" t="s">
        <v>192</v>
      </c>
      <c r="R4193" s="2" t="s">
        <v>191</v>
      </c>
      <c r="S4193" s="9">
        <v>-1</v>
      </c>
      <c r="T4193" s="10">
        <v>-55</v>
      </c>
      <c r="U4193" s="2">
        <f>T4193*23%</f>
        <v>-12.65</v>
      </c>
      <c r="V4193" s="2">
        <f>T4193+U4193</f>
        <v>-67.650000000000006</v>
      </c>
      <c r="Z4193" s="2" t="s">
        <v>118</v>
      </c>
      <c r="AA4193" s="2" t="s">
        <v>191</v>
      </c>
      <c r="AB4193" s="2" t="s">
        <v>191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>T4193-W4193</f>
        <v>-55</v>
      </c>
    </row>
    <row r="4194" spans="1:38" hidden="1" x14ac:dyDescent="0.2">
      <c r="A4194" s="8">
        <v>2026</v>
      </c>
      <c r="B4194" s="8">
        <v>6</v>
      </c>
      <c r="C4194" s="8"/>
      <c r="D4194" s="2" t="s">
        <v>2986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2987</v>
      </c>
      <c r="J4194" s="2" t="s">
        <v>1104</v>
      </c>
      <c r="K4194" s="2">
        <v>934645042</v>
      </c>
      <c r="L4194" s="2" t="s">
        <v>100</v>
      </c>
      <c r="P4194" s="2" t="s">
        <v>40</v>
      </c>
      <c r="Q4194" s="2" t="s">
        <v>364</v>
      </c>
      <c r="R4194" s="2" t="s">
        <v>365</v>
      </c>
      <c r="S4194" s="9">
        <v>-1</v>
      </c>
      <c r="T4194" s="10">
        <v>-87.5</v>
      </c>
      <c r="U4194" s="2">
        <f>T4194*23%</f>
        <v>-20.125</v>
      </c>
      <c r="V4194" s="10">
        <f>T4194+U4194</f>
        <v>-107.625</v>
      </c>
      <c r="X4194" s="2"/>
      <c r="AI4194" s="2"/>
      <c r="AL4194" s="2"/>
    </row>
    <row r="4195" spans="1:38" hidden="1" x14ac:dyDescent="0.2">
      <c r="A4195" s="8">
        <v>2026</v>
      </c>
      <c r="B4195" s="8">
        <v>6</v>
      </c>
      <c r="C4195" s="8"/>
      <c r="D4195" s="2" t="s">
        <v>855</v>
      </c>
      <c r="E4195" s="2" t="s">
        <v>109</v>
      </c>
      <c r="F4195" s="2" t="s">
        <v>39</v>
      </c>
      <c r="G4195" s="2">
        <v>505128128</v>
      </c>
      <c r="H4195" s="2" t="s">
        <v>41</v>
      </c>
      <c r="I4195" s="2" t="s">
        <v>856</v>
      </c>
      <c r="J4195" s="2" t="s">
        <v>857</v>
      </c>
      <c r="K4195" s="2">
        <v>917665950</v>
      </c>
      <c r="L4195" s="2" t="s">
        <v>100</v>
      </c>
      <c r="P4195" s="2" t="s">
        <v>43</v>
      </c>
      <c r="Q4195" s="2" t="s">
        <v>49</v>
      </c>
      <c r="R4195" s="2" t="s">
        <v>50</v>
      </c>
      <c r="S4195" s="9">
        <v>4</v>
      </c>
      <c r="T4195" s="10">
        <v>48</v>
      </c>
      <c r="U4195" s="2">
        <f t="shared" ref="U4195:U4200" si="648">T4195*23%</f>
        <v>11.040000000000001</v>
      </c>
      <c r="V4195" s="10">
        <f t="shared" ref="V4195:V4200" si="649">T4195+U4195</f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3231</v>
      </c>
      <c r="AA4195" s="2" t="s">
        <v>46</v>
      </c>
      <c r="AB4195" s="2" t="s">
        <v>47</v>
      </c>
      <c r="AC4195" s="2" t="s">
        <v>48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hidden="1" x14ac:dyDescent="0.2">
      <c r="A4196" s="8">
        <v>2026</v>
      </c>
      <c r="B4196" s="8">
        <v>6</v>
      </c>
      <c r="C4196" s="8"/>
      <c r="D4196" s="2" t="s">
        <v>1055</v>
      </c>
      <c r="E4196" s="2" t="s">
        <v>184</v>
      </c>
      <c r="F4196" s="2" t="s">
        <v>1056</v>
      </c>
      <c r="G4196" s="2">
        <v>500199523</v>
      </c>
      <c r="H4196" s="2" t="s">
        <v>291</v>
      </c>
      <c r="I4196" s="2" t="s">
        <v>294</v>
      </c>
      <c r="J4196" s="2" t="s">
        <v>1057</v>
      </c>
      <c r="L4196" s="2" t="s">
        <v>294</v>
      </c>
      <c r="M4196" s="2" t="s">
        <v>81</v>
      </c>
      <c r="P4196" s="2" t="s">
        <v>73</v>
      </c>
      <c r="Q4196" s="2" t="s">
        <v>326</v>
      </c>
      <c r="R4196" s="2" t="s">
        <v>80</v>
      </c>
      <c r="S4196" s="9">
        <v>1</v>
      </c>
      <c r="T4196" s="10">
        <v>220</v>
      </c>
      <c r="U4196" s="2">
        <f t="shared" si="648"/>
        <v>50.6</v>
      </c>
      <c r="V4196" s="10">
        <f t="shared" si="649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3231</v>
      </c>
      <c r="AA4196" s="2" t="s">
        <v>76</v>
      </c>
      <c r="AB4196" s="2" t="s">
        <v>77</v>
      </c>
      <c r="AC4196" s="2" t="s">
        <v>78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hidden="1" x14ac:dyDescent="0.2">
      <c r="A4197" s="8">
        <v>2026</v>
      </c>
      <c r="B4197" s="8">
        <v>6</v>
      </c>
      <c r="C4197" s="8"/>
      <c r="D4197" s="2" t="s">
        <v>1055</v>
      </c>
      <c r="E4197" s="2" t="s">
        <v>184</v>
      </c>
      <c r="F4197" s="2" t="s">
        <v>1056</v>
      </c>
      <c r="G4197" s="2">
        <v>500199523</v>
      </c>
      <c r="H4197" s="2" t="s">
        <v>291</v>
      </c>
      <c r="I4197" s="2" t="s">
        <v>294</v>
      </c>
      <c r="J4197" s="2" t="s">
        <v>1057</v>
      </c>
      <c r="L4197" s="2" t="s">
        <v>294</v>
      </c>
      <c r="M4197" s="2" t="s">
        <v>81</v>
      </c>
      <c r="P4197" s="2" t="s">
        <v>94</v>
      </c>
      <c r="Q4197" s="2" t="s">
        <v>95</v>
      </c>
      <c r="R4197" s="2" t="s">
        <v>96</v>
      </c>
      <c r="S4197" s="9">
        <v>1</v>
      </c>
      <c r="T4197" s="10">
        <v>1.48</v>
      </c>
      <c r="U4197" s="2">
        <f t="shared" si="648"/>
        <v>0.34040000000000004</v>
      </c>
      <c r="V4197" s="10">
        <f t="shared" si="649"/>
        <v>1.8204</v>
      </c>
      <c r="W4197" s="2">
        <f>1.48*S4197</f>
        <v>1.48</v>
      </c>
      <c r="X4197" s="5">
        <f>(T4197-W4197)/T4197</f>
        <v>0</v>
      </c>
      <c r="Z4197" s="2" t="s">
        <v>3231</v>
      </c>
      <c r="AA4197" s="2" t="s">
        <v>97</v>
      </c>
      <c r="AB4197" s="2" t="s">
        <v>77</v>
      </c>
      <c r="AC4197" s="2" t="s">
        <v>94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hidden="1" x14ac:dyDescent="0.2">
      <c r="A4198" s="8">
        <v>2026</v>
      </c>
      <c r="B4198" s="8">
        <v>6</v>
      </c>
      <c r="C4198" s="8" t="s">
        <v>3335</v>
      </c>
      <c r="D4198" s="2" t="s">
        <v>501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502</v>
      </c>
      <c r="J4198" s="2" t="s">
        <v>503</v>
      </c>
      <c r="K4198" s="2">
        <v>918010109</v>
      </c>
      <c r="L4198" s="2" t="s">
        <v>100</v>
      </c>
      <c r="M4198" s="2" t="s">
        <v>40</v>
      </c>
      <c r="P4198" s="2" t="s">
        <v>40</v>
      </c>
      <c r="Q4198" s="2" t="s">
        <v>141</v>
      </c>
      <c r="R4198" s="2" t="s">
        <v>142</v>
      </c>
      <c r="S4198" s="9">
        <v>-2</v>
      </c>
      <c r="T4198" s="10">
        <v>-318.08999999999997</v>
      </c>
      <c r="U4198" s="2">
        <f t="shared" si="648"/>
        <v>-73.160699999999991</v>
      </c>
      <c r="V4198" s="10">
        <f t="shared" si="649"/>
        <v>-391.25069999999994</v>
      </c>
      <c r="Z4198" s="2" t="s">
        <v>120</v>
      </c>
      <c r="AA4198" s="2" t="s">
        <v>143</v>
      </c>
      <c r="AI4198" s="2"/>
    </row>
    <row r="4199" spans="1:38" hidden="1" x14ac:dyDescent="0.2">
      <c r="A4199" s="8">
        <v>2026</v>
      </c>
      <c r="B4199" s="8">
        <v>6</v>
      </c>
      <c r="C4199" s="8" t="s">
        <v>3335</v>
      </c>
      <c r="D4199" s="2" t="s">
        <v>501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502</v>
      </c>
      <c r="J4199" s="2" t="s">
        <v>503</v>
      </c>
      <c r="K4199" s="2">
        <v>918010109</v>
      </c>
      <c r="L4199" s="2" t="s">
        <v>100</v>
      </c>
      <c r="P4199" s="2" t="s">
        <v>40</v>
      </c>
      <c r="Q4199" s="2" t="s">
        <v>364</v>
      </c>
      <c r="R4199" s="2" t="s">
        <v>365</v>
      </c>
      <c r="S4199" s="9">
        <v>1</v>
      </c>
      <c r="T4199" s="10">
        <v>65.3</v>
      </c>
      <c r="U4199" s="2">
        <f t="shared" si="648"/>
        <v>15.019</v>
      </c>
      <c r="V4199" s="10">
        <f t="shared" si="649"/>
        <v>80.319000000000003</v>
      </c>
      <c r="X4199" s="5">
        <f>(T4199-W4199)/T4199</f>
        <v>1</v>
      </c>
      <c r="Z4199" s="2" t="s">
        <v>120</v>
      </c>
      <c r="AA4199" s="2" t="s">
        <v>3385</v>
      </c>
      <c r="AI4199" s="2"/>
      <c r="AK4199" s="2">
        <f>T4199-W4199</f>
        <v>65.3</v>
      </c>
      <c r="AL4199" s="5">
        <f>(T4199-W4199)/T4199</f>
        <v>1</v>
      </c>
    </row>
    <row r="4200" spans="1:38" hidden="1" x14ac:dyDescent="0.2">
      <c r="A4200" s="8">
        <v>2026</v>
      </c>
      <c r="B4200" s="8">
        <v>6</v>
      </c>
      <c r="C4200" s="8"/>
      <c r="D4200" s="2" t="s">
        <v>3114</v>
      </c>
      <c r="P4200" s="2" t="s">
        <v>40</v>
      </c>
      <c r="Q4200" s="2" t="s">
        <v>3065</v>
      </c>
      <c r="R4200" s="2" t="s">
        <v>3066</v>
      </c>
      <c r="S4200" s="9">
        <v>11601</v>
      </c>
      <c r="T4200" s="10">
        <v>2098.09</v>
      </c>
      <c r="U4200" s="2">
        <f t="shared" si="648"/>
        <v>482.56070000000005</v>
      </c>
      <c r="V4200" s="10">
        <f t="shared" si="649"/>
        <v>2580.6507000000001</v>
      </c>
      <c r="X4200" s="5">
        <f t="shared" ref="X4200" si="650">(T4200-W4200)/T4200</f>
        <v>1</v>
      </c>
      <c r="Z4200" s="2" t="s">
        <v>120</v>
      </c>
      <c r="AA4200" s="2" t="s">
        <v>3296</v>
      </c>
      <c r="AI4200" s="2"/>
      <c r="AK4200" s="2">
        <f t="shared" ref="AK4200" si="651">T4200-W4200</f>
        <v>2098.09</v>
      </c>
      <c r="AL4200" s="5">
        <f t="shared" ref="AL4200" si="652">(T4200-W4200)/T4200</f>
        <v>1</v>
      </c>
    </row>
    <row r="4201" spans="1:38" hidden="1" x14ac:dyDescent="0.2">
      <c r="A4201" s="8">
        <v>2026</v>
      </c>
      <c r="B4201" s="8">
        <v>6</v>
      </c>
      <c r="C4201" s="8"/>
      <c r="D4201" s="2" t="s">
        <v>508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178</v>
      </c>
      <c r="J4201" s="2" t="s">
        <v>3138</v>
      </c>
      <c r="L4201" s="2" t="s">
        <v>178</v>
      </c>
      <c r="M4201" s="2" t="s">
        <v>41</v>
      </c>
      <c r="O4201" s="2" t="s">
        <v>3148</v>
      </c>
      <c r="P4201" s="2" t="s">
        <v>115</v>
      </c>
      <c r="Q4201" s="2" t="s">
        <v>1101</v>
      </c>
      <c r="R4201" s="2" t="s">
        <v>1102</v>
      </c>
      <c r="S4201" s="9">
        <v>1</v>
      </c>
      <c r="T4201" s="10">
        <v>184.34</v>
      </c>
      <c r="U4201" s="2">
        <f t="shared" ref="U4201:U4208" si="653">T4201*23%</f>
        <v>42.398200000000003</v>
      </c>
      <c r="V4201" s="10">
        <f t="shared" ref="V4201:V4209" si="654">T4201+U4201</f>
        <v>226.73820000000001</v>
      </c>
      <c r="W4201" s="2">
        <v>69.67</v>
      </c>
      <c r="X4201" s="5">
        <f>(T4201-W4201)/T4201</f>
        <v>0.6220570684604535</v>
      </c>
      <c r="Z4201" s="2" t="s">
        <v>118</v>
      </c>
      <c r="AA4201" s="2" t="s">
        <v>119</v>
      </c>
      <c r="AB4201" s="2" t="s">
        <v>120</v>
      </c>
      <c r="AC4201" s="2" t="s">
        <v>115</v>
      </c>
      <c r="AI4201" s="2"/>
      <c r="AL4201" s="2"/>
    </row>
    <row r="4202" spans="1:38" hidden="1" x14ac:dyDescent="0.2">
      <c r="A4202" s="8">
        <v>2026</v>
      </c>
      <c r="B4202" s="8">
        <v>6</v>
      </c>
      <c r="C4202" s="8"/>
      <c r="D4202" s="2" t="s">
        <v>508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178</v>
      </c>
      <c r="J4202" s="2" t="s">
        <v>3138</v>
      </c>
      <c r="L4202" s="2" t="s">
        <v>178</v>
      </c>
      <c r="M4202" s="2" t="s">
        <v>41</v>
      </c>
      <c r="O4202" s="2" t="s">
        <v>3149</v>
      </c>
      <c r="P4202" s="2" t="s">
        <v>43</v>
      </c>
      <c r="Q4202" s="2" t="s">
        <v>49</v>
      </c>
      <c r="R4202" s="2" t="s">
        <v>50</v>
      </c>
      <c r="S4202" s="9">
        <v>2</v>
      </c>
      <c r="T4202" s="10">
        <v>26</v>
      </c>
      <c r="U4202" s="2">
        <f t="shared" si="653"/>
        <v>5.98</v>
      </c>
      <c r="V4202" s="10">
        <f t="shared" si="654"/>
        <v>31.98</v>
      </c>
      <c r="W4202" s="2">
        <f>6.6267*S4202</f>
        <v>13.253399999999999</v>
      </c>
      <c r="X4202" s="5">
        <f>(T4202-W4202)/T4202</f>
        <v>0.49025384615384621</v>
      </c>
      <c r="Z4202" s="2" t="s">
        <v>3231</v>
      </c>
      <c r="AA4202" s="2" t="s">
        <v>46</v>
      </c>
      <c r="AB4202" s="2" t="s">
        <v>47</v>
      </c>
      <c r="AC4202" s="2" t="s">
        <v>48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655">AI4202*T4202</f>
        <v>0</v>
      </c>
      <c r="AK4202" s="2">
        <f t="shared" ref="AK4202:AK4209" si="656">T4202-W4202</f>
        <v>12.746600000000001</v>
      </c>
      <c r="AL4202" s="5">
        <f>(T4202-W4202)/T4202</f>
        <v>0.49025384615384621</v>
      </c>
    </row>
    <row r="4203" spans="1:38" hidden="1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3138</v>
      </c>
      <c r="L4203" s="2" t="s">
        <v>178</v>
      </c>
      <c r="M4203" s="2" t="s">
        <v>41</v>
      </c>
      <c r="O4203" s="2" t="s">
        <v>3147</v>
      </c>
      <c r="P4203" s="2" t="s">
        <v>167</v>
      </c>
      <c r="Q4203" s="2" t="s">
        <v>3067</v>
      </c>
      <c r="R4203" s="2" t="s">
        <v>3068</v>
      </c>
      <c r="S4203" s="9">
        <v>6</v>
      </c>
      <c r="T4203" s="10">
        <v>8.82</v>
      </c>
      <c r="U4203" s="2">
        <f t="shared" si="653"/>
        <v>2.0286</v>
      </c>
      <c r="V4203" s="10">
        <f t="shared" si="654"/>
        <v>10.848600000000001</v>
      </c>
      <c r="W4203" s="2">
        <f>1.32*S4203</f>
        <v>7.92</v>
      </c>
      <c r="X4203" s="5">
        <f>(T4203-W4203)/T4203</f>
        <v>0.10204081632653066</v>
      </c>
      <c r="Z4203" s="2" t="s">
        <v>3231</v>
      </c>
      <c r="AA4203" s="2" t="s">
        <v>88</v>
      </c>
      <c r="AB4203" s="2" t="s">
        <v>120</v>
      </c>
      <c r="AC4203" s="2" t="s">
        <v>167</v>
      </c>
      <c r="AF4203" s="2">
        <f>AJ4203</f>
        <v>0</v>
      </c>
      <c r="AI4203" s="2"/>
      <c r="AJ4203" s="2">
        <f t="shared" si="655"/>
        <v>0</v>
      </c>
      <c r="AK4203" s="2">
        <f t="shared" si="656"/>
        <v>0.90000000000000036</v>
      </c>
      <c r="AL4203" s="5">
        <f>(T4203-W4203)/T4203</f>
        <v>0.10204081632653066</v>
      </c>
    </row>
    <row r="4204" spans="1:38" hidden="1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3138</v>
      </c>
      <c r="L4204" s="2" t="s">
        <v>178</v>
      </c>
      <c r="M4204" s="2" t="s">
        <v>41</v>
      </c>
      <c r="O4204" s="2" t="s">
        <v>3147</v>
      </c>
      <c r="P4204" s="2" t="s">
        <v>167</v>
      </c>
      <c r="Q4204" s="2" t="s">
        <v>1048</v>
      </c>
      <c r="R4204" s="2" t="s">
        <v>1049</v>
      </c>
      <c r="S4204" s="9">
        <v>6</v>
      </c>
      <c r="T4204" s="10">
        <v>14.7</v>
      </c>
      <c r="U4204" s="2">
        <f t="shared" si="653"/>
        <v>3.3809999999999998</v>
      </c>
      <c r="V4204" s="10">
        <f t="shared" si="654"/>
        <v>18.081</v>
      </c>
      <c r="W4204" s="2">
        <f>1.7*S4204</f>
        <v>10.199999999999999</v>
      </c>
      <c r="X4204" s="5">
        <f>(T4204-W4204)/T4204</f>
        <v>0.30612244897959184</v>
      </c>
      <c r="Z4204" s="2" t="s">
        <v>3231</v>
      </c>
      <c r="AA4204" s="2" t="s">
        <v>88</v>
      </c>
      <c r="AB4204" s="2" t="s">
        <v>120</v>
      </c>
      <c r="AC4204" s="2" t="s">
        <v>167</v>
      </c>
      <c r="AF4204" s="2">
        <f>AJ4204</f>
        <v>0</v>
      </c>
      <c r="AI4204" s="2"/>
      <c r="AJ4204" s="2">
        <f t="shared" si="655"/>
        <v>0</v>
      </c>
      <c r="AK4204" s="2">
        <f t="shared" si="656"/>
        <v>4.5</v>
      </c>
      <c r="AL4204" s="5">
        <f>(T4204-W4204)/T4204</f>
        <v>0.30612244897959184</v>
      </c>
    </row>
    <row r="4205" spans="1:38" hidden="1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3138</v>
      </c>
      <c r="L4205" s="2" t="s">
        <v>178</v>
      </c>
      <c r="M4205" s="2" t="s">
        <v>40</v>
      </c>
      <c r="O4205" s="2" t="s">
        <v>3148</v>
      </c>
      <c r="P4205" s="2" t="s">
        <v>188</v>
      </c>
      <c r="Q4205" s="2" t="s">
        <v>189</v>
      </c>
      <c r="R4205" s="2" t="s">
        <v>190</v>
      </c>
      <c r="S4205" s="9">
        <v>1</v>
      </c>
      <c r="T4205" s="10">
        <v>0</v>
      </c>
      <c r="U4205" s="2">
        <f t="shared" si="653"/>
        <v>0</v>
      </c>
      <c r="V4205" s="2">
        <f t="shared" si="654"/>
        <v>0</v>
      </c>
      <c r="W4205" s="2">
        <f>T4205*40%</f>
        <v>0</v>
      </c>
      <c r="X4205" s="5">
        <v>0</v>
      </c>
      <c r="Z4205" s="2" t="s">
        <v>118</v>
      </c>
      <c r="AA4205" s="2" t="s">
        <v>191</v>
      </c>
      <c r="AB4205" s="2" t="s">
        <v>190</v>
      </c>
      <c r="AC4205" s="2" t="s">
        <v>40</v>
      </c>
      <c r="AG4205" s="2">
        <f>W4205</f>
        <v>0</v>
      </c>
      <c r="AI4205" s="2"/>
      <c r="AJ4205" s="2">
        <f t="shared" si="655"/>
        <v>0</v>
      </c>
      <c r="AK4205" s="2">
        <f t="shared" si="656"/>
        <v>0</v>
      </c>
      <c r="AL4205" s="5">
        <v>0</v>
      </c>
    </row>
    <row r="4206" spans="1:38" hidden="1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3138</v>
      </c>
      <c r="L4206" s="2" t="s">
        <v>178</v>
      </c>
      <c r="M4206" s="2" t="s">
        <v>40</v>
      </c>
      <c r="O4206" s="2" t="s">
        <v>3148</v>
      </c>
      <c r="P4206" s="2" t="s">
        <v>188</v>
      </c>
      <c r="Q4206" s="2" t="s">
        <v>192</v>
      </c>
      <c r="R4206" s="2" t="s">
        <v>191</v>
      </c>
      <c r="S4206" s="9">
        <v>1</v>
      </c>
      <c r="T4206" s="10">
        <v>55</v>
      </c>
      <c r="U4206" s="2">
        <f t="shared" si="653"/>
        <v>12.65</v>
      </c>
      <c r="V4206" s="2">
        <f t="shared" si="654"/>
        <v>67.650000000000006</v>
      </c>
      <c r="W4206" s="2">
        <f>T4206*50%</f>
        <v>27.5</v>
      </c>
      <c r="X4206" s="5">
        <f>(T4206-W4206)/T4206</f>
        <v>0.5</v>
      </c>
      <c r="Z4206" s="2" t="s">
        <v>118</v>
      </c>
      <c r="AA4206" s="2" t="s">
        <v>191</v>
      </c>
      <c r="AB4206" s="2" t="s">
        <v>191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655"/>
        <v>0</v>
      </c>
      <c r="AK4206" s="2">
        <f t="shared" si="656"/>
        <v>27.5</v>
      </c>
      <c r="AL4206" s="5">
        <f>(T4206-W4206)/T4206</f>
        <v>0.5</v>
      </c>
    </row>
    <row r="4207" spans="1:38" hidden="1" x14ac:dyDescent="0.2">
      <c r="A4207" s="8">
        <v>2026</v>
      </c>
      <c r="B4207" s="8">
        <v>6</v>
      </c>
      <c r="C4207" s="8"/>
      <c r="D4207" s="2" t="s">
        <v>3115</v>
      </c>
      <c r="M4207" s="2" t="s">
        <v>40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125</v>
      </c>
      <c r="U4207" s="2">
        <f t="shared" si="653"/>
        <v>28.75</v>
      </c>
      <c r="V4207" s="2">
        <f t="shared" si="654"/>
        <v>153.75</v>
      </c>
      <c r="W4207" s="2">
        <f>T4207*40%</f>
        <v>50</v>
      </c>
      <c r="X4207" s="5">
        <f>(T4207-W4207)/T4207</f>
        <v>0.6</v>
      </c>
      <c r="Z4207" s="2" t="s">
        <v>118</v>
      </c>
      <c r="AA4207" s="2" t="s">
        <v>191</v>
      </c>
      <c r="AB4207" s="2" t="s">
        <v>190</v>
      </c>
      <c r="AC4207" s="2" t="s">
        <v>40</v>
      </c>
      <c r="AG4207" s="2">
        <f>W4207</f>
        <v>50</v>
      </c>
      <c r="AI4207" s="2"/>
      <c r="AJ4207" s="2">
        <f t="shared" si="655"/>
        <v>0</v>
      </c>
      <c r="AK4207" s="2">
        <f t="shared" si="656"/>
        <v>75</v>
      </c>
      <c r="AL4207" s="5">
        <f>(T4207-W4207)/T4207</f>
        <v>0.6</v>
      </c>
    </row>
    <row r="4208" spans="1:38" hidden="1" x14ac:dyDescent="0.2">
      <c r="A4208" s="8">
        <v>2026</v>
      </c>
      <c r="B4208" s="8">
        <v>6</v>
      </c>
      <c r="C4208" s="8"/>
      <c r="D4208" s="2" t="s">
        <v>3115</v>
      </c>
      <c r="M4208" s="2" t="s">
        <v>40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653"/>
        <v>12.65</v>
      </c>
      <c r="V4208" s="2">
        <f t="shared" si="654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B4208" s="2" t="s">
        <v>191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655"/>
        <v>0</v>
      </c>
      <c r="AK4208" s="2">
        <f t="shared" si="656"/>
        <v>27.5</v>
      </c>
      <c r="AL4208" s="5">
        <f>(T4208-W4208)/T4208</f>
        <v>0.5</v>
      </c>
    </row>
    <row r="4209" spans="1:38" hidden="1" x14ac:dyDescent="0.2">
      <c r="A4209" s="8">
        <v>2026</v>
      </c>
      <c r="B4209" s="8">
        <v>6</v>
      </c>
      <c r="C4209" s="8" t="s">
        <v>3397</v>
      </c>
      <c r="D4209" s="2" t="s">
        <v>1722</v>
      </c>
      <c r="E4209" s="2" t="s">
        <v>753</v>
      </c>
      <c r="F4209" s="2" t="s">
        <v>39</v>
      </c>
      <c r="L4209" s="2" t="s">
        <v>399</v>
      </c>
      <c r="M4209" s="2" t="s">
        <v>110</v>
      </c>
      <c r="P4209" s="2" t="s">
        <v>283</v>
      </c>
      <c r="Q4209" s="2" t="s">
        <v>1438</v>
      </c>
      <c r="R4209" s="2" t="s">
        <v>1439</v>
      </c>
      <c r="S4209" s="9">
        <v>1</v>
      </c>
      <c r="T4209" s="10">
        <v>6.9</v>
      </c>
      <c r="U4209" s="2">
        <f>T4209*23%</f>
        <v>1.5870000000000002</v>
      </c>
      <c r="V4209" s="2">
        <f t="shared" si="654"/>
        <v>8.4870000000000001</v>
      </c>
      <c r="W4209" s="2">
        <f>5.135*S4209</f>
        <v>5.1349999999999998</v>
      </c>
      <c r="X4209" s="5">
        <f t="shared" ref="X4209:X4219" si="657">(T4209-W4209)/T4209</f>
        <v>0.25579710144927542</v>
      </c>
      <c r="Z4209" s="2" t="s">
        <v>3231</v>
      </c>
      <c r="AA4209" s="2" t="s">
        <v>72</v>
      </c>
      <c r="AB4209" s="2" t="s">
        <v>120</v>
      </c>
      <c r="AC4209" s="2" t="s">
        <v>120</v>
      </c>
      <c r="AI4209" s="2"/>
      <c r="AK4209" s="2">
        <f t="shared" si="656"/>
        <v>1.7650000000000006</v>
      </c>
      <c r="AL4209" s="5">
        <f t="shared" ref="AL4209" si="658">(T4209-W4209)/T4209</f>
        <v>0.25579710144927542</v>
      </c>
    </row>
    <row r="4210" spans="1:38" hidden="1" x14ac:dyDescent="0.2">
      <c r="A4210" s="8">
        <v>2026</v>
      </c>
      <c r="B4210" s="8">
        <v>6</v>
      </c>
      <c r="C4210" s="8" t="s">
        <v>3397</v>
      </c>
      <c r="D4210" s="2" t="s">
        <v>1722</v>
      </c>
      <c r="E4210" s="2" t="s">
        <v>753</v>
      </c>
      <c r="F4210" s="2" t="s">
        <v>39</v>
      </c>
      <c r="L4210" s="2" t="s">
        <v>399</v>
      </c>
      <c r="M4210" s="2" t="s">
        <v>110</v>
      </c>
      <c r="P4210" s="2" t="s">
        <v>2901</v>
      </c>
      <c r="Q4210" s="2" t="s">
        <v>3069</v>
      </c>
      <c r="R4210" s="2" t="s">
        <v>3070</v>
      </c>
      <c r="S4210" s="9">
        <v>1</v>
      </c>
      <c r="T4210" s="10">
        <v>7.24</v>
      </c>
      <c r="U4210" s="2">
        <f t="shared" ref="U4210:U4218" si="659">T4210*23%</f>
        <v>1.6652</v>
      </c>
      <c r="V4210" s="2">
        <f t="shared" ref="V4210:V4218" si="660">T4210+U4210</f>
        <v>8.9052000000000007</v>
      </c>
      <c r="W4210" s="2">
        <v>5.07</v>
      </c>
      <c r="X4210" s="5">
        <f t="shared" si="657"/>
        <v>0.29972375690607733</v>
      </c>
      <c r="Z4210" s="2" t="s">
        <v>3231</v>
      </c>
      <c r="AA4210" s="2" t="s">
        <v>72</v>
      </c>
      <c r="AB4210" s="2" t="s">
        <v>2901</v>
      </c>
      <c r="AC4210" s="2" t="s">
        <v>2901</v>
      </c>
      <c r="AI4210" s="2"/>
      <c r="AK4210" s="2">
        <f t="shared" ref="AK4210:AK4217" si="661">T4210-W4210</f>
        <v>2.17</v>
      </c>
      <c r="AL4210" s="5">
        <f t="shared" ref="AL4210:AL4217" si="662">(T4210-W4210)/T4210</f>
        <v>0.29972375690607733</v>
      </c>
    </row>
    <row r="4211" spans="1:38" hidden="1" x14ac:dyDescent="0.2">
      <c r="A4211" s="8">
        <v>2026</v>
      </c>
      <c r="B4211" s="8">
        <v>6</v>
      </c>
      <c r="C4211" s="8" t="s">
        <v>3397</v>
      </c>
      <c r="D4211" s="2" t="s">
        <v>1722</v>
      </c>
      <c r="E4211" s="2" t="s">
        <v>753</v>
      </c>
      <c r="F4211" s="2" t="s">
        <v>39</v>
      </c>
      <c r="L4211" s="2" t="s">
        <v>399</v>
      </c>
      <c r="M4211" s="2" t="s">
        <v>110</v>
      </c>
      <c r="P4211" s="2" t="s">
        <v>2901</v>
      </c>
      <c r="Q4211" s="2" t="s">
        <v>3071</v>
      </c>
      <c r="R4211" s="2" t="s">
        <v>3072</v>
      </c>
      <c r="S4211" s="9">
        <v>1</v>
      </c>
      <c r="T4211" s="10">
        <v>7.24</v>
      </c>
      <c r="U4211" s="2">
        <f t="shared" si="659"/>
        <v>1.6652</v>
      </c>
      <c r="V4211" s="2">
        <f t="shared" si="660"/>
        <v>8.9052000000000007</v>
      </c>
      <c r="W4211" s="2">
        <v>5.07</v>
      </c>
      <c r="X4211" s="5">
        <f t="shared" si="657"/>
        <v>0.29972375690607733</v>
      </c>
      <c r="Z4211" s="2" t="s">
        <v>3231</v>
      </c>
      <c r="AA4211" s="2" t="s">
        <v>72</v>
      </c>
      <c r="AB4211" s="2" t="s">
        <v>2901</v>
      </c>
      <c r="AC4211" s="2" t="s">
        <v>2901</v>
      </c>
      <c r="AI4211" s="2"/>
      <c r="AK4211" s="2">
        <f t="shared" si="661"/>
        <v>2.17</v>
      </c>
      <c r="AL4211" s="5">
        <f t="shared" si="662"/>
        <v>0.29972375690607733</v>
      </c>
    </row>
    <row r="4212" spans="1:38" hidden="1" x14ac:dyDescent="0.2">
      <c r="A4212" s="8">
        <v>2026</v>
      </c>
      <c r="B4212" s="8">
        <v>6</v>
      </c>
      <c r="C4212" s="8" t="s">
        <v>3397</v>
      </c>
      <c r="D4212" s="2" t="s">
        <v>1722</v>
      </c>
      <c r="E4212" s="2" t="s">
        <v>753</v>
      </c>
      <c r="F4212" s="2" t="s">
        <v>39</v>
      </c>
      <c r="L4212" s="2" t="s">
        <v>399</v>
      </c>
      <c r="M4212" s="2" t="s">
        <v>110</v>
      </c>
      <c r="P4212" s="2" t="s">
        <v>2901</v>
      </c>
      <c r="Q4212" s="2" t="s">
        <v>3073</v>
      </c>
      <c r="R4212" s="2" t="s">
        <v>3074</v>
      </c>
      <c r="S4212" s="9">
        <v>1</v>
      </c>
      <c r="T4212" s="10">
        <v>7.24</v>
      </c>
      <c r="U4212" s="2">
        <f t="shared" si="659"/>
        <v>1.6652</v>
      </c>
      <c r="V4212" s="2">
        <f t="shared" si="660"/>
        <v>8.9052000000000007</v>
      </c>
      <c r="W4212" s="2">
        <f>5.07</f>
        <v>5.07</v>
      </c>
      <c r="X4212" s="5">
        <f t="shared" si="657"/>
        <v>0.29972375690607733</v>
      </c>
      <c r="Z4212" s="2" t="s">
        <v>3231</v>
      </c>
      <c r="AA4212" s="2" t="s">
        <v>72</v>
      </c>
      <c r="AB4212" s="2" t="s">
        <v>2901</v>
      </c>
      <c r="AC4212" s="2" t="s">
        <v>2901</v>
      </c>
      <c r="AI4212" s="2"/>
      <c r="AK4212" s="2">
        <f t="shared" si="661"/>
        <v>2.17</v>
      </c>
      <c r="AL4212" s="5">
        <f t="shared" si="662"/>
        <v>0.29972375690607733</v>
      </c>
    </row>
    <row r="4213" spans="1:38" hidden="1" x14ac:dyDescent="0.2">
      <c r="A4213" s="8">
        <v>2026</v>
      </c>
      <c r="B4213" s="8">
        <v>6</v>
      </c>
      <c r="C4213" s="8" t="s">
        <v>3397</v>
      </c>
      <c r="D4213" s="2" t="s">
        <v>1722</v>
      </c>
      <c r="E4213" s="2" t="s">
        <v>753</v>
      </c>
      <c r="F4213" s="2" t="s">
        <v>39</v>
      </c>
      <c r="L4213" s="2" t="s">
        <v>399</v>
      </c>
      <c r="M4213" s="2" t="s">
        <v>110</v>
      </c>
      <c r="P4213" s="2" t="s">
        <v>2901</v>
      </c>
      <c r="Q4213" s="2" t="s">
        <v>3075</v>
      </c>
      <c r="R4213" s="2" t="s">
        <v>3076</v>
      </c>
      <c r="S4213" s="9">
        <v>1</v>
      </c>
      <c r="T4213" s="10">
        <v>16.899999999999999</v>
      </c>
      <c r="U4213" s="2">
        <f t="shared" si="659"/>
        <v>3.887</v>
      </c>
      <c r="V4213" s="2">
        <f t="shared" si="660"/>
        <v>20.786999999999999</v>
      </c>
      <c r="W4213" s="2">
        <f>12.68</f>
        <v>12.68</v>
      </c>
      <c r="X4213" s="5">
        <f t="shared" si="657"/>
        <v>0.24970414201183427</v>
      </c>
      <c r="Z4213" s="2" t="s">
        <v>3231</v>
      </c>
      <c r="AA4213" s="2" t="s">
        <v>72</v>
      </c>
      <c r="AB4213" s="2" t="s">
        <v>2901</v>
      </c>
      <c r="AC4213" s="2" t="s">
        <v>2901</v>
      </c>
      <c r="AI4213" s="2"/>
      <c r="AK4213" s="2">
        <f t="shared" si="661"/>
        <v>4.2199999999999989</v>
      </c>
      <c r="AL4213" s="5">
        <f t="shared" si="662"/>
        <v>0.24970414201183427</v>
      </c>
    </row>
    <row r="4214" spans="1:38" hidden="1" x14ac:dyDescent="0.2">
      <c r="A4214" s="8">
        <v>2026</v>
      </c>
      <c r="B4214" s="8">
        <v>6</v>
      </c>
      <c r="C4214" s="8" t="s">
        <v>3397</v>
      </c>
      <c r="D4214" s="2" t="s">
        <v>1722</v>
      </c>
      <c r="E4214" s="2" t="s">
        <v>753</v>
      </c>
      <c r="F4214" s="2" t="s">
        <v>39</v>
      </c>
      <c r="L4214" s="2" t="s">
        <v>399</v>
      </c>
      <c r="M4214" s="2" t="s">
        <v>110</v>
      </c>
      <c r="P4214" s="2" t="s">
        <v>2901</v>
      </c>
      <c r="Q4214" s="2" t="s">
        <v>3077</v>
      </c>
      <c r="R4214" s="2" t="s">
        <v>3078</v>
      </c>
      <c r="S4214" s="9">
        <v>1</v>
      </c>
      <c r="T4214" s="10">
        <v>19</v>
      </c>
      <c r="U4214" s="2">
        <f t="shared" si="659"/>
        <v>4.37</v>
      </c>
      <c r="V4214" s="2">
        <f t="shared" si="660"/>
        <v>23.37</v>
      </c>
      <c r="W4214" s="2">
        <f>14.25</f>
        <v>14.25</v>
      </c>
      <c r="X4214" s="5">
        <f t="shared" si="657"/>
        <v>0.25</v>
      </c>
      <c r="Z4214" s="2" t="s">
        <v>3231</v>
      </c>
      <c r="AA4214" s="2" t="s">
        <v>72</v>
      </c>
      <c r="AB4214" s="2" t="s">
        <v>2901</v>
      </c>
      <c r="AC4214" s="2" t="s">
        <v>2901</v>
      </c>
      <c r="AI4214" s="2"/>
      <c r="AK4214" s="2">
        <f t="shared" si="661"/>
        <v>4.75</v>
      </c>
      <c r="AL4214" s="5">
        <f t="shared" si="662"/>
        <v>0.25</v>
      </c>
    </row>
    <row r="4215" spans="1:38" hidden="1" x14ac:dyDescent="0.2">
      <c r="A4215" s="8">
        <v>2026</v>
      </c>
      <c r="B4215" s="8">
        <v>6</v>
      </c>
      <c r="C4215" s="8" t="s">
        <v>3397</v>
      </c>
      <c r="D4215" s="2" t="s">
        <v>1722</v>
      </c>
      <c r="E4215" s="2" t="s">
        <v>753</v>
      </c>
      <c r="F4215" s="2" t="s">
        <v>39</v>
      </c>
      <c r="L4215" s="2" t="s">
        <v>399</v>
      </c>
      <c r="M4215" s="2" t="s">
        <v>110</v>
      </c>
      <c r="P4215" s="2" t="s">
        <v>2901</v>
      </c>
      <c r="Q4215" s="2" t="s">
        <v>3079</v>
      </c>
      <c r="R4215" s="2" t="s">
        <v>3080</v>
      </c>
      <c r="S4215" s="9">
        <v>1</v>
      </c>
      <c r="T4215" s="10">
        <v>43.5</v>
      </c>
      <c r="U4215" s="2">
        <f t="shared" si="659"/>
        <v>10.005000000000001</v>
      </c>
      <c r="V4215" s="2">
        <f t="shared" si="660"/>
        <v>53.505000000000003</v>
      </c>
      <c r="W4215" s="2">
        <f>32.63</f>
        <v>32.630000000000003</v>
      </c>
      <c r="X4215" s="5">
        <f t="shared" si="657"/>
        <v>0.2498850574712643</v>
      </c>
      <c r="Z4215" s="2" t="s">
        <v>3231</v>
      </c>
      <c r="AA4215" s="2" t="s">
        <v>72</v>
      </c>
      <c r="AB4215" s="2" t="s">
        <v>2901</v>
      </c>
      <c r="AC4215" s="2" t="s">
        <v>2901</v>
      </c>
      <c r="AI4215" s="2"/>
      <c r="AK4215" s="2">
        <f t="shared" si="661"/>
        <v>10.869999999999997</v>
      </c>
      <c r="AL4215" s="5">
        <f t="shared" si="662"/>
        <v>0.2498850574712643</v>
      </c>
    </row>
    <row r="4216" spans="1:38" hidden="1" x14ac:dyDescent="0.2">
      <c r="A4216" s="8">
        <v>2026</v>
      </c>
      <c r="B4216" s="8">
        <v>6</v>
      </c>
      <c r="C4216" s="8" t="s">
        <v>3397</v>
      </c>
      <c r="D4216" s="2" t="s">
        <v>1722</v>
      </c>
      <c r="E4216" s="2" t="s">
        <v>753</v>
      </c>
      <c r="F4216" s="2" t="s">
        <v>39</v>
      </c>
      <c r="L4216" s="2" t="s">
        <v>399</v>
      </c>
      <c r="M4216" s="2" t="s">
        <v>110</v>
      </c>
      <c r="P4216" s="2" t="s">
        <v>2901</v>
      </c>
      <c r="Q4216" s="2" t="s">
        <v>3081</v>
      </c>
      <c r="R4216" s="2" t="s">
        <v>3082</v>
      </c>
      <c r="S4216" s="9">
        <v>1</v>
      </c>
      <c r="T4216" s="10">
        <v>13.6</v>
      </c>
      <c r="U4216" s="2">
        <f t="shared" si="659"/>
        <v>3.1280000000000001</v>
      </c>
      <c r="V4216" s="2">
        <f t="shared" si="660"/>
        <v>16.728000000000002</v>
      </c>
      <c r="W4216" s="2">
        <f>10.2</f>
        <v>10.199999999999999</v>
      </c>
      <c r="X4216" s="5">
        <f t="shared" si="657"/>
        <v>0.25000000000000006</v>
      </c>
      <c r="Z4216" s="2" t="s">
        <v>3231</v>
      </c>
      <c r="AA4216" s="2" t="s">
        <v>72</v>
      </c>
      <c r="AB4216" s="2" t="s">
        <v>2901</v>
      </c>
      <c r="AC4216" s="2" t="s">
        <v>2901</v>
      </c>
      <c r="AI4216" s="2"/>
      <c r="AK4216" s="2">
        <f t="shared" si="661"/>
        <v>3.4000000000000004</v>
      </c>
      <c r="AL4216" s="5">
        <f t="shared" si="662"/>
        <v>0.25000000000000006</v>
      </c>
    </row>
    <row r="4217" spans="1:38" hidden="1" x14ac:dyDescent="0.2">
      <c r="A4217" s="8">
        <v>2026</v>
      </c>
      <c r="B4217" s="8">
        <v>6</v>
      </c>
      <c r="C4217" s="8" t="s">
        <v>3298</v>
      </c>
      <c r="D4217" s="2" t="s">
        <v>3113</v>
      </c>
      <c r="E4217" s="2" t="s">
        <v>38</v>
      </c>
      <c r="F4217" s="2" t="s">
        <v>39</v>
      </c>
      <c r="L4217" s="2" t="s">
        <v>100</v>
      </c>
      <c r="M4217" s="2" t="s">
        <v>40</v>
      </c>
      <c r="P4217" s="2" t="s">
        <v>69</v>
      </c>
      <c r="Q4217" s="2" t="s">
        <v>3083</v>
      </c>
      <c r="R4217" s="2" t="s">
        <v>3084</v>
      </c>
      <c r="S4217" s="9">
        <v>1</v>
      </c>
      <c r="T4217" s="10">
        <v>43</v>
      </c>
      <c r="U4217" s="2">
        <f t="shared" si="659"/>
        <v>9.89</v>
      </c>
      <c r="V4217" s="2">
        <f t="shared" si="660"/>
        <v>52.89</v>
      </c>
      <c r="W4217" s="2">
        <v>35.49</v>
      </c>
      <c r="X4217" s="5">
        <f t="shared" si="657"/>
        <v>0.17465116279069762</v>
      </c>
      <c r="Z4217" s="2" t="s">
        <v>3231</v>
      </c>
      <c r="AA4217" s="2" t="s">
        <v>72</v>
      </c>
      <c r="AB4217" s="2" t="s">
        <v>69</v>
      </c>
      <c r="AC4217" s="2" t="s">
        <v>3441</v>
      </c>
      <c r="AI4217" s="2"/>
      <c r="AK4217" s="2">
        <f t="shared" si="661"/>
        <v>7.509999999999998</v>
      </c>
      <c r="AL4217" s="5">
        <f t="shared" si="662"/>
        <v>0.17465116279069762</v>
      </c>
    </row>
    <row r="4218" spans="1:38" hidden="1" x14ac:dyDescent="0.2">
      <c r="A4218" s="8">
        <v>2026</v>
      </c>
      <c r="B4218" s="8">
        <v>6</v>
      </c>
      <c r="C4218" s="8" t="s">
        <v>3298</v>
      </c>
      <c r="D4218" s="2" t="s">
        <v>3113</v>
      </c>
      <c r="E4218" s="2" t="s">
        <v>38</v>
      </c>
      <c r="F4218" s="2" t="s">
        <v>39</v>
      </c>
      <c r="L4218" s="2" t="s">
        <v>100</v>
      </c>
      <c r="M4218" s="2" t="s">
        <v>40</v>
      </c>
      <c r="P4218" s="2" t="s">
        <v>2901</v>
      </c>
      <c r="Q4218" s="2" t="s">
        <v>3085</v>
      </c>
      <c r="R4218" s="2" t="s">
        <v>3086</v>
      </c>
      <c r="S4218" s="9">
        <v>1</v>
      </c>
      <c r="T4218" s="10">
        <v>198</v>
      </c>
      <c r="U4218" s="2">
        <f t="shared" si="659"/>
        <v>45.54</v>
      </c>
      <c r="V4218" s="2">
        <f t="shared" si="660"/>
        <v>243.54</v>
      </c>
      <c r="W4218" s="2">
        <v>148.5</v>
      </c>
      <c r="X4218" s="5">
        <f t="shared" si="657"/>
        <v>0.25</v>
      </c>
      <c r="Z4218" s="2" t="s">
        <v>3231</v>
      </c>
      <c r="AA4218" s="2" t="s">
        <v>72</v>
      </c>
      <c r="AB4218" s="2" t="s">
        <v>2901</v>
      </c>
      <c r="AC4218" s="2" t="s">
        <v>2901</v>
      </c>
      <c r="AI4218" s="2"/>
      <c r="AK4218" s="2">
        <f t="shared" ref="AK4218" si="663">T4218-W4218</f>
        <v>49.5</v>
      </c>
      <c r="AL4218" s="5">
        <f t="shared" ref="AL4218" si="664">(T4218-W4218)/T4218</f>
        <v>0.25</v>
      </c>
    </row>
    <row r="4219" spans="1:38" hidden="1" x14ac:dyDescent="0.2">
      <c r="A4219" s="8">
        <v>2026</v>
      </c>
      <c r="B4219" s="8">
        <v>6</v>
      </c>
      <c r="C4219" s="8" t="s">
        <v>3298</v>
      </c>
      <c r="D4219" s="2" t="s">
        <v>3113</v>
      </c>
      <c r="E4219" s="2" t="s">
        <v>38</v>
      </c>
      <c r="F4219" s="2" t="s">
        <v>39</v>
      </c>
      <c r="L4219" s="2" t="s">
        <v>100</v>
      </c>
      <c r="M4219" s="2" t="s">
        <v>40</v>
      </c>
      <c r="P4219" s="2" t="s">
        <v>40</v>
      </c>
      <c r="Q4219" s="2" t="s">
        <v>3087</v>
      </c>
      <c r="R4219" s="2" t="s">
        <v>3088</v>
      </c>
      <c r="S4219" s="9">
        <v>1</v>
      </c>
      <c r="T4219" s="10">
        <v>3000</v>
      </c>
      <c r="U4219" s="2">
        <f>T4219*23%</f>
        <v>690</v>
      </c>
      <c r="V4219" s="10">
        <f>T4219+U4219</f>
        <v>3690</v>
      </c>
      <c r="W4219" s="2">
        <f>T4219*75%</f>
        <v>2250</v>
      </c>
      <c r="X4219" s="5">
        <f t="shared" si="657"/>
        <v>0.25</v>
      </c>
      <c r="Z4219" s="2" t="s">
        <v>105</v>
      </c>
      <c r="AA4219" s="2" t="s">
        <v>415</v>
      </c>
      <c r="AB4219" s="2" t="s">
        <v>476</v>
      </c>
      <c r="AC4219" s="2" t="s">
        <v>115</v>
      </c>
      <c r="AI4219" s="2"/>
      <c r="AK4219" s="2">
        <f t="shared" ref="AK4219" si="665">T4219-W4219</f>
        <v>750</v>
      </c>
      <c r="AL4219" s="5">
        <f t="shared" ref="AL4219" si="666">(T4219-W4219)/T4219</f>
        <v>0.25</v>
      </c>
    </row>
    <row r="4220" spans="1:38" hidden="1" x14ac:dyDescent="0.2">
      <c r="A4220" s="8">
        <v>2026</v>
      </c>
      <c r="B4220" s="8">
        <v>6</v>
      </c>
      <c r="C4220" s="8"/>
      <c r="D4220" s="2" t="s">
        <v>2051</v>
      </c>
      <c r="P4220" s="2" t="s">
        <v>1040</v>
      </c>
      <c r="Q4220" s="2" t="s">
        <v>3089</v>
      </c>
      <c r="R4220" s="2" t="s">
        <v>3090</v>
      </c>
      <c r="S4220" s="9">
        <v>1</v>
      </c>
      <c r="T4220" s="10">
        <v>240</v>
      </c>
      <c r="U4220" s="2">
        <f>T4220*23%</f>
        <v>55.2</v>
      </c>
      <c r="V4220" s="2">
        <f>T4220+U4220</f>
        <v>295.2</v>
      </c>
      <c r="W4220" s="2">
        <v>128.99</v>
      </c>
      <c r="X4220" s="5">
        <f>(T4220-W4220)/T4220</f>
        <v>0.46254166666666663</v>
      </c>
      <c r="Z4220" s="2" t="s">
        <v>3231</v>
      </c>
      <c r="AA4220" s="2" t="s">
        <v>76</v>
      </c>
      <c r="AB4220" s="2" t="s">
        <v>77</v>
      </c>
      <c r="AC4220" s="2" t="s">
        <v>1040</v>
      </c>
      <c r="AF4220" s="2">
        <f>AJ4220</f>
        <v>0</v>
      </c>
      <c r="AI4220" s="2"/>
      <c r="AJ4220" s="2">
        <f>AI4220*T4220</f>
        <v>0</v>
      </c>
      <c r="AK4220" s="2">
        <f t="shared" ref="AK4220:AK4225" si="667">T4220-W4220</f>
        <v>111.00999999999999</v>
      </c>
      <c r="AL4220" s="5">
        <f t="shared" ref="AL4220:AL4225" si="668">(T4220-W4220)/T4220</f>
        <v>0.46254166666666663</v>
      </c>
    </row>
    <row r="4221" spans="1:38" hidden="1" x14ac:dyDescent="0.2">
      <c r="A4221" s="8">
        <v>2026</v>
      </c>
      <c r="B4221" s="8">
        <v>6</v>
      </c>
      <c r="C4221" s="8"/>
      <c r="D4221" s="2" t="s">
        <v>2051</v>
      </c>
      <c r="P4221" s="2" t="s">
        <v>170</v>
      </c>
      <c r="Q4221" s="2" t="s">
        <v>171</v>
      </c>
      <c r="R4221" s="2" t="s">
        <v>171</v>
      </c>
      <c r="S4221" s="9">
        <v>1</v>
      </c>
      <c r="T4221" s="10">
        <v>30</v>
      </c>
      <c r="U4221" s="2">
        <f>T4221*23%</f>
        <v>6.9</v>
      </c>
      <c r="V4221" s="10">
        <f>T4221+U4221</f>
        <v>36.9</v>
      </c>
      <c r="W4221" s="2">
        <v>28</v>
      </c>
      <c r="X4221" s="5">
        <f t="shared" ref="X4221" si="669">(T4221-W4221)/T4221</f>
        <v>6.6666666666666666E-2</v>
      </c>
      <c r="Z4221" s="2" t="s">
        <v>170</v>
      </c>
      <c r="AA4221" s="2" t="s">
        <v>170</v>
      </c>
      <c r="AI4221" s="2"/>
      <c r="AK4221" s="2">
        <f t="shared" si="667"/>
        <v>2</v>
      </c>
      <c r="AL4221" s="5">
        <f t="shared" si="668"/>
        <v>6.6666666666666666E-2</v>
      </c>
    </row>
    <row r="4222" spans="1:38" hidden="1" x14ac:dyDescent="0.2">
      <c r="A4222" s="8">
        <v>2026</v>
      </c>
      <c r="B4222" s="8">
        <v>6</v>
      </c>
      <c r="C4222" s="8"/>
      <c r="D4222" s="2" t="s">
        <v>2051</v>
      </c>
      <c r="P4222" s="2" t="s">
        <v>94</v>
      </c>
      <c r="Q4222" s="2" t="s">
        <v>95</v>
      </c>
      <c r="R4222" s="2" t="s">
        <v>96</v>
      </c>
      <c r="S4222" s="9">
        <v>1</v>
      </c>
      <c r="T4222" s="10">
        <v>1.48</v>
      </c>
      <c r="U4222" s="2">
        <f>T4222*23%</f>
        <v>0.34040000000000004</v>
      </c>
      <c r="V4222" s="10">
        <f>T4222+U4222</f>
        <v>1.8204</v>
      </c>
      <c r="W4222" s="2">
        <f>1.48*S4222</f>
        <v>1.48</v>
      </c>
      <c r="X4222" s="5">
        <f>(T4222-W4222)/T4222</f>
        <v>0</v>
      </c>
      <c r="Z4222" s="2" t="s">
        <v>3231</v>
      </c>
      <c r="AA4222" s="2" t="s">
        <v>97</v>
      </c>
      <c r="AB4222" s="2" t="s">
        <v>77</v>
      </c>
      <c r="AC4222" s="2" t="s">
        <v>94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667"/>
        <v>0</v>
      </c>
      <c r="AL4222" s="5">
        <f t="shared" si="668"/>
        <v>0</v>
      </c>
    </row>
    <row r="4223" spans="1:38" hidden="1" x14ac:dyDescent="0.2">
      <c r="A4223" s="8">
        <v>2026</v>
      </c>
      <c r="B4223" s="8">
        <v>6</v>
      </c>
      <c r="C4223" s="8"/>
      <c r="D4223" s="2" t="s">
        <v>2053</v>
      </c>
      <c r="P4223" s="2" t="s">
        <v>115</v>
      </c>
      <c r="Q4223" s="2" t="s">
        <v>2285</v>
      </c>
      <c r="R4223" s="2" t="s">
        <v>2286</v>
      </c>
      <c r="S4223" s="9">
        <v>1</v>
      </c>
      <c r="T4223" s="10">
        <v>278.67</v>
      </c>
      <c r="U4223" s="2">
        <f>T4223*23%</f>
        <v>64.094100000000012</v>
      </c>
      <c r="V4223" s="2">
        <f>T4223+U4223</f>
        <v>342.76410000000004</v>
      </c>
      <c r="W4223" s="2">
        <f>134.41</f>
        <v>134.41</v>
      </c>
      <c r="X4223" s="5">
        <f>(T4223-W4223)/T4223</f>
        <v>0.51767323357376116</v>
      </c>
      <c r="Z4223" s="2" t="s">
        <v>118</v>
      </c>
      <c r="AA4223" s="2" t="s">
        <v>119</v>
      </c>
      <c r="AB4223" s="2" t="s">
        <v>120</v>
      </c>
      <c r="AC4223" s="2" t="s">
        <v>115</v>
      </c>
      <c r="AI4223" s="2"/>
      <c r="AK4223" s="2">
        <f t="shared" si="667"/>
        <v>144.26000000000002</v>
      </c>
      <c r="AL4223" s="2">
        <f t="shared" si="668"/>
        <v>0.51767323357376116</v>
      </c>
    </row>
    <row r="4224" spans="1:38" hidden="1" x14ac:dyDescent="0.2">
      <c r="A4224" s="8">
        <v>2026</v>
      </c>
      <c r="B4224" s="8">
        <v>6</v>
      </c>
      <c r="C4224" s="8"/>
      <c r="D4224" s="2" t="s">
        <v>2053</v>
      </c>
      <c r="M4224" s="2" t="s">
        <v>40</v>
      </c>
      <c r="P4224" s="2" t="s">
        <v>188</v>
      </c>
      <c r="Q4224" s="2" t="s">
        <v>189</v>
      </c>
      <c r="R4224" s="2" t="s">
        <v>190</v>
      </c>
      <c r="S4224" s="9">
        <v>1</v>
      </c>
      <c r="T4224" s="10">
        <v>147</v>
      </c>
      <c r="U4224" s="2">
        <f t="shared" ref="U4224:U4229" si="670">T4224*23%</f>
        <v>33.81</v>
      </c>
      <c r="V4224" s="2">
        <f t="shared" ref="V4224:V4229" si="671">T4224+U4224</f>
        <v>180.81</v>
      </c>
      <c r="W4224" s="2">
        <f>T4224*40%</f>
        <v>58.800000000000004</v>
      </c>
      <c r="X4224" s="5">
        <f>(T4224-W4224)/T4224</f>
        <v>0.6</v>
      </c>
      <c r="Z4224" s="2" t="s">
        <v>118</v>
      </c>
      <c r="AA4224" s="2" t="s">
        <v>191</v>
      </c>
      <c r="AB4224" s="2" t="s">
        <v>190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667"/>
        <v>88.199999999999989</v>
      </c>
      <c r="AL4224" s="5">
        <f t="shared" si="668"/>
        <v>0.6</v>
      </c>
    </row>
    <row r="4225" spans="1:38" hidden="1" x14ac:dyDescent="0.2">
      <c r="A4225" s="8">
        <v>2026</v>
      </c>
      <c r="B4225" s="8">
        <v>6</v>
      </c>
      <c r="C4225" s="8"/>
      <c r="D4225" s="2" t="s">
        <v>2053</v>
      </c>
      <c r="M4225" s="2" t="s">
        <v>40</v>
      </c>
      <c r="P4225" s="2" t="s">
        <v>188</v>
      </c>
      <c r="Q4225" s="2" t="s">
        <v>192</v>
      </c>
      <c r="R4225" s="2" t="s">
        <v>191</v>
      </c>
      <c r="S4225" s="9">
        <v>2</v>
      </c>
      <c r="T4225" s="10">
        <v>110</v>
      </c>
      <c r="U4225" s="2">
        <f t="shared" si="670"/>
        <v>25.3</v>
      </c>
      <c r="V4225" s="2">
        <f t="shared" si="671"/>
        <v>135.30000000000001</v>
      </c>
      <c r="W4225" s="2">
        <f>T4225*50%</f>
        <v>55</v>
      </c>
      <c r="X4225" s="5">
        <f>(T4225-W4225)/T4225</f>
        <v>0.5</v>
      </c>
      <c r="Z4225" s="2" t="s">
        <v>118</v>
      </c>
      <c r="AA4225" s="2" t="s">
        <v>191</v>
      </c>
      <c r="AB4225" s="2" t="s">
        <v>191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667"/>
        <v>55</v>
      </c>
      <c r="AL4225" s="5">
        <f t="shared" si="668"/>
        <v>0.5</v>
      </c>
    </row>
    <row r="4226" spans="1:38" hidden="1" x14ac:dyDescent="0.2">
      <c r="A4226" s="8">
        <v>2026</v>
      </c>
      <c r="B4226" s="8">
        <v>6</v>
      </c>
      <c r="C4226" s="8" t="s">
        <v>3452</v>
      </c>
      <c r="D4226" s="2" t="s">
        <v>2908</v>
      </c>
      <c r="F4226" s="2" t="s">
        <v>3450</v>
      </c>
      <c r="L4226" s="2" t="s">
        <v>100</v>
      </c>
      <c r="M4226" s="2" t="s">
        <v>81</v>
      </c>
      <c r="P4226" s="2" t="s">
        <v>283</v>
      </c>
      <c r="Q4226" s="2" t="s">
        <v>402</v>
      </c>
      <c r="R4226" s="2" t="s">
        <v>403</v>
      </c>
      <c r="S4226" s="9">
        <v>2</v>
      </c>
      <c r="T4226" s="10">
        <v>58</v>
      </c>
      <c r="U4226" s="2">
        <f t="shared" si="670"/>
        <v>13.34</v>
      </c>
      <c r="V4226" s="2">
        <f t="shared" si="671"/>
        <v>71.34</v>
      </c>
      <c r="W4226" s="2">
        <f t="shared" ref="W4226" si="672">14.5099*S4226</f>
        <v>29.0198</v>
      </c>
      <c r="X4226" s="5">
        <f t="shared" ref="X4226" si="673">(T4226-W4226)/T4226</f>
        <v>0.49965862068965516</v>
      </c>
      <c r="Z4226" s="2" t="s">
        <v>3231</v>
      </c>
      <c r="AA4226" s="2" t="s">
        <v>46</v>
      </c>
      <c r="AB4226" s="2" t="s">
        <v>61</v>
      </c>
      <c r="AC4226" s="2" t="s">
        <v>3336</v>
      </c>
      <c r="AI4226" s="2"/>
      <c r="AK4226" s="2">
        <f t="shared" ref="AK4226" si="674">T4226-W4226</f>
        <v>28.9802</v>
      </c>
      <c r="AL4226" s="5">
        <f t="shared" ref="AL4226" si="675">(T4226-W4226)/T4226</f>
        <v>0.49965862068965516</v>
      </c>
    </row>
    <row r="4227" spans="1:38" hidden="1" x14ac:dyDescent="0.2">
      <c r="A4227" s="8">
        <v>2026</v>
      </c>
      <c r="B4227" s="8">
        <v>6</v>
      </c>
      <c r="C4227" s="8"/>
      <c r="D4227" s="2" t="s">
        <v>531</v>
      </c>
      <c r="E4227" s="2" t="s">
        <v>109</v>
      </c>
      <c r="F4227" s="2" t="s">
        <v>532</v>
      </c>
      <c r="G4227" s="2">
        <v>502139552</v>
      </c>
      <c r="H4227" s="2" t="s">
        <v>40</v>
      </c>
      <c r="I4227" s="2" t="s">
        <v>340</v>
      </c>
      <c r="J4227" s="2" t="s">
        <v>533</v>
      </c>
      <c r="L4227" s="2" t="s">
        <v>340</v>
      </c>
      <c r="M4227" s="2" t="s">
        <v>81</v>
      </c>
      <c r="P4227" s="2" t="s">
        <v>73</v>
      </c>
      <c r="Q4227" s="2" t="s">
        <v>74</v>
      </c>
      <c r="R4227" s="2" t="s">
        <v>75</v>
      </c>
      <c r="S4227" s="9">
        <v>1</v>
      </c>
      <c r="T4227" s="10">
        <v>219.88</v>
      </c>
      <c r="U4227" s="2">
        <f t="shared" si="670"/>
        <v>50.572400000000002</v>
      </c>
      <c r="V4227" s="10">
        <f t="shared" si="671"/>
        <v>270.45240000000001</v>
      </c>
      <c r="W4227" s="2">
        <v>125.51600000000001</v>
      </c>
      <c r="X4227" s="5">
        <f>(T4227-W4227)/T4227</f>
        <v>0.429161360742223</v>
      </c>
      <c r="Z4227" s="2" t="s">
        <v>3231</v>
      </c>
      <c r="AA4227" s="2" t="s">
        <v>76</v>
      </c>
      <c r="AB4227" s="2" t="s">
        <v>77</v>
      </c>
      <c r="AC4227" s="2" t="s">
        <v>78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>T4227-W4227</f>
        <v>94.36399999999999</v>
      </c>
      <c r="AL4227" s="5">
        <f>(T4227-W4227)/T4227</f>
        <v>0.429161360742223</v>
      </c>
    </row>
    <row r="4228" spans="1:38" hidden="1" x14ac:dyDescent="0.2">
      <c r="A4228" s="8">
        <v>2026</v>
      </c>
      <c r="B4228" s="8">
        <v>6</v>
      </c>
      <c r="C4228" s="8"/>
      <c r="D4228" s="2" t="s">
        <v>531</v>
      </c>
      <c r="E4228" s="2" t="s">
        <v>109</v>
      </c>
      <c r="F4228" s="2" t="s">
        <v>532</v>
      </c>
      <c r="G4228" s="2">
        <v>502139552</v>
      </c>
      <c r="H4228" s="2" t="s">
        <v>40</v>
      </c>
      <c r="I4228" s="2" t="s">
        <v>340</v>
      </c>
      <c r="J4228" s="2" t="s">
        <v>533</v>
      </c>
      <c r="L4228" s="2" t="s">
        <v>340</v>
      </c>
      <c r="M4228" s="2" t="s">
        <v>81</v>
      </c>
      <c r="O4228" s="2" t="s">
        <v>3160</v>
      </c>
      <c r="P4228" s="2" t="s">
        <v>1040</v>
      </c>
      <c r="Q4228" s="2" t="s">
        <v>1837</v>
      </c>
      <c r="R4228" s="2" t="s">
        <v>1838</v>
      </c>
      <c r="S4228" s="9">
        <v>1</v>
      </c>
      <c r="T4228" s="10">
        <v>269.56</v>
      </c>
      <c r="U4228" s="2">
        <f t="shared" si="670"/>
        <v>61.998800000000003</v>
      </c>
      <c r="V4228" s="2">
        <f t="shared" si="671"/>
        <v>331.55880000000002</v>
      </c>
      <c r="W4228" s="2">
        <v>157.85</v>
      </c>
      <c r="X4228" s="5">
        <f>(T4228-W4228)/T4228</f>
        <v>0.4144160854726221</v>
      </c>
      <c r="Z4228" s="2" t="s">
        <v>3231</v>
      </c>
      <c r="AA4228" s="2" t="s">
        <v>76</v>
      </c>
      <c r="AB4228" s="2" t="s">
        <v>77</v>
      </c>
      <c r="AC4228" s="2" t="s">
        <v>1040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>T4228-W4228</f>
        <v>111.71000000000001</v>
      </c>
      <c r="AL4228" s="5">
        <f>(T4228-W4228)/T4228</f>
        <v>0.4144160854726221</v>
      </c>
    </row>
    <row r="4229" spans="1:38" hidden="1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40</v>
      </c>
      <c r="P4229" s="2" t="s">
        <v>40</v>
      </c>
      <c r="Q4229" s="2" t="s">
        <v>141</v>
      </c>
      <c r="R4229" s="2" t="s">
        <v>142</v>
      </c>
      <c r="S4229" s="9">
        <v>-1</v>
      </c>
      <c r="T4229" s="10">
        <v>-20.65</v>
      </c>
      <c r="U4229" s="2">
        <f t="shared" si="670"/>
        <v>-4.7495000000000003</v>
      </c>
      <c r="V4229" s="10">
        <f t="shared" si="671"/>
        <v>-25.3995</v>
      </c>
      <c r="Z4229" s="2" t="s">
        <v>120</v>
      </c>
      <c r="AA4229" s="2" t="s">
        <v>143</v>
      </c>
      <c r="AI4229" s="2"/>
    </row>
    <row r="4230" spans="1:38" hidden="1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P4230" s="2" t="s">
        <v>94</v>
      </c>
      <c r="Q4230" s="2" t="s">
        <v>95</v>
      </c>
      <c r="R4230" s="2" t="s">
        <v>96</v>
      </c>
      <c r="S4230" s="9">
        <v>2</v>
      </c>
      <c r="T4230" s="10">
        <v>2.96</v>
      </c>
      <c r="U4230" s="2">
        <f t="shared" ref="U4230:U4235" si="676">T4230*23%</f>
        <v>0.68080000000000007</v>
      </c>
      <c r="V4230" s="10">
        <f t="shared" ref="V4230:V4235" si="677">T4230+U4230</f>
        <v>3.6408</v>
      </c>
      <c r="W4230" s="2">
        <f>1.48*S4230</f>
        <v>2.96</v>
      </c>
      <c r="X4230" s="5">
        <f t="shared" ref="X4230:X4235" si="678">(T4230-W4230)/T4230</f>
        <v>0</v>
      </c>
      <c r="Z4230" s="2" t="s">
        <v>3231</v>
      </c>
      <c r="AA4230" s="2" t="s">
        <v>97</v>
      </c>
      <c r="AB4230" s="2" t="s">
        <v>77</v>
      </c>
      <c r="AC4230" s="2" t="s">
        <v>94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hidden="1" x14ac:dyDescent="0.2">
      <c r="A4231" s="8">
        <v>2026</v>
      </c>
      <c r="B4231" s="8">
        <v>6</v>
      </c>
      <c r="C4231" s="8"/>
      <c r="D4231" s="2" t="s">
        <v>2530</v>
      </c>
      <c r="P4231" s="2" t="s">
        <v>43</v>
      </c>
      <c r="Q4231" s="2" t="s">
        <v>219</v>
      </c>
      <c r="R4231" s="2" t="s">
        <v>220</v>
      </c>
      <c r="S4231" s="9">
        <v>1</v>
      </c>
      <c r="T4231" s="10">
        <v>23.4</v>
      </c>
      <c r="U4231" s="2">
        <f t="shared" si="676"/>
        <v>5.3819999999999997</v>
      </c>
      <c r="V4231" s="10">
        <f t="shared" si="677"/>
        <v>28.781999999999996</v>
      </c>
      <c r="W4231" s="2">
        <v>12.4434</v>
      </c>
      <c r="X4231" s="5">
        <f t="shared" si="678"/>
        <v>0.46823076923076917</v>
      </c>
      <c r="Z4231" s="2" t="s">
        <v>3231</v>
      </c>
      <c r="AA4231" s="2" t="s">
        <v>46</v>
      </c>
      <c r="AB4231" s="2" t="s">
        <v>57</v>
      </c>
      <c r="AC4231" s="2" t="s">
        <v>58</v>
      </c>
      <c r="AI4231" s="2"/>
      <c r="AK4231" s="2">
        <f t="shared" ref="AK4231" si="679">T4231-W4231</f>
        <v>10.956599999999998</v>
      </c>
      <c r="AL4231" s="5">
        <f t="shared" ref="AL4231" si="680">(T4231-W4231)/T4231</f>
        <v>0.46823076923076917</v>
      </c>
    </row>
    <row r="4232" spans="1:38" hidden="1" x14ac:dyDescent="0.2">
      <c r="A4232" s="8">
        <v>2026</v>
      </c>
      <c r="B4232" s="8">
        <v>6</v>
      </c>
      <c r="C4232" s="8"/>
      <c r="D4232" s="2" t="s">
        <v>2530</v>
      </c>
      <c r="P4232" s="2" t="s">
        <v>43</v>
      </c>
      <c r="Q4232" s="2" t="s">
        <v>223</v>
      </c>
      <c r="R4232" s="2" t="s">
        <v>224</v>
      </c>
      <c r="S4232" s="9">
        <v>1</v>
      </c>
      <c r="T4232" s="10">
        <v>30</v>
      </c>
      <c r="U4232" s="2">
        <f t="shared" si="676"/>
        <v>6.9</v>
      </c>
      <c r="V4232" s="10">
        <f t="shared" si="677"/>
        <v>36.9</v>
      </c>
      <c r="X4232" s="5">
        <f t="shared" si="678"/>
        <v>1</v>
      </c>
      <c r="Z4232" s="2" t="s">
        <v>3231</v>
      </c>
      <c r="AA4232" s="2" t="s">
        <v>46</v>
      </c>
      <c r="AB4232" s="2" t="s">
        <v>57</v>
      </c>
      <c r="AC4232" s="2" t="s">
        <v>58</v>
      </c>
      <c r="AI4232" s="2"/>
      <c r="AL4232" s="2"/>
    </row>
    <row r="4233" spans="1:38" hidden="1" x14ac:dyDescent="0.2">
      <c r="A4233" s="8">
        <v>2026</v>
      </c>
      <c r="B4233" s="8">
        <v>6</v>
      </c>
      <c r="C4233" s="8"/>
      <c r="D4233" s="2" t="s">
        <v>2530</v>
      </c>
      <c r="P4233" s="2" t="s">
        <v>43</v>
      </c>
      <c r="Q4233" s="2" t="s">
        <v>239</v>
      </c>
      <c r="R4233" s="2" t="s">
        <v>240</v>
      </c>
      <c r="S4233" s="9">
        <v>1</v>
      </c>
      <c r="T4233" s="10">
        <v>21</v>
      </c>
      <c r="U4233" s="2">
        <f t="shared" si="676"/>
        <v>4.83</v>
      </c>
      <c r="V4233" s="10">
        <f t="shared" si="677"/>
        <v>25.83</v>
      </c>
      <c r="X4233" s="5">
        <f t="shared" si="678"/>
        <v>1</v>
      </c>
      <c r="Z4233" s="2" t="s">
        <v>3231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hidden="1" x14ac:dyDescent="0.2">
      <c r="A4234" s="8">
        <v>2026</v>
      </c>
      <c r="B4234" s="8">
        <v>6</v>
      </c>
      <c r="C4234" s="8"/>
      <c r="D4234" s="2" t="s">
        <v>2530</v>
      </c>
      <c r="P4234" s="2" t="s">
        <v>43</v>
      </c>
      <c r="Q4234" s="2" t="s">
        <v>62</v>
      </c>
      <c r="R4234" s="2" t="s">
        <v>63</v>
      </c>
      <c r="S4234" s="9">
        <v>300</v>
      </c>
      <c r="T4234" s="10">
        <v>39</v>
      </c>
      <c r="U4234" s="2">
        <f t="shared" si="676"/>
        <v>8.9700000000000006</v>
      </c>
      <c r="V4234" s="10">
        <f t="shared" si="677"/>
        <v>47.97</v>
      </c>
      <c r="W4234" s="2">
        <f>0.082*S4234</f>
        <v>24.6</v>
      </c>
      <c r="X4234" s="5">
        <f t="shared" si="678"/>
        <v>0.3692307692307692</v>
      </c>
      <c r="Z4234" s="2" t="s">
        <v>3231</v>
      </c>
      <c r="AA4234" s="2" t="s">
        <v>46</v>
      </c>
      <c r="AB4234" s="2" t="s">
        <v>61</v>
      </c>
      <c r="AC4234" s="2" t="s">
        <v>58</v>
      </c>
      <c r="AI4234" s="2"/>
      <c r="AK4234" s="2">
        <f t="shared" ref="AK4234" si="681">T4234-W4234</f>
        <v>14.399999999999999</v>
      </c>
      <c r="AL4234" s="5">
        <f t="shared" ref="AL4234" si="682">(T4234-W4234)/T4234</f>
        <v>0.3692307692307692</v>
      </c>
    </row>
    <row r="4235" spans="1:38" hidden="1" x14ac:dyDescent="0.2">
      <c r="A4235" s="8">
        <v>2026</v>
      </c>
      <c r="B4235" s="8">
        <v>6</v>
      </c>
      <c r="C4235" s="8"/>
      <c r="D4235" s="2" t="s">
        <v>2530</v>
      </c>
      <c r="P4235" s="2" t="s">
        <v>43</v>
      </c>
      <c r="Q4235" s="2" t="s">
        <v>2971</v>
      </c>
      <c r="R4235" s="2" t="s">
        <v>2972</v>
      </c>
      <c r="S4235" s="9">
        <v>2</v>
      </c>
      <c r="T4235" s="10">
        <v>36</v>
      </c>
      <c r="U4235" s="2">
        <f t="shared" si="676"/>
        <v>8.2800000000000011</v>
      </c>
      <c r="V4235" s="10">
        <f t="shared" si="677"/>
        <v>44.28</v>
      </c>
      <c r="X4235" s="5">
        <f t="shared" si="678"/>
        <v>1</v>
      </c>
      <c r="Z4235" s="2" t="s">
        <v>3231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hidden="1" x14ac:dyDescent="0.2">
      <c r="A4236" s="8">
        <v>2026</v>
      </c>
      <c r="B4236" s="8">
        <v>6</v>
      </c>
      <c r="C4236" s="8"/>
      <c r="D4236" s="2" t="s">
        <v>2530</v>
      </c>
      <c r="P4236" s="2" t="s">
        <v>40</v>
      </c>
      <c r="Q4236" s="2" t="s">
        <v>1310</v>
      </c>
      <c r="R4236" s="2" t="s">
        <v>1311</v>
      </c>
      <c r="S4236" s="9">
        <v>1</v>
      </c>
      <c r="T4236" s="10">
        <v>0</v>
      </c>
      <c r="U4236" s="2">
        <v>0</v>
      </c>
      <c r="V4236" s="2">
        <v>0</v>
      </c>
      <c r="X4236" s="2"/>
      <c r="Z4236" s="2" t="s">
        <v>118</v>
      </c>
      <c r="AI4236" s="2"/>
      <c r="AL4236" s="2"/>
    </row>
    <row r="4237" spans="1:38" hidden="1" x14ac:dyDescent="0.2">
      <c r="A4237" s="8">
        <v>2026</v>
      </c>
      <c r="B4237" s="8">
        <v>6</v>
      </c>
      <c r="C4237" s="8"/>
      <c r="D4237" s="2" t="s">
        <v>1273</v>
      </c>
      <c r="E4237" s="2" t="s">
        <v>109</v>
      </c>
      <c r="F4237" s="2" t="s">
        <v>39</v>
      </c>
      <c r="G4237" s="2">
        <v>502618540</v>
      </c>
      <c r="H4237" s="2" t="s">
        <v>41</v>
      </c>
      <c r="I4237" s="2" t="s">
        <v>1274</v>
      </c>
      <c r="J4237" s="2" t="s">
        <v>1275</v>
      </c>
      <c r="L4237" s="2" t="s">
        <v>178</v>
      </c>
      <c r="M4237" s="2" t="s">
        <v>41</v>
      </c>
      <c r="O4237" s="2" t="s">
        <v>3164</v>
      </c>
      <c r="P4237" s="2" t="s">
        <v>1040</v>
      </c>
      <c r="Q4237" s="2" t="s">
        <v>3091</v>
      </c>
      <c r="R4237" s="2" t="s">
        <v>3092</v>
      </c>
      <c r="S4237" s="9">
        <v>1</v>
      </c>
      <c r="T4237" s="10">
        <v>270</v>
      </c>
      <c r="U4237" s="2">
        <f t="shared" ref="U4237:U4243" si="683">T4237*23%</f>
        <v>62.1</v>
      </c>
      <c r="V4237" s="2">
        <f t="shared" ref="V4237:V4243" si="684">T4237+U4237</f>
        <v>332.1</v>
      </c>
      <c r="W4237" s="2">
        <v>141.16</v>
      </c>
      <c r="X4237" s="5">
        <f t="shared" ref="X4237:X4248" si="685">(T4237-W4237)/T4237</f>
        <v>0.47718518518518521</v>
      </c>
      <c r="Z4237" s="2" t="s">
        <v>3231</v>
      </c>
      <c r="AA4237" s="2" t="s">
        <v>76</v>
      </c>
      <c r="AB4237" s="2" t="s">
        <v>77</v>
      </c>
      <c r="AC4237" s="2" t="s">
        <v>1040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hidden="1" x14ac:dyDescent="0.2">
      <c r="A4238" s="8">
        <v>2026</v>
      </c>
      <c r="B4238" s="8">
        <v>6</v>
      </c>
      <c r="C4238" s="8"/>
      <c r="D4238" s="2" t="s">
        <v>1273</v>
      </c>
      <c r="E4238" s="2" t="s">
        <v>109</v>
      </c>
      <c r="F4238" s="2" t="s">
        <v>39</v>
      </c>
      <c r="G4238" s="2">
        <v>502618540</v>
      </c>
      <c r="H4238" s="2" t="s">
        <v>41</v>
      </c>
      <c r="I4238" s="2" t="s">
        <v>1274</v>
      </c>
      <c r="J4238" s="2" t="s">
        <v>1275</v>
      </c>
      <c r="L4238" s="2" t="s">
        <v>178</v>
      </c>
      <c r="P4238" s="2" t="s">
        <v>94</v>
      </c>
      <c r="Q4238" s="2" t="s">
        <v>95</v>
      </c>
      <c r="R4238" s="2" t="s">
        <v>96</v>
      </c>
      <c r="S4238" s="9">
        <v>1</v>
      </c>
      <c r="T4238" s="10">
        <v>1.48</v>
      </c>
      <c r="U4238" s="2">
        <f t="shared" si="683"/>
        <v>0.34040000000000004</v>
      </c>
      <c r="V4238" s="10">
        <f t="shared" si="684"/>
        <v>1.8204</v>
      </c>
      <c r="W4238" s="2">
        <f>1.48*S4238</f>
        <v>1.48</v>
      </c>
      <c r="X4238" s="5">
        <f t="shared" si="685"/>
        <v>0</v>
      </c>
      <c r="Z4238" s="2" t="s">
        <v>3231</v>
      </c>
      <c r="AA4238" s="2" t="s">
        <v>97</v>
      </c>
      <c r="AB4238" s="2" t="s">
        <v>77</v>
      </c>
      <c r="AC4238" s="2" t="s">
        <v>94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hidden="1" x14ac:dyDescent="0.2">
      <c r="A4239" s="8">
        <v>2026</v>
      </c>
      <c r="B4239" s="8">
        <v>6</v>
      </c>
      <c r="C4239" s="8"/>
      <c r="D4239" s="2" t="s">
        <v>3112</v>
      </c>
      <c r="P4239" s="2" t="s">
        <v>283</v>
      </c>
      <c r="Q4239" s="2" t="s">
        <v>3093</v>
      </c>
      <c r="R4239" s="2" t="s">
        <v>3094</v>
      </c>
      <c r="S4239" s="9">
        <v>1</v>
      </c>
      <c r="T4239" s="10">
        <v>2490</v>
      </c>
      <c r="U4239" s="2">
        <f t="shared" si="683"/>
        <v>572.70000000000005</v>
      </c>
      <c r="V4239" s="10">
        <f t="shared" si="684"/>
        <v>3062.7</v>
      </c>
      <c r="W4239" s="2">
        <f>1970.05+49</f>
        <v>2019.05</v>
      </c>
      <c r="X4239" s="5">
        <f t="shared" si="685"/>
        <v>0.18913654618473896</v>
      </c>
      <c r="Z4239" s="2" t="s">
        <v>105</v>
      </c>
      <c r="AA4239" s="2" t="s">
        <v>388</v>
      </c>
      <c r="AB4239" s="2" t="s">
        <v>1332</v>
      </c>
      <c r="AC4239" s="2" t="s">
        <v>1329</v>
      </c>
      <c r="AI4239" s="2"/>
      <c r="AL4239" s="2"/>
    </row>
    <row r="4240" spans="1:38" hidden="1" x14ac:dyDescent="0.2">
      <c r="A4240" s="8">
        <v>2026</v>
      </c>
      <c r="B4240" s="8">
        <v>6</v>
      </c>
      <c r="C4240" s="8"/>
      <c r="D4240" s="2" t="s">
        <v>3112</v>
      </c>
      <c r="P4240" s="2" t="s">
        <v>283</v>
      </c>
      <c r="Q4240" s="2" t="s">
        <v>3095</v>
      </c>
      <c r="R4240" s="2" t="s">
        <v>3096</v>
      </c>
      <c r="S4240" s="9">
        <v>1</v>
      </c>
      <c r="T4240" s="10">
        <v>2490</v>
      </c>
      <c r="U4240" s="2">
        <f t="shared" si="683"/>
        <v>572.70000000000005</v>
      </c>
      <c r="V4240" s="10">
        <f t="shared" si="684"/>
        <v>3062.7</v>
      </c>
      <c r="W4240" s="2">
        <f>1995.2+43.97</f>
        <v>2039.17</v>
      </c>
      <c r="X4240" s="5">
        <f t="shared" si="685"/>
        <v>0.18105622489959836</v>
      </c>
      <c r="Z4240" s="2" t="s">
        <v>105</v>
      </c>
      <c r="AA4240" s="2" t="s">
        <v>388</v>
      </c>
      <c r="AB4240" s="2" t="s">
        <v>1332</v>
      </c>
      <c r="AC4240" s="2" t="s">
        <v>1329</v>
      </c>
      <c r="AI4240" s="2"/>
      <c r="AL4240" s="2"/>
    </row>
    <row r="4241" spans="1:38" hidden="1" x14ac:dyDescent="0.2">
      <c r="A4241" s="8">
        <v>2026</v>
      </c>
      <c r="B4241" s="8">
        <v>6</v>
      </c>
      <c r="C4241" s="8"/>
      <c r="D4241" s="2" t="s">
        <v>2912</v>
      </c>
      <c r="P4241" s="2" t="s">
        <v>115</v>
      </c>
      <c r="Q4241" s="2" t="s">
        <v>780</v>
      </c>
      <c r="R4241" s="2" t="s">
        <v>781</v>
      </c>
      <c r="S4241" s="9">
        <v>2</v>
      </c>
      <c r="T4241" s="10">
        <v>157.18</v>
      </c>
      <c r="U4241" s="2">
        <f t="shared" si="683"/>
        <v>36.151400000000002</v>
      </c>
      <c r="V4241" s="10">
        <f t="shared" si="684"/>
        <v>193.3314</v>
      </c>
      <c r="X4241" s="5">
        <f t="shared" si="685"/>
        <v>1</v>
      </c>
      <c r="Z4241" s="2" t="s">
        <v>118</v>
      </c>
      <c r="AI4241" s="2"/>
      <c r="AL4241" s="2"/>
    </row>
    <row r="4242" spans="1:38" hidden="1" x14ac:dyDescent="0.2">
      <c r="A4242" s="8">
        <v>2026</v>
      </c>
      <c r="B4242" s="8">
        <v>6</v>
      </c>
      <c r="C4242" s="8"/>
      <c r="D4242" s="2" t="s">
        <v>2912</v>
      </c>
      <c r="P4242" s="2" t="s">
        <v>115</v>
      </c>
      <c r="Q4242" s="2" t="s">
        <v>562</v>
      </c>
      <c r="R4242" s="2" t="s">
        <v>563</v>
      </c>
      <c r="S4242" s="9">
        <v>2</v>
      </c>
      <c r="T4242" s="10">
        <v>28.57</v>
      </c>
      <c r="U4242" s="2">
        <f t="shared" si="683"/>
        <v>6.5711000000000004</v>
      </c>
      <c r="V4242" s="10">
        <f t="shared" si="684"/>
        <v>35.141100000000002</v>
      </c>
      <c r="X4242" s="5">
        <f t="shared" si="685"/>
        <v>1</v>
      </c>
      <c r="Z4242" s="2" t="s">
        <v>118</v>
      </c>
      <c r="AI4242" s="2"/>
      <c r="AL4242" s="2"/>
    </row>
    <row r="4243" spans="1:38" hidden="1" x14ac:dyDescent="0.2">
      <c r="A4243" s="8">
        <v>2026</v>
      </c>
      <c r="B4243" s="8">
        <v>6</v>
      </c>
      <c r="C4243" s="8"/>
      <c r="D4243" s="2" t="s">
        <v>575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178</v>
      </c>
      <c r="J4243" s="2" t="s">
        <v>576</v>
      </c>
      <c r="L4243" s="2" t="s">
        <v>178</v>
      </c>
      <c r="M4243" s="2" t="s">
        <v>41</v>
      </c>
      <c r="P4243" s="2" t="s">
        <v>43</v>
      </c>
      <c r="Q4243" s="2" t="s">
        <v>62</v>
      </c>
      <c r="R4243" s="2" t="s">
        <v>63</v>
      </c>
      <c r="S4243" s="9">
        <v>1000</v>
      </c>
      <c r="T4243" s="10">
        <v>110</v>
      </c>
      <c r="U4243" s="2">
        <f t="shared" si="683"/>
        <v>25.3</v>
      </c>
      <c r="V4243" s="10">
        <f t="shared" si="684"/>
        <v>135.30000000000001</v>
      </c>
      <c r="W4243" s="2">
        <f>0.082*S4243</f>
        <v>82</v>
      </c>
      <c r="X4243" s="5">
        <f t="shared" si="685"/>
        <v>0.25454545454545452</v>
      </c>
      <c r="Z4243" s="2" t="s">
        <v>3231</v>
      </c>
      <c r="AA4243" s="2" t="s">
        <v>46</v>
      </c>
      <c r="AB4243" s="2" t="s">
        <v>61</v>
      </c>
      <c r="AC4243" s="2" t="s">
        <v>58</v>
      </c>
      <c r="AI4243" s="2"/>
      <c r="AK4243" s="2">
        <f t="shared" ref="AK4243" si="686">T4243-W4243</f>
        <v>28</v>
      </c>
      <c r="AL4243" s="5">
        <f t="shared" ref="AL4243" si="687">(T4243-W4243)/T4243</f>
        <v>0.25454545454545452</v>
      </c>
    </row>
    <row r="4244" spans="1:38" hidden="1" x14ac:dyDescent="0.2">
      <c r="A4244" s="8">
        <v>2026</v>
      </c>
      <c r="B4244" s="8">
        <v>6</v>
      </c>
      <c r="C4244" s="8"/>
      <c r="D4244" s="2" t="s">
        <v>582</v>
      </c>
      <c r="P4244" s="2" t="s">
        <v>115</v>
      </c>
      <c r="Q4244" s="2" t="s">
        <v>792</v>
      </c>
      <c r="R4244" s="2" t="s">
        <v>793</v>
      </c>
      <c r="S4244" s="9">
        <v>1</v>
      </c>
      <c r="T4244" s="10">
        <v>187.92</v>
      </c>
      <c r="U4244" s="2">
        <f>T4244*23%</f>
        <v>43.221600000000002</v>
      </c>
      <c r="V4244" s="2">
        <f>T4244+U4244</f>
        <v>231.14159999999998</v>
      </c>
      <c r="X4244" s="5">
        <f t="shared" si="685"/>
        <v>1</v>
      </c>
      <c r="Z4244" s="2" t="s">
        <v>118</v>
      </c>
      <c r="AI4244" s="2"/>
      <c r="AL4244" s="2"/>
    </row>
    <row r="4245" spans="1:38" hidden="1" x14ac:dyDescent="0.2">
      <c r="A4245" s="8">
        <v>2026</v>
      </c>
      <c r="B4245" s="8">
        <v>6</v>
      </c>
      <c r="C4245" s="8"/>
      <c r="D4245" s="2" t="s">
        <v>582</v>
      </c>
      <c r="P4245" s="2" t="s">
        <v>115</v>
      </c>
      <c r="Q4245" s="2" t="s">
        <v>796</v>
      </c>
      <c r="R4245" s="2" t="s">
        <v>2989</v>
      </c>
      <c r="S4245" s="9">
        <v>1</v>
      </c>
      <c r="T4245" s="10">
        <v>28.38</v>
      </c>
      <c r="U4245" s="2">
        <f>T4245*23%</f>
        <v>6.5274000000000001</v>
      </c>
      <c r="V4245" s="2">
        <f>T4245+U4245</f>
        <v>34.907399999999996</v>
      </c>
      <c r="X4245" s="5">
        <f t="shared" si="685"/>
        <v>1</v>
      </c>
      <c r="Z4245" s="2" t="s">
        <v>118</v>
      </c>
      <c r="AI4245" s="2"/>
      <c r="AL4245" s="2"/>
    </row>
    <row r="4246" spans="1:38" hidden="1" x14ac:dyDescent="0.2">
      <c r="A4246" s="8">
        <v>2026</v>
      </c>
      <c r="B4246" s="8">
        <v>6</v>
      </c>
      <c r="C4246" s="8"/>
      <c r="D4246" s="2" t="s">
        <v>582</v>
      </c>
      <c r="M4246" s="2" t="s">
        <v>40</v>
      </c>
      <c r="P4246" s="2" t="s">
        <v>188</v>
      </c>
      <c r="Q4246" s="2" t="s">
        <v>189</v>
      </c>
      <c r="R4246" s="2" t="s">
        <v>190</v>
      </c>
      <c r="S4246" s="9">
        <v>1</v>
      </c>
      <c r="T4246" s="10">
        <v>94</v>
      </c>
      <c r="U4246" s="2">
        <f>T4246*23%</f>
        <v>21.62</v>
      </c>
      <c r="V4246" s="2">
        <f>T4246+U4246</f>
        <v>115.62</v>
      </c>
      <c r="W4246" s="2">
        <f>T4246*40%</f>
        <v>37.6</v>
      </c>
      <c r="X4246" s="5">
        <f t="shared" si="685"/>
        <v>0.6</v>
      </c>
      <c r="Z4246" s="2" t="s">
        <v>118</v>
      </c>
      <c r="AA4246" s="2" t="s">
        <v>191</v>
      </c>
      <c r="AB4246" s="2" t="s">
        <v>190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hidden="1" x14ac:dyDescent="0.2">
      <c r="A4247" s="8">
        <v>2026</v>
      </c>
      <c r="B4247" s="8">
        <v>6</v>
      </c>
      <c r="C4247" s="8"/>
      <c r="D4247" s="2" t="s">
        <v>582</v>
      </c>
      <c r="M4247" s="2" t="s">
        <v>40</v>
      </c>
      <c r="P4247" s="2" t="s">
        <v>188</v>
      </c>
      <c r="Q4247" s="2" t="s">
        <v>192</v>
      </c>
      <c r="R4247" s="2" t="s">
        <v>191</v>
      </c>
      <c r="S4247" s="9">
        <v>1</v>
      </c>
      <c r="T4247" s="10">
        <v>55</v>
      </c>
      <c r="U4247" s="2">
        <f>T4247*23%</f>
        <v>12.65</v>
      </c>
      <c r="V4247" s="2">
        <f>T4247+U4247</f>
        <v>67.650000000000006</v>
      </c>
      <c r="W4247" s="2">
        <f>T4247*50%</f>
        <v>27.5</v>
      </c>
      <c r="X4247" s="5">
        <f t="shared" si="685"/>
        <v>0.5</v>
      </c>
      <c r="Z4247" s="2" t="s">
        <v>118</v>
      </c>
      <c r="AA4247" s="2" t="s">
        <v>191</v>
      </c>
      <c r="AB4247" s="2" t="s">
        <v>191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hidden="1" x14ac:dyDescent="0.2">
      <c r="A4248" s="8">
        <v>2026</v>
      </c>
      <c r="B4248" s="8">
        <v>6</v>
      </c>
      <c r="C4248" s="8"/>
      <c r="D4248" s="2" t="s">
        <v>582</v>
      </c>
      <c r="P4248" s="2" t="s">
        <v>40</v>
      </c>
      <c r="Q4248" s="2" t="s">
        <v>364</v>
      </c>
      <c r="R4248" s="2" t="s">
        <v>365</v>
      </c>
      <c r="S4248" s="9">
        <v>1</v>
      </c>
      <c r="T4248" s="10">
        <v>87.5</v>
      </c>
      <c r="U4248" s="2">
        <f>T4248*23%</f>
        <v>20.125</v>
      </c>
      <c r="V4248" s="10">
        <f>T4248+U4248</f>
        <v>107.625</v>
      </c>
      <c r="X4248" s="5">
        <f t="shared" si="685"/>
        <v>1</v>
      </c>
      <c r="Z4248" s="2" t="s">
        <v>120</v>
      </c>
      <c r="AA4248" s="2" t="s">
        <v>3385</v>
      </c>
      <c r="AI4248" s="2"/>
      <c r="AL4248" s="2"/>
    </row>
    <row r="4249" spans="1:38" hidden="1" x14ac:dyDescent="0.2">
      <c r="A4249" s="8">
        <v>2026</v>
      </c>
      <c r="B4249" s="8">
        <v>6</v>
      </c>
      <c r="C4249" s="8"/>
      <c r="D4249" s="2" t="s">
        <v>583</v>
      </c>
      <c r="E4249" s="2" t="s">
        <v>109</v>
      </c>
      <c r="G4249" s="2">
        <v>503850276</v>
      </c>
      <c r="H4249" s="2" t="s">
        <v>40</v>
      </c>
      <c r="I4249" s="2" t="s">
        <v>584</v>
      </c>
      <c r="J4249" s="2" t="s">
        <v>585</v>
      </c>
      <c r="L4249" s="2" t="s">
        <v>202</v>
      </c>
      <c r="M4249" s="2" t="s">
        <v>81</v>
      </c>
      <c r="P4249" s="2" t="s">
        <v>73</v>
      </c>
      <c r="Q4249" s="2" t="s">
        <v>1074</v>
      </c>
      <c r="R4249" s="2" t="s">
        <v>382</v>
      </c>
      <c r="S4249" s="9">
        <v>1</v>
      </c>
      <c r="T4249" s="10">
        <v>257.60000000000002</v>
      </c>
      <c r="U4249" s="2">
        <f t="shared" ref="U4249:U4258" si="688">T4249*23%</f>
        <v>59.248000000000005</v>
      </c>
      <c r="V4249" s="10">
        <f t="shared" ref="V4249:V4258" si="689">T4249+U4249</f>
        <v>316.84800000000001</v>
      </c>
      <c r="W4249" s="2">
        <f>130.03+6.8</f>
        <v>136.83000000000001</v>
      </c>
      <c r="X4249" s="5">
        <f t="shared" ref="X4249:X4261" si="690">(T4249-W4249)/T4249</f>
        <v>0.46882763975155278</v>
      </c>
      <c r="Z4249" s="2" t="s">
        <v>3231</v>
      </c>
      <c r="AA4249" s="2" t="s">
        <v>76</v>
      </c>
      <c r="AB4249" s="2" t="s">
        <v>77</v>
      </c>
      <c r="AC4249" s="2" t="s">
        <v>78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>T4249-W4249</f>
        <v>120.77000000000001</v>
      </c>
      <c r="AL4249" s="5">
        <f>(T4249-W4249)/T4249</f>
        <v>0.46882763975155278</v>
      </c>
    </row>
    <row r="4250" spans="1:38" hidden="1" x14ac:dyDescent="0.2">
      <c r="A4250" s="8">
        <v>2026</v>
      </c>
      <c r="B4250" s="8">
        <v>6</v>
      </c>
      <c r="C4250" s="8"/>
      <c r="D4250" s="2" t="s">
        <v>583</v>
      </c>
      <c r="E4250" s="2" t="s">
        <v>109</v>
      </c>
      <c r="G4250" s="2">
        <v>503850276</v>
      </c>
      <c r="H4250" s="2" t="s">
        <v>40</v>
      </c>
      <c r="I4250" s="2" t="s">
        <v>584</v>
      </c>
      <c r="J4250" s="2" t="s">
        <v>585</v>
      </c>
      <c r="L4250" s="2" t="s">
        <v>202</v>
      </c>
      <c r="M4250" s="2" t="s">
        <v>81</v>
      </c>
      <c r="O4250" s="2" t="s">
        <v>3166</v>
      </c>
      <c r="P4250" s="2" t="s">
        <v>1040</v>
      </c>
      <c r="Q4250" s="2" t="s">
        <v>2746</v>
      </c>
      <c r="R4250" s="2" t="s">
        <v>2747</v>
      </c>
      <c r="S4250" s="9">
        <v>1</v>
      </c>
      <c r="T4250" s="10">
        <v>414</v>
      </c>
      <c r="U4250" s="2">
        <f t="shared" si="688"/>
        <v>95.22</v>
      </c>
      <c r="V4250" s="2">
        <f t="shared" si="689"/>
        <v>509.22</v>
      </c>
      <c r="W4250" s="2">
        <v>270.60000000000002</v>
      </c>
      <c r="X4250" s="5">
        <f t="shared" si="690"/>
        <v>0.34637681159420286</v>
      </c>
      <c r="Z4250" s="2" t="s">
        <v>3231</v>
      </c>
      <c r="AA4250" s="2" t="s">
        <v>76</v>
      </c>
      <c r="AB4250" s="2" t="s">
        <v>77</v>
      </c>
      <c r="AC4250" s="2" t="s">
        <v>1040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>T4250-W4250</f>
        <v>143.39999999999998</v>
      </c>
      <c r="AL4250" s="5">
        <f>(T4250-W4250)/T4250</f>
        <v>0.34637681159420286</v>
      </c>
    </row>
    <row r="4251" spans="1:38" hidden="1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94</v>
      </c>
      <c r="Q4251" s="2" t="s">
        <v>95</v>
      </c>
      <c r="R4251" s="2" t="s">
        <v>96</v>
      </c>
      <c r="S4251" s="9">
        <v>2</v>
      </c>
      <c r="T4251" s="10">
        <v>2.96</v>
      </c>
      <c r="U4251" s="2">
        <f t="shared" si="688"/>
        <v>0.68080000000000007</v>
      </c>
      <c r="V4251" s="10">
        <f t="shared" si="689"/>
        <v>3.6408</v>
      </c>
      <c r="W4251" s="2">
        <f>1.48*S4251</f>
        <v>2.96</v>
      </c>
      <c r="X4251" s="5">
        <f t="shared" si="690"/>
        <v>0</v>
      </c>
      <c r="Z4251" s="2" t="s">
        <v>3231</v>
      </c>
      <c r="AA4251" s="2" t="s">
        <v>97</v>
      </c>
      <c r="AB4251" s="2" t="s">
        <v>77</v>
      </c>
      <c r="AC4251" s="2" t="s">
        <v>94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>T4251-W4251</f>
        <v>0</v>
      </c>
      <c r="AL4251" s="5">
        <f>(T4251-W4251)/T4251</f>
        <v>0</v>
      </c>
    </row>
    <row r="4252" spans="1:38" hidden="1" x14ac:dyDescent="0.2">
      <c r="A4252" s="8">
        <v>2026</v>
      </c>
      <c r="B4252" s="8">
        <v>6</v>
      </c>
      <c r="C4252" s="8"/>
      <c r="D4252" s="2" t="s">
        <v>589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178</v>
      </c>
      <c r="J4252" s="2" t="s">
        <v>590</v>
      </c>
      <c r="L4252" s="2" t="s">
        <v>178</v>
      </c>
      <c r="P4252" s="2" t="s">
        <v>43</v>
      </c>
      <c r="Q4252" s="2" t="s">
        <v>161</v>
      </c>
      <c r="R4252" s="2" t="s">
        <v>162</v>
      </c>
      <c r="S4252" s="9">
        <v>1</v>
      </c>
      <c r="T4252" s="10">
        <v>9</v>
      </c>
      <c r="U4252" s="2">
        <f t="shared" si="688"/>
        <v>2.0700000000000003</v>
      </c>
      <c r="V4252" s="10">
        <f t="shared" si="689"/>
        <v>11.07</v>
      </c>
      <c r="W4252" s="2">
        <f>3.7358*S4252</f>
        <v>3.7357999999999998</v>
      </c>
      <c r="X4252" s="5">
        <f t="shared" si="690"/>
        <v>0.58491111111111116</v>
      </c>
      <c r="Z4252" s="2" t="s">
        <v>3231</v>
      </c>
      <c r="AA4252" s="2" t="s">
        <v>46</v>
      </c>
      <c r="AB4252" s="2" t="s">
        <v>47</v>
      </c>
      <c r="AC4252" s="2" t="s">
        <v>48</v>
      </c>
      <c r="AI4252" s="2"/>
      <c r="AK4252" s="2">
        <f t="shared" ref="AK4252" si="691">T4252-W4252</f>
        <v>5.2642000000000007</v>
      </c>
      <c r="AL4252" s="5">
        <f t="shared" ref="AL4252" si="692">(T4252-W4252)/T4252</f>
        <v>0.58491111111111116</v>
      </c>
    </row>
    <row r="4253" spans="1:38" hidden="1" x14ac:dyDescent="0.2">
      <c r="A4253" s="8">
        <v>2026</v>
      </c>
      <c r="B4253" s="8">
        <v>6</v>
      </c>
      <c r="C4253" s="8"/>
      <c r="D4253" s="2" t="s">
        <v>607</v>
      </c>
      <c r="E4253" s="2" t="s">
        <v>109</v>
      </c>
      <c r="F4253" s="2" t="s">
        <v>39</v>
      </c>
      <c r="G4253" s="2">
        <v>504822187</v>
      </c>
      <c r="H4253" s="2" t="s">
        <v>110</v>
      </c>
      <c r="I4253" s="2" t="s">
        <v>608</v>
      </c>
      <c r="J4253" s="2" t="s">
        <v>609</v>
      </c>
      <c r="K4253" s="2">
        <v>966216853</v>
      </c>
      <c r="L4253" s="2" t="s">
        <v>462</v>
      </c>
      <c r="P4253" s="2" t="s">
        <v>73</v>
      </c>
      <c r="Q4253" s="2" t="s">
        <v>914</v>
      </c>
      <c r="R4253" s="2" t="s">
        <v>75</v>
      </c>
      <c r="S4253" s="9">
        <v>1</v>
      </c>
      <c r="T4253" s="10">
        <v>211.6</v>
      </c>
      <c r="U4253" s="2">
        <f t="shared" si="688"/>
        <v>48.667999999999999</v>
      </c>
      <c r="V4253" s="10">
        <f t="shared" si="689"/>
        <v>260.26799999999997</v>
      </c>
      <c r="W4253" s="2">
        <f>115.92+6.06</f>
        <v>121.98</v>
      </c>
      <c r="X4253" s="5">
        <f t="shared" si="690"/>
        <v>0.42353497164461246</v>
      </c>
      <c r="Z4253" s="2" t="s">
        <v>3231</v>
      </c>
      <c r="AA4253" s="2" t="s">
        <v>76</v>
      </c>
      <c r="AB4253" s="2" t="s">
        <v>77</v>
      </c>
      <c r="AC4253" s="2" t="s">
        <v>78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>T4253-W4253</f>
        <v>89.61999999999999</v>
      </c>
      <c r="AL4253" s="5">
        <f>(T4253-W4253)/T4253</f>
        <v>0.42353497164461246</v>
      </c>
    </row>
    <row r="4254" spans="1:38" hidden="1" x14ac:dyDescent="0.2">
      <c r="A4254" s="8">
        <v>2026</v>
      </c>
      <c r="B4254" s="8">
        <v>6</v>
      </c>
      <c r="C4254" s="8"/>
      <c r="D4254" s="2" t="s">
        <v>607</v>
      </c>
      <c r="E4254" s="2" t="s">
        <v>109</v>
      </c>
      <c r="F4254" s="2" t="s">
        <v>39</v>
      </c>
      <c r="G4254" s="2">
        <v>504822187</v>
      </c>
      <c r="H4254" s="2" t="s">
        <v>110</v>
      </c>
      <c r="I4254" s="2" t="s">
        <v>608</v>
      </c>
      <c r="J4254" s="2" t="s">
        <v>609</v>
      </c>
      <c r="K4254" s="2">
        <v>966216853</v>
      </c>
      <c r="L4254" s="2" t="s">
        <v>462</v>
      </c>
      <c r="P4254" s="2" t="s">
        <v>94</v>
      </c>
      <c r="Q4254" s="2" t="s">
        <v>95</v>
      </c>
      <c r="R4254" s="2" t="s">
        <v>96</v>
      </c>
      <c r="S4254" s="9">
        <v>1</v>
      </c>
      <c r="T4254" s="10">
        <v>1.48</v>
      </c>
      <c r="U4254" s="2">
        <f t="shared" si="688"/>
        <v>0.34040000000000004</v>
      </c>
      <c r="V4254" s="10">
        <f t="shared" si="689"/>
        <v>1.8204</v>
      </c>
      <c r="W4254" s="2">
        <f>1.48*S4254</f>
        <v>1.48</v>
      </c>
      <c r="X4254" s="5">
        <f t="shared" si="690"/>
        <v>0</v>
      </c>
      <c r="Z4254" s="2" t="s">
        <v>3231</v>
      </c>
      <c r="AA4254" s="2" t="s">
        <v>97</v>
      </c>
      <c r="AB4254" s="2" t="s">
        <v>77</v>
      </c>
      <c r="AC4254" s="2" t="s">
        <v>94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>T4254-W4254</f>
        <v>0</v>
      </c>
      <c r="AL4254" s="5">
        <f>(T4254-W4254)/T4254</f>
        <v>0</v>
      </c>
    </row>
    <row r="4255" spans="1:38" hidden="1" x14ac:dyDescent="0.2">
      <c r="A4255" s="8">
        <v>2026</v>
      </c>
      <c r="B4255" s="8">
        <v>6</v>
      </c>
      <c r="C4255" s="8"/>
      <c r="D4255" s="2" t="s">
        <v>610</v>
      </c>
      <c r="P4255" s="2" t="s">
        <v>43</v>
      </c>
      <c r="Q4255" s="2" t="s">
        <v>62</v>
      </c>
      <c r="R4255" s="2" t="s">
        <v>63</v>
      </c>
      <c r="S4255" s="9">
        <v>100</v>
      </c>
      <c r="T4255" s="10">
        <v>13</v>
      </c>
      <c r="U4255" s="2">
        <f t="shared" si="688"/>
        <v>2.99</v>
      </c>
      <c r="V4255" s="10">
        <f t="shared" si="689"/>
        <v>15.99</v>
      </c>
      <c r="W4255" s="2">
        <f>0.082*S4255</f>
        <v>8.2000000000000011</v>
      </c>
      <c r="X4255" s="5">
        <f t="shared" si="690"/>
        <v>0.36923076923076914</v>
      </c>
      <c r="Z4255" s="2" t="s">
        <v>3231</v>
      </c>
      <c r="AA4255" s="2" t="s">
        <v>46</v>
      </c>
      <c r="AB4255" s="2" t="s">
        <v>61</v>
      </c>
      <c r="AC4255" s="2" t="s">
        <v>58</v>
      </c>
      <c r="AI4255" s="2"/>
      <c r="AK4255" s="2">
        <f t="shared" ref="AK4255:AK4256" si="693">T4255-W4255</f>
        <v>4.7999999999999989</v>
      </c>
      <c r="AL4255" s="5">
        <f t="shared" ref="AL4255:AL4256" si="694">(T4255-W4255)/T4255</f>
        <v>0.36923076923076914</v>
      </c>
    </row>
    <row r="4256" spans="1:38" hidden="1" x14ac:dyDescent="0.2">
      <c r="A4256" s="8">
        <v>2026</v>
      </c>
      <c r="B4256" s="8">
        <v>6</v>
      </c>
      <c r="C4256" s="8"/>
      <c r="D4256" s="2" t="s">
        <v>614</v>
      </c>
      <c r="P4256" s="2" t="s">
        <v>43</v>
      </c>
      <c r="Q4256" s="2" t="s">
        <v>59</v>
      </c>
      <c r="R4256" s="2" t="s">
        <v>60</v>
      </c>
      <c r="S4256" s="2">
        <v>1000</v>
      </c>
      <c r="T4256" s="10">
        <v>130</v>
      </c>
      <c r="U4256" s="2">
        <f t="shared" si="688"/>
        <v>29.900000000000002</v>
      </c>
      <c r="V4256" s="10">
        <f t="shared" si="689"/>
        <v>159.9</v>
      </c>
      <c r="W4256" s="2">
        <f>0.0914*S4256</f>
        <v>91.399999999999991</v>
      </c>
      <c r="X4256" s="5">
        <f t="shared" si="690"/>
        <v>0.29692307692307701</v>
      </c>
      <c r="Z4256" s="2" t="s">
        <v>3231</v>
      </c>
      <c r="AA4256" s="2" t="s">
        <v>46</v>
      </c>
      <c r="AB4256" s="2" t="s">
        <v>61</v>
      </c>
      <c r="AC4256" s="2" t="s">
        <v>58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693"/>
        <v>38.600000000000009</v>
      </c>
      <c r="AL4256" s="5">
        <f t="shared" si="694"/>
        <v>0.29692307692307701</v>
      </c>
    </row>
    <row r="4257" spans="1:38" hidden="1" x14ac:dyDescent="0.2">
      <c r="A4257" s="8">
        <v>2026</v>
      </c>
      <c r="B4257" s="8">
        <v>6</v>
      </c>
      <c r="C4257" s="8"/>
      <c r="D4257" s="2" t="s">
        <v>1297</v>
      </c>
      <c r="E4257" s="2" t="s">
        <v>184</v>
      </c>
      <c r="F4257" s="2" t="s">
        <v>367</v>
      </c>
      <c r="G4257" s="2">
        <v>500625654</v>
      </c>
      <c r="H4257" s="2" t="s">
        <v>291</v>
      </c>
      <c r="I4257" s="2" t="s">
        <v>340</v>
      </c>
      <c r="J4257" s="2" t="s">
        <v>1298</v>
      </c>
      <c r="L4257" s="2" t="s">
        <v>340</v>
      </c>
      <c r="M4257" s="2" t="s">
        <v>81</v>
      </c>
      <c r="O4257" s="2" t="s">
        <v>3200</v>
      </c>
      <c r="P4257" s="2" t="s">
        <v>73</v>
      </c>
      <c r="Q4257" s="2" t="s">
        <v>534</v>
      </c>
      <c r="R4257" s="2" t="s">
        <v>535</v>
      </c>
      <c r="S4257" s="9">
        <v>1</v>
      </c>
      <c r="T4257" s="10">
        <v>203.7</v>
      </c>
      <c r="U4257" s="2">
        <f t="shared" si="688"/>
        <v>46.850999999999999</v>
      </c>
      <c r="V4257" s="10">
        <f t="shared" si="689"/>
        <v>250.55099999999999</v>
      </c>
      <c r="W4257" s="2">
        <f>110.125+11.77</f>
        <v>121.895</v>
      </c>
      <c r="X4257" s="5">
        <f t="shared" si="690"/>
        <v>0.4015954835542464</v>
      </c>
      <c r="Z4257" s="2" t="s">
        <v>3231</v>
      </c>
      <c r="AA4257" s="2" t="s">
        <v>76</v>
      </c>
      <c r="AB4257" s="2" t="s">
        <v>77</v>
      </c>
      <c r="AC4257" s="2" t="s">
        <v>78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>T4257-W4257</f>
        <v>81.804999999999993</v>
      </c>
      <c r="AL4257" s="5">
        <f>(T4257-W4257)/T4257</f>
        <v>0.4015954835542464</v>
      </c>
    </row>
    <row r="4258" spans="1:38" hidden="1" x14ac:dyDescent="0.2">
      <c r="A4258" s="8">
        <v>2026</v>
      </c>
      <c r="B4258" s="8">
        <v>6</v>
      </c>
      <c r="C4258" s="8"/>
      <c r="D4258" s="2" t="s">
        <v>1297</v>
      </c>
      <c r="E4258" s="2" t="s">
        <v>184</v>
      </c>
      <c r="F4258" s="2" t="s">
        <v>367</v>
      </c>
      <c r="G4258" s="2">
        <v>500625654</v>
      </c>
      <c r="H4258" s="2" t="s">
        <v>291</v>
      </c>
      <c r="I4258" s="2" t="s">
        <v>340</v>
      </c>
      <c r="J4258" s="2" t="s">
        <v>1298</v>
      </c>
      <c r="L4258" s="2" t="s">
        <v>340</v>
      </c>
      <c r="M4258" s="2" t="s">
        <v>81</v>
      </c>
      <c r="P4258" s="2" t="s">
        <v>94</v>
      </c>
      <c r="Q4258" s="2" t="s">
        <v>95</v>
      </c>
      <c r="R4258" s="2" t="s">
        <v>96</v>
      </c>
      <c r="S4258" s="9">
        <v>1</v>
      </c>
      <c r="T4258" s="10">
        <v>1.48</v>
      </c>
      <c r="U4258" s="2">
        <f t="shared" si="688"/>
        <v>0.34040000000000004</v>
      </c>
      <c r="V4258" s="10">
        <f t="shared" si="689"/>
        <v>1.8204</v>
      </c>
      <c r="W4258" s="2">
        <f>1.48*S4258</f>
        <v>1.48</v>
      </c>
      <c r="X4258" s="5">
        <f t="shared" si="690"/>
        <v>0</v>
      </c>
      <c r="Z4258" s="2" t="s">
        <v>3231</v>
      </c>
      <c r="AA4258" s="2" t="s">
        <v>97</v>
      </c>
      <c r="AB4258" s="2" t="s">
        <v>77</v>
      </c>
      <c r="AC4258" s="2" t="s">
        <v>94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>T4258-W4258</f>
        <v>0</v>
      </c>
      <c r="AL4258" s="5">
        <f>(T4258-W4258)/T4258</f>
        <v>0</v>
      </c>
    </row>
    <row r="4259" spans="1:38" hidden="1" x14ac:dyDescent="0.2">
      <c r="A4259" s="8">
        <v>2026</v>
      </c>
      <c r="B4259" s="8">
        <v>6</v>
      </c>
      <c r="C4259" s="8" t="s">
        <v>3397</v>
      </c>
      <c r="D4259" s="2" t="s">
        <v>625</v>
      </c>
      <c r="E4259" s="2" t="s">
        <v>38</v>
      </c>
      <c r="F4259" s="2" t="s">
        <v>39</v>
      </c>
      <c r="G4259" s="2" t="s">
        <v>626</v>
      </c>
      <c r="H4259" s="2" t="s">
        <v>40</v>
      </c>
      <c r="I4259" s="2" t="s">
        <v>627</v>
      </c>
      <c r="J4259" s="2" t="s">
        <v>628</v>
      </c>
      <c r="L4259" s="2" t="s">
        <v>627</v>
      </c>
      <c r="M4259" s="2" t="s">
        <v>40</v>
      </c>
      <c r="P4259" s="2" t="s">
        <v>115</v>
      </c>
      <c r="Q4259" s="2" t="s">
        <v>906</v>
      </c>
      <c r="R4259" s="2" t="s">
        <v>907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690"/>
        <v>0.25874296757569254</v>
      </c>
      <c r="Z4259" s="2" t="s">
        <v>118</v>
      </c>
      <c r="AA4259" s="2" t="s">
        <v>182</v>
      </c>
      <c r="AB4259" s="2" t="s">
        <v>120</v>
      </c>
      <c r="AC4259" s="2" t="s">
        <v>115</v>
      </c>
      <c r="AI4259" s="2"/>
      <c r="AK4259" s="2">
        <f>T4259-W4259</f>
        <v>120.4966</v>
      </c>
      <c r="AL4259" s="5">
        <f>(T4259-W4259)/T4259</f>
        <v>0.25874296757569254</v>
      </c>
    </row>
    <row r="4260" spans="1:38" hidden="1" x14ac:dyDescent="0.2">
      <c r="A4260" s="8">
        <v>2026</v>
      </c>
      <c r="B4260" s="8">
        <v>6</v>
      </c>
      <c r="C4260" s="8" t="s">
        <v>3383</v>
      </c>
      <c r="D4260" s="2" t="s">
        <v>1661</v>
      </c>
      <c r="E4260" s="2" t="s">
        <v>38</v>
      </c>
      <c r="F4260" s="2" t="s">
        <v>39</v>
      </c>
      <c r="L4260" s="2" t="s">
        <v>178</v>
      </c>
      <c r="M4260" s="2" t="s">
        <v>41</v>
      </c>
      <c r="P4260" s="2" t="s">
        <v>115</v>
      </c>
      <c r="Q4260" s="2" t="s">
        <v>1908</v>
      </c>
      <c r="R4260" s="2" t="s">
        <v>1909</v>
      </c>
      <c r="S4260" s="9">
        <v>1</v>
      </c>
      <c r="T4260" s="10">
        <v>23850</v>
      </c>
      <c r="U4260" s="2">
        <f t="shared" ref="U4260:U4277" si="695">T4260*23%</f>
        <v>5485.5</v>
      </c>
      <c r="V4260" s="2">
        <f t="shared" ref="V4260:V4276" si="696">T4260+U4260</f>
        <v>29335.5</v>
      </c>
      <c r="W4260" s="2">
        <f>16602.97+398</f>
        <v>17000.97</v>
      </c>
      <c r="X4260" s="5">
        <f t="shared" si="690"/>
        <v>0.28717106918238988</v>
      </c>
      <c r="Z4260" s="2" t="s">
        <v>105</v>
      </c>
      <c r="AA4260" s="2" t="s">
        <v>415</v>
      </c>
      <c r="AB4260" s="2" t="s">
        <v>152</v>
      </c>
      <c r="AC4260" s="2" t="s">
        <v>115</v>
      </c>
      <c r="AI4260" s="2"/>
      <c r="AL4260" s="2"/>
    </row>
    <row r="4261" spans="1:38" hidden="1" x14ac:dyDescent="0.2">
      <c r="A4261" s="8">
        <v>2026</v>
      </c>
      <c r="B4261" s="8">
        <v>6</v>
      </c>
      <c r="C4261" s="8"/>
      <c r="D4261" s="2" t="s">
        <v>3111</v>
      </c>
      <c r="P4261" s="2" t="s">
        <v>115</v>
      </c>
      <c r="Q4261" s="2" t="s">
        <v>3097</v>
      </c>
      <c r="R4261" s="2" t="s">
        <v>3098</v>
      </c>
      <c r="S4261" s="9">
        <v>1</v>
      </c>
      <c r="T4261" s="10">
        <v>750.56</v>
      </c>
      <c r="U4261" s="2">
        <f t="shared" si="695"/>
        <v>172.62879999999998</v>
      </c>
      <c r="V4261" s="2">
        <f t="shared" si="696"/>
        <v>923.1887999999999</v>
      </c>
      <c r="W4261" s="2">
        <f>376.4</f>
        <v>376.4</v>
      </c>
      <c r="X4261" s="5">
        <f t="shared" si="690"/>
        <v>0.49850778085696013</v>
      </c>
      <c r="Z4261" s="2" t="s">
        <v>118</v>
      </c>
      <c r="AA4261" s="2" t="s">
        <v>119</v>
      </c>
      <c r="AB4261" s="2" t="s">
        <v>120</v>
      </c>
      <c r="AC4261" s="2" t="s">
        <v>115</v>
      </c>
      <c r="AI4261" s="2"/>
      <c r="AL4261" s="2"/>
    </row>
    <row r="4262" spans="1:38" hidden="1" x14ac:dyDescent="0.2">
      <c r="A4262" s="8">
        <v>2026</v>
      </c>
      <c r="B4262" s="8">
        <v>6</v>
      </c>
      <c r="C4262" s="8"/>
      <c r="D4262" s="2" t="s">
        <v>3111</v>
      </c>
      <c r="M4262" s="2" t="s">
        <v>40</v>
      </c>
      <c r="P4262" s="2" t="s">
        <v>188</v>
      </c>
      <c r="Q4262" s="2" t="s">
        <v>189</v>
      </c>
      <c r="R4262" s="2" t="s">
        <v>190</v>
      </c>
      <c r="S4262" s="9">
        <v>1</v>
      </c>
      <c r="T4262" s="10">
        <v>55</v>
      </c>
      <c r="U4262" s="2">
        <f t="shared" si="695"/>
        <v>12.65</v>
      </c>
      <c r="V4262" s="2">
        <f t="shared" si="696"/>
        <v>67.650000000000006</v>
      </c>
      <c r="W4262" s="2">
        <f>T4262*40%</f>
        <v>22</v>
      </c>
      <c r="X4262" s="5">
        <f t="shared" ref="X4262:X4270" si="697">(T4262-W4262)/T4262</f>
        <v>0.6</v>
      </c>
      <c r="Z4262" s="2" t="s">
        <v>118</v>
      </c>
      <c r="AA4262" s="2" t="s">
        <v>191</v>
      </c>
      <c r="AB4262" s="2" t="s">
        <v>190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0" si="698">T4262-W4262</f>
        <v>33</v>
      </c>
      <c r="AL4262" s="5">
        <f t="shared" ref="AL4262:AL4270" si="699">(T4262-W4262)/T4262</f>
        <v>0.6</v>
      </c>
    </row>
    <row r="4263" spans="1:38" hidden="1" x14ac:dyDescent="0.2">
      <c r="A4263" s="8">
        <v>2026</v>
      </c>
      <c r="B4263" s="8">
        <v>6</v>
      </c>
      <c r="C4263" s="8"/>
      <c r="D4263" s="2" t="s">
        <v>3111</v>
      </c>
      <c r="M4263" s="2" t="s">
        <v>40</v>
      </c>
      <c r="P4263" s="2" t="s">
        <v>188</v>
      </c>
      <c r="Q4263" s="2" t="s">
        <v>192</v>
      </c>
      <c r="R4263" s="2" t="s">
        <v>191</v>
      </c>
      <c r="S4263" s="9">
        <v>1</v>
      </c>
      <c r="T4263" s="10">
        <v>55</v>
      </c>
      <c r="U4263" s="2">
        <f t="shared" si="695"/>
        <v>12.65</v>
      </c>
      <c r="V4263" s="2">
        <f t="shared" si="696"/>
        <v>67.650000000000006</v>
      </c>
      <c r="W4263" s="2">
        <f>T4263*50%</f>
        <v>27.5</v>
      </c>
      <c r="X4263" s="5">
        <f t="shared" si="697"/>
        <v>0.5</v>
      </c>
      <c r="Z4263" s="2" t="s">
        <v>118</v>
      </c>
      <c r="AA4263" s="2" t="s">
        <v>191</v>
      </c>
      <c r="AB4263" s="2" t="s">
        <v>191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698"/>
        <v>27.5</v>
      </c>
      <c r="AL4263" s="5">
        <f t="shared" si="699"/>
        <v>0.5</v>
      </c>
    </row>
    <row r="4264" spans="1:38" hidden="1" x14ac:dyDescent="0.2">
      <c r="A4264" s="8">
        <v>2026</v>
      </c>
      <c r="B4264" s="8">
        <v>6</v>
      </c>
      <c r="C4264" s="8" t="s">
        <v>3327</v>
      </c>
      <c r="D4264" s="2" t="s">
        <v>911</v>
      </c>
      <c r="E4264" s="2" t="s">
        <v>38</v>
      </c>
      <c r="F4264" s="2" t="s">
        <v>39</v>
      </c>
      <c r="H4264" s="2" t="s">
        <v>110</v>
      </c>
      <c r="I4264" s="2" t="s">
        <v>134</v>
      </c>
      <c r="L4264" s="2" t="s">
        <v>134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114</v>
      </c>
      <c r="U4264" s="2">
        <f t="shared" si="695"/>
        <v>26.220000000000002</v>
      </c>
      <c r="V4264" s="2">
        <f t="shared" si="696"/>
        <v>140.22</v>
      </c>
      <c r="W4264" s="2">
        <f>T4264*40%</f>
        <v>45.6</v>
      </c>
      <c r="X4264" s="5">
        <f t="shared" si="697"/>
        <v>0.60000000000000009</v>
      </c>
      <c r="Z4264" s="2" t="s">
        <v>118</v>
      </c>
      <c r="AA4264" s="2" t="s">
        <v>191</v>
      </c>
      <c r="AB4264" s="2" t="s">
        <v>190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698"/>
        <v>68.400000000000006</v>
      </c>
      <c r="AL4264" s="5">
        <f t="shared" si="699"/>
        <v>0.60000000000000009</v>
      </c>
    </row>
    <row r="4265" spans="1:38" hidden="1" x14ac:dyDescent="0.2">
      <c r="A4265" s="8">
        <v>2026</v>
      </c>
      <c r="B4265" s="8">
        <v>6</v>
      </c>
      <c r="C4265" s="8" t="s">
        <v>3327</v>
      </c>
      <c r="D4265" s="2" t="s">
        <v>911</v>
      </c>
      <c r="E4265" s="2" t="s">
        <v>38</v>
      </c>
      <c r="F4265" s="2" t="s">
        <v>39</v>
      </c>
      <c r="H4265" s="2" t="s">
        <v>110</v>
      </c>
      <c r="I4265" s="2" t="s">
        <v>134</v>
      </c>
      <c r="L4265" s="2" t="s">
        <v>134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49.5</v>
      </c>
      <c r="U4265" s="2">
        <f t="shared" si="695"/>
        <v>11.385</v>
      </c>
      <c r="V4265" s="2">
        <f t="shared" si="696"/>
        <v>60.884999999999998</v>
      </c>
      <c r="W4265" s="2">
        <f>T4265*50%</f>
        <v>24.75</v>
      </c>
      <c r="X4265" s="5">
        <f t="shared" si="697"/>
        <v>0.5</v>
      </c>
      <c r="Z4265" s="2" t="s">
        <v>118</v>
      </c>
      <c r="AA4265" s="2" t="s">
        <v>191</v>
      </c>
      <c r="AB4265" s="2" t="s">
        <v>191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698"/>
        <v>24.75</v>
      </c>
      <c r="AL4265" s="5">
        <f t="shared" si="699"/>
        <v>0.5</v>
      </c>
    </row>
    <row r="4266" spans="1:38" hidden="1" x14ac:dyDescent="0.2">
      <c r="A4266" s="8">
        <v>2026</v>
      </c>
      <c r="B4266" s="8">
        <v>6</v>
      </c>
      <c r="C4266" s="8" t="s">
        <v>3327</v>
      </c>
      <c r="D4266" s="2" t="s">
        <v>635</v>
      </c>
      <c r="E4266" s="2" t="s">
        <v>109</v>
      </c>
      <c r="F4266" s="2" t="s">
        <v>396</v>
      </c>
      <c r="G4266" s="2">
        <v>502967056</v>
      </c>
      <c r="H4266" s="2" t="s">
        <v>110</v>
      </c>
      <c r="I4266" s="2" t="s">
        <v>636</v>
      </c>
      <c r="J4266" s="2" t="s">
        <v>637</v>
      </c>
      <c r="L4266" s="2" t="s">
        <v>113</v>
      </c>
      <c r="M4266" s="2" t="s">
        <v>40</v>
      </c>
      <c r="P4266" s="2" t="s">
        <v>115</v>
      </c>
      <c r="Q4266" s="2" t="s">
        <v>180</v>
      </c>
      <c r="R4266" s="2" t="s">
        <v>181</v>
      </c>
      <c r="S4266" s="9">
        <v>1</v>
      </c>
      <c r="T4266" s="10">
        <v>599.4</v>
      </c>
      <c r="U4266" s="2">
        <f t="shared" si="695"/>
        <v>137.86199999999999</v>
      </c>
      <c r="V4266" s="2">
        <f t="shared" si="696"/>
        <v>737.26199999999994</v>
      </c>
      <c r="W4266" s="2">
        <v>346.57</v>
      </c>
      <c r="X4266" s="5">
        <f t="shared" si="697"/>
        <v>0.42180513847180512</v>
      </c>
      <c r="Z4266" s="2" t="s">
        <v>118</v>
      </c>
      <c r="AA4266" s="2" t="s">
        <v>182</v>
      </c>
      <c r="AB4266" s="2" t="s">
        <v>120</v>
      </c>
      <c r="AC4266" s="2" t="s">
        <v>115</v>
      </c>
      <c r="AI4266" s="2"/>
      <c r="AK4266" s="2">
        <f t="shared" si="698"/>
        <v>252.82999999999998</v>
      </c>
      <c r="AL4266" s="5">
        <f t="shared" si="699"/>
        <v>0.42180513847180512</v>
      </c>
    </row>
    <row r="4267" spans="1:38" hidden="1" x14ac:dyDescent="0.2">
      <c r="A4267" s="8">
        <v>2026</v>
      </c>
      <c r="B4267" s="8">
        <v>6</v>
      </c>
      <c r="C4267" s="8" t="s">
        <v>3327</v>
      </c>
      <c r="D4267" s="2" t="s">
        <v>635</v>
      </c>
      <c r="E4267" s="2" t="s">
        <v>109</v>
      </c>
      <c r="F4267" s="2" t="s">
        <v>396</v>
      </c>
      <c r="G4267" s="2">
        <v>502967056</v>
      </c>
      <c r="H4267" s="2" t="s">
        <v>110</v>
      </c>
      <c r="I4267" s="2" t="s">
        <v>636</v>
      </c>
      <c r="J4267" s="2" t="s">
        <v>637</v>
      </c>
      <c r="L4267" s="2" t="s">
        <v>113</v>
      </c>
      <c r="M4267" s="2" t="s">
        <v>110</v>
      </c>
      <c r="P4267" s="2" t="s">
        <v>115</v>
      </c>
      <c r="Q4267" s="2" t="s">
        <v>1582</v>
      </c>
      <c r="R4267" s="2" t="s">
        <v>1583</v>
      </c>
      <c r="S4267" s="9">
        <v>1</v>
      </c>
      <c r="T4267" s="10">
        <v>6990</v>
      </c>
      <c r="U4267" s="2">
        <f t="shared" si="695"/>
        <v>1607.7</v>
      </c>
      <c r="V4267" s="2">
        <f t="shared" si="696"/>
        <v>8597.7000000000007</v>
      </c>
      <c r="W4267" s="2">
        <f>4893.23+171</f>
        <v>5064.2299999999996</v>
      </c>
      <c r="X4267" s="5">
        <f t="shared" si="697"/>
        <v>0.27550357653791135</v>
      </c>
      <c r="Z4267" s="2" t="s">
        <v>105</v>
      </c>
      <c r="AA4267" s="2" t="s">
        <v>151</v>
      </c>
      <c r="AB4267" s="2" t="s">
        <v>152</v>
      </c>
      <c r="AC4267" s="2" t="s">
        <v>115</v>
      </c>
      <c r="AI4267" s="2"/>
      <c r="AK4267" s="2">
        <f t="shared" si="698"/>
        <v>1925.7700000000004</v>
      </c>
      <c r="AL4267" s="5">
        <f t="shared" si="699"/>
        <v>0.27550357653791135</v>
      </c>
    </row>
    <row r="4268" spans="1:38" hidden="1" x14ac:dyDescent="0.2">
      <c r="A4268" s="8">
        <v>2026</v>
      </c>
      <c r="B4268" s="8">
        <v>6</v>
      </c>
      <c r="C4268" s="8" t="s">
        <v>3327</v>
      </c>
      <c r="D4268" s="2" t="s">
        <v>3108</v>
      </c>
      <c r="E4268" s="2" t="s">
        <v>109</v>
      </c>
      <c r="F4268" s="2" t="s">
        <v>39</v>
      </c>
      <c r="H4268" s="2" t="s">
        <v>110</v>
      </c>
      <c r="L4268" s="2" t="s">
        <v>134</v>
      </c>
      <c r="M4268" s="2" t="s">
        <v>40</v>
      </c>
      <c r="P4268" s="2" t="s">
        <v>115</v>
      </c>
      <c r="Q4268" s="2" t="s">
        <v>906</v>
      </c>
      <c r="R4268" s="2" t="s">
        <v>907</v>
      </c>
      <c r="S4268" s="9">
        <v>1</v>
      </c>
      <c r="T4268" s="10">
        <v>699.3</v>
      </c>
      <c r="U4268" s="2">
        <f t="shared" si="695"/>
        <v>160.839</v>
      </c>
      <c r="V4268" s="2">
        <f t="shared" si="696"/>
        <v>860.1389999999999</v>
      </c>
      <c r="W4268" s="2">
        <v>345.20339999999999</v>
      </c>
      <c r="X4268" s="5">
        <f t="shared" si="697"/>
        <v>0.50635864435864431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98"/>
        <v>354.09659999999997</v>
      </c>
      <c r="AL4268" s="5">
        <f t="shared" si="699"/>
        <v>0.50635864435864431</v>
      </c>
    </row>
    <row r="4269" spans="1:38" hidden="1" x14ac:dyDescent="0.2">
      <c r="A4269" s="8">
        <v>2026</v>
      </c>
      <c r="B4269" s="8">
        <v>6</v>
      </c>
      <c r="C4269" s="8" t="s">
        <v>3327</v>
      </c>
      <c r="D4269" s="2" t="s">
        <v>3108</v>
      </c>
      <c r="E4269" s="2" t="s">
        <v>109</v>
      </c>
      <c r="F4269" s="2" t="s">
        <v>39</v>
      </c>
      <c r="H4269" s="2" t="s">
        <v>110</v>
      </c>
      <c r="L4269" s="2" t="s">
        <v>134</v>
      </c>
      <c r="M4269" s="2" t="s">
        <v>40</v>
      </c>
      <c r="P4269" s="2" t="s">
        <v>188</v>
      </c>
      <c r="Q4269" s="2" t="s">
        <v>189</v>
      </c>
      <c r="R4269" s="2" t="s">
        <v>190</v>
      </c>
      <c r="S4269" s="9">
        <v>1</v>
      </c>
      <c r="T4269" s="10">
        <v>152</v>
      </c>
      <c r="U4269" s="2">
        <f t="shared" si="695"/>
        <v>34.96</v>
      </c>
      <c r="V4269" s="2">
        <f t="shared" si="696"/>
        <v>186.96</v>
      </c>
      <c r="W4269" s="2">
        <f>T4269*40%</f>
        <v>60.800000000000004</v>
      </c>
      <c r="X4269" s="5">
        <f t="shared" si="697"/>
        <v>0.6</v>
      </c>
      <c r="Z4269" s="2" t="s">
        <v>118</v>
      </c>
      <c r="AA4269" s="2" t="s">
        <v>191</v>
      </c>
      <c r="AB4269" s="2" t="s">
        <v>190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698"/>
        <v>91.199999999999989</v>
      </c>
      <c r="AL4269" s="5">
        <f t="shared" si="699"/>
        <v>0.6</v>
      </c>
    </row>
    <row r="4270" spans="1:38" hidden="1" x14ac:dyDescent="0.2">
      <c r="A4270" s="8">
        <v>2026</v>
      </c>
      <c r="B4270" s="8">
        <v>6</v>
      </c>
      <c r="C4270" s="8" t="s">
        <v>3327</v>
      </c>
      <c r="D4270" s="2" t="s">
        <v>3108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188</v>
      </c>
      <c r="Q4270" s="2" t="s">
        <v>192</v>
      </c>
      <c r="R4270" s="2" t="s">
        <v>191</v>
      </c>
      <c r="S4270" s="9">
        <v>1</v>
      </c>
      <c r="T4270" s="10">
        <v>55</v>
      </c>
      <c r="U4270" s="2">
        <f t="shared" si="695"/>
        <v>12.65</v>
      </c>
      <c r="V4270" s="2">
        <f t="shared" si="696"/>
        <v>67.650000000000006</v>
      </c>
      <c r="W4270" s="2">
        <f>T4270*50%</f>
        <v>27.5</v>
      </c>
      <c r="X4270" s="5">
        <f t="shared" si="697"/>
        <v>0.5</v>
      </c>
      <c r="Z4270" s="2" t="s">
        <v>118</v>
      </c>
      <c r="AA4270" s="2" t="s">
        <v>191</v>
      </c>
      <c r="AB4270" s="2" t="s">
        <v>191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698"/>
        <v>27.5</v>
      </c>
      <c r="AL4270" s="5">
        <f t="shared" si="699"/>
        <v>0.5</v>
      </c>
    </row>
    <row r="4271" spans="1:38" hidden="1" x14ac:dyDescent="0.2">
      <c r="A4271" s="8">
        <v>2026</v>
      </c>
      <c r="B4271" s="8">
        <v>6</v>
      </c>
      <c r="C4271" s="8"/>
      <c r="D4271" s="2" t="s">
        <v>2192</v>
      </c>
      <c r="P4271" s="2" t="s">
        <v>283</v>
      </c>
      <c r="Q4271" s="2" t="s">
        <v>1783</v>
      </c>
      <c r="R4271" s="2" t="s">
        <v>1784</v>
      </c>
      <c r="S4271" s="9">
        <v>1</v>
      </c>
      <c r="T4271" s="10">
        <v>1990</v>
      </c>
      <c r="U4271" s="2">
        <f t="shared" si="695"/>
        <v>457.70000000000005</v>
      </c>
      <c r="V4271" s="10">
        <f t="shared" si="696"/>
        <v>2447.6999999999998</v>
      </c>
      <c r="W4271" s="2">
        <v>1492.7</v>
      </c>
      <c r="X4271" s="5">
        <f t="shared" ref="X4271:X4334" si="700">(T4271-W4271)/T4271</f>
        <v>0.24989949748743717</v>
      </c>
      <c r="Z4271" s="2" t="s">
        <v>105</v>
      </c>
      <c r="AA4271" s="2" t="s">
        <v>388</v>
      </c>
      <c r="AB4271" s="2" t="s">
        <v>1332</v>
      </c>
      <c r="AC4271" s="2" t="s">
        <v>1329</v>
      </c>
      <c r="AI4271" s="2"/>
      <c r="AK4271" s="2">
        <f t="shared" ref="AK4271:AK4301" si="701">T4271-W4271</f>
        <v>497.29999999999995</v>
      </c>
      <c r="AL4271" s="5">
        <f t="shared" ref="AL4271:AL4301" si="702">(T4271-W4271)/T4271</f>
        <v>0.24989949748743717</v>
      </c>
    </row>
    <row r="4272" spans="1:38" hidden="1" x14ac:dyDescent="0.2">
      <c r="A4272" s="8">
        <v>2026</v>
      </c>
      <c r="B4272" s="8">
        <v>6</v>
      </c>
      <c r="C4272" s="8"/>
      <c r="D4272" s="2" t="s">
        <v>2192</v>
      </c>
      <c r="P4272" s="2" t="s">
        <v>283</v>
      </c>
      <c r="Q4272" s="2" t="s">
        <v>1330</v>
      </c>
      <c r="R4272" s="2" t="s">
        <v>1331</v>
      </c>
      <c r="S4272" s="9">
        <v>1</v>
      </c>
      <c r="T4272" s="10">
        <v>1990</v>
      </c>
      <c r="U4272" s="2">
        <f t="shared" si="695"/>
        <v>457.70000000000005</v>
      </c>
      <c r="V4272" s="10">
        <f t="shared" si="696"/>
        <v>2447.6999999999998</v>
      </c>
      <c r="W4272" s="2">
        <v>1578</v>
      </c>
      <c r="X4272" s="5">
        <f t="shared" si="700"/>
        <v>0.20703517587939699</v>
      </c>
      <c r="Z4272" s="2" t="s">
        <v>105</v>
      </c>
      <c r="AA4272" s="2" t="s">
        <v>388</v>
      </c>
      <c r="AB4272" s="2" t="s">
        <v>1332</v>
      </c>
      <c r="AC4272" s="2" t="s">
        <v>1329</v>
      </c>
      <c r="AI4272" s="2"/>
      <c r="AK4272" s="2">
        <f t="shared" si="701"/>
        <v>412</v>
      </c>
      <c r="AL4272" s="5">
        <f t="shared" si="702"/>
        <v>0.20703517587939699</v>
      </c>
    </row>
    <row r="4273" spans="1:38" hidden="1" x14ac:dyDescent="0.2">
      <c r="A4273" s="8">
        <v>2026</v>
      </c>
      <c r="B4273" s="8">
        <v>6</v>
      </c>
      <c r="C4273" s="8"/>
      <c r="D4273" s="2" t="s">
        <v>2646</v>
      </c>
      <c r="P4273" s="2" t="s">
        <v>283</v>
      </c>
      <c r="Q4273" s="2" t="s">
        <v>1237</v>
      </c>
      <c r="R4273" s="2" t="s">
        <v>1238</v>
      </c>
      <c r="S4273" s="9">
        <v>1</v>
      </c>
      <c r="T4273" s="10">
        <v>4200</v>
      </c>
      <c r="U4273" s="2">
        <f t="shared" si="695"/>
        <v>966</v>
      </c>
      <c r="V4273" s="10">
        <f t="shared" si="696"/>
        <v>5166</v>
      </c>
      <c r="W4273" s="2">
        <f>3203.85+43</f>
        <v>3246.85</v>
      </c>
      <c r="X4273" s="5">
        <f t="shared" si="700"/>
        <v>0.22694047619047622</v>
      </c>
      <c r="Z4273" s="2" t="s">
        <v>105</v>
      </c>
      <c r="AA4273" s="2" t="s">
        <v>1578</v>
      </c>
      <c r="AB4273" s="2" t="s">
        <v>389</v>
      </c>
      <c r="AC4273" s="2" t="s">
        <v>1329</v>
      </c>
      <c r="AI4273" s="2"/>
      <c r="AK4273" s="2">
        <f t="shared" si="701"/>
        <v>953.15000000000009</v>
      </c>
      <c r="AL4273" s="5">
        <f t="shared" si="702"/>
        <v>0.22694047619047622</v>
      </c>
    </row>
    <row r="4274" spans="1:38" hidden="1" x14ac:dyDescent="0.2">
      <c r="A4274" s="8">
        <v>2026</v>
      </c>
      <c r="B4274" s="8">
        <v>6</v>
      </c>
      <c r="C4274" s="8"/>
      <c r="D4274" s="2" t="s">
        <v>3107</v>
      </c>
      <c r="P4274" s="2" t="s">
        <v>283</v>
      </c>
      <c r="Q4274" s="2" t="s">
        <v>1330</v>
      </c>
      <c r="R4274" s="2" t="s">
        <v>1331</v>
      </c>
      <c r="S4274" s="9">
        <v>1</v>
      </c>
      <c r="T4274" s="10">
        <v>2150</v>
      </c>
      <c r="U4274" s="2">
        <f t="shared" si="695"/>
        <v>494.5</v>
      </c>
      <c r="V4274" s="10">
        <f t="shared" si="696"/>
        <v>2644.5</v>
      </c>
      <c r="W4274" s="2">
        <v>1578</v>
      </c>
      <c r="X4274" s="5">
        <f t="shared" si="700"/>
        <v>0.26604651162790699</v>
      </c>
      <c r="Z4274" s="2" t="s">
        <v>105</v>
      </c>
      <c r="AA4274" s="2" t="s">
        <v>388</v>
      </c>
      <c r="AB4274" s="2" t="s">
        <v>1332</v>
      </c>
      <c r="AC4274" s="2" t="s">
        <v>1329</v>
      </c>
      <c r="AI4274" s="2"/>
      <c r="AK4274" s="2">
        <f t="shared" si="701"/>
        <v>572</v>
      </c>
      <c r="AL4274" s="5">
        <f t="shared" si="702"/>
        <v>0.26604651162790699</v>
      </c>
    </row>
    <row r="4275" spans="1:38" hidden="1" x14ac:dyDescent="0.2">
      <c r="A4275" s="8">
        <v>2026</v>
      </c>
      <c r="B4275" s="8">
        <v>6</v>
      </c>
      <c r="C4275" s="8"/>
      <c r="D4275" s="2" t="s">
        <v>678</v>
      </c>
      <c r="P4275" s="2" t="s">
        <v>2695</v>
      </c>
      <c r="Q4275" s="2" t="s">
        <v>3099</v>
      </c>
      <c r="R4275" s="2" t="s">
        <v>3100</v>
      </c>
      <c r="S4275" s="9">
        <v>-4</v>
      </c>
      <c r="T4275" s="10">
        <v>-800</v>
      </c>
      <c r="U4275" s="2">
        <f t="shared" si="695"/>
        <v>-184</v>
      </c>
      <c r="V4275" s="10">
        <f t="shared" si="696"/>
        <v>-984</v>
      </c>
      <c r="W4275" s="2">
        <f>124*4</f>
        <v>496</v>
      </c>
      <c r="X4275" s="18">
        <f t="shared" ref="X4275:X4276" si="703">SIGN(T4275)*((ABS(T4275)-W4275)/ABS(T4275))</f>
        <v>-0.38</v>
      </c>
      <c r="Z4275" s="2" t="s">
        <v>3231</v>
      </c>
      <c r="AA4275" s="2" t="s">
        <v>3388</v>
      </c>
      <c r="AB4275" s="2" t="s">
        <v>3394</v>
      </c>
      <c r="AC4275" s="2" t="s">
        <v>3395</v>
      </c>
      <c r="AI4275" s="2"/>
      <c r="AK4275" s="2">
        <f t="shared" ref="AK4275:AK4276" si="704">T4275+(W4275)</f>
        <v>-304</v>
      </c>
      <c r="AL4275" s="18">
        <f t="shared" ref="AL4275:AL4276" si="705">SIGN(T4275)*((ABS(T4275)-W4275)/ABS(T4275))</f>
        <v>-0.38</v>
      </c>
    </row>
    <row r="4276" spans="1:38" hidden="1" x14ac:dyDescent="0.2">
      <c r="A4276" s="8">
        <v>2026</v>
      </c>
      <c r="B4276" s="8">
        <v>6</v>
      </c>
      <c r="C4276" s="8"/>
      <c r="D4276" s="2" t="s">
        <v>678</v>
      </c>
      <c r="P4276" s="2" t="s">
        <v>2695</v>
      </c>
      <c r="Q4276" s="2" t="s">
        <v>3101</v>
      </c>
      <c r="R4276" s="2" t="s">
        <v>3102</v>
      </c>
      <c r="S4276" s="9">
        <v>-4</v>
      </c>
      <c r="T4276" s="10">
        <v>-714.4</v>
      </c>
      <c r="U4276" s="2">
        <f t="shared" si="695"/>
        <v>-164.31200000000001</v>
      </c>
      <c r="V4276" s="10">
        <f t="shared" si="696"/>
        <v>-878.71199999999999</v>
      </c>
      <c r="W4276" s="2">
        <f>125*4</f>
        <v>500</v>
      </c>
      <c r="X4276" s="18">
        <f t="shared" si="703"/>
        <v>-0.30011198208286671</v>
      </c>
      <c r="Z4276" s="2" t="s">
        <v>3231</v>
      </c>
      <c r="AA4276" s="2" t="s">
        <v>3388</v>
      </c>
      <c r="AB4276" s="2" t="s">
        <v>3394</v>
      </c>
      <c r="AC4276" s="2" t="s">
        <v>3395</v>
      </c>
      <c r="AI4276" s="2"/>
      <c r="AK4276" s="2">
        <f t="shared" si="704"/>
        <v>-214.39999999999998</v>
      </c>
      <c r="AL4276" s="18">
        <f t="shared" si="705"/>
        <v>-0.30011198208286671</v>
      </c>
    </row>
    <row r="4277" spans="1:38" hidden="1" x14ac:dyDescent="0.2">
      <c r="A4277" s="8">
        <v>2026</v>
      </c>
      <c r="B4277" s="8">
        <v>6</v>
      </c>
      <c r="C4277" s="8" t="s">
        <v>3298</v>
      </c>
      <c r="D4277" s="2" t="s">
        <v>3403</v>
      </c>
      <c r="E4277" s="2" t="s">
        <v>753</v>
      </c>
      <c r="F4277" s="2" t="s">
        <v>39</v>
      </c>
      <c r="G4277" s="2">
        <v>513626930</v>
      </c>
      <c r="H4277" s="2" t="s">
        <v>40</v>
      </c>
      <c r="I4277" s="2" t="s">
        <v>340</v>
      </c>
      <c r="J4277" s="2" t="s">
        <v>472</v>
      </c>
      <c r="L4277" s="2" t="s">
        <v>134</v>
      </c>
      <c r="M4277" s="2" t="s">
        <v>110</v>
      </c>
      <c r="O4277" s="2" t="s">
        <v>3233</v>
      </c>
      <c r="P4277" s="2" t="s">
        <v>283</v>
      </c>
      <c r="Q4277" s="6" t="s">
        <v>3232</v>
      </c>
      <c r="R4277" s="2" t="s">
        <v>1157</v>
      </c>
      <c r="S4277" s="8">
        <v>1</v>
      </c>
      <c r="T4277" s="2">
        <v>2900</v>
      </c>
      <c r="U4277" s="2">
        <f t="shared" si="695"/>
        <v>667</v>
      </c>
      <c r="V4277" s="10">
        <f>U4277+T4277</f>
        <v>3567</v>
      </c>
      <c r="W4277" s="2">
        <v>2190</v>
      </c>
      <c r="X4277" s="5">
        <f t="shared" si="700"/>
        <v>0.24482758620689654</v>
      </c>
      <c r="Z4277" s="2" t="s">
        <v>105</v>
      </c>
      <c r="AA4277" s="2" t="s">
        <v>1578</v>
      </c>
      <c r="AB4277" s="2" t="s">
        <v>389</v>
      </c>
      <c r="AC4277" s="2" t="s">
        <v>1329</v>
      </c>
      <c r="AK4277" s="2">
        <f t="shared" si="701"/>
        <v>710</v>
      </c>
      <c r="AL4277" s="5">
        <f t="shared" si="702"/>
        <v>0.24482758620689654</v>
      </c>
    </row>
    <row r="4278" spans="1:38" hidden="1" x14ac:dyDescent="0.2">
      <c r="A4278" s="8">
        <v>2026</v>
      </c>
      <c r="B4278" s="8">
        <v>6</v>
      </c>
      <c r="C4278" s="8" t="s">
        <v>3298</v>
      </c>
      <c r="D4278" s="2" t="s">
        <v>3403</v>
      </c>
      <c r="E4278" s="2" t="s">
        <v>753</v>
      </c>
      <c r="F4278" s="2" t="s">
        <v>39</v>
      </c>
      <c r="G4278" s="2">
        <v>513626930</v>
      </c>
      <c r="H4278" s="2" t="s">
        <v>40</v>
      </c>
      <c r="I4278" s="2" t="s">
        <v>340</v>
      </c>
      <c r="J4278" s="2" t="s">
        <v>472</v>
      </c>
      <c r="L4278" s="2" t="s">
        <v>134</v>
      </c>
      <c r="M4278" s="2" t="s">
        <v>110</v>
      </c>
      <c r="O4278" s="2" t="s">
        <v>3233</v>
      </c>
      <c r="P4278" s="2" t="s">
        <v>283</v>
      </c>
      <c r="Q4278" s="6" t="s">
        <v>1160</v>
      </c>
      <c r="R4278" s="2" t="s">
        <v>1161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105</v>
      </c>
      <c r="AA4278" s="2" t="s">
        <v>1578</v>
      </c>
      <c r="AB4278" s="2" t="s">
        <v>389</v>
      </c>
      <c r="AC4278" s="2" t="s">
        <v>1329</v>
      </c>
      <c r="AK4278" s="2">
        <f t="shared" si="701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3299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3274</v>
      </c>
      <c r="M4279" s="2" t="s">
        <v>41</v>
      </c>
      <c r="O4279" s="2" t="s">
        <v>3271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>T4279*23%</f>
        <v>5.7960000000000003</v>
      </c>
      <c r="V4279" s="12">
        <f>T4279+U4279</f>
        <v>30.995999999999999</v>
      </c>
      <c r="W4279" s="2">
        <v>14.535</v>
      </c>
      <c r="X4279" s="5">
        <f t="shared" si="700"/>
        <v>0.42321428571428571</v>
      </c>
      <c r="Z4279" s="2" t="s">
        <v>3231</v>
      </c>
      <c r="AA4279" s="2" t="s">
        <v>46</v>
      </c>
      <c r="AB4279" s="2" t="s">
        <v>47</v>
      </c>
      <c r="AC4279" s="2" t="s">
        <v>48</v>
      </c>
      <c r="AK4279" s="2">
        <f t="shared" si="701"/>
        <v>10.664999999999999</v>
      </c>
      <c r="AL4279" s="5">
        <f t="shared" si="702"/>
        <v>0.42321428571428571</v>
      </c>
    </row>
    <row r="4280" spans="1:38" x14ac:dyDescent="0.2">
      <c r="A4280" s="2">
        <v>2026</v>
      </c>
      <c r="B4280" s="2">
        <v>7</v>
      </c>
      <c r="C4280" s="2" t="s">
        <v>3299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3274</v>
      </c>
      <c r="M4280" s="2" t="s">
        <v>41</v>
      </c>
      <c r="O4280" s="2" t="s">
        <v>3271</v>
      </c>
      <c r="P4280" s="2" t="s">
        <v>43</v>
      </c>
      <c r="Q4280" s="2" t="s">
        <v>159</v>
      </c>
      <c r="R4280" s="2" t="s">
        <v>160</v>
      </c>
      <c r="S4280" s="13">
        <v>1</v>
      </c>
      <c r="T4280" s="14">
        <v>21</v>
      </c>
      <c r="U4280" s="2">
        <f t="shared" ref="U4280:U4301" si="706">T4280*23%</f>
        <v>4.83</v>
      </c>
      <c r="V4280" s="12">
        <f t="shared" ref="V4280:V4286" si="707">T4280+U4280</f>
        <v>25.83</v>
      </c>
      <c r="W4280" s="2">
        <f>9.3*S4280</f>
        <v>9.3000000000000007</v>
      </c>
      <c r="X4280" s="5">
        <f t="shared" si="700"/>
        <v>0.55714285714285716</v>
      </c>
      <c r="Z4280" s="2" t="s">
        <v>3231</v>
      </c>
      <c r="AA4280" s="2" t="s">
        <v>46</v>
      </c>
      <c r="AB4280" s="2" t="s">
        <v>47</v>
      </c>
      <c r="AC4280" s="2" t="s">
        <v>48</v>
      </c>
      <c r="AK4280" s="2">
        <f t="shared" si="701"/>
        <v>11.7</v>
      </c>
      <c r="AL4280" s="5">
        <f t="shared" si="702"/>
        <v>0.55714285714285716</v>
      </c>
    </row>
    <row r="4281" spans="1:38" x14ac:dyDescent="0.2">
      <c r="A4281" s="2">
        <v>2026</v>
      </c>
      <c r="B4281" s="2">
        <v>7</v>
      </c>
      <c r="C4281" s="2" t="s">
        <v>3299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3274</v>
      </c>
      <c r="M4281" s="2" t="s">
        <v>41</v>
      </c>
      <c r="O4281" s="2" t="s">
        <v>3271</v>
      </c>
      <c r="P4281" s="2" t="s">
        <v>43</v>
      </c>
      <c r="Q4281" s="2" t="s">
        <v>49</v>
      </c>
      <c r="R4281" s="2" t="s">
        <v>50</v>
      </c>
      <c r="S4281" s="13">
        <v>1</v>
      </c>
      <c r="T4281" s="14">
        <v>13</v>
      </c>
      <c r="U4281" s="2">
        <f t="shared" si="706"/>
        <v>2.99</v>
      </c>
      <c r="V4281" s="12">
        <f t="shared" si="707"/>
        <v>15.99</v>
      </c>
      <c r="W4281" s="2">
        <f>6.6267*S4281</f>
        <v>6.6266999999999996</v>
      </c>
      <c r="X4281" s="5">
        <f t="shared" si="700"/>
        <v>0.49025384615384621</v>
      </c>
      <c r="Z4281" s="2" t="s">
        <v>3231</v>
      </c>
      <c r="AA4281" s="2" t="s">
        <v>46</v>
      </c>
      <c r="AB4281" s="2" t="s">
        <v>47</v>
      </c>
      <c r="AC4281" s="2" t="s">
        <v>48</v>
      </c>
      <c r="AK4281" s="2">
        <f t="shared" si="701"/>
        <v>6.3733000000000004</v>
      </c>
      <c r="AL4281" s="5">
        <f t="shared" si="702"/>
        <v>0.49025384615384621</v>
      </c>
    </row>
    <row r="4282" spans="1:38" x14ac:dyDescent="0.2">
      <c r="A4282" s="2">
        <v>2026</v>
      </c>
      <c r="B4282" s="2">
        <v>7</v>
      </c>
      <c r="C4282" s="2" t="s">
        <v>3299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3274</v>
      </c>
      <c r="M4282" s="2" t="s">
        <v>81</v>
      </c>
      <c r="O4282" s="2" t="s">
        <v>3272</v>
      </c>
      <c r="P4282" s="2" t="s">
        <v>43</v>
      </c>
      <c r="Q4282" s="2" t="s">
        <v>51</v>
      </c>
      <c r="R4282" s="2" t="s">
        <v>52</v>
      </c>
      <c r="S4282" s="13">
        <v>1</v>
      </c>
      <c r="T4282" s="14">
        <v>18</v>
      </c>
      <c r="U4282" s="2">
        <f t="shared" si="706"/>
        <v>4.1400000000000006</v>
      </c>
      <c r="V4282" s="12">
        <f t="shared" si="707"/>
        <v>22.14</v>
      </c>
      <c r="W4282" s="2">
        <f>14.4*S4282</f>
        <v>14.4</v>
      </c>
      <c r="X4282" s="5">
        <f t="shared" si="700"/>
        <v>0.19999999999999998</v>
      </c>
      <c r="Z4282" s="2" t="s">
        <v>3231</v>
      </c>
      <c r="AA4282" s="2" t="s">
        <v>46</v>
      </c>
      <c r="AB4282" s="2" t="s">
        <v>47</v>
      </c>
      <c r="AC4282" s="2" t="s">
        <v>48</v>
      </c>
      <c r="AK4282" s="2">
        <f t="shared" si="701"/>
        <v>3.5999999999999996</v>
      </c>
      <c r="AL4282" s="5">
        <f t="shared" si="702"/>
        <v>0.19999999999999998</v>
      </c>
    </row>
    <row r="4283" spans="1:38" x14ac:dyDescent="0.2">
      <c r="A4283" s="2">
        <v>2026</v>
      </c>
      <c r="B4283" s="2">
        <v>7</v>
      </c>
      <c r="C4283" s="2" t="s">
        <v>3299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3274</v>
      </c>
      <c r="M4283" s="2" t="s">
        <v>81</v>
      </c>
      <c r="O4283" s="2" t="s">
        <v>3272</v>
      </c>
      <c r="P4283" s="2" t="s">
        <v>43</v>
      </c>
      <c r="Q4283" s="2" t="s">
        <v>55</v>
      </c>
      <c r="R4283" s="2" t="s">
        <v>56</v>
      </c>
      <c r="S4283" s="13">
        <v>2</v>
      </c>
      <c r="T4283" s="14">
        <v>30</v>
      </c>
      <c r="U4283" s="2">
        <f t="shared" si="706"/>
        <v>6.9</v>
      </c>
      <c r="V4283" s="12">
        <f t="shared" si="707"/>
        <v>36.9</v>
      </c>
      <c r="W4283" s="2">
        <f>10.6*S4283</f>
        <v>21.2</v>
      </c>
      <c r="X4283" s="5">
        <f t="shared" si="700"/>
        <v>0.29333333333333333</v>
      </c>
      <c r="Z4283" s="2" t="s">
        <v>3231</v>
      </c>
      <c r="AA4283" s="2" t="s">
        <v>46</v>
      </c>
      <c r="AB4283" s="2" t="s">
        <v>57</v>
      </c>
      <c r="AC4283" s="2" t="s">
        <v>58</v>
      </c>
      <c r="AK4283" s="2">
        <f t="shared" si="701"/>
        <v>8.8000000000000007</v>
      </c>
      <c r="AL4283" s="5">
        <f t="shared" si="702"/>
        <v>0.29333333333333333</v>
      </c>
    </row>
    <row r="4284" spans="1:38" x14ac:dyDescent="0.2">
      <c r="A4284" s="2">
        <v>2026</v>
      </c>
      <c r="B4284" s="2">
        <v>7</v>
      </c>
      <c r="C4284" s="2" t="s">
        <v>3299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3274</v>
      </c>
      <c r="M4284" s="2" t="s">
        <v>81</v>
      </c>
      <c r="O4284" s="2" t="s">
        <v>3272</v>
      </c>
      <c r="P4284" s="2" t="s">
        <v>43</v>
      </c>
      <c r="Q4284" s="2" t="s">
        <v>163</v>
      </c>
      <c r="R4284" s="2" t="s">
        <v>164</v>
      </c>
      <c r="S4284" s="13">
        <v>2</v>
      </c>
      <c r="T4284" s="14">
        <v>24</v>
      </c>
      <c r="U4284" s="2">
        <f t="shared" si="706"/>
        <v>5.5200000000000005</v>
      </c>
      <c r="V4284" s="12">
        <f t="shared" si="707"/>
        <v>29.52</v>
      </c>
      <c r="X4284" s="5">
        <f t="shared" si="700"/>
        <v>1</v>
      </c>
      <c r="Z4284" s="2" t="s">
        <v>3231</v>
      </c>
      <c r="AA4284" s="2" t="s">
        <v>46</v>
      </c>
      <c r="AB4284" s="2" t="s">
        <v>47</v>
      </c>
      <c r="AC4284" s="2" t="s">
        <v>48</v>
      </c>
      <c r="AK4284" s="2">
        <f t="shared" si="701"/>
        <v>24</v>
      </c>
      <c r="AL4284" s="5">
        <f t="shared" si="702"/>
        <v>1</v>
      </c>
    </row>
    <row r="4285" spans="1:38" x14ac:dyDescent="0.2">
      <c r="A4285" s="2">
        <v>2026</v>
      </c>
      <c r="B4285" s="2">
        <v>7</v>
      </c>
      <c r="C4285" s="2" t="s">
        <v>3299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3274</v>
      </c>
      <c r="M4285" s="2" t="s">
        <v>81</v>
      </c>
      <c r="O4285" s="2" t="s">
        <v>3273</v>
      </c>
      <c r="P4285" s="2" t="s">
        <v>1040</v>
      </c>
      <c r="Q4285" s="2" t="s">
        <v>3269</v>
      </c>
      <c r="R4285" s="2" t="s">
        <v>3270</v>
      </c>
      <c r="S4285" s="13">
        <v>1</v>
      </c>
      <c r="T4285" s="14">
        <v>187</v>
      </c>
      <c r="U4285" s="2">
        <f t="shared" si="706"/>
        <v>43.010000000000005</v>
      </c>
      <c r="V4285" s="12">
        <f t="shared" si="707"/>
        <v>230.01</v>
      </c>
      <c r="W4285" s="2">
        <v>141.16</v>
      </c>
      <c r="X4285" s="5">
        <f t="shared" si="700"/>
        <v>0.24513368983957221</v>
      </c>
      <c r="Z4285" s="2" t="s">
        <v>3231</v>
      </c>
      <c r="AA4285" s="2" t="s">
        <v>76</v>
      </c>
      <c r="AB4285" s="2" t="s">
        <v>77</v>
      </c>
      <c r="AC4285" s="2" t="s">
        <v>1040</v>
      </c>
      <c r="AK4285" s="2">
        <f t="shared" si="701"/>
        <v>45.84</v>
      </c>
      <c r="AL4285" s="5">
        <f t="shared" si="702"/>
        <v>0.24513368983957221</v>
      </c>
    </row>
    <row r="4286" spans="1:38" x14ac:dyDescent="0.2">
      <c r="A4286" s="2">
        <v>2026</v>
      </c>
      <c r="B4286" s="2">
        <v>7</v>
      </c>
      <c r="C4286" s="2" t="s">
        <v>3299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3274</v>
      </c>
      <c r="M4286" s="2" t="s">
        <v>81</v>
      </c>
      <c r="O4286" s="2" t="s">
        <v>3273</v>
      </c>
      <c r="P4286" s="2" t="s">
        <v>94</v>
      </c>
      <c r="Q4286" s="2" t="s">
        <v>95</v>
      </c>
      <c r="R4286" s="2" t="s">
        <v>96</v>
      </c>
      <c r="S4286" s="13">
        <v>1</v>
      </c>
      <c r="T4286" s="14">
        <v>1.48</v>
      </c>
      <c r="U4286" s="2">
        <f t="shared" si="706"/>
        <v>0.34040000000000004</v>
      </c>
      <c r="V4286" s="12">
        <f t="shared" si="707"/>
        <v>1.8204</v>
      </c>
      <c r="W4286" s="2">
        <v>1.48</v>
      </c>
      <c r="X4286" s="5">
        <f t="shared" si="700"/>
        <v>0</v>
      </c>
      <c r="Z4286" s="2" t="s">
        <v>3231</v>
      </c>
      <c r="AA4286" s="2" t="s">
        <v>97</v>
      </c>
      <c r="AB4286" s="2" t="s">
        <v>77</v>
      </c>
      <c r="AC4286" s="2" t="s">
        <v>94</v>
      </c>
      <c r="AK4286" s="2">
        <f t="shared" si="701"/>
        <v>0</v>
      </c>
      <c r="AL4286" s="5">
        <f t="shared" si="702"/>
        <v>0</v>
      </c>
    </row>
    <row r="4287" spans="1:38" x14ac:dyDescent="0.2">
      <c r="A4287" s="2">
        <v>2026</v>
      </c>
      <c r="B4287" s="2">
        <v>7</v>
      </c>
      <c r="C4287" s="2" t="s">
        <v>3299</v>
      </c>
      <c r="D4287" s="2" t="s">
        <v>1469</v>
      </c>
      <c r="E4287" s="2" t="s">
        <v>38</v>
      </c>
      <c r="F4287" s="2" t="s">
        <v>39</v>
      </c>
      <c r="H4287" s="2" t="s">
        <v>110</v>
      </c>
      <c r="I4287" s="2" t="s">
        <v>1470</v>
      </c>
      <c r="L4287" s="2" t="s">
        <v>361</v>
      </c>
      <c r="M4287" s="2" t="s">
        <v>81</v>
      </c>
      <c r="O4287" s="2" t="s">
        <v>3283</v>
      </c>
      <c r="P4287" s="2" t="s">
        <v>73</v>
      </c>
      <c r="Q4287" s="2" t="s">
        <v>3032</v>
      </c>
      <c r="R4287" s="2" t="s">
        <v>332</v>
      </c>
      <c r="S4287" s="13">
        <v>1</v>
      </c>
      <c r="T4287" s="14">
        <v>220</v>
      </c>
      <c r="U4287" s="2">
        <f t="shared" si="706"/>
        <v>50.6</v>
      </c>
      <c r="V4287" s="12">
        <f t="shared" ref="V4287:V4302" si="708">T4287+U4287</f>
        <v>270.60000000000002</v>
      </c>
      <c r="W4287" s="2">
        <v>113.4</v>
      </c>
      <c r="X4287" s="5">
        <f t="shared" si="700"/>
        <v>0.4845454545454545</v>
      </c>
      <c r="Z4287" s="2" t="s">
        <v>3231</v>
      </c>
      <c r="AA4287" s="2" t="s">
        <v>76</v>
      </c>
      <c r="AB4287" s="2" t="s">
        <v>77</v>
      </c>
      <c r="AC4287" s="2" t="s">
        <v>78</v>
      </c>
      <c r="AK4287" s="2">
        <f t="shared" si="701"/>
        <v>106.6</v>
      </c>
      <c r="AL4287" s="5">
        <f t="shared" si="702"/>
        <v>0.4845454545454545</v>
      </c>
    </row>
    <row r="4288" spans="1:38" x14ac:dyDescent="0.2">
      <c r="A4288" s="2">
        <v>2026</v>
      </c>
      <c r="B4288" s="2">
        <v>7</v>
      </c>
      <c r="C4288" s="2" t="s">
        <v>3299</v>
      </c>
      <c r="D4288" s="2" t="s">
        <v>1469</v>
      </c>
      <c r="E4288" s="2" t="s">
        <v>38</v>
      </c>
      <c r="F4288" s="2" t="s">
        <v>39</v>
      </c>
      <c r="H4288" s="2" t="s">
        <v>110</v>
      </c>
      <c r="I4288" s="2" t="s">
        <v>1470</v>
      </c>
      <c r="L4288" s="2" t="s">
        <v>361</v>
      </c>
      <c r="M4288" s="2" t="s">
        <v>81</v>
      </c>
      <c r="O4288" s="2" t="s">
        <v>3283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706"/>
        <v>0.34040000000000004</v>
      </c>
      <c r="V4288" s="12">
        <f t="shared" si="708"/>
        <v>1.8204</v>
      </c>
      <c r="W4288" s="2">
        <v>1.48</v>
      </c>
      <c r="X4288" s="5">
        <f t="shared" si="700"/>
        <v>0</v>
      </c>
      <c r="Z4288" s="2" t="s">
        <v>3231</v>
      </c>
      <c r="AA4288" s="2" t="s">
        <v>97</v>
      </c>
      <c r="AB4288" s="2" t="s">
        <v>77</v>
      </c>
      <c r="AC4288" s="2" t="s">
        <v>94</v>
      </c>
      <c r="AK4288" s="2">
        <f t="shared" si="701"/>
        <v>0</v>
      </c>
      <c r="AL4288" s="5">
        <f t="shared" si="702"/>
        <v>0</v>
      </c>
    </row>
    <row r="4289" spans="1:38" x14ac:dyDescent="0.2">
      <c r="A4289" s="2">
        <v>2026</v>
      </c>
      <c r="B4289" s="2">
        <v>7</v>
      </c>
      <c r="D4289" s="2" t="s">
        <v>1155</v>
      </c>
      <c r="E4289" s="2" t="s">
        <v>109</v>
      </c>
      <c r="F4289" s="2" t="s">
        <v>532</v>
      </c>
      <c r="H4289" s="2" t="s">
        <v>40</v>
      </c>
      <c r="I4289" s="2" t="s">
        <v>3289</v>
      </c>
      <c r="L4289" s="2" t="s">
        <v>340</v>
      </c>
      <c r="M4289" s="2" t="s">
        <v>40</v>
      </c>
      <c r="O4289" s="2" t="s">
        <v>3290</v>
      </c>
      <c r="P4289" s="2" t="s">
        <v>283</v>
      </c>
      <c r="Q4289" s="2" t="s">
        <v>3001</v>
      </c>
      <c r="R4289" s="2" t="s">
        <v>3002</v>
      </c>
      <c r="S4289" s="13">
        <v>1</v>
      </c>
      <c r="T4289" s="14">
        <v>1190</v>
      </c>
      <c r="U4289" s="2">
        <f t="shared" si="706"/>
        <v>273.7</v>
      </c>
      <c r="V4289" s="12">
        <f t="shared" si="708"/>
        <v>1463.7</v>
      </c>
      <c r="W4289" s="2">
        <v>773.5</v>
      </c>
      <c r="X4289" s="5">
        <f t="shared" si="700"/>
        <v>0.35</v>
      </c>
      <c r="Z4289" s="2" t="s">
        <v>118</v>
      </c>
      <c r="AA4289" s="2" t="s">
        <v>182</v>
      </c>
      <c r="AB4289" s="2" t="s">
        <v>3386</v>
      </c>
      <c r="AC4289" s="2" t="s">
        <v>1329</v>
      </c>
      <c r="AK4289" s="2">
        <f t="shared" si="701"/>
        <v>416.5</v>
      </c>
      <c r="AL4289" s="5">
        <f t="shared" si="702"/>
        <v>0.35</v>
      </c>
    </row>
    <row r="4290" spans="1:38" x14ac:dyDescent="0.2">
      <c r="A4290" s="2">
        <v>2026</v>
      </c>
      <c r="B4290" s="2">
        <v>7</v>
      </c>
      <c r="C4290" s="2" t="s">
        <v>3299</v>
      </c>
      <c r="D4290" s="2" t="s">
        <v>3275</v>
      </c>
      <c r="E4290" s="2" t="s">
        <v>38</v>
      </c>
      <c r="F4290" s="2" t="s">
        <v>39</v>
      </c>
      <c r="H4290" s="2" t="s">
        <v>291</v>
      </c>
      <c r="I4290" s="2" t="s">
        <v>3285</v>
      </c>
      <c r="L4290" s="2" t="s">
        <v>340</v>
      </c>
      <c r="M4290" s="2" t="s">
        <v>81</v>
      </c>
      <c r="O4290" s="2" t="s">
        <v>3284</v>
      </c>
      <c r="P4290" s="2" t="s">
        <v>73</v>
      </c>
      <c r="Q4290" s="2" t="s">
        <v>914</v>
      </c>
      <c r="R4290" s="2" t="s">
        <v>75</v>
      </c>
      <c r="S4290" s="13">
        <v>1</v>
      </c>
      <c r="T4290" s="14">
        <v>230.23</v>
      </c>
      <c r="U4290" s="2">
        <f t="shared" si="706"/>
        <v>52.9529</v>
      </c>
      <c r="V4290" s="12">
        <f t="shared" si="708"/>
        <v>283.18290000000002</v>
      </c>
      <c r="W4290" s="2">
        <f>115.92+6.06</f>
        <v>121.98</v>
      </c>
      <c r="X4290" s="5">
        <f t="shared" si="700"/>
        <v>0.47018199192112231</v>
      </c>
      <c r="Z4290" s="2" t="s">
        <v>3231</v>
      </c>
      <c r="AA4290" s="2" t="s">
        <v>76</v>
      </c>
      <c r="AB4290" s="2" t="s">
        <v>77</v>
      </c>
      <c r="AC4290" s="2" t="s">
        <v>78</v>
      </c>
      <c r="AK4290" s="2">
        <f t="shared" si="701"/>
        <v>108.24999999999999</v>
      </c>
      <c r="AL4290" s="5">
        <f t="shared" si="702"/>
        <v>0.47018199192112231</v>
      </c>
    </row>
    <row r="4291" spans="1:38" x14ac:dyDescent="0.2">
      <c r="A4291" s="2">
        <v>2026</v>
      </c>
      <c r="B4291" s="2">
        <v>7</v>
      </c>
      <c r="C4291" s="2" t="s">
        <v>3299</v>
      </c>
      <c r="D4291" s="2" t="s">
        <v>3275</v>
      </c>
      <c r="E4291" s="2" t="s">
        <v>38</v>
      </c>
      <c r="F4291" s="2" t="s">
        <v>39</v>
      </c>
      <c r="H4291" s="2" t="s">
        <v>291</v>
      </c>
      <c r="I4291" s="2" t="s">
        <v>3285</v>
      </c>
      <c r="L4291" s="2" t="s">
        <v>340</v>
      </c>
      <c r="M4291" s="2" t="s">
        <v>81</v>
      </c>
      <c r="O4291" s="2" t="s">
        <v>3284</v>
      </c>
      <c r="P4291" s="2" t="s">
        <v>94</v>
      </c>
      <c r="Q4291" s="2" t="s">
        <v>95</v>
      </c>
      <c r="R4291" s="2" t="s">
        <v>96</v>
      </c>
      <c r="S4291" s="13">
        <v>1</v>
      </c>
      <c r="T4291" s="14">
        <v>1.48</v>
      </c>
      <c r="U4291" s="2">
        <f t="shared" si="706"/>
        <v>0.34040000000000004</v>
      </c>
      <c r="V4291" s="12">
        <f t="shared" si="708"/>
        <v>1.8204</v>
      </c>
      <c r="W4291" s="2">
        <v>1.48</v>
      </c>
      <c r="X4291" s="5">
        <f t="shared" si="700"/>
        <v>0</v>
      </c>
      <c r="Z4291" s="2" t="s">
        <v>3231</v>
      </c>
      <c r="AA4291" s="2" t="s">
        <v>97</v>
      </c>
      <c r="AB4291" s="2" t="s">
        <v>77</v>
      </c>
      <c r="AC4291" s="2" t="s">
        <v>94</v>
      </c>
      <c r="AK4291" s="2">
        <f t="shared" si="701"/>
        <v>0</v>
      </c>
      <c r="AL4291" s="5">
        <f t="shared" si="702"/>
        <v>0</v>
      </c>
    </row>
    <row r="4292" spans="1:38" x14ac:dyDescent="0.2">
      <c r="A4292" s="2">
        <v>2026</v>
      </c>
      <c r="B4292" s="2">
        <v>7</v>
      </c>
      <c r="D4292" s="2" t="s">
        <v>3276</v>
      </c>
      <c r="E4292" s="2" t="s">
        <v>753</v>
      </c>
      <c r="F4292" s="2" t="s">
        <v>920</v>
      </c>
      <c r="H4292" s="2" t="s">
        <v>40</v>
      </c>
      <c r="I4292" s="2" t="s">
        <v>3291</v>
      </c>
      <c r="L4292" s="2" t="s">
        <v>100</v>
      </c>
      <c r="M4292" s="2" t="s">
        <v>40</v>
      </c>
      <c r="O4292" s="2" t="s">
        <v>3292</v>
      </c>
      <c r="P4292" s="2" t="s">
        <v>115</v>
      </c>
      <c r="Q4292" s="2" t="s">
        <v>906</v>
      </c>
      <c r="R4292" s="2" t="s">
        <v>907</v>
      </c>
      <c r="S4292" s="13">
        <v>1</v>
      </c>
      <c r="T4292" s="14">
        <v>699.3</v>
      </c>
      <c r="U4292" s="2">
        <f t="shared" si="706"/>
        <v>160.839</v>
      </c>
      <c r="V4292" s="12">
        <f t="shared" si="708"/>
        <v>860.1389999999999</v>
      </c>
      <c r="W4292" s="2">
        <v>345.20339999999999</v>
      </c>
      <c r="X4292" s="5">
        <f t="shared" si="700"/>
        <v>0.50635864435864431</v>
      </c>
      <c r="Z4292" s="2" t="s">
        <v>118</v>
      </c>
      <c r="AA4292" s="2" t="s">
        <v>182</v>
      </c>
      <c r="AB4292" s="2" t="s">
        <v>120</v>
      </c>
      <c r="AC4292" s="2" t="s">
        <v>115</v>
      </c>
      <c r="AK4292" s="2">
        <f t="shared" si="701"/>
        <v>354.09659999999997</v>
      </c>
      <c r="AL4292" s="5">
        <f t="shared" si="702"/>
        <v>0.50635864435864431</v>
      </c>
    </row>
    <row r="4293" spans="1:38" x14ac:dyDescent="0.2">
      <c r="A4293" s="2">
        <v>2026</v>
      </c>
      <c r="B4293" s="2">
        <v>7</v>
      </c>
      <c r="D4293" s="2" t="s">
        <v>3276</v>
      </c>
      <c r="E4293" s="2" t="s">
        <v>753</v>
      </c>
      <c r="F4293" s="2" t="s">
        <v>920</v>
      </c>
      <c r="H4293" s="2" t="s">
        <v>40</v>
      </c>
      <c r="I4293" s="2" t="s">
        <v>3291</v>
      </c>
      <c r="L4293" s="2" t="s">
        <v>100</v>
      </c>
      <c r="M4293" s="2" t="s">
        <v>40</v>
      </c>
      <c r="O4293" s="2" t="s">
        <v>3292</v>
      </c>
      <c r="P4293" s="2" t="s">
        <v>188</v>
      </c>
      <c r="Q4293" s="2" t="s">
        <v>189</v>
      </c>
      <c r="R4293" s="2" t="s">
        <v>190</v>
      </c>
      <c r="S4293" s="13">
        <v>1</v>
      </c>
      <c r="T4293" s="14">
        <v>55</v>
      </c>
      <c r="U4293" s="2">
        <f t="shared" si="706"/>
        <v>12.65</v>
      </c>
      <c r="V4293" s="12">
        <f t="shared" si="708"/>
        <v>67.650000000000006</v>
      </c>
      <c r="W4293" s="2">
        <f>T4293*40%</f>
        <v>22</v>
      </c>
      <c r="X4293" s="5">
        <f t="shared" si="700"/>
        <v>0.6</v>
      </c>
      <c r="Z4293" s="2" t="s">
        <v>118</v>
      </c>
      <c r="AA4293" s="2" t="s">
        <v>191</v>
      </c>
      <c r="AB4293" s="2" t="s">
        <v>190</v>
      </c>
      <c r="AC4293" s="2" t="s">
        <v>40</v>
      </c>
      <c r="AK4293" s="2">
        <f t="shared" si="701"/>
        <v>33</v>
      </c>
      <c r="AL4293" s="5">
        <f t="shared" si="702"/>
        <v>0.6</v>
      </c>
    </row>
    <row r="4294" spans="1:38" x14ac:dyDescent="0.2">
      <c r="A4294" s="2">
        <v>2026</v>
      </c>
      <c r="B4294" s="2">
        <v>7</v>
      </c>
      <c r="D4294" s="2" t="s">
        <v>3276</v>
      </c>
      <c r="E4294" s="2" t="s">
        <v>753</v>
      </c>
      <c r="F4294" s="2" t="s">
        <v>920</v>
      </c>
      <c r="H4294" s="2" t="s">
        <v>40</v>
      </c>
      <c r="I4294" s="2" t="s">
        <v>3291</v>
      </c>
      <c r="L4294" s="2" t="s">
        <v>100</v>
      </c>
      <c r="M4294" s="2" t="s">
        <v>40</v>
      </c>
      <c r="O4294" s="2" t="s">
        <v>3292</v>
      </c>
      <c r="P4294" s="2" t="s">
        <v>188</v>
      </c>
      <c r="Q4294" s="2" t="s">
        <v>192</v>
      </c>
      <c r="R4294" s="2" t="s">
        <v>191</v>
      </c>
      <c r="S4294" s="13">
        <v>0.5</v>
      </c>
      <c r="T4294" s="14">
        <v>27.5</v>
      </c>
      <c r="U4294" s="2">
        <f t="shared" si="706"/>
        <v>6.3250000000000002</v>
      </c>
      <c r="V4294" s="12">
        <f t="shared" si="708"/>
        <v>33.825000000000003</v>
      </c>
      <c r="W4294" s="2">
        <f>T4294*50%</f>
        <v>13.75</v>
      </c>
      <c r="X4294" s="5">
        <f t="shared" si="700"/>
        <v>0.5</v>
      </c>
      <c r="Z4294" s="2" t="s">
        <v>118</v>
      </c>
      <c r="AA4294" s="2" t="s">
        <v>191</v>
      </c>
      <c r="AB4294" s="2" t="s">
        <v>191</v>
      </c>
      <c r="AC4294" s="2" t="s">
        <v>40</v>
      </c>
      <c r="AK4294" s="2">
        <f t="shared" si="701"/>
        <v>13.75</v>
      </c>
      <c r="AL4294" s="5">
        <f t="shared" si="702"/>
        <v>0.5</v>
      </c>
    </row>
    <row r="4295" spans="1:38" x14ac:dyDescent="0.2">
      <c r="A4295" s="2">
        <v>2026</v>
      </c>
      <c r="B4295" s="2">
        <v>7</v>
      </c>
      <c r="C4295" s="2" t="s">
        <v>3299</v>
      </c>
      <c r="D4295" s="2" t="s">
        <v>3277</v>
      </c>
      <c r="E4295" s="2" t="s">
        <v>109</v>
      </c>
      <c r="F4295" s="2" t="s">
        <v>39</v>
      </c>
      <c r="H4295" s="2" t="s">
        <v>291</v>
      </c>
      <c r="I4295" s="2" t="s">
        <v>3293</v>
      </c>
      <c r="L4295" s="2" t="s">
        <v>294</v>
      </c>
      <c r="M4295" s="2" t="s">
        <v>81</v>
      </c>
      <c r="O4295" s="2" t="s">
        <v>3294</v>
      </c>
      <c r="P4295" s="2" t="s">
        <v>73</v>
      </c>
      <c r="Q4295" s="2" t="s">
        <v>3278</v>
      </c>
      <c r="R4295" s="2" t="s">
        <v>308</v>
      </c>
      <c r="S4295" s="13">
        <v>1</v>
      </c>
      <c r="T4295" s="14">
        <v>220</v>
      </c>
      <c r="U4295" s="2">
        <f t="shared" si="706"/>
        <v>50.6</v>
      </c>
      <c r="V4295" s="12">
        <f t="shared" si="708"/>
        <v>270.60000000000002</v>
      </c>
      <c r="W4295" s="2">
        <v>119.95</v>
      </c>
      <c r="X4295" s="5">
        <f t="shared" si="700"/>
        <v>0.45477272727272727</v>
      </c>
      <c r="Z4295" s="2" t="s">
        <v>3231</v>
      </c>
      <c r="AA4295" s="2" t="s">
        <v>76</v>
      </c>
      <c r="AB4295" s="2" t="s">
        <v>77</v>
      </c>
      <c r="AC4295" s="2" t="s">
        <v>78</v>
      </c>
      <c r="AG4295" s="2">
        <v>119.95</v>
      </c>
      <c r="AK4295" s="2">
        <f t="shared" si="701"/>
        <v>100.05</v>
      </c>
      <c r="AL4295" s="5">
        <f t="shared" si="702"/>
        <v>0.45477272727272727</v>
      </c>
    </row>
    <row r="4296" spans="1:38" x14ac:dyDescent="0.2">
      <c r="A4296" s="2">
        <v>2026</v>
      </c>
      <c r="B4296" s="2">
        <v>7</v>
      </c>
      <c r="C4296" s="2" t="s">
        <v>3299</v>
      </c>
      <c r="D4296" s="2" t="s">
        <v>3277</v>
      </c>
      <c r="E4296" s="2" t="s">
        <v>109</v>
      </c>
      <c r="F4296" s="2" t="s">
        <v>39</v>
      </c>
      <c r="H4296" s="2" t="s">
        <v>291</v>
      </c>
      <c r="I4296" s="2" t="s">
        <v>3293</v>
      </c>
      <c r="L4296" s="2" t="s">
        <v>294</v>
      </c>
      <c r="M4296" s="2" t="s">
        <v>81</v>
      </c>
      <c r="O4296" s="2" t="s">
        <v>3294</v>
      </c>
      <c r="P4296" s="2" t="s">
        <v>94</v>
      </c>
      <c r="Q4296" s="2" t="s">
        <v>95</v>
      </c>
      <c r="R4296" s="2" t="s">
        <v>96</v>
      </c>
      <c r="S4296" s="13">
        <v>1</v>
      </c>
      <c r="T4296" s="14">
        <v>1.48</v>
      </c>
      <c r="U4296" s="2">
        <f t="shared" si="706"/>
        <v>0.34040000000000004</v>
      </c>
      <c r="V4296" s="12">
        <f t="shared" si="708"/>
        <v>1.8204</v>
      </c>
      <c r="W4296" s="2">
        <v>1.48</v>
      </c>
      <c r="X4296" s="5">
        <f t="shared" si="700"/>
        <v>0</v>
      </c>
      <c r="Z4296" s="2" t="s">
        <v>3231</v>
      </c>
      <c r="AA4296" s="2" t="s">
        <v>97</v>
      </c>
      <c r="AB4296" s="2" t="s">
        <v>77</v>
      </c>
      <c r="AC4296" s="2" t="s">
        <v>94</v>
      </c>
      <c r="AG4296" s="2">
        <v>1.48</v>
      </c>
      <c r="AK4296" s="2">
        <f t="shared" si="701"/>
        <v>0</v>
      </c>
      <c r="AL4296" s="5">
        <f t="shared" si="702"/>
        <v>0</v>
      </c>
    </row>
    <row r="4297" spans="1:38" x14ac:dyDescent="0.2">
      <c r="A4297" s="2">
        <v>2026</v>
      </c>
      <c r="B4297" s="2">
        <v>7</v>
      </c>
      <c r="C4297" s="2" t="s">
        <v>3300</v>
      </c>
      <c r="D4297" s="2" t="s">
        <v>3104</v>
      </c>
      <c r="E4297" s="2" t="s">
        <v>38</v>
      </c>
      <c r="F4297" s="2" t="s">
        <v>39</v>
      </c>
      <c r="H4297" s="2" t="s">
        <v>110</v>
      </c>
      <c r="I4297" s="2" t="s">
        <v>3288</v>
      </c>
      <c r="L4297" s="2" t="s">
        <v>134</v>
      </c>
      <c r="M4297" s="2" t="s">
        <v>110</v>
      </c>
      <c r="O4297" s="2" t="s">
        <v>3287</v>
      </c>
      <c r="P4297" s="2" t="s">
        <v>102</v>
      </c>
      <c r="Q4297" s="2" t="s">
        <v>263</v>
      </c>
      <c r="R4297" s="2" t="s">
        <v>264</v>
      </c>
      <c r="S4297" s="13">
        <v>1</v>
      </c>
      <c r="T4297" s="14">
        <v>13000</v>
      </c>
      <c r="U4297" s="2">
        <f t="shared" si="706"/>
        <v>2990</v>
      </c>
      <c r="V4297" s="12">
        <f t="shared" si="708"/>
        <v>15990</v>
      </c>
      <c r="W4297" s="2">
        <v>8765.42</v>
      </c>
      <c r="X4297" s="5">
        <f t="shared" si="700"/>
        <v>0.32573692307692309</v>
      </c>
      <c r="Z4297" s="2" t="s">
        <v>105</v>
      </c>
      <c r="AA4297" s="2" t="s">
        <v>265</v>
      </c>
      <c r="AB4297" s="2" t="s">
        <v>266</v>
      </c>
      <c r="AC4297" s="2" t="s">
        <v>102</v>
      </c>
      <c r="AG4297" s="2">
        <v>8765.42</v>
      </c>
      <c r="AK4297" s="2">
        <f t="shared" si="701"/>
        <v>4234.58</v>
      </c>
      <c r="AL4297" s="5">
        <f t="shared" si="702"/>
        <v>0.32573692307692309</v>
      </c>
    </row>
    <row r="4298" spans="1:38" x14ac:dyDescent="0.2">
      <c r="A4298" s="2">
        <v>2026</v>
      </c>
      <c r="B4298" s="2">
        <v>7</v>
      </c>
      <c r="C4298" s="2" t="s">
        <v>3300</v>
      </c>
      <c r="D4298" s="2" t="s">
        <v>3104</v>
      </c>
      <c r="E4298" s="2" t="s">
        <v>38</v>
      </c>
      <c r="F4298" s="2" t="s">
        <v>39</v>
      </c>
      <c r="H4298" s="2" t="s">
        <v>110</v>
      </c>
      <c r="I4298" s="2" t="s">
        <v>3288</v>
      </c>
      <c r="L4298" s="2" t="s">
        <v>134</v>
      </c>
      <c r="M4298" s="2" t="s">
        <v>110</v>
      </c>
      <c r="O4298" s="2" t="s">
        <v>3287</v>
      </c>
      <c r="P4298" s="2" t="s">
        <v>102</v>
      </c>
      <c r="Q4298" s="2" t="s">
        <v>3279</v>
      </c>
      <c r="R4298" s="2" t="s">
        <v>3280</v>
      </c>
      <c r="S4298" s="13">
        <v>1</v>
      </c>
      <c r="T4298" s="14">
        <v>6000</v>
      </c>
      <c r="U4298" s="2">
        <f t="shared" si="706"/>
        <v>1380</v>
      </c>
      <c r="V4298" s="12">
        <f t="shared" si="708"/>
        <v>7380</v>
      </c>
      <c r="W4298" s="2">
        <v>4221.5600000000004</v>
      </c>
      <c r="X4298" s="5">
        <f t="shared" si="700"/>
        <v>0.2964066666666666</v>
      </c>
      <c r="Z4298" s="2" t="s">
        <v>105</v>
      </c>
      <c r="AA4298" s="2" t="s">
        <v>106</v>
      </c>
      <c r="AB4298" s="2" t="s">
        <v>2031</v>
      </c>
      <c r="AC4298" s="2" t="s">
        <v>102</v>
      </c>
      <c r="AG4298" s="2">
        <v>4221.5600000000004</v>
      </c>
      <c r="AK4298" s="2">
        <f t="shared" si="701"/>
        <v>1778.4399999999996</v>
      </c>
      <c r="AL4298" s="5">
        <f t="shared" si="702"/>
        <v>0.2964066666666666</v>
      </c>
    </row>
    <row r="4299" spans="1:38" x14ac:dyDescent="0.2">
      <c r="A4299" s="2">
        <v>2026</v>
      </c>
      <c r="B4299" s="2">
        <v>7</v>
      </c>
      <c r="C4299" s="2" t="s">
        <v>3300</v>
      </c>
      <c r="D4299" s="2" t="s">
        <v>3104</v>
      </c>
      <c r="E4299" s="2" t="s">
        <v>38</v>
      </c>
      <c r="F4299" s="2" t="s">
        <v>39</v>
      </c>
      <c r="H4299" s="2" t="s">
        <v>110</v>
      </c>
      <c r="I4299" s="2" t="s">
        <v>3288</v>
      </c>
      <c r="L4299" s="2" t="s">
        <v>134</v>
      </c>
      <c r="M4299" s="2" t="s">
        <v>110</v>
      </c>
      <c r="O4299" s="2" t="s">
        <v>3287</v>
      </c>
      <c r="P4299" s="2" t="s">
        <v>102</v>
      </c>
      <c r="Q4299" s="2" t="s">
        <v>3281</v>
      </c>
      <c r="R4299" s="2" t="s">
        <v>3282</v>
      </c>
      <c r="S4299" s="13">
        <v>1</v>
      </c>
      <c r="T4299" s="14">
        <v>1000</v>
      </c>
      <c r="U4299" s="2">
        <f t="shared" si="706"/>
        <v>230</v>
      </c>
      <c r="V4299" s="12">
        <f t="shared" si="708"/>
        <v>1230</v>
      </c>
      <c r="W4299" s="2">
        <v>802.73</v>
      </c>
      <c r="X4299" s="5">
        <f t="shared" si="700"/>
        <v>0.19726999999999997</v>
      </c>
      <c r="Z4299" s="2" t="s">
        <v>105</v>
      </c>
      <c r="AA4299" s="2" t="s">
        <v>1113</v>
      </c>
      <c r="AB4299" s="2" t="s">
        <v>3286</v>
      </c>
      <c r="AC4299" s="2" t="s">
        <v>102</v>
      </c>
      <c r="AG4299" s="2">
        <v>802.73</v>
      </c>
      <c r="AK4299" s="2">
        <f t="shared" si="701"/>
        <v>197.26999999999998</v>
      </c>
      <c r="AL4299" s="5">
        <f t="shared" si="702"/>
        <v>0.19726999999999997</v>
      </c>
    </row>
    <row r="4300" spans="1:38" x14ac:dyDescent="0.2">
      <c r="A4300" s="2">
        <v>2026</v>
      </c>
      <c r="B4300" s="2">
        <v>7</v>
      </c>
      <c r="C4300" s="2" t="s">
        <v>3299</v>
      </c>
      <c r="D4300" s="2" t="s">
        <v>1997</v>
      </c>
      <c r="E4300" s="2" t="s">
        <v>109</v>
      </c>
      <c r="F4300" s="2" t="s">
        <v>39</v>
      </c>
      <c r="H4300" s="2" t="s">
        <v>291</v>
      </c>
      <c r="I4300" s="2" t="s">
        <v>3285</v>
      </c>
      <c r="L4300" s="2" t="s">
        <v>340</v>
      </c>
      <c r="M4300" s="2" t="s">
        <v>40</v>
      </c>
      <c r="O4300" s="2" t="s">
        <v>3295</v>
      </c>
      <c r="P4300" s="2" t="s">
        <v>188</v>
      </c>
      <c r="Q4300" s="2" t="s">
        <v>189</v>
      </c>
      <c r="R4300" s="2" t="s">
        <v>190</v>
      </c>
      <c r="S4300" s="13">
        <v>1</v>
      </c>
      <c r="T4300" s="14">
        <v>60</v>
      </c>
      <c r="U4300" s="2">
        <f t="shared" si="706"/>
        <v>13.8</v>
      </c>
      <c r="V4300" s="12">
        <f t="shared" si="708"/>
        <v>73.8</v>
      </c>
      <c r="W4300" s="2">
        <f>T4300*40%</f>
        <v>24</v>
      </c>
      <c r="X4300" s="5">
        <f t="shared" si="700"/>
        <v>0.6</v>
      </c>
      <c r="Z4300" s="2" t="s">
        <v>118</v>
      </c>
      <c r="AA4300" s="2" t="s">
        <v>191</v>
      </c>
      <c r="AB4300" s="2" t="s">
        <v>190</v>
      </c>
      <c r="AC4300" s="2" t="s">
        <v>40</v>
      </c>
      <c r="AK4300" s="2">
        <f t="shared" si="701"/>
        <v>36</v>
      </c>
      <c r="AL4300" s="5">
        <f t="shared" si="702"/>
        <v>0.6</v>
      </c>
    </row>
    <row r="4301" spans="1:38" x14ac:dyDescent="0.2">
      <c r="A4301" s="2">
        <v>2026</v>
      </c>
      <c r="B4301" s="2">
        <v>7</v>
      </c>
      <c r="C4301" s="2" t="s">
        <v>3444</v>
      </c>
      <c r="D4301" s="2" t="s">
        <v>1997</v>
      </c>
      <c r="E4301" s="2" t="s">
        <v>109</v>
      </c>
      <c r="F4301" s="2" t="s">
        <v>39</v>
      </c>
      <c r="H4301" s="2" t="s">
        <v>291</v>
      </c>
      <c r="I4301" s="2" t="s">
        <v>3285</v>
      </c>
      <c r="L4301" s="2" t="s">
        <v>340</v>
      </c>
      <c r="M4301" s="2" t="s">
        <v>40</v>
      </c>
      <c r="O4301" s="2" t="s">
        <v>3295</v>
      </c>
      <c r="P4301" s="2" t="s">
        <v>188</v>
      </c>
      <c r="Q4301" s="2" t="s">
        <v>192</v>
      </c>
      <c r="R4301" s="2" t="s">
        <v>191</v>
      </c>
      <c r="S4301" s="13">
        <v>1</v>
      </c>
      <c r="T4301" s="14">
        <v>55</v>
      </c>
      <c r="U4301" s="2">
        <f t="shared" si="706"/>
        <v>12.65</v>
      </c>
      <c r="V4301" s="12">
        <f t="shared" si="708"/>
        <v>67.650000000000006</v>
      </c>
      <c r="W4301" s="2">
        <f>T4301*50%</f>
        <v>27.5</v>
      </c>
      <c r="X4301" s="5">
        <f t="shared" si="700"/>
        <v>0.5</v>
      </c>
      <c r="Z4301" s="2" t="s">
        <v>118</v>
      </c>
      <c r="AA4301" s="2" t="s">
        <v>191</v>
      </c>
      <c r="AB4301" s="2" t="s">
        <v>191</v>
      </c>
      <c r="AC4301" s="2" t="s">
        <v>40</v>
      </c>
      <c r="AK4301" s="2">
        <f t="shared" si="701"/>
        <v>27.5</v>
      </c>
      <c r="AL4301" s="5">
        <f t="shared" si="702"/>
        <v>0.5</v>
      </c>
    </row>
    <row r="4302" spans="1:38" x14ac:dyDescent="0.2">
      <c r="A4302" s="2">
        <v>2026</v>
      </c>
      <c r="B4302" s="2">
        <v>7</v>
      </c>
      <c r="C4302" s="2" t="s">
        <v>3299</v>
      </c>
      <c r="D4302" s="2" t="s">
        <v>1486</v>
      </c>
      <c r="E4302" s="2" t="s">
        <v>109</v>
      </c>
      <c r="F4302" s="2" t="s">
        <v>39</v>
      </c>
      <c r="L4302" s="2" t="s">
        <v>399</v>
      </c>
      <c r="M4302" s="2" t="s">
        <v>40</v>
      </c>
      <c r="P4302" s="2" t="s">
        <v>115</v>
      </c>
      <c r="Q4302" s="2" t="s">
        <v>906</v>
      </c>
      <c r="R4302" s="2" t="s">
        <v>907</v>
      </c>
      <c r="S4302" s="13">
        <v>1</v>
      </c>
      <c r="T4302" s="14">
        <v>699.3</v>
      </c>
      <c r="U4302" s="2">
        <f>T4302*23%</f>
        <v>160.839</v>
      </c>
      <c r="V4302" s="2">
        <f t="shared" si="708"/>
        <v>860.1389999999999</v>
      </c>
      <c r="W4302" s="2">
        <v>345.20339999999999</v>
      </c>
      <c r="X4302" s="5">
        <f t="shared" si="700"/>
        <v>0.50635864435864431</v>
      </c>
      <c r="Z4302" s="2" t="s">
        <v>118</v>
      </c>
      <c r="AA4302" s="2" t="s">
        <v>182</v>
      </c>
      <c r="AB4302" s="2" t="s">
        <v>120</v>
      </c>
      <c r="AC4302" s="2" t="s">
        <v>115</v>
      </c>
      <c r="AK4302" s="2">
        <f t="shared" ref="AK4302:AK4364" si="709">T4302-W4302</f>
        <v>354.09659999999997</v>
      </c>
      <c r="AL4302" s="5">
        <f t="shared" ref="AL4302:AL4364" si="710">(T4302-W4302)/T4302</f>
        <v>0.50635864435864431</v>
      </c>
    </row>
    <row r="4303" spans="1:38" x14ac:dyDescent="0.2">
      <c r="A4303" s="2">
        <v>2026</v>
      </c>
      <c r="B4303" s="2">
        <v>7</v>
      </c>
      <c r="C4303" s="2" t="s">
        <v>3299</v>
      </c>
      <c r="D4303" s="2" t="s">
        <v>1486</v>
      </c>
      <c r="E4303" s="2" t="s">
        <v>109</v>
      </c>
      <c r="F4303" s="2" t="s">
        <v>39</v>
      </c>
      <c r="L4303" s="2" t="s">
        <v>399</v>
      </c>
      <c r="M4303" s="2" t="s">
        <v>40</v>
      </c>
      <c r="P4303" s="2" t="s">
        <v>188</v>
      </c>
      <c r="Q4303" s="2" t="s">
        <v>189</v>
      </c>
      <c r="R4303" s="2" t="s">
        <v>190</v>
      </c>
      <c r="S4303" s="13">
        <v>1</v>
      </c>
      <c r="T4303" s="14">
        <v>314</v>
      </c>
      <c r="U4303" s="2">
        <f t="shared" ref="U4303:U4365" si="711">T4303*23%</f>
        <v>72.22</v>
      </c>
      <c r="V4303" s="2">
        <f t="shared" ref="V4303:V4365" si="712">T4303+U4303</f>
        <v>386.22</v>
      </c>
      <c r="W4303" s="2">
        <f>T4303*40%</f>
        <v>125.60000000000001</v>
      </c>
      <c r="X4303" s="5">
        <f t="shared" si="700"/>
        <v>0.6</v>
      </c>
      <c r="Z4303" s="2" t="s">
        <v>118</v>
      </c>
      <c r="AA4303" s="2" t="s">
        <v>191</v>
      </c>
      <c r="AB4303" s="2" t="s">
        <v>190</v>
      </c>
      <c r="AC4303" s="2" t="s">
        <v>40</v>
      </c>
      <c r="AK4303" s="2">
        <f t="shared" si="709"/>
        <v>188.39999999999998</v>
      </c>
      <c r="AL4303" s="5">
        <f t="shared" si="710"/>
        <v>0.6</v>
      </c>
    </row>
    <row r="4304" spans="1:38" x14ac:dyDescent="0.2">
      <c r="A4304" s="2">
        <v>2026</v>
      </c>
      <c r="B4304" s="2">
        <v>7</v>
      </c>
      <c r="C4304" s="2" t="s">
        <v>3299</v>
      </c>
      <c r="D4304" s="2" t="s">
        <v>1486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188</v>
      </c>
      <c r="Q4304" s="2" t="s">
        <v>192</v>
      </c>
      <c r="R4304" s="2" t="s">
        <v>191</v>
      </c>
      <c r="S4304" s="13">
        <v>1</v>
      </c>
      <c r="T4304" s="14">
        <v>55</v>
      </c>
      <c r="U4304" s="2">
        <f t="shared" si="711"/>
        <v>12.65</v>
      </c>
      <c r="V4304" s="2">
        <f t="shared" si="712"/>
        <v>67.650000000000006</v>
      </c>
      <c r="W4304" s="2">
        <f>T4304*50%</f>
        <v>27.5</v>
      </c>
      <c r="X4304" s="5">
        <f t="shared" si="700"/>
        <v>0.5</v>
      </c>
      <c r="Z4304" s="2" t="s">
        <v>118</v>
      </c>
      <c r="AA4304" s="2" t="s">
        <v>191</v>
      </c>
      <c r="AB4304" s="2" t="s">
        <v>191</v>
      </c>
      <c r="AC4304" s="2" t="s">
        <v>40</v>
      </c>
      <c r="AK4304" s="2">
        <f t="shared" si="709"/>
        <v>27.5</v>
      </c>
      <c r="AL4304" s="5">
        <f t="shared" si="710"/>
        <v>0.5</v>
      </c>
    </row>
    <row r="4305" spans="1:38" x14ac:dyDescent="0.2">
      <c r="A4305" s="2">
        <v>2026</v>
      </c>
      <c r="B4305" s="2">
        <v>7</v>
      </c>
      <c r="C4305" s="2" t="s">
        <v>3300</v>
      </c>
      <c r="D4305" s="2" t="s">
        <v>3337</v>
      </c>
      <c r="E4305" s="2" t="s">
        <v>109</v>
      </c>
      <c r="F4305" s="2" t="s">
        <v>39</v>
      </c>
      <c r="L4305" s="2" t="s">
        <v>340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60</v>
      </c>
      <c r="U4305" s="2">
        <f t="shared" si="711"/>
        <v>13.8</v>
      </c>
      <c r="V4305" s="2">
        <f t="shared" si="712"/>
        <v>73.8</v>
      </c>
      <c r="W4305" s="2">
        <f>T4305*40%</f>
        <v>24</v>
      </c>
      <c r="X4305" s="5">
        <f t="shared" si="700"/>
        <v>0.6</v>
      </c>
      <c r="Z4305" s="2" t="s">
        <v>118</v>
      </c>
      <c r="AA4305" s="2" t="s">
        <v>191</v>
      </c>
      <c r="AB4305" s="2" t="s">
        <v>190</v>
      </c>
      <c r="AC4305" s="2" t="s">
        <v>40</v>
      </c>
      <c r="AK4305" s="2">
        <f t="shared" si="709"/>
        <v>36</v>
      </c>
      <c r="AL4305" s="5">
        <f t="shared" si="710"/>
        <v>0.6</v>
      </c>
    </row>
    <row r="4306" spans="1:38" x14ac:dyDescent="0.2">
      <c r="A4306" s="2">
        <v>2026</v>
      </c>
      <c r="B4306" s="2">
        <v>7</v>
      </c>
      <c r="C4306" s="2" t="s">
        <v>3300</v>
      </c>
      <c r="D4306" s="2" t="s">
        <v>3337</v>
      </c>
      <c r="E4306" s="2" t="s">
        <v>109</v>
      </c>
      <c r="F4306" s="2" t="s">
        <v>39</v>
      </c>
      <c r="L4306" s="2" t="s">
        <v>340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711"/>
        <v>12.65</v>
      </c>
      <c r="V4306" s="2">
        <f t="shared" si="712"/>
        <v>67.650000000000006</v>
      </c>
      <c r="W4306" s="2">
        <f>T4306*50%</f>
        <v>27.5</v>
      </c>
      <c r="X4306" s="5">
        <f t="shared" si="700"/>
        <v>0.5</v>
      </c>
      <c r="Z4306" s="2" t="s">
        <v>118</v>
      </c>
      <c r="AA4306" s="2" t="s">
        <v>191</v>
      </c>
      <c r="AB4306" s="2" t="s">
        <v>191</v>
      </c>
      <c r="AC4306" s="2" t="s">
        <v>40</v>
      </c>
      <c r="AK4306" s="2">
        <f t="shared" si="709"/>
        <v>27.5</v>
      </c>
      <c r="AL4306" s="5">
        <f t="shared" si="710"/>
        <v>0.5</v>
      </c>
    </row>
    <row r="4307" spans="1:38" x14ac:dyDescent="0.2">
      <c r="A4307" s="2">
        <v>2026</v>
      </c>
      <c r="B4307" s="2">
        <v>7</v>
      </c>
      <c r="C4307" s="2" t="s">
        <v>3299</v>
      </c>
      <c r="D4307" s="2" t="s">
        <v>3338</v>
      </c>
      <c r="E4307" s="2" t="s">
        <v>38</v>
      </c>
      <c r="F4307" s="2" t="s">
        <v>39</v>
      </c>
      <c r="H4307" s="2" t="s">
        <v>110</v>
      </c>
      <c r="L4307" s="2" t="s">
        <v>462</v>
      </c>
      <c r="M4307" s="2" t="s">
        <v>81</v>
      </c>
      <c r="P4307" s="2" t="s">
        <v>73</v>
      </c>
      <c r="Q4307" s="2" t="s">
        <v>665</v>
      </c>
      <c r="R4307" s="2" t="s">
        <v>80</v>
      </c>
      <c r="S4307" s="13">
        <v>1</v>
      </c>
      <c r="T4307" s="14">
        <v>220</v>
      </c>
      <c r="U4307" s="2">
        <f t="shared" si="711"/>
        <v>50.6</v>
      </c>
      <c r="V4307" s="2">
        <f t="shared" si="712"/>
        <v>270.60000000000002</v>
      </c>
      <c r="W4307" s="2">
        <f>113.905+11.25</f>
        <v>125.155</v>
      </c>
      <c r="X4307" s="5">
        <f t="shared" si="700"/>
        <v>0.43111363636363637</v>
      </c>
      <c r="Z4307" s="2" t="s">
        <v>3231</v>
      </c>
      <c r="AA4307" s="2" t="s">
        <v>76</v>
      </c>
      <c r="AB4307" s="2" t="s">
        <v>77</v>
      </c>
      <c r="AC4307" s="2" t="s">
        <v>78</v>
      </c>
      <c r="AK4307" s="2">
        <f t="shared" si="709"/>
        <v>94.844999999999999</v>
      </c>
      <c r="AL4307" s="5">
        <f t="shared" si="710"/>
        <v>0.43111363636363637</v>
      </c>
    </row>
    <row r="4308" spans="1:38" x14ac:dyDescent="0.2">
      <c r="A4308" s="2">
        <v>2026</v>
      </c>
      <c r="B4308" s="2">
        <v>7</v>
      </c>
      <c r="C4308" s="2" t="s">
        <v>3299</v>
      </c>
      <c r="D4308" s="2" t="s">
        <v>3338</v>
      </c>
      <c r="E4308" s="2" t="s">
        <v>38</v>
      </c>
      <c r="F4308" s="2" t="s">
        <v>39</v>
      </c>
      <c r="H4308" s="2" t="s">
        <v>110</v>
      </c>
      <c r="L4308" s="2" t="s">
        <v>462</v>
      </c>
      <c r="M4308" s="2" t="s">
        <v>81</v>
      </c>
      <c r="P4308" s="2" t="s">
        <v>94</v>
      </c>
      <c r="Q4308" s="2" t="s">
        <v>95</v>
      </c>
      <c r="R4308" s="2" t="s">
        <v>96</v>
      </c>
      <c r="S4308" s="13">
        <v>1</v>
      </c>
      <c r="T4308" s="14">
        <v>1.48</v>
      </c>
      <c r="U4308" s="2">
        <f t="shared" si="711"/>
        <v>0.34040000000000004</v>
      </c>
      <c r="V4308" s="2">
        <f t="shared" si="712"/>
        <v>1.8204</v>
      </c>
      <c r="W4308" s="2">
        <v>1.48</v>
      </c>
      <c r="X4308" s="5">
        <f t="shared" si="700"/>
        <v>0</v>
      </c>
      <c r="Z4308" s="2" t="s">
        <v>3231</v>
      </c>
      <c r="AA4308" s="2" t="s">
        <v>97</v>
      </c>
      <c r="AB4308" s="2" t="s">
        <v>77</v>
      </c>
      <c r="AC4308" s="2" t="s">
        <v>94</v>
      </c>
      <c r="AK4308" s="2">
        <f t="shared" si="709"/>
        <v>0</v>
      </c>
      <c r="AL4308" s="5">
        <f t="shared" si="710"/>
        <v>0</v>
      </c>
    </row>
    <row r="4309" spans="1:38" x14ac:dyDescent="0.2">
      <c r="A4309" s="2">
        <v>2026</v>
      </c>
      <c r="B4309" s="2">
        <v>7</v>
      </c>
      <c r="C4309" s="2" t="s">
        <v>3300</v>
      </c>
      <c r="D4309" s="15" t="s">
        <v>716</v>
      </c>
      <c r="E4309" s="2" t="s">
        <v>109</v>
      </c>
      <c r="F4309" s="2" t="s">
        <v>39</v>
      </c>
      <c r="L4309" s="2" t="s">
        <v>345</v>
      </c>
      <c r="M4309" s="2" t="s">
        <v>40</v>
      </c>
      <c r="P4309" s="2" t="s">
        <v>188</v>
      </c>
      <c r="Q4309" s="2" t="s">
        <v>189</v>
      </c>
      <c r="R4309" s="2" t="s">
        <v>190</v>
      </c>
      <c r="S4309" s="9">
        <v>2</v>
      </c>
      <c r="T4309" s="14">
        <v>634</v>
      </c>
      <c r="U4309" s="2">
        <f t="shared" si="711"/>
        <v>145.82</v>
      </c>
      <c r="V4309" s="2">
        <f t="shared" si="712"/>
        <v>779.81999999999994</v>
      </c>
      <c r="W4309" s="2">
        <f>T4309*40%</f>
        <v>253.60000000000002</v>
      </c>
      <c r="X4309" s="5">
        <f t="shared" si="700"/>
        <v>0.6</v>
      </c>
      <c r="Z4309" s="2" t="s">
        <v>118</v>
      </c>
      <c r="AA4309" s="2" t="s">
        <v>191</v>
      </c>
      <c r="AB4309" s="2" t="s">
        <v>190</v>
      </c>
      <c r="AC4309" s="2" t="s">
        <v>40</v>
      </c>
      <c r="AK4309" s="2">
        <f t="shared" si="709"/>
        <v>380.4</v>
      </c>
      <c r="AL4309" s="5">
        <f t="shared" si="710"/>
        <v>0.6</v>
      </c>
    </row>
    <row r="4310" spans="1:38" x14ac:dyDescent="0.2">
      <c r="A4310" s="2">
        <v>2026</v>
      </c>
      <c r="B4310" s="2">
        <v>7</v>
      </c>
      <c r="C4310" s="2" t="s">
        <v>3300</v>
      </c>
      <c r="D4310" s="15" t="s">
        <v>716</v>
      </c>
      <c r="E4310" s="2" t="s">
        <v>109</v>
      </c>
      <c r="F4310" s="2" t="s">
        <v>39</v>
      </c>
      <c r="L4310" s="2" t="s">
        <v>345</v>
      </c>
      <c r="M4310" s="2" t="s">
        <v>40</v>
      </c>
      <c r="P4310" s="2" t="s">
        <v>188</v>
      </c>
      <c r="Q4310" s="2" t="s">
        <v>192</v>
      </c>
      <c r="R4310" s="2" t="s">
        <v>191</v>
      </c>
      <c r="S4310" s="9">
        <v>3.5</v>
      </c>
      <c r="T4310" s="14">
        <v>192.5</v>
      </c>
      <c r="U4310" s="2">
        <f t="shared" si="711"/>
        <v>44.274999999999999</v>
      </c>
      <c r="V4310" s="2">
        <f t="shared" si="712"/>
        <v>236.77500000000001</v>
      </c>
      <c r="W4310" s="2">
        <f>T4310*50%</f>
        <v>96.25</v>
      </c>
      <c r="X4310" s="5">
        <f t="shared" si="700"/>
        <v>0.5</v>
      </c>
      <c r="Z4310" s="2" t="s">
        <v>118</v>
      </c>
      <c r="AA4310" s="2" t="s">
        <v>191</v>
      </c>
      <c r="AB4310" s="2" t="s">
        <v>191</v>
      </c>
      <c r="AC4310" s="2" t="s">
        <v>40</v>
      </c>
      <c r="AK4310" s="2">
        <f t="shared" si="709"/>
        <v>96.25</v>
      </c>
      <c r="AL4310" s="5">
        <f t="shared" si="710"/>
        <v>0.5</v>
      </c>
    </row>
    <row r="4311" spans="1:38" x14ac:dyDescent="0.2">
      <c r="A4311" s="2">
        <v>2026</v>
      </c>
      <c r="B4311" s="2">
        <v>7</v>
      </c>
      <c r="C4311" s="2" t="s">
        <v>3299</v>
      </c>
      <c r="D4311" s="15" t="s">
        <v>975</v>
      </c>
      <c r="E4311" s="2" t="s">
        <v>109</v>
      </c>
      <c r="F4311" s="2" t="s">
        <v>39</v>
      </c>
      <c r="L4311" s="2" t="s">
        <v>340</v>
      </c>
      <c r="M4311" s="2" t="s">
        <v>40</v>
      </c>
      <c r="P4311" s="2" t="s">
        <v>188</v>
      </c>
      <c r="Q4311" s="16" t="s">
        <v>189</v>
      </c>
      <c r="R4311" s="15" t="s">
        <v>190</v>
      </c>
      <c r="S4311" s="9">
        <v>1</v>
      </c>
      <c r="T4311" s="14">
        <v>60</v>
      </c>
      <c r="U4311" s="2">
        <f t="shared" si="711"/>
        <v>13.8</v>
      </c>
      <c r="V4311" s="2">
        <f t="shared" si="712"/>
        <v>73.8</v>
      </c>
      <c r="W4311" s="2">
        <f>T4311*40%</f>
        <v>24</v>
      </c>
      <c r="X4311" s="5">
        <f t="shared" si="700"/>
        <v>0.6</v>
      </c>
      <c r="Z4311" s="2" t="s">
        <v>118</v>
      </c>
      <c r="AA4311" s="2" t="s">
        <v>191</v>
      </c>
      <c r="AB4311" s="2" t="s">
        <v>190</v>
      </c>
      <c r="AC4311" s="2" t="s">
        <v>40</v>
      </c>
      <c r="AK4311" s="2">
        <f t="shared" si="709"/>
        <v>36</v>
      </c>
      <c r="AL4311" s="5">
        <f t="shared" si="710"/>
        <v>0.6</v>
      </c>
    </row>
    <row r="4312" spans="1:38" x14ac:dyDescent="0.2">
      <c r="A4312" s="2">
        <v>2026</v>
      </c>
      <c r="B4312" s="2">
        <v>7</v>
      </c>
      <c r="C4312" s="2" t="s">
        <v>3299</v>
      </c>
      <c r="D4312" s="15" t="s">
        <v>975</v>
      </c>
      <c r="E4312" s="2" t="s">
        <v>109</v>
      </c>
      <c r="F4312" s="2" t="s">
        <v>39</v>
      </c>
      <c r="L4312" s="2" t="s">
        <v>340</v>
      </c>
      <c r="M4312" s="2" t="s">
        <v>40</v>
      </c>
      <c r="P4312" s="2" t="s">
        <v>188</v>
      </c>
      <c r="Q4312" s="16" t="s">
        <v>192</v>
      </c>
      <c r="R4312" s="15" t="s">
        <v>191</v>
      </c>
      <c r="S4312" s="9">
        <v>1.5</v>
      </c>
      <c r="T4312" s="14">
        <v>82.5</v>
      </c>
      <c r="U4312" s="2">
        <f t="shared" si="711"/>
        <v>18.975000000000001</v>
      </c>
      <c r="V4312" s="2">
        <f t="shared" si="712"/>
        <v>101.47499999999999</v>
      </c>
      <c r="W4312" s="2">
        <f>T4312*50%</f>
        <v>41.25</v>
      </c>
      <c r="X4312" s="5">
        <f t="shared" si="700"/>
        <v>0.5</v>
      </c>
      <c r="Z4312" s="2" t="s">
        <v>118</v>
      </c>
      <c r="AA4312" s="2" t="s">
        <v>191</v>
      </c>
      <c r="AB4312" s="2" t="s">
        <v>191</v>
      </c>
      <c r="AC4312" s="2" t="s">
        <v>40</v>
      </c>
      <c r="AK4312" s="2">
        <f t="shared" si="709"/>
        <v>41.25</v>
      </c>
      <c r="AL4312" s="5">
        <f t="shared" si="710"/>
        <v>0.5</v>
      </c>
    </row>
    <row r="4313" spans="1:38" x14ac:dyDescent="0.2">
      <c r="A4313" s="2">
        <v>2026</v>
      </c>
      <c r="B4313" s="2">
        <v>7</v>
      </c>
      <c r="C4313" s="2" t="s">
        <v>3299</v>
      </c>
      <c r="D4313" s="15" t="s">
        <v>333</v>
      </c>
      <c r="E4313" s="2" t="s">
        <v>109</v>
      </c>
      <c r="F4313" s="2" t="s">
        <v>39</v>
      </c>
      <c r="G4313" s="2">
        <v>513493557</v>
      </c>
      <c r="H4313" s="2" t="s">
        <v>41</v>
      </c>
      <c r="I4313" s="2" t="s">
        <v>280</v>
      </c>
      <c r="J4313" s="2" t="s">
        <v>334</v>
      </c>
      <c r="L4313" s="2" t="s">
        <v>178</v>
      </c>
      <c r="M4313" s="2" t="s">
        <v>40</v>
      </c>
      <c r="P4313" s="2" t="s">
        <v>115</v>
      </c>
      <c r="Q4313" s="16" t="s">
        <v>577</v>
      </c>
      <c r="R4313" s="15" t="s">
        <v>578</v>
      </c>
      <c r="S4313" s="13">
        <v>1</v>
      </c>
      <c r="T4313" s="14">
        <v>79.47</v>
      </c>
      <c r="U4313" s="2">
        <f t="shared" si="711"/>
        <v>18.278100000000002</v>
      </c>
      <c r="V4313" s="2">
        <f t="shared" si="712"/>
        <v>97.748099999999994</v>
      </c>
      <c r="W4313" s="2">
        <v>25.2</v>
      </c>
      <c r="X4313" s="5">
        <f t="shared" si="700"/>
        <v>0.68289920724801811</v>
      </c>
      <c r="Z4313" s="2" t="s">
        <v>118</v>
      </c>
      <c r="AA4313" s="2" t="s">
        <v>579</v>
      </c>
      <c r="AB4313" s="2" t="s">
        <v>120</v>
      </c>
      <c r="AC4313" s="2" t="s">
        <v>115</v>
      </c>
      <c r="AK4313" s="2">
        <f t="shared" si="709"/>
        <v>54.269999999999996</v>
      </c>
      <c r="AL4313" s="5">
        <f t="shared" si="710"/>
        <v>0.68289920724801811</v>
      </c>
    </row>
    <row r="4314" spans="1:38" x14ac:dyDescent="0.2">
      <c r="A4314" s="2">
        <v>2026</v>
      </c>
      <c r="B4314" s="2">
        <v>7</v>
      </c>
      <c r="C4314" s="2" t="s">
        <v>3299</v>
      </c>
      <c r="D4314" s="15" t="s">
        <v>983</v>
      </c>
      <c r="E4314" s="2" t="s">
        <v>109</v>
      </c>
      <c r="F4314" s="2" t="s">
        <v>718</v>
      </c>
      <c r="L4314" s="2" t="s">
        <v>294</v>
      </c>
      <c r="M4314" s="2" t="s">
        <v>81</v>
      </c>
      <c r="P4314" s="2" t="s">
        <v>1040</v>
      </c>
      <c r="Q4314" s="16" t="s">
        <v>3349</v>
      </c>
      <c r="R4314" s="15" t="s">
        <v>3350</v>
      </c>
      <c r="S4314" s="13">
        <v>1</v>
      </c>
      <c r="T4314" s="14">
        <v>280</v>
      </c>
      <c r="U4314" s="2">
        <f t="shared" si="711"/>
        <v>64.400000000000006</v>
      </c>
      <c r="V4314" s="2">
        <f t="shared" si="712"/>
        <v>344.4</v>
      </c>
      <c r="W4314" s="2">
        <f>144.32+16.82</f>
        <v>161.13999999999999</v>
      </c>
      <c r="X4314" s="5">
        <f t="shared" si="700"/>
        <v>0.42450000000000004</v>
      </c>
      <c r="Z4314" s="2" t="s">
        <v>3231</v>
      </c>
      <c r="AA4314" s="2" t="s">
        <v>76</v>
      </c>
      <c r="AB4314" s="2" t="s">
        <v>77</v>
      </c>
      <c r="AC4314" s="2" t="s">
        <v>1040</v>
      </c>
      <c r="AK4314" s="2">
        <f t="shared" si="709"/>
        <v>118.86000000000001</v>
      </c>
      <c r="AL4314" s="5">
        <f t="shared" si="710"/>
        <v>0.42450000000000004</v>
      </c>
    </row>
    <row r="4315" spans="1:38" x14ac:dyDescent="0.2">
      <c r="A4315" s="2">
        <v>2026</v>
      </c>
      <c r="B4315" s="2">
        <v>7</v>
      </c>
      <c r="C4315" s="2" t="s">
        <v>3299</v>
      </c>
      <c r="D4315" s="15" t="s">
        <v>983</v>
      </c>
      <c r="E4315" s="2" t="s">
        <v>109</v>
      </c>
      <c r="F4315" s="2" t="s">
        <v>718</v>
      </c>
      <c r="L4315" s="2" t="s">
        <v>294</v>
      </c>
      <c r="M4315" s="2" t="s">
        <v>81</v>
      </c>
      <c r="P4315" s="2" t="s">
        <v>94</v>
      </c>
      <c r="Q4315" s="16" t="s">
        <v>95</v>
      </c>
      <c r="R4315" s="15" t="s">
        <v>96</v>
      </c>
      <c r="S4315" s="13">
        <v>1</v>
      </c>
      <c r="T4315" s="14">
        <v>1.48</v>
      </c>
      <c r="U4315" s="2">
        <f t="shared" si="711"/>
        <v>0.34040000000000004</v>
      </c>
      <c r="V4315" s="2">
        <f t="shared" si="712"/>
        <v>1.8204</v>
      </c>
      <c r="W4315" s="2">
        <v>1.48</v>
      </c>
      <c r="X4315" s="5">
        <f t="shared" si="700"/>
        <v>0</v>
      </c>
      <c r="Z4315" s="2" t="s">
        <v>3231</v>
      </c>
      <c r="AA4315" s="2" t="s">
        <v>97</v>
      </c>
      <c r="AB4315" s="2" t="s">
        <v>77</v>
      </c>
      <c r="AC4315" s="2" t="s">
        <v>94</v>
      </c>
      <c r="AK4315" s="2">
        <f t="shared" si="709"/>
        <v>0</v>
      </c>
      <c r="AL4315" s="5">
        <f t="shared" si="710"/>
        <v>0</v>
      </c>
    </row>
    <row r="4316" spans="1:38" x14ac:dyDescent="0.2">
      <c r="A4316" s="2">
        <v>2026</v>
      </c>
      <c r="B4316" s="2">
        <v>7</v>
      </c>
      <c r="C4316" s="2" t="s">
        <v>3298</v>
      </c>
      <c r="D4316" s="15" t="s">
        <v>1357</v>
      </c>
      <c r="E4316" s="2" t="s">
        <v>753</v>
      </c>
      <c r="F4316" s="2" t="s">
        <v>39</v>
      </c>
      <c r="G4316" s="2">
        <v>518238334</v>
      </c>
      <c r="H4316" s="2" t="s">
        <v>41</v>
      </c>
      <c r="I4316" s="2" t="s">
        <v>763</v>
      </c>
      <c r="J4316" s="2" t="s">
        <v>1358</v>
      </c>
      <c r="L4316" s="2" t="s">
        <v>419</v>
      </c>
      <c r="M4316" s="2" t="s">
        <v>40</v>
      </c>
      <c r="P4316" s="2" t="s">
        <v>283</v>
      </c>
      <c r="Q4316" s="16" t="s">
        <v>3001</v>
      </c>
      <c r="R4316" s="15" t="s">
        <v>3002</v>
      </c>
      <c r="S4316" s="13">
        <v>1</v>
      </c>
      <c r="T4316" s="14">
        <v>1190</v>
      </c>
      <c r="U4316" s="2">
        <f t="shared" si="711"/>
        <v>273.7</v>
      </c>
      <c r="V4316" s="2">
        <f t="shared" si="712"/>
        <v>1463.7</v>
      </c>
      <c r="W4316" s="2">
        <v>773.5</v>
      </c>
      <c r="X4316" s="5">
        <f t="shared" si="700"/>
        <v>0.35</v>
      </c>
      <c r="Z4316" s="2" t="s">
        <v>118</v>
      </c>
      <c r="AA4316" s="2" t="s">
        <v>182</v>
      </c>
      <c r="AB4316" s="2" t="s">
        <v>3386</v>
      </c>
      <c r="AC4316" s="2" t="s">
        <v>1329</v>
      </c>
      <c r="AK4316" s="2">
        <f t="shared" si="709"/>
        <v>416.5</v>
      </c>
      <c r="AL4316" s="5">
        <f t="shared" si="710"/>
        <v>0.35</v>
      </c>
    </row>
    <row r="4317" spans="1:38" x14ac:dyDescent="0.2">
      <c r="A4317" s="2">
        <v>2026</v>
      </c>
      <c r="B4317" s="2">
        <v>7</v>
      </c>
      <c r="C4317" s="2" t="s">
        <v>3299</v>
      </c>
      <c r="D4317" s="15" t="s">
        <v>1357</v>
      </c>
      <c r="E4317" s="2" t="s">
        <v>753</v>
      </c>
      <c r="F4317" s="2" t="s">
        <v>39</v>
      </c>
      <c r="G4317" s="2">
        <v>518238334</v>
      </c>
      <c r="H4317" s="2" t="s">
        <v>41</v>
      </c>
      <c r="I4317" s="2" t="s">
        <v>763</v>
      </c>
      <c r="J4317" s="2" t="s">
        <v>1358</v>
      </c>
      <c r="L4317" s="2" t="s">
        <v>419</v>
      </c>
      <c r="M4317" s="2" t="s">
        <v>41</v>
      </c>
      <c r="P4317" s="2" t="s">
        <v>73</v>
      </c>
      <c r="Q4317" s="16" t="s">
        <v>74</v>
      </c>
      <c r="R4317" s="15" t="s">
        <v>75</v>
      </c>
      <c r="S4317" s="13">
        <v>1</v>
      </c>
      <c r="T4317" s="14">
        <v>180</v>
      </c>
      <c r="U4317" s="2">
        <f t="shared" si="711"/>
        <v>41.4</v>
      </c>
      <c r="V4317" s="2">
        <f t="shared" si="712"/>
        <v>221.4</v>
      </c>
      <c r="W4317" s="2">
        <v>125.51600000000001</v>
      </c>
      <c r="X4317" s="5">
        <f t="shared" si="700"/>
        <v>0.30268888888888884</v>
      </c>
      <c r="Z4317" s="2" t="s">
        <v>3231</v>
      </c>
      <c r="AA4317" s="2" t="s">
        <v>76</v>
      </c>
      <c r="AB4317" s="2" t="s">
        <v>77</v>
      </c>
      <c r="AC4317" s="2" t="s">
        <v>78</v>
      </c>
      <c r="AK4317" s="2">
        <f t="shared" si="709"/>
        <v>54.483999999999995</v>
      </c>
      <c r="AL4317" s="5">
        <f t="shared" si="710"/>
        <v>0.30268888888888884</v>
      </c>
    </row>
    <row r="4318" spans="1:38" x14ac:dyDescent="0.2">
      <c r="A4318" s="2">
        <v>2026</v>
      </c>
      <c r="B4318" s="2">
        <v>7</v>
      </c>
      <c r="C4318" s="2" t="s">
        <v>3299</v>
      </c>
      <c r="D4318" s="15" t="s">
        <v>1357</v>
      </c>
      <c r="E4318" s="2" t="s">
        <v>753</v>
      </c>
      <c r="F4318" s="2" t="s">
        <v>39</v>
      </c>
      <c r="G4318" s="2">
        <v>518238334</v>
      </c>
      <c r="H4318" s="2" t="s">
        <v>41</v>
      </c>
      <c r="I4318" s="2" t="s">
        <v>763</v>
      </c>
      <c r="J4318" s="2" t="s">
        <v>1358</v>
      </c>
      <c r="L4318" s="2" t="s">
        <v>419</v>
      </c>
      <c r="M4318" s="2" t="s">
        <v>41</v>
      </c>
      <c r="P4318" s="2" t="s">
        <v>94</v>
      </c>
      <c r="Q4318" s="16" t="s">
        <v>95</v>
      </c>
      <c r="R4318" s="15" t="s">
        <v>96</v>
      </c>
      <c r="S4318" s="13">
        <v>1</v>
      </c>
      <c r="T4318" s="14">
        <v>1.48</v>
      </c>
      <c r="U4318" s="2">
        <f t="shared" si="711"/>
        <v>0.34040000000000004</v>
      </c>
      <c r="V4318" s="2">
        <f t="shared" si="712"/>
        <v>1.8204</v>
      </c>
      <c r="W4318" s="2">
        <v>1.48</v>
      </c>
      <c r="X4318" s="5">
        <f t="shared" si="700"/>
        <v>0</v>
      </c>
      <c r="Z4318" s="2" t="s">
        <v>3231</v>
      </c>
      <c r="AA4318" s="2" t="s">
        <v>97</v>
      </c>
      <c r="AB4318" s="2" t="s">
        <v>77</v>
      </c>
      <c r="AC4318" s="2" t="s">
        <v>94</v>
      </c>
      <c r="AK4318" s="2">
        <f t="shared" si="709"/>
        <v>0</v>
      </c>
      <c r="AL4318" s="5">
        <f t="shared" si="710"/>
        <v>0</v>
      </c>
    </row>
    <row r="4319" spans="1:38" x14ac:dyDescent="0.2">
      <c r="A4319" s="2">
        <v>2026</v>
      </c>
      <c r="B4319" s="2">
        <v>7</v>
      </c>
      <c r="C4319" s="2" t="s">
        <v>3299</v>
      </c>
      <c r="D4319" s="15" t="s">
        <v>2561</v>
      </c>
      <c r="E4319" s="2" t="s">
        <v>109</v>
      </c>
      <c r="F4319" s="2" t="s">
        <v>718</v>
      </c>
      <c r="L4319" s="2" t="s">
        <v>399</v>
      </c>
      <c r="M4319" s="2" t="s">
        <v>81</v>
      </c>
      <c r="P4319" s="2" t="s">
        <v>73</v>
      </c>
      <c r="Q4319" s="16" t="s">
        <v>302</v>
      </c>
      <c r="R4319" s="15" t="s">
        <v>75</v>
      </c>
      <c r="S4319" s="13">
        <v>1</v>
      </c>
      <c r="T4319" s="14">
        <v>230</v>
      </c>
      <c r="U4319" s="2">
        <f t="shared" si="711"/>
        <v>52.900000000000006</v>
      </c>
      <c r="V4319" s="2">
        <f t="shared" si="712"/>
        <v>282.89999999999998</v>
      </c>
      <c r="W4319" s="2">
        <v>135.68</v>
      </c>
      <c r="X4319" s="5">
        <f t="shared" si="700"/>
        <v>0.4100869565217391</v>
      </c>
      <c r="Z4319" s="2" t="s">
        <v>3231</v>
      </c>
      <c r="AA4319" s="2" t="s">
        <v>76</v>
      </c>
      <c r="AB4319" s="2" t="s">
        <v>77</v>
      </c>
      <c r="AC4319" s="2" t="s">
        <v>78</v>
      </c>
      <c r="AK4319" s="2">
        <f t="shared" si="709"/>
        <v>94.32</v>
      </c>
      <c r="AL4319" s="5">
        <f t="shared" si="710"/>
        <v>0.4100869565217391</v>
      </c>
    </row>
    <row r="4320" spans="1:38" x14ac:dyDescent="0.2">
      <c r="A4320" s="2">
        <v>2026</v>
      </c>
      <c r="B4320" s="2">
        <v>7</v>
      </c>
      <c r="C4320" s="2" t="s">
        <v>3299</v>
      </c>
      <c r="D4320" s="15" t="s">
        <v>2561</v>
      </c>
      <c r="E4320" s="2" t="s">
        <v>109</v>
      </c>
      <c r="F4320" s="2" t="s">
        <v>718</v>
      </c>
      <c r="L4320" s="2" t="s">
        <v>399</v>
      </c>
      <c r="M4320" s="2" t="s">
        <v>81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711"/>
        <v>0.34040000000000004</v>
      </c>
      <c r="V4320" s="2">
        <f t="shared" si="712"/>
        <v>1.8204</v>
      </c>
      <c r="X4320" s="5">
        <f t="shared" si="700"/>
        <v>1</v>
      </c>
      <c r="Z4320" s="2" t="s">
        <v>3231</v>
      </c>
      <c r="AA4320" s="2" t="s">
        <v>97</v>
      </c>
      <c r="AB4320" s="2" t="s">
        <v>77</v>
      </c>
      <c r="AC4320" s="2" t="s">
        <v>94</v>
      </c>
      <c r="AK4320" s="2">
        <f t="shared" si="709"/>
        <v>1.48</v>
      </c>
      <c r="AL4320" s="5">
        <f t="shared" si="710"/>
        <v>1</v>
      </c>
    </row>
    <row r="4321" spans="1:38" x14ac:dyDescent="0.2">
      <c r="A4321" s="2">
        <v>2026</v>
      </c>
      <c r="B4321" s="2">
        <v>7</v>
      </c>
      <c r="C4321" s="2" t="s">
        <v>3298</v>
      </c>
      <c r="D4321" s="15" t="s">
        <v>745</v>
      </c>
      <c r="E4321" s="2" t="s">
        <v>109</v>
      </c>
      <c r="F4321" s="2" t="s">
        <v>39</v>
      </c>
      <c r="G4321" s="2">
        <v>509181163</v>
      </c>
      <c r="H4321" s="2" t="s">
        <v>40</v>
      </c>
      <c r="I4321" s="2" t="s">
        <v>746</v>
      </c>
      <c r="J4321" s="2" t="s">
        <v>747</v>
      </c>
      <c r="K4321" s="2">
        <v>962372760</v>
      </c>
      <c r="L4321" s="2" t="s">
        <v>202</v>
      </c>
      <c r="M4321" s="2" t="s">
        <v>40</v>
      </c>
      <c r="P4321" s="2" t="s">
        <v>115</v>
      </c>
      <c r="Q4321" s="16" t="s">
        <v>3351</v>
      </c>
      <c r="R4321" s="15" t="s">
        <v>3352</v>
      </c>
      <c r="S4321" s="13">
        <v>1</v>
      </c>
      <c r="T4321" s="14">
        <v>37.6</v>
      </c>
      <c r="U4321" s="2">
        <f t="shared" si="711"/>
        <v>8.6480000000000015</v>
      </c>
      <c r="V4321" s="2">
        <f t="shared" si="712"/>
        <v>46.248000000000005</v>
      </c>
      <c r="W4321" s="2">
        <v>21.71</v>
      </c>
      <c r="X4321" s="5">
        <f t="shared" si="700"/>
        <v>0.42260638297872338</v>
      </c>
      <c r="Z4321" s="2" t="s">
        <v>118</v>
      </c>
      <c r="AA4321" s="2" t="s">
        <v>119</v>
      </c>
      <c r="AB4321" s="2" t="s">
        <v>120</v>
      </c>
      <c r="AC4321" s="2" t="s">
        <v>115</v>
      </c>
      <c r="AK4321" s="2">
        <f t="shared" si="709"/>
        <v>15.89</v>
      </c>
      <c r="AL4321" s="5">
        <f t="shared" si="710"/>
        <v>0.42260638297872338</v>
      </c>
    </row>
    <row r="4322" spans="1:38" x14ac:dyDescent="0.2">
      <c r="A4322" s="2">
        <v>2026</v>
      </c>
      <c r="B4322" s="2">
        <v>7</v>
      </c>
      <c r="C4322" s="2" t="s">
        <v>3299</v>
      </c>
      <c r="D4322" s="15" t="s">
        <v>745</v>
      </c>
      <c r="E4322" s="2" t="s">
        <v>109</v>
      </c>
      <c r="F4322" s="2" t="s">
        <v>39</v>
      </c>
      <c r="G4322" s="2">
        <v>509181163</v>
      </c>
      <c r="H4322" s="2" t="s">
        <v>40</v>
      </c>
      <c r="I4322" s="2" t="s">
        <v>746</v>
      </c>
      <c r="J4322" s="2" t="s">
        <v>747</v>
      </c>
      <c r="K4322" s="2">
        <v>962372760</v>
      </c>
      <c r="L4322" s="2" t="s">
        <v>202</v>
      </c>
      <c r="M4322" s="2" t="s">
        <v>40</v>
      </c>
      <c r="P4322" s="2" t="s">
        <v>188</v>
      </c>
      <c r="Q4322" s="16" t="s">
        <v>189</v>
      </c>
      <c r="R4322" s="15" t="s">
        <v>190</v>
      </c>
      <c r="S4322" s="13">
        <v>1</v>
      </c>
      <c r="T4322" s="14">
        <v>60</v>
      </c>
      <c r="U4322" s="2">
        <f t="shared" si="711"/>
        <v>13.8</v>
      </c>
      <c r="V4322" s="2">
        <f t="shared" si="712"/>
        <v>73.8</v>
      </c>
      <c r="W4322" s="2">
        <f>T4322*40%</f>
        <v>24</v>
      </c>
      <c r="X4322" s="5">
        <f t="shared" si="700"/>
        <v>0.6</v>
      </c>
      <c r="Z4322" s="2" t="s">
        <v>118</v>
      </c>
      <c r="AA4322" s="2" t="s">
        <v>191</v>
      </c>
      <c r="AB4322" s="2" t="s">
        <v>190</v>
      </c>
      <c r="AC4322" s="2" t="s">
        <v>40</v>
      </c>
      <c r="AK4322" s="2">
        <f t="shared" si="709"/>
        <v>36</v>
      </c>
      <c r="AL4322" s="5">
        <f t="shared" si="710"/>
        <v>0.6</v>
      </c>
    </row>
    <row r="4323" spans="1:38" x14ac:dyDescent="0.2">
      <c r="A4323" s="2">
        <v>2026</v>
      </c>
      <c r="B4323" s="2">
        <v>7</v>
      </c>
      <c r="C4323" s="2" t="s">
        <v>3299</v>
      </c>
      <c r="D4323" s="15" t="s">
        <v>745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746</v>
      </c>
      <c r="J4323" s="2" t="s">
        <v>747</v>
      </c>
      <c r="K4323" s="2">
        <v>962372760</v>
      </c>
      <c r="L4323" s="2" t="s">
        <v>202</v>
      </c>
      <c r="M4323" s="2" t="s">
        <v>40</v>
      </c>
      <c r="P4323" s="2" t="s">
        <v>188</v>
      </c>
      <c r="Q4323" s="16" t="s">
        <v>192</v>
      </c>
      <c r="R4323" s="15" t="s">
        <v>191</v>
      </c>
      <c r="S4323" s="13">
        <v>1</v>
      </c>
      <c r="T4323" s="14">
        <v>55</v>
      </c>
      <c r="U4323" s="2">
        <f t="shared" si="711"/>
        <v>12.65</v>
      </c>
      <c r="V4323" s="2">
        <f t="shared" si="712"/>
        <v>67.650000000000006</v>
      </c>
      <c r="W4323" s="2">
        <f>T4323*50%</f>
        <v>27.5</v>
      </c>
      <c r="X4323" s="5">
        <f t="shared" si="700"/>
        <v>0.5</v>
      </c>
      <c r="Z4323" s="2" t="s">
        <v>118</v>
      </c>
      <c r="AA4323" s="2" t="s">
        <v>191</v>
      </c>
      <c r="AB4323" s="2" t="s">
        <v>191</v>
      </c>
      <c r="AC4323" s="2" t="s">
        <v>40</v>
      </c>
      <c r="AK4323" s="2">
        <f t="shared" si="709"/>
        <v>27.5</v>
      </c>
      <c r="AL4323" s="5">
        <f t="shared" si="710"/>
        <v>0.5</v>
      </c>
    </row>
    <row r="4324" spans="1:38" x14ac:dyDescent="0.2">
      <c r="A4324" s="2">
        <v>2026</v>
      </c>
      <c r="B4324" s="2">
        <v>7</v>
      </c>
      <c r="C4324" s="2" t="s">
        <v>3298</v>
      </c>
      <c r="D4324" s="15" t="s">
        <v>745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746</v>
      </c>
      <c r="J4324" s="2" t="s">
        <v>747</v>
      </c>
      <c r="K4324" s="2">
        <v>962372760</v>
      </c>
      <c r="L4324" s="2" t="s">
        <v>202</v>
      </c>
      <c r="M4324" s="2" t="s">
        <v>40</v>
      </c>
      <c r="P4324" s="2" t="s">
        <v>170</v>
      </c>
      <c r="Q4324" s="16" t="s">
        <v>171</v>
      </c>
      <c r="R4324" s="15" t="s">
        <v>171</v>
      </c>
      <c r="S4324" s="13">
        <v>1</v>
      </c>
      <c r="T4324" s="14">
        <v>8</v>
      </c>
      <c r="U4324" s="2">
        <f t="shared" si="711"/>
        <v>1.84</v>
      </c>
      <c r="V4324" s="2">
        <f t="shared" si="712"/>
        <v>9.84</v>
      </c>
      <c r="X4324" s="5">
        <f t="shared" si="700"/>
        <v>1</v>
      </c>
      <c r="Z4324" s="2" t="s">
        <v>170</v>
      </c>
      <c r="AA4324" s="2" t="s">
        <v>170</v>
      </c>
      <c r="AK4324" s="2">
        <f t="shared" si="709"/>
        <v>8</v>
      </c>
      <c r="AL4324" s="5">
        <f t="shared" si="710"/>
        <v>1</v>
      </c>
    </row>
    <row r="4325" spans="1:38" x14ac:dyDescent="0.2">
      <c r="A4325" s="2">
        <v>2026</v>
      </c>
      <c r="B4325" s="2">
        <v>7</v>
      </c>
      <c r="C4325" s="2" t="s">
        <v>3299</v>
      </c>
      <c r="D4325" s="15" t="s">
        <v>1998</v>
      </c>
      <c r="E4325" s="2" t="s">
        <v>38</v>
      </c>
      <c r="F4325" s="2" t="s">
        <v>39</v>
      </c>
      <c r="L4325" s="2" t="s">
        <v>572</v>
      </c>
      <c r="M4325" s="2" t="s">
        <v>81</v>
      </c>
      <c r="P4325" s="2" t="s">
        <v>73</v>
      </c>
      <c r="Q4325" s="16" t="s">
        <v>3278</v>
      </c>
      <c r="R4325" s="15" t="s">
        <v>308</v>
      </c>
      <c r="S4325" s="13">
        <v>1</v>
      </c>
      <c r="T4325" s="14">
        <v>240</v>
      </c>
      <c r="U4325" s="2">
        <f t="shared" si="711"/>
        <v>55.2</v>
      </c>
      <c r="V4325" s="2">
        <f t="shared" si="712"/>
        <v>295.2</v>
      </c>
      <c r="W4325" s="2">
        <v>119.95</v>
      </c>
      <c r="X4325" s="5">
        <f t="shared" si="700"/>
        <v>0.50020833333333337</v>
      </c>
      <c r="Z4325" s="2" t="s">
        <v>3231</v>
      </c>
      <c r="AA4325" s="2" t="s">
        <v>76</v>
      </c>
      <c r="AB4325" s="2" t="s">
        <v>77</v>
      </c>
      <c r="AC4325" s="2" t="s">
        <v>78</v>
      </c>
      <c r="AK4325" s="2">
        <f t="shared" si="709"/>
        <v>120.05</v>
      </c>
      <c r="AL4325" s="5">
        <f t="shared" si="710"/>
        <v>0.50020833333333337</v>
      </c>
    </row>
    <row r="4326" spans="1:38" x14ac:dyDescent="0.2">
      <c r="A4326" s="2">
        <v>2026</v>
      </c>
      <c r="B4326" s="2">
        <v>7</v>
      </c>
      <c r="C4326" s="2" t="s">
        <v>3299</v>
      </c>
      <c r="D4326" s="15" t="s">
        <v>1998</v>
      </c>
      <c r="E4326" s="2" t="s">
        <v>38</v>
      </c>
      <c r="F4326" s="2" t="s">
        <v>39</v>
      </c>
      <c r="L4326" s="2" t="s">
        <v>572</v>
      </c>
      <c r="M4326" s="2" t="s">
        <v>81</v>
      </c>
      <c r="P4326" s="2" t="s">
        <v>94</v>
      </c>
      <c r="Q4326" s="16" t="s">
        <v>95</v>
      </c>
      <c r="R4326" s="15" t="s">
        <v>96</v>
      </c>
      <c r="S4326" s="13">
        <v>1</v>
      </c>
      <c r="T4326" s="14">
        <v>1.48</v>
      </c>
      <c r="U4326" s="2">
        <f t="shared" si="711"/>
        <v>0.34040000000000004</v>
      </c>
      <c r="V4326" s="2">
        <f t="shared" si="712"/>
        <v>1.8204</v>
      </c>
      <c r="W4326" s="2">
        <v>1.48</v>
      </c>
      <c r="X4326" s="5">
        <f t="shared" si="700"/>
        <v>0</v>
      </c>
      <c r="Z4326" s="2" t="s">
        <v>3231</v>
      </c>
      <c r="AA4326" s="2" t="s">
        <v>97</v>
      </c>
      <c r="AB4326" s="2" t="s">
        <v>77</v>
      </c>
      <c r="AC4326" s="2" t="s">
        <v>94</v>
      </c>
      <c r="AK4326" s="2">
        <f t="shared" si="709"/>
        <v>0</v>
      </c>
      <c r="AL4326" s="5">
        <f t="shared" si="710"/>
        <v>0</v>
      </c>
    </row>
    <row r="4327" spans="1:38" x14ac:dyDescent="0.2">
      <c r="A4327" s="2">
        <v>2026</v>
      </c>
      <c r="B4327" s="2">
        <v>7</v>
      </c>
      <c r="C4327" s="2" t="s">
        <v>3299</v>
      </c>
      <c r="D4327" s="15" t="s">
        <v>360</v>
      </c>
      <c r="E4327" s="2" t="s">
        <v>109</v>
      </c>
      <c r="F4327" s="2" t="s">
        <v>39</v>
      </c>
      <c r="L4327" s="2" t="s">
        <v>361</v>
      </c>
      <c r="M4327" s="2" t="s">
        <v>81</v>
      </c>
      <c r="P4327" s="2" t="s">
        <v>73</v>
      </c>
      <c r="Q4327" s="16" t="s">
        <v>331</v>
      </c>
      <c r="R4327" s="15" t="s">
        <v>332</v>
      </c>
      <c r="S4327" s="13">
        <v>1</v>
      </c>
      <c r="T4327" s="14">
        <v>200</v>
      </c>
      <c r="U4327" s="2">
        <f t="shared" si="711"/>
        <v>46</v>
      </c>
      <c r="V4327" s="2">
        <f t="shared" si="712"/>
        <v>246</v>
      </c>
      <c r="W4327" s="2">
        <v>124.6</v>
      </c>
      <c r="X4327" s="5">
        <f t="shared" si="700"/>
        <v>0.377</v>
      </c>
      <c r="Z4327" s="2" t="s">
        <v>3231</v>
      </c>
      <c r="AA4327" s="2" t="s">
        <v>76</v>
      </c>
      <c r="AB4327" s="2" t="s">
        <v>77</v>
      </c>
      <c r="AC4327" s="2" t="s">
        <v>78</v>
      </c>
      <c r="AK4327" s="2">
        <f t="shared" si="709"/>
        <v>75.400000000000006</v>
      </c>
      <c r="AL4327" s="5">
        <f t="shared" si="710"/>
        <v>0.377</v>
      </c>
    </row>
    <row r="4328" spans="1:38" x14ac:dyDescent="0.2">
      <c r="A4328" s="2">
        <v>2026</v>
      </c>
      <c r="B4328" s="2">
        <v>7</v>
      </c>
      <c r="C4328" s="2" t="s">
        <v>3299</v>
      </c>
      <c r="D4328" s="15" t="s">
        <v>360</v>
      </c>
      <c r="E4328" s="2" t="s">
        <v>109</v>
      </c>
      <c r="F4328" s="2" t="s">
        <v>39</v>
      </c>
      <c r="L4328" s="2" t="s">
        <v>361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711"/>
        <v>0.34040000000000004</v>
      </c>
      <c r="V4328" s="2">
        <f t="shared" si="712"/>
        <v>1.8204</v>
      </c>
      <c r="X4328" s="5">
        <f t="shared" si="700"/>
        <v>1</v>
      </c>
      <c r="Z4328" s="2" t="s">
        <v>3231</v>
      </c>
      <c r="AA4328" s="2" t="s">
        <v>97</v>
      </c>
      <c r="AB4328" s="2" t="s">
        <v>77</v>
      </c>
      <c r="AC4328" s="2" t="s">
        <v>94</v>
      </c>
      <c r="AK4328" s="2">
        <f t="shared" si="709"/>
        <v>1.48</v>
      </c>
      <c r="AL4328" s="5">
        <f t="shared" si="710"/>
        <v>1</v>
      </c>
    </row>
    <row r="4329" spans="1:38" x14ac:dyDescent="0.2">
      <c r="A4329" s="2">
        <v>2026</v>
      </c>
      <c r="B4329" s="2">
        <v>7</v>
      </c>
      <c r="C4329" s="2" t="s">
        <v>3299</v>
      </c>
      <c r="D4329" s="15" t="s">
        <v>3339</v>
      </c>
      <c r="E4329" s="2" t="s">
        <v>3382</v>
      </c>
      <c r="F4329" s="2" t="s">
        <v>39</v>
      </c>
      <c r="H4329" s="2" t="s">
        <v>41</v>
      </c>
      <c r="L4329" s="2" t="s">
        <v>178</v>
      </c>
      <c r="M4329" s="2" t="s">
        <v>40</v>
      </c>
      <c r="P4329" s="2" t="s">
        <v>283</v>
      </c>
      <c r="Q4329" s="16" t="s">
        <v>1288</v>
      </c>
      <c r="R4329" s="15" t="s">
        <v>1289</v>
      </c>
      <c r="S4329" s="13">
        <v>1</v>
      </c>
      <c r="T4329" s="14">
        <v>2000</v>
      </c>
      <c r="U4329" s="2">
        <f t="shared" si="711"/>
        <v>460</v>
      </c>
      <c r="V4329" s="2">
        <f t="shared" si="712"/>
        <v>2460</v>
      </c>
      <c r="W4329" s="2">
        <v>1150</v>
      </c>
      <c r="X4329" s="5">
        <f t="shared" si="700"/>
        <v>0.42499999999999999</v>
      </c>
      <c r="Z4329" s="2" t="s">
        <v>105</v>
      </c>
      <c r="AA4329" s="2" t="s">
        <v>1578</v>
      </c>
      <c r="AB4329" s="2" t="s">
        <v>389</v>
      </c>
      <c r="AC4329" s="2" t="s">
        <v>1329</v>
      </c>
      <c r="AK4329" s="2">
        <f t="shared" si="709"/>
        <v>850</v>
      </c>
      <c r="AL4329" s="5">
        <f t="shared" si="710"/>
        <v>0.42499999999999999</v>
      </c>
    </row>
    <row r="4330" spans="1:38" x14ac:dyDescent="0.2">
      <c r="A4330" s="2">
        <v>2026</v>
      </c>
      <c r="B4330" s="2">
        <v>7</v>
      </c>
      <c r="C4330" s="2" t="s">
        <v>3299</v>
      </c>
      <c r="D4330" s="15" t="s">
        <v>3339</v>
      </c>
      <c r="E4330" s="2" t="s">
        <v>3382</v>
      </c>
      <c r="F4330" s="2" t="s">
        <v>39</v>
      </c>
      <c r="H4330" s="2" t="s">
        <v>41</v>
      </c>
      <c r="L4330" s="2" t="s">
        <v>178</v>
      </c>
      <c r="M4330" s="2" t="s">
        <v>40</v>
      </c>
      <c r="P4330" s="2" t="s">
        <v>283</v>
      </c>
      <c r="Q4330" s="16" t="s">
        <v>1160</v>
      </c>
      <c r="R4330" s="15" t="s">
        <v>1161</v>
      </c>
      <c r="S4330" s="13">
        <v>1</v>
      </c>
      <c r="T4330" s="14">
        <v>0</v>
      </c>
      <c r="U4330" s="2">
        <f t="shared" si="711"/>
        <v>0</v>
      </c>
      <c r="V4330" s="2">
        <f t="shared" si="712"/>
        <v>0</v>
      </c>
      <c r="W4330" s="2">
        <v>0</v>
      </c>
      <c r="X4330" s="5">
        <v>0</v>
      </c>
      <c r="Z4330" s="2" t="s">
        <v>105</v>
      </c>
      <c r="AA4330" s="2" t="s">
        <v>1578</v>
      </c>
      <c r="AB4330" s="2" t="s">
        <v>389</v>
      </c>
      <c r="AC4330" s="2" t="s">
        <v>1329</v>
      </c>
      <c r="AK4330" s="2">
        <f t="shared" si="709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3299</v>
      </c>
      <c r="D4331" s="15" t="s">
        <v>3339</v>
      </c>
      <c r="E4331" s="2" t="s">
        <v>3382</v>
      </c>
      <c r="F4331" s="2" t="s">
        <v>39</v>
      </c>
      <c r="H4331" s="2" t="s">
        <v>41</v>
      </c>
      <c r="L4331" s="2" t="s">
        <v>178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0</v>
      </c>
      <c r="U4331" s="2">
        <f t="shared" si="711"/>
        <v>0</v>
      </c>
      <c r="V4331" s="2">
        <f t="shared" si="712"/>
        <v>0</v>
      </c>
      <c r="W4331" s="2">
        <v>0</v>
      </c>
      <c r="X4331" s="5">
        <v>0</v>
      </c>
      <c r="Z4331" s="2" t="s">
        <v>105</v>
      </c>
      <c r="AA4331" s="2" t="s">
        <v>1578</v>
      </c>
      <c r="AB4331" s="2" t="s">
        <v>389</v>
      </c>
      <c r="AC4331" s="2" t="s">
        <v>1329</v>
      </c>
      <c r="AK4331" s="2">
        <f t="shared" si="709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3299</v>
      </c>
      <c r="D4332" s="15" t="s">
        <v>2948</v>
      </c>
      <c r="E4332" s="2" t="s">
        <v>753</v>
      </c>
      <c r="F4332" s="2" t="s">
        <v>39</v>
      </c>
      <c r="L4332" s="2" t="s">
        <v>481</v>
      </c>
      <c r="M4332" s="2" t="s">
        <v>81</v>
      </c>
      <c r="P4332" s="2" t="s">
        <v>73</v>
      </c>
      <c r="Q4332" s="16" t="s">
        <v>3353</v>
      </c>
      <c r="R4332" s="15" t="s">
        <v>75</v>
      </c>
      <c r="S4332" s="13">
        <v>1</v>
      </c>
      <c r="T4332" s="14">
        <v>270</v>
      </c>
      <c r="U4332" s="2">
        <f t="shared" si="711"/>
        <v>62.1</v>
      </c>
      <c r="V4332" s="2">
        <f t="shared" si="712"/>
        <v>332.1</v>
      </c>
      <c r="W4332" s="2">
        <f>118.44+11.7</f>
        <v>130.13999999999999</v>
      </c>
      <c r="X4332" s="5">
        <f t="shared" si="700"/>
        <v>0.51800000000000002</v>
      </c>
      <c r="Z4332" s="2" t="s">
        <v>3231</v>
      </c>
      <c r="AA4332" s="2" t="s">
        <v>76</v>
      </c>
      <c r="AB4332" s="2" t="s">
        <v>77</v>
      </c>
      <c r="AC4332" s="2" t="s">
        <v>78</v>
      </c>
      <c r="AK4332" s="2">
        <f t="shared" si="709"/>
        <v>139.86000000000001</v>
      </c>
      <c r="AL4332" s="5">
        <f t="shared" si="710"/>
        <v>0.51800000000000002</v>
      </c>
    </row>
    <row r="4333" spans="1:38" x14ac:dyDescent="0.2">
      <c r="A4333" s="2">
        <v>2026</v>
      </c>
      <c r="B4333" s="2">
        <v>7</v>
      </c>
      <c r="C4333" s="2" t="s">
        <v>3299</v>
      </c>
      <c r="D4333" s="15" t="s">
        <v>2948</v>
      </c>
      <c r="E4333" s="2" t="s">
        <v>753</v>
      </c>
      <c r="F4333" s="2" t="s">
        <v>39</v>
      </c>
      <c r="L4333" s="2" t="s">
        <v>481</v>
      </c>
      <c r="M4333" s="2" t="s">
        <v>81</v>
      </c>
      <c r="P4333" s="2" t="s">
        <v>94</v>
      </c>
      <c r="Q4333" s="16" t="s">
        <v>95</v>
      </c>
      <c r="R4333" s="15" t="s">
        <v>96</v>
      </c>
      <c r="S4333" s="13">
        <v>1</v>
      </c>
      <c r="T4333" s="14">
        <v>1.48</v>
      </c>
      <c r="U4333" s="2">
        <f t="shared" si="711"/>
        <v>0.34040000000000004</v>
      </c>
      <c r="V4333" s="2">
        <f t="shared" si="712"/>
        <v>1.8204</v>
      </c>
      <c r="W4333" s="2">
        <v>1.48</v>
      </c>
      <c r="X4333" s="5">
        <f t="shared" si="700"/>
        <v>0</v>
      </c>
      <c r="Z4333" s="2" t="s">
        <v>3231</v>
      </c>
      <c r="AA4333" s="2" t="s">
        <v>97</v>
      </c>
      <c r="AB4333" s="2" t="s">
        <v>77</v>
      </c>
      <c r="AC4333" s="2" t="s">
        <v>94</v>
      </c>
      <c r="AK4333" s="2">
        <f t="shared" si="709"/>
        <v>0</v>
      </c>
      <c r="AL4333" s="5">
        <f t="shared" si="710"/>
        <v>0</v>
      </c>
    </row>
    <row r="4334" spans="1:38" x14ac:dyDescent="0.2">
      <c r="A4334" s="2">
        <v>2026</v>
      </c>
      <c r="B4334" s="2">
        <v>7</v>
      </c>
      <c r="C4334" s="2" t="s">
        <v>3299</v>
      </c>
      <c r="D4334" s="15" t="s">
        <v>1230</v>
      </c>
      <c r="E4334" s="2" t="s">
        <v>38</v>
      </c>
      <c r="F4334" s="2" t="s">
        <v>39</v>
      </c>
      <c r="L4334" s="2" t="s">
        <v>202</v>
      </c>
      <c r="M4334" s="2" t="s">
        <v>40</v>
      </c>
      <c r="P4334" s="2" t="s">
        <v>188</v>
      </c>
      <c r="Q4334" s="16" t="s">
        <v>189</v>
      </c>
      <c r="R4334" s="15" t="s">
        <v>190</v>
      </c>
      <c r="S4334" s="13">
        <v>1</v>
      </c>
      <c r="T4334" s="14">
        <v>73</v>
      </c>
      <c r="U4334" s="2">
        <f t="shared" si="711"/>
        <v>16.79</v>
      </c>
      <c r="V4334" s="2">
        <f t="shared" si="712"/>
        <v>89.789999999999992</v>
      </c>
      <c r="W4334" s="2">
        <f>T4334*40%</f>
        <v>29.200000000000003</v>
      </c>
      <c r="X4334" s="5">
        <f t="shared" si="700"/>
        <v>0.6</v>
      </c>
      <c r="Z4334" s="2" t="s">
        <v>118</v>
      </c>
      <c r="AA4334" s="2" t="s">
        <v>191</v>
      </c>
      <c r="AB4334" s="2" t="s">
        <v>190</v>
      </c>
      <c r="AC4334" s="2" t="s">
        <v>40</v>
      </c>
      <c r="AK4334" s="2">
        <f t="shared" si="709"/>
        <v>43.8</v>
      </c>
      <c r="AL4334" s="5">
        <f t="shared" si="710"/>
        <v>0.6</v>
      </c>
    </row>
    <row r="4335" spans="1:38" x14ac:dyDescent="0.2">
      <c r="A4335" s="2">
        <v>2026</v>
      </c>
      <c r="B4335" s="2">
        <v>7</v>
      </c>
      <c r="C4335" s="2" t="s">
        <v>3299</v>
      </c>
      <c r="D4335" s="15" t="s">
        <v>1230</v>
      </c>
      <c r="E4335" s="2" t="s">
        <v>38</v>
      </c>
      <c r="F4335" s="2" t="s">
        <v>39</v>
      </c>
      <c r="L4335" s="2" t="s">
        <v>202</v>
      </c>
      <c r="M4335" s="2" t="s">
        <v>40</v>
      </c>
      <c r="P4335" s="2" t="s">
        <v>188</v>
      </c>
      <c r="Q4335" s="16" t="s">
        <v>192</v>
      </c>
      <c r="R4335" s="15" t="s">
        <v>191</v>
      </c>
      <c r="S4335" s="13">
        <v>1</v>
      </c>
      <c r="T4335" s="14">
        <v>55</v>
      </c>
      <c r="U4335" s="2">
        <f t="shared" si="711"/>
        <v>12.65</v>
      </c>
      <c r="V4335" s="2">
        <f t="shared" si="712"/>
        <v>67.650000000000006</v>
      </c>
      <c r="W4335" s="2">
        <f>T4335*50%</f>
        <v>27.5</v>
      </c>
      <c r="X4335" s="5">
        <f t="shared" ref="X4335:X4397" si="713">(T4335-W4335)/T4335</f>
        <v>0.5</v>
      </c>
      <c r="Z4335" s="2" t="s">
        <v>118</v>
      </c>
      <c r="AA4335" s="2" t="s">
        <v>191</v>
      </c>
      <c r="AB4335" s="2" t="s">
        <v>191</v>
      </c>
      <c r="AC4335" s="2" t="s">
        <v>40</v>
      </c>
      <c r="AK4335" s="2">
        <f t="shared" si="709"/>
        <v>27.5</v>
      </c>
      <c r="AL4335" s="5">
        <f t="shared" si="710"/>
        <v>0.5</v>
      </c>
    </row>
    <row r="4336" spans="1:38" x14ac:dyDescent="0.2">
      <c r="A4336" s="2">
        <v>2026</v>
      </c>
      <c r="B4336" s="2">
        <v>7</v>
      </c>
      <c r="C4336" s="2" t="s">
        <v>3299</v>
      </c>
      <c r="D4336" s="15" t="s">
        <v>1557</v>
      </c>
      <c r="E4336" s="2" t="s">
        <v>109</v>
      </c>
      <c r="F4336" s="2" t="s">
        <v>718</v>
      </c>
      <c r="L4336" s="2" t="s">
        <v>178</v>
      </c>
      <c r="M4336" s="2" t="s">
        <v>41</v>
      </c>
      <c r="P4336" s="2" t="s">
        <v>73</v>
      </c>
      <c r="Q4336" s="16" t="s">
        <v>3353</v>
      </c>
      <c r="R4336" s="15" t="s">
        <v>75</v>
      </c>
      <c r="S4336" s="13">
        <v>1</v>
      </c>
      <c r="T4336" s="14">
        <v>220</v>
      </c>
      <c r="U4336" s="2">
        <f t="shared" si="711"/>
        <v>50.6</v>
      </c>
      <c r="V4336" s="2">
        <f t="shared" si="712"/>
        <v>270.60000000000002</v>
      </c>
      <c r="W4336" s="2">
        <f>118.44+11.7</f>
        <v>130.13999999999999</v>
      </c>
      <c r="X4336" s="5">
        <f t="shared" si="713"/>
        <v>0.40845454545454551</v>
      </c>
      <c r="Z4336" s="2" t="s">
        <v>3231</v>
      </c>
      <c r="AA4336" s="2" t="s">
        <v>76</v>
      </c>
      <c r="AB4336" s="2" t="s">
        <v>77</v>
      </c>
      <c r="AC4336" s="2" t="s">
        <v>78</v>
      </c>
      <c r="AK4336" s="2">
        <f t="shared" si="709"/>
        <v>89.860000000000014</v>
      </c>
      <c r="AL4336" s="5">
        <f t="shared" si="710"/>
        <v>0.40845454545454551</v>
      </c>
    </row>
    <row r="4337" spans="1:38" x14ac:dyDescent="0.2">
      <c r="A4337" s="2">
        <v>2026</v>
      </c>
      <c r="B4337" s="2">
        <v>7</v>
      </c>
      <c r="C4337" s="2" t="s">
        <v>3299</v>
      </c>
      <c r="D4337" s="15" t="s">
        <v>1557</v>
      </c>
      <c r="E4337" s="2" t="s">
        <v>109</v>
      </c>
      <c r="F4337" s="2" t="s">
        <v>718</v>
      </c>
      <c r="L4337" s="2" t="s">
        <v>178</v>
      </c>
      <c r="M4337" s="2" t="s">
        <v>41</v>
      </c>
      <c r="P4337" s="2" t="s">
        <v>94</v>
      </c>
      <c r="Q4337" s="16" t="s">
        <v>95</v>
      </c>
      <c r="R4337" s="15" t="s">
        <v>96</v>
      </c>
      <c r="S4337" s="13">
        <v>1</v>
      </c>
      <c r="T4337" s="14">
        <v>1.48</v>
      </c>
      <c r="U4337" s="2">
        <f t="shared" si="711"/>
        <v>0.34040000000000004</v>
      </c>
      <c r="V4337" s="2">
        <f t="shared" si="712"/>
        <v>1.8204</v>
      </c>
      <c r="W4337" s="2">
        <v>1.48</v>
      </c>
      <c r="X4337" s="5">
        <f t="shared" si="713"/>
        <v>0</v>
      </c>
      <c r="Z4337" s="2" t="s">
        <v>3231</v>
      </c>
      <c r="AA4337" s="2" t="s">
        <v>97</v>
      </c>
      <c r="AB4337" s="2" t="s">
        <v>77</v>
      </c>
      <c r="AC4337" s="2" t="s">
        <v>94</v>
      </c>
      <c r="AK4337" s="2">
        <f t="shared" si="709"/>
        <v>0</v>
      </c>
      <c r="AL4337" s="5">
        <f t="shared" si="710"/>
        <v>0</v>
      </c>
    </row>
    <row r="4338" spans="1:38" x14ac:dyDescent="0.2">
      <c r="A4338" s="2">
        <v>2026</v>
      </c>
      <c r="B4338" s="2">
        <v>7</v>
      </c>
      <c r="C4338" s="2" t="s">
        <v>3299</v>
      </c>
      <c r="D4338" s="15" t="s">
        <v>804</v>
      </c>
      <c r="E4338" s="2" t="s">
        <v>38</v>
      </c>
      <c r="F4338" s="2" t="s">
        <v>39</v>
      </c>
      <c r="L4338" s="2" t="s">
        <v>100</v>
      </c>
      <c r="M4338" s="2" t="s">
        <v>40</v>
      </c>
      <c r="P4338" s="2" t="s">
        <v>115</v>
      </c>
      <c r="Q4338" s="16" t="s">
        <v>3354</v>
      </c>
      <c r="R4338" s="15" t="s">
        <v>3355</v>
      </c>
      <c r="S4338" s="13">
        <v>1</v>
      </c>
      <c r="T4338" s="14">
        <v>59.17</v>
      </c>
      <c r="U4338" s="2">
        <f t="shared" si="711"/>
        <v>13.609100000000002</v>
      </c>
      <c r="V4338" s="2">
        <f t="shared" si="712"/>
        <v>72.7791</v>
      </c>
      <c r="W4338" s="2">
        <v>28.25</v>
      </c>
      <c r="X4338" s="5">
        <f t="shared" si="713"/>
        <v>0.52256210917694779</v>
      </c>
      <c r="Z4338" s="2" t="s">
        <v>118</v>
      </c>
      <c r="AA4338" s="2" t="s">
        <v>119</v>
      </c>
      <c r="AB4338" s="2" t="s">
        <v>120</v>
      </c>
      <c r="AC4338" s="2" t="s">
        <v>115</v>
      </c>
      <c r="AK4338" s="2">
        <f t="shared" si="709"/>
        <v>30.92</v>
      </c>
      <c r="AL4338" s="5">
        <f t="shared" si="710"/>
        <v>0.52256210917694779</v>
      </c>
    </row>
    <row r="4339" spans="1:38" x14ac:dyDescent="0.2">
      <c r="A4339" s="2">
        <v>2026</v>
      </c>
      <c r="B4339" s="2">
        <v>7</v>
      </c>
      <c r="C4339" s="2" t="s">
        <v>3299</v>
      </c>
      <c r="D4339" s="15" t="s">
        <v>804</v>
      </c>
      <c r="E4339" s="2" t="s">
        <v>38</v>
      </c>
      <c r="F4339" s="2" t="s">
        <v>39</v>
      </c>
      <c r="L4339" s="2" t="s">
        <v>100</v>
      </c>
      <c r="M4339" s="2" t="s">
        <v>40</v>
      </c>
      <c r="P4339" s="2" t="s">
        <v>188</v>
      </c>
      <c r="Q4339" s="16" t="s">
        <v>189</v>
      </c>
      <c r="R4339" s="15" t="s">
        <v>190</v>
      </c>
      <c r="S4339" s="13">
        <v>1</v>
      </c>
      <c r="T4339" s="14">
        <v>60</v>
      </c>
      <c r="U4339" s="2">
        <f t="shared" si="711"/>
        <v>13.8</v>
      </c>
      <c r="V4339" s="2">
        <f t="shared" si="712"/>
        <v>73.8</v>
      </c>
      <c r="W4339" s="2">
        <f>T4339*40%</f>
        <v>24</v>
      </c>
      <c r="X4339" s="5">
        <f t="shared" si="713"/>
        <v>0.6</v>
      </c>
      <c r="Z4339" s="2" t="s">
        <v>118</v>
      </c>
      <c r="AA4339" s="2" t="s">
        <v>191</v>
      </c>
      <c r="AB4339" s="2" t="s">
        <v>190</v>
      </c>
      <c r="AC4339" s="2" t="s">
        <v>40</v>
      </c>
      <c r="AK4339" s="2">
        <f t="shared" si="709"/>
        <v>36</v>
      </c>
      <c r="AL4339" s="5">
        <f t="shared" si="710"/>
        <v>0.6</v>
      </c>
    </row>
    <row r="4340" spans="1:38" x14ac:dyDescent="0.2">
      <c r="A4340" s="2">
        <v>2026</v>
      </c>
      <c r="B4340" s="2">
        <v>7</v>
      </c>
      <c r="C4340" s="2" t="s">
        <v>3444</v>
      </c>
      <c r="D4340" s="15" t="s">
        <v>804</v>
      </c>
      <c r="E4340" s="2" t="s">
        <v>38</v>
      </c>
      <c r="F4340" s="2" t="s">
        <v>39</v>
      </c>
      <c r="L4340" s="2" t="s">
        <v>100</v>
      </c>
      <c r="M4340" s="2" t="s">
        <v>40</v>
      </c>
      <c r="P4340" s="2" t="s">
        <v>115</v>
      </c>
      <c r="Q4340" s="16" t="s">
        <v>192</v>
      </c>
      <c r="R4340" s="15" t="s">
        <v>191</v>
      </c>
      <c r="S4340" s="13">
        <v>1</v>
      </c>
      <c r="T4340" s="14">
        <v>55</v>
      </c>
      <c r="U4340" s="2">
        <f t="shared" si="711"/>
        <v>12.65</v>
      </c>
      <c r="V4340" s="2">
        <f t="shared" si="712"/>
        <v>67.650000000000006</v>
      </c>
      <c r="W4340" s="2">
        <f>T4340*50%</f>
        <v>27.5</v>
      </c>
      <c r="X4340" s="5">
        <f t="shared" si="713"/>
        <v>0.5</v>
      </c>
      <c r="Z4340" s="2" t="s">
        <v>118</v>
      </c>
      <c r="AA4340" s="2" t="s">
        <v>191</v>
      </c>
      <c r="AB4340" s="2" t="s">
        <v>191</v>
      </c>
      <c r="AC4340" s="2" t="s">
        <v>40</v>
      </c>
      <c r="AK4340" s="2">
        <f t="shared" si="709"/>
        <v>27.5</v>
      </c>
      <c r="AL4340" s="5">
        <f t="shared" si="710"/>
        <v>0.5</v>
      </c>
    </row>
    <row r="4341" spans="1:38" x14ac:dyDescent="0.2">
      <c r="A4341" s="2">
        <v>2026</v>
      </c>
      <c r="B4341" s="2">
        <v>7</v>
      </c>
      <c r="C4341" s="2" t="s">
        <v>3444</v>
      </c>
      <c r="D4341" s="15" t="s">
        <v>1378</v>
      </c>
      <c r="E4341" s="2" t="s">
        <v>184</v>
      </c>
      <c r="F4341" s="2" t="s">
        <v>367</v>
      </c>
      <c r="L4341" s="2" t="s">
        <v>572</v>
      </c>
      <c r="M4341" s="2" t="s">
        <v>81</v>
      </c>
      <c r="P4341" s="2" t="s">
        <v>73</v>
      </c>
      <c r="Q4341" s="16" t="s">
        <v>74</v>
      </c>
      <c r="R4341" s="15" t="s">
        <v>75</v>
      </c>
      <c r="S4341" s="13">
        <v>1</v>
      </c>
      <c r="T4341" s="14">
        <v>220</v>
      </c>
      <c r="U4341" s="2">
        <f t="shared" si="711"/>
        <v>50.6</v>
      </c>
      <c r="V4341" s="2">
        <f t="shared" si="712"/>
        <v>270.60000000000002</v>
      </c>
      <c r="W4341" s="2">
        <v>125.51600000000001</v>
      </c>
      <c r="X4341" s="5">
        <f t="shared" si="713"/>
        <v>0.42947272727272723</v>
      </c>
      <c r="Z4341" s="2" t="s">
        <v>3231</v>
      </c>
      <c r="AA4341" s="2" t="s">
        <v>76</v>
      </c>
      <c r="AB4341" s="2" t="s">
        <v>77</v>
      </c>
      <c r="AC4341" s="2" t="s">
        <v>78</v>
      </c>
      <c r="AK4341" s="2">
        <f t="shared" si="709"/>
        <v>94.483999999999995</v>
      </c>
      <c r="AL4341" s="5">
        <f t="shared" si="710"/>
        <v>0.42947272727272723</v>
      </c>
    </row>
    <row r="4342" spans="1:38" x14ac:dyDescent="0.2">
      <c r="A4342" s="2">
        <v>2026</v>
      </c>
      <c r="B4342" s="2">
        <v>7</v>
      </c>
      <c r="C4342" s="2" t="s">
        <v>3444</v>
      </c>
      <c r="D4342" s="15" t="s">
        <v>1378</v>
      </c>
      <c r="E4342" s="2" t="s">
        <v>184</v>
      </c>
      <c r="F4342" s="2" t="s">
        <v>367</v>
      </c>
      <c r="L4342" s="2" t="s">
        <v>572</v>
      </c>
      <c r="M4342" s="2" t="s">
        <v>81</v>
      </c>
      <c r="P4342" s="2" t="s">
        <v>94</v>
      </c>
      <c r="Q4342" s="16" t="s">
        <v>95</v>
      </c>
      <c r="R4342" s="15" t="s">
        <v>96</v>
      </c>
      <c r="S4342" s="13">
        <v>1</v>
      </c>
      <c r="T4342" s="14">
        <v>1.48</v>
      </c>
      <c r="U4342" s="2">
        <f t="shared" si="711"/>
        <v>0.34040000000000004</v>
      </c>
      <c r="V4342" s="2">
        <f t="shared" si="712"/>
        <v>1.8204</v>
      </c>
      <c r="W4342" s="2">
        <v>1.48</v>
      </c>
      <c r="X4342" s="5">
        <f t="shared" si="713"/>
        <v>0</v>
      </c>
      <c r="Z4342" s="2" t="s">
        <v>3231</v>
      </c>
      <c r="AA4342" s="2" t="s">
        <v>97</v>
      </c>
      <c r="AB4342" s="2" t="s">
        <v>77</v>
      </c>
      <c r="AC4342" s="2" t="s">
        <v>94</v>
      </c>
      <c r="AK4342" s="2">
        <f t="shared" si="709"/>
        <v>0</v>
      </c>
      <c r="AL4342" s="5">
        <f t="shared" si="710"/>
        <v>0</v>
      </c>
    </row>
    <row r="4343" spans="1:38" x14ac:dyDescent="0.2">
      <c r="A4343" s="2">
        <v>2026</v>
      </c>
      <c r="B4343" s="2">
        <v>7</v>
      </c>
      <c r="C4343" s="2" t="s">
        <v>3444</v>
      </c>
      <c r="D4343" s="15" t="s">
        <v>437</v>
      </c>
      <c r="E4343" s="2" t="s">
        <v>109</v>
      </c>
      <c r="F4343" s="2" t="s">
        <v>377</v>
      </c>
      <c r="L4343" s="2" t="s">
        <v>340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711"/>
        <v>50.6</v>
      </c>
      <c r="V4343" s="2">
        <f t="shared" si="712"/>
        <v>270.60000000000002</v>
      </c>
      <c r="W4343" s="2">
        <v>125.51600000000001</v>
      </c>
      <c r="X4343" s="5">
        <f t="shared" si="713"/>
        <v>0.42947272727272723</v>
      </c>
      <c r="Z4343" s="2" t="s">
        <v>3231</v>
      </c>
      <c r="AA4343" s="2" t="s">
        <v>76</v>
      </c>
      <c r="AB4343" s="2" t="s">
        <v>77</v>
      </c>
      <c r="AC4343" s="2" t="s">
        <v>78</v>
      </c>
      <c r="AK4343" s="2">
        <f t="shared" si="709"/>
        <v>94.483999999999995</v>
      </c>
      <c r="AL4343" s="5">
        <f t="shared" si="710"/>
        <v>0.42947272727272723</v>
      </c>
    </row>
    <row r="4344" spans="1:38" x14ac:dyDescent="0.2">
      <c r="A4344" s="2">
        <v>2026</v>
      </c>
      <c r="B4344" s="2">
        <v>7</v>
      </c>
      <c r="C4344" s="2" t="s">
        <v>3444</v>
      </c>
      <c r="D4344" s="15" t="s">
        <v>437</v>
      </c>
      <c r="E4344" s="2" t="s">
        <v>109</v>
      </c>
      <c r="F4344" s="2" t="s">
        <v>377</v>
      </c>
      <c r="L4344" s="2" t="s">
        <v>340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711"/>
        <v>0.34040000000000004</v>
      </c>
      <c r="V4344" s="2">
        <f t="shared" si="712"/>
        <v>1.8204</v>
      </c>
      <c r="W4344" s="2">
        <v>1.48</v>
      </c>
      <c r="X4344" s="5">
        <f t="shared" si="713"/>
        <v>0</v>
      </c>
      <c r="Z4344" s="2" t="s">
        <v>3231</v>
      </c>
      <c r="AA4344" s="2" t="s">
        <v>97</v>
      </c>
      <c r="AB4344" s="2" t="s">
        <v>77</v>
      </c>
      <c r="AC4344" s="2" t="s">
        <v>94</v>
      </c>
      <c r="AK4344" s="2">
        <f t="shared" si="709"/>
        <v>0</v>
      </c>
      <c r="AL4344" s="5">
        <f t="shared" si="710"/>
        <v>0</v>
      </c>
    </row>
    <row r="4345" spans="1:38" x14ac:dyDescent="0.2">
      <c r="A4345" s="2">
        <v>2026</v>
      </c>
      <c r="B4345" s="2">
        <v>7</v>
      </c>
      <c r="C4345" s="2" t="s">
        <v>3298</v>
      </c>
      <c r="D4345" s="15" t="s">
        <v>817</v>
      </c>
      <c r="E4345" s="2" t="s">
        <v>38</v>
      </c>
      <c r="F4345" s="2" t="s">
        <v>39</v>
      </c>
      <c r="L4345" s="2" t="s">
        <v>481</v>
      </c>
      <c r="M4345" s="2" t="s">
        <v>40</v>
      </c>
      <c r="P4345" s="2" t="s">
        <v>115</v>
      </c>
      <c r="Q4345" s="16" t="s">
        <v>1388</v>
      </c>
      <c r="R4345" s="15" t="s">
        <v>1389</v>
      </c>
      <c r="S4345" s="13">
        <v>1</v>
      </c>
      <c r="T4345" s="14">
        <v>508.68</v>
      </c>
      <c r="U4345" s="2">
        <f t="shared" si="711"/>
        <v>116.99640000000001</v>
      </c>
      <c r="V4345" s="2">
        <f t="shared" si="712"/>
        <v>625.67640000000006</v>
      </c>
      <c r="W4345" s="2">
        <v>178.3383</v>
      </c>
      <c r="X4345" s="5">
        <f t="shared" si="713"/>
        <v>0.64940964850200522</v>
      </c>
      <c r="Z4345" s="2" t="s">
        <v>118</v>
      </c>
      <c r="AA4345" s="2" t="s">
        <v>119</v>
      </c>
      <c r="AB4345" s="2" t="s">
        <v>120</v>
      </c>
      <c r="AC4345" s="2" t="s">
        <v>115</v>
      </c>
      <c r="AK4345" s="2">
        <f t="shared" si="709"/>
        <v>330.3417</v>
      </c>
      <c r="AL4345" s="5">
        <f t="shared" si="710"/>
        <v>0.64940964850200522</v>
      </c>
    </row>
    <row r="4346" spans="1:38" x14ac:dyDescent="0.2">
      <c r="A4346" s="2">
        <v>2026</v>
      </c>
      <c r="B4346" s="2">
        <v>7</v>
      </c>
      <c r="C4346" s="2" t="s">
        <v>3298</v>
      </c>
      <c r="D4346" s="15" t="s">
        <v>817</v>
      </c>
      <c r="E4346" s="2" t="s">
        <v>38</v>
      </c>
      <c r="F4346" s="2" t="s">
        <v>39</v>
      </c>
      <c r="L4346" s="2" t="s">
        <v>481</v>
      </c>
      <c r="M4346" s="2" t="s">
        <v>40</v>
      </c>
      <c r="P4346" s="2" t="s">
        <v>115</v>
      </c>
      <c r="Q4346" s="16" t="s">
        <v>647</v>
      </c>
      <c r="R4346" s="15" t="s">
        <v>648</v>
      </c>
      <c r="S4346" s="13">
        <v>1</v>
      </c>
      <c r="T4346" s="14">
        <v>90.66</v>
      </c>
      <c r="U4346" s="2">
        <f t="shared" si="711"/>
        <v>20.851800000000001</v>
      </c>
      <c r="V4346" s="2">
        <f t="shared" si="712"/>
        <v>111.51179999999999</v>
      </c>
      <c r="W4346" s="2">
        <v>30.61</v>
      </c>
      <c r="X4346" s="5">
        <f t="shared" si="713"/>
        <v>0.66236487977057135</v>
      </c>
      <c r="Z4346" s="2" t="s">
        <v>118</v>
      </c>
      <c r="AA4346" s="2" t="s">
        <v>119</v>
      </c>
      <c r="AB4346" s="2" t="s">
        <v>120</v>
      </c>
      <c r="AC4346" s="2" t="s">
        <v>115</v>
      </c>
      <c r="AK4346" s="2">
        <f t="shared" si="709"/>
        <v>60.05</v>
      </c>
      <c r="AL4346" s="5">
        <f t="shared" si="710"/>
        <v>0.66236487977057135</v>
      </c>
    </row>
    <row r="4347" spans="1:38" x14ac:dyDescent="0.2">
      <c r="A4347" s="2">
        <v>2026</v>
      </c>
      <c r="B4347" s="2">
        <v>7</v>
      </c>
      <c r="C4347" s="2" t="s">
        <v>3298</v>
      </c>
      <c r="D4347" s="15" t="s">
        <v>817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188</v>
      </c>
      <c r="Q4347" s="16" t="s">
        <v>189</v>
      </c>
      <c r="R4347" s="15" t="s">
        <v>190</v>
      </c>
      <c r="S4347" s="13">
        <v>2</v>
      </c>
      <c r="T4347" s="14">
        <v>368</v>
      </c>
      <c r="U4347" s="2">
        <f t="shared" si="711"/>
        <v>84.64</v>
      </c>
      <c r="V4347" s="2">
        <f t="shared" si="712"/>
        <v>452.64</v>
      </c>
      <c r="W4347" s="2">
        <f>T4347*40%</f>
        <v>147.20000000000002</v>
      </c>
      <c r="X4347" s="5">
        <f t="shared" si="713"/>
        <v>0.6</v>
      </c>
      <c r="Z4347" s="2" t="s">
        <v>118</v>
      </c>
      <c r="AA4347" s="2" t="s">
        <v>191</v>
      </c>
      <c r="AB4347" s="2" t="s">
        <v>190</v>
      </c>
      <c r="AC4347" s="2" t="s">
        <v>40</v>
      </c>
      <c r="AK4347" s="2">
        <f t="shared" si="709"/>
        <v>220.79999999999998</v>
      </c>
      <c r="AL4347" s="5">
        <f t="shared" si="710"/>
        <v>0.6</v>
      </c>
    </row>
    <row r="4348" spans="1:38" x14ac:dyDescent="0.2">
      <c r="A4348" s="2">
        <v>2026</v>
      </c>
      <c r="B4348" s="2">
        <v>7</v>
      </c>
      <c r="C4348" s="2" t="s">
        <v>3298</v>
      </c>
      <c r="D4348" s="15" t="s">
        <v>817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188</v>
      </c>
      <c r="Q4348" s="16" t="s">
        <v>192</v>
      </c>
      <c r="R4348" s="15" t="s">
        <v>191</v>
      </c>
      <c r="S4348" s="13">
        <v>4</v>
      </c>
      <c r="T4348" s="14">
        <v>220</v>
      </c>
      <c r="U4348" s="2">
        <f t="shared" si="711"/>
        <v>50.6</v>
      </c>
      <c r="V4348" s="2">
        <f t="shared" si="712"/>
        <v>270.60000000000002</v>
      </c>
      <c r="W4348" s="2">
        <f>T4348*50%</f>
        <v>110</v>
      </c>
      <c r="X4348" s="5">
        <f t="shared" si="713"/>
        <v>0.5</v>
      </c>
      <c r="Z4348" s="2" t="s">
        <v>118</v>
      </c>
      <c r="AA4348" s="2" t="s">
        <v>191</v>
      </c>
      <c r="AB4348" s="2" t="s">
        <v>191</v>
      </c>
      <c r="AC4348" s="2" t="s">
        <v>40</v>
      </c>
      <c r="AK4348" s="2">
        <f t="shared" si="709"/>
        <v>110</v>
      </c>
      <c r="AL4348" s="5">
        <f t="shared" si="710"/>
        <v>0.5</v>
      </c>
    </row>
    <row r="4349" spans="1:38" x14ac:dyDescent="0.2">
      <c r="A4349" s="2">
        <v>2026</v>
      </c>
      <c r="B4349" s="2">
        <v>7</v>
      </c>
      <c r="C4349" s="2" t="s">
        <v>3444</v>
      </c>
      <c r="D4349" s="15" t="s">
        <v>2021</v>
      </c>
      <c r="E4349" s="2" t="s">
        <v>109</v>
      </c>
      <c r="F4349" s="2" t="s">
        <v>39</v>
      </c>
      <c r="L4349" s="2" t="s">
        <v>178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1</v>
      </c>
      <c r="T4349" s="14">
        <v>75</v>
      </c>
      <c r="U4349" s="2">
        <f t="shared" si="711"/>
        <v>17.25</v>
      </c>
      <c r="V4349" s="2">
        <f t="shared" si="712"/>
        <v>92.25</v>
      </c>
      <c r="W4349" s="2">
        <f>T4349*40%</f>
        <v>30</v>
      </c>
      <c r="X4349" s="5">
        <f t="shared" si="713"/>
        <v>0.6</v>
      </c>
      <c r="Z4349" s="2" t="s">
        <v>118</v>
      </c>
      <c r="AA4349" s="2" t="s">
        <v>191</v>
      </c>
      <c r="AB4349" s="2" t="s">
        <v>190</v>
      </c>
      <c r="AC4349" s="2" t="s">
        <v>40</v>
      </c>
      <c r="AK4349" s="2">
        <f t="shared" si="709"/>
        <v>45</v>
      </c>
      <c r="AL4349" s="5">
        <f t="shared" si="710"/>
        <v>0.6</v>
      </c>
    </row>
    <row r="4350" spans="1:38" x14ac:dyDescent="0.2">
      <c r="A4350" s="2">
        <v>2026</v>
      </c>
      <c r="B4350" s="2">
        <v>7</v>
      </c>
      <c r="C4350" s="2" t="s">
        <v>3444</v>
      </c>
      <c r="D4350" s="15" t="s">
        <v>2021</v>
      </c>
      <c r="E4350" s="2" t="s">
        <v>109</v>
      </c>
      <c r="F4350" s="2" t="s">
        <v>39</v>
      </c>
      <c r="L4350" s="2" t="s">
        <v>178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1.75</v>
      </c>
      <c r="T4350" s="14">
        <v>96.25</v>
      </c>
      <c r="U4350" s="2">
        <f t="shared" si="711"/>
        <v>22.137499999999999</v>
      </c>
      <c r="V4350" s="2">
        <f t="shared" si="712"/>
        <v>118.3875</v>
      </c>
      <c r="W4350" s="2">
        <f>T4350*50%</f>
        <v>48.125</v>
      </c>
      <c r="X4350" s="5">
        <f t="shared" si="713"/>
        <v>0.5</v>
      </c>
      <c r="Z4350" s="2" t="s">
        <v>118</v>
      </c>
      <c r="AA4350" s="2" t="s">
        <v>191</v>
      </c>
      <c r="AB4350" s="2" t="s">
        <v>191</v>
      </c>
      <c r="AC4350" s="2" t="s">
        <v>40</v>
      </c>
      <c r="AK4350" s="2">
        <f t="shared" si="709"/>
        <v>48.125</v>
      </c>
      <c r="AL4350" s="5">
        <f t="shared" si="710"/>
        <v>0.5</v>
      </c>
    </row>
    <row r="4351" spans="1:38" x14ac:dyDescent="0.2">
      <c r="A4351" s="2">
        <v>2026</v>
      </c>
      <c r="B4351" s="2">
        <v>7</v>
      </c>
      <c r="C4351" s="2" t="s">
        <v>3444</v>
      </c>
      <c r="D4351" s="15" t="s">
        <v>2021</v>
      </c>
      <c r="E4351" s="2" t="s">
        <v>109</v>
      </c>
      <c r="F4351" s="2" t="s">
        <v>39</v>
      </c>
      <c r="L4351" s="2" t="s">
        <v>178</v>
      </c>
      <c r="M4351" s="2" t="s">
        <v>40</v>
      </c>
      <c r="P4351" s="2" t="s">
        <v>40</v>
      </c>
      <c r="Q4351" s="16" t="s">
        <v>364</v>
      </c>
      <c r="R4351" s="15" t="s">
        <v>365</v>
      </c>
      <c r="S4351" s="13">
        <v>1</v>
      </c>
      <c r="T4351" s="14">
        <v>297.5</v>
      </c>
      <c r="U4351" s="2">
        <f t="shared" si="711"/>
        <v>68.424999999999997</v>
      </c>
      <c r="V4351" s="2">
        <f t="shared" si="712"/>
        <v>365.92500000000001</v>
      </c>
      <c r="X4351" s="5">
        <f t="shared" si="713"/>
        <v>1</v>
      </c>
      <c r="Z4351" s="2" t="s">
        <v>120</v>
      </c>
      <c r="AA4351" s="2" t="s">
        <v>3385</v>
      </c>
      <c r="AK4351" s="2">
        <f t="shared" si="709"/>
        <v>297.5</v>
      </c>
      <c r="AL4351" s="5">
        <f t="shared" si="710"/>
        <v>1</v>
      </c>
    </row>
    <row r="4352" spans="1:38" x14ac:dyDescent="0.2">
      <c r="A4352" s="2">
        <v>2026</v>
      </c>
      <c r="B4352" s="2">
        <v>7</v>
      </c>
      <c r="C4352" s="2" t="s">
        <v>3300</v>
      </c>
      <c r="D4352" s="15" t="s">
        <v>3340</v>
      </c>
      <c r="E4352" s="2" t="s">
        <v>109</v>
      </c>
      <c r="F4352" s="2" t="s">
        <v>39</v>
      </c>
      <c r="L4352" s="2" t="s">
        <v>399</v>
      </c>
      <c r="M4352" s="2" t="s">
        <v>110</v>
      </c>
      <c r="P4352" s="2" t="s">
        <v>40</v>
      </c>
      <c r="Q4352" s="16" t="s">
        <v>364</v>
      </c>
      <c r="R4352" s="15" t="s">
        <v>365</v>
      </c>
      <c r="S4352" s="13">
        <v>1</v>
      </c>
      <c r="T4352" s="14">
        <v>500</v>
      </c>
      <c r="U4352" s="2">
        <f t="shared" si="711"/>
        <v>115</v>
      </c>
      <c r="V4352" s="2">
        <f t="shared" si="712"/>
        <v>615</v>
      </c>
      <c r="X4352" s="5">
        <f t="shared" si="713"/>
        <v>1</v>
      </c>
      <c r="Z4352" s="2" t="s">
        <v>105</v>
      </c>
      <c r="AA4352" s="2" t="s">
        <v>415</v>
      </c>
      <c r="AB4352" s="2" t="s">
        <v>476</v>
      </c>
      <c r="AC4352" s="2" t="s">
        <v>476</v>
      </c>
      <c r="AK4352" s="2">
        <f t="shared" si="709"/>
        <v>500</v>
      </c>
      <c r="AL4352" s="5">
        <f t="shared" si="710"/>
        <v>1</v>
      </c>
    </row>
    <row r="4353" spans="1:38" x14ac:dyDescent="0.2">
      <c r="A4353" s="2">
        <v>2026</v>
      </c>
      <c r="B4353" s="2">
        <v>7</v>
      </c>
      <c r="C4353" s="2" t="s">
        <v>3298</v>
      </c>
      <c r="D4353" s="15" t="s">
        <v>459</v>
      </c>
      <c r="E4353" s="2" t="s">
        <v>109</v>
      </c>
      <c r="F4353" s="2" t="s">
        <v>39</v>
      </c>
      <c r="L4353" s="2" t="s">
        <v>462</v>
      </c>
      <c r="M4353" s="2" t="s">
        <v>81</v>
      </c>
      <c r="P4353" s="2" t="s">
        <v>283</v>
      </c>
      <c r="Q4353" s="16" t="s">
        <v>400</v>
      </c>
      <c r="R4353" s="15" t="s">
        <v>401</v>
      </c>
      <c r="S4353" s="13">
        <v>2</v>
      </c>
      <c r="T4353" s="14">
        <v>58</v>
      </c>
      <c r="U4353" s="2">
        <f t="shared" si="711"/>
        <v>13.34</v>
      </c>
      <c r="V4353" s="2">
        <f t="shared" si="712"/>
        <v>71.34</v>
      </c>
      <c r="W4353" s="2">
        <f t="shared" ref="W4353:W4354" si="714">14.5099*S4353</f>
        <v>29.0198</v>
      </c>
      <c r="X4353" s="5">
        <f t="shared" si="713"/>
        <v>0.49965862068965516</v>
      </c>
      <c r="Z4353" s="2" t="s">
        <v>3231</v>
      </c>
      <c r="AA4353" s="2" t="s">
        <v>46</v>
      </c>
      <c r="AB4353" s="2" t="s">
        <v>61</v>
      </c>
      <c r="AC4353" s="2" t="s">
        <v>3336</v>
      </c>
      <c r="AK4353" s="2">
        <f t="shared" si="709"/>
        <v>28.9802</v>
      </c>
      <c r="AL4353" s="5">
        <f t="shared" si="710"/>
        <v>0.49965862068965516</v>
      </c>
    </row>
    <row r="4354" spans="1:38" x14ac:dyDescent="0.2">
      <c r="A4354" s="2">
        <v>2026</v>
      </c>
      <c r="B4354" s="2">
        <v>7</v>
      </c>
      <c r="C4354" s="2" t="s">
        <v>3298</v>
      </c>
      <c r="D4354" s="15" t="s">
        <v>459</v>
      </c>
      <c r="E4354" s="2" t="s">
        <v>109</v>
      </c>
      <c r="F4354" s="2" t="s">
        <v>39</v>
      </c>
      <c r="L4354" s="2" t="s">
        <v>462</v>
      </c>
      <c r="M4354" s="2" t="s">
        <v>81</v>
      </c>
      <c r="P4354" s="2" t="s">
        <v>283</v>
      </c>
      <c r="Q4354" s="16" t="s">
        <v>402</v>
      </c>
      <c r="R4354" s="15" t="s">
        <v>403</v>
      </c>
      <c r="S4354" s="13">
        <v>4</v>
      </c>
      <c r="T4354" s="14">
        <v>96</v>
      </c>
      <c r="U4354" s="2">
        <f t="shared" si="711"/>
        <v>22.080000000000002</v>
      </c>
      <c r="V4354" s="2">
        <f t="shared" si="712"/>
        <v>118.08</v>
      </c>
      <c r="W4354" s="2">
        <f t="shared" si="714"/>
        <v>58.0396</v>
      </c>
      <c r="X4354" s="5">
        <f t="shared" si="713"/>
        <v>0.39542083333333333</v>
      </c>
      <c r="Z4354" s="2" t="s">
        <v>3231</v>
      </c>
      <c r="AA4354" s="2" t="s">
        <v>46</v>
      </c>
      <c r="AB4354" s="2" t="s">
        <v>61</v>
      </c>
      <c r="AC4354" s="2" t="s">
        <v>3336</v>
      </c>
      <c r="AK4354" s="2">
        <f t="shared" si="709"/>
        <v>37.9604</v>
      </c>
      <c r="AL4354" s="5">
        <f t="shared" si="710"/>
        <v>0.39542083333333333</v>
      </c>
    </row>
    <row r="4355" spans="1:38" x14ac:dyDescent="0.2">
      <c r="A4355" s="2">
        <v>2026</v>
      </c>
      <c r="B4355" s="2">
        <v>7</v>
      </c>
      <c r="C4355" s="2" t="s">
        <v>3299</v>
      </c>
      <c r="D4355" s="15" t="s">
        <v>459</v>
      </c>
      <c r="E4355" s="2" t="s">
        <v>109</v>
      </c>
      <c r="F4355" s="2" t="s">
        <v>39</v>
      </c>
      <c r="L4355" s="2" t="s">
        <v>462</v>
      </c>
      <c r="M4355" s="2" t="s">
        <v>40</v>
      </c>
      <c r="P4355" s="2" t="s">
        <v>188</v>
      </c>
      <c r="Q4355" s="16" t="s">
        <v>189</v>
      </c>
      <c r="R4355" s="15" t="s">
        <v>190</v>
      </c>
      <c r="S4355" s="13">
        <v>1</v>
      </c>
      <c r="T4355" s="14">
        <v>177</v>
      </c>
      <c r="U4355" s="2">
        <f t="shared" si="711"/>
        <v>40.71</v>
      </c>
      <c r="V4355" s="2">
        <f t="shared" si="712"/>
        <v>217.71</v>
      </c>
      <c r="W4355" s="2">
        <f>T4355*40%</f>
        <v>70.8</v>
      </c>
      <c r="X4355" s="5">
        <f t="shared" si="713"/>
        <v>0.6</v>
      </c>
      <c r="Z4355" s="2" t="s">
        <v>118</v>
      </c>
      <c r="AA4355" s="2" t="s">
        <v>191</v>
      </c>
      <c r="AB4355" s="2" t="s">
        <v>190</v>
      </c>
      <c r="AC4355" s="2" t="s">
        <v>40</v>
      </c>
      <c r="AK4355" s="2">
        <f t="shared" si="709"/>
        <v>106.2</v>
      </c>
      <c r="AL4355" s="5">
        <f t="shared" si="710"/>
        <v>0.6</v>
      </c>
    </row>
    <row r="4356" spans="1:38" x14ac:dyDescent="0.2">
      <c r="A4356" s="2">
        <v>2026</v>
      </c>
      <c r="B4356" s="2">
        <v>7</v>
      </c>
      <c r="C4356" s="2" t="s">
        <v>3299</v>
      </c>
      <c r="D4356" s="15" t="s">
        <v>459</v>
      </c>
      <c r="E4356" s="2" t="s">
        <v>109</v>
      </c>
      <c r="F4356" s="2" t="s">
        <v>39</v>
      </c>
      <c r="L4356" s="2" t="s">
        <v>462</v>
      </c>
      <c r="M4356" s="2" t="s">
        <v>40</v>
      </c>
      <c r="P4356" s="2" t="s">
        <v>188</v>
      </c>
      <c r="Q4356" s="16" t="s">
        <v>192</v>
      </c>
      <c r="R4356" s="15" t="s">
        <v>191</v>
      </c>
      <c r="S4356" s="13">
        <v>1</v>
      </c>
      <c r="T4356" s="14">
        <v>55</v>
      </c>
      <c r="U4356" s="2">
        <f t="shared" si="711"/>
        <v>12.65</v>
      </c>
      <c r="V4356" s="2">
        <f t="shared" si="712"/>
        <v>67.650000000000006</v>
      </c>
      <c r="W4356" s="2">
        <f>T4356*50%</f>
        <v>27.5</v>
      </c>
      <c r="X4356" s="5">
        <f t="shared" si="713"/>
        <v>0.5</v>
      </c>
      <c r="Z4356" s="2" t="s">
        <v>118</v>
      </c>
      <c r="AA4356" s="2" t="s">
        <v>191</v>
      </c>
      <c r="AB4356" s="2" t="s">
        <v>191</v>
      </c>
      <c r="AC4356" s="2" t="s">
        <v>40</v>
      </c>
      <c r="AK4356" s="2">
        <f t="shared" si="709"/>
        <v>27.5</v>
      </c>
      <c r="AL4356" s="5">
        <f t="shared" si="710"/>
        <v>0.5</v>
      </c>
    </row>
    <row r="4357" spans="1:38" x14ac:dyDescent="0.2">
      <c r="A4357" s="2">
        <v>2026</v>
      </c>
      <c r="B4357" s="2">
        <v>7</v>
      </c>
      <c r="C4357" s="2" t="s">
        <v>3299</v>
      </c>
      <c r="D4357" s="15" t="s">
        <v>1577</v>
      </c>
      <c r="E4357" s="2" t="s">
        <v>753</v>
      </c>
      <c r="F4357" s="2" t="s">
        <v>39</v>
      </c>
      <c r="L4357" s="2" t="s">
        <v>462</v>
      </c>
      <c r="M4357" s="2" t="s">
        <v>110</v>
      </c>
      <c r="P4357" s="2" t="s">
        <v>283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711"/>
        <v>0</v>
      </c>
      <c r="V4357" s="2">
        <f t="shared" si="712"/>
        <v>0</v>
      </c>
      <c r="W4357" s="2">
        <v>0</v>
      </c>
      <c r="X4357" s="5">
        <v>0</v>
      </c>
      <c r="Z4357" s="2" t="s">
        <v>105</v>
      </c>
      <c r="AA4357" s="2" t="s">
        <v>1578</v>
      </c>
      <c r="AB4357" s="2" t="s">
        <v>389</v>
      </c>
      <c r="AC4357" s="2" t="s">
        <v>1329</v>
      </c>
      <c r="AK4357" s="2">
        <f t="shared" si="709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3299</v>
      </c>
      <c r="D4358" s="15" t="s">
        <v>1577</v>
      </c>
      <c r="E4358" s="2" t="s">
        <v>753</v>
      </c>
      <c r="F4358" s="2" t="s">
        <v>39</v>
      </c>
      <c r="L4358" s="2" t="s">
        <v>462</v>
      </c>
      <c r="M4358" s="2" t="s">
        <v>110</v>
      </c>
      <c r="P4358" s="2" t="s">
        <v>283</v>
      </c>
      <c r="Q4358" s="16" t="s">
        <v>2655</v>
      </c>
      <c r="R4358" s="15" t="s">
        <v>2656</v>
      </c>
      <c r="S4358" s="13">
        <v>1</v>
      </c>
      <c r="T4358" s="14">
        <v>0</v>
      </c>
      <c r="U4358" s="2">
        <f t="shared" si="711"/>
        <v>0</v>
      </c>
      <c r="V4358" s="2">
        <f t="shared" si="712"/>
        <v>0</v>
      </c>
      <c r="W4358" s="2">
        <v>0</v>
      </c>
      <c r="X4358" s="5">
        <v>0</v>
      </c>
      <c r="Z4358" s="2" t="s">
        <v>105</v>
      </c>
      <c r="AA4358" s="2" t="s">
        <v>1578</v>
      </c>
      <c r="AB4358" s="2" t="s">
        <v>389</v>
      </c>
      <c r="AC4358" s="2" t="s">
        <v>1329</v>
      </c>
      <c r="AK4358" s="2">
        <f t="shared" si="709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3299</v>
      </c>
      <c r="D4359" s="15" t="s">
        <v>1577</v>
      </c>
      <c r="E4359" s="2" t="s">
        <v>753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3356</v>
      </c>
      <c r="R4359" s="15" t="s">
        <v>3357</v>
      </c>
      <c r="S4359" s="13">
        <v>1</v>
      </c>
      <c r="T4359" s="14">
        <v>12000</v>
      </c>
      <c r="U4359" s="2">
        <f t="shared" si="711"/>
        <v>2760</v>
      </c>
      <c r="V4359" s="2">
        <f t="shared" si="712"/>
        <v>14760</v>
      </c>
      <c r="W4359" s="2">
        <f>10440+150</f>
        <v>10590</v>
      </c>
      <c r="X4359" s="5">
        <f t="shared" si="713"/>
        <v>0.11749999999999999</v>
      </c>
      <c r="Z4359" s="2" t="s">
        <v>105</v>
      </c>
      <c r="AA4359" s="2" t="s">
        <v>1578</v>
      </c>
      <c r="AB4359" s="2" t="s">
        <v>389</v>
      </c>
      <c r="AC4359" s="2" t="s">
        <v>1329</v>
      </c>
      <c r="AK4359" s="2">
        <f t="shared" si="709"/>
        <v>1410</v>
      </c>
      <c r="AL4359" s="5">
        <f t="shared" si="710"/>
        <v>0.11749999999999999</v>
      </c>
    </row>
    <row r="4360" spans="1:38" x14ac:dyDescent="0.2">
      <c r="A4360" s="2">
        <v>2026</v>
      </c>
      <c r="B4360" s="2">
        <v>7</v>
      </c>
      <c r="C4360" s="2" t="s">
        <v>3299</v>
      </c>
      <c r="D4360" s="15" t="s">
        <v>3341</v>
      </c>
      <c r="E4360" s="2" t="s">
        <v>109</v>
      </c>
      <c r="F4360" s="2" t="s">
        <v>39</v>
      </c>
      <c r="L4360" s="2" t="s">
        <v>462</v>
      </c>
      <c r="M4360" s="2" t="s">
        <v>81</v>
      </c>
      <c r="P4360" s="2" t="s">
        <v>73</v>
      </c>
      <c r="Q4360" s="16" t="s">
        <v>74</v>
      </c>
      <c r="R4360" s="15" t="s">
        <v>75</v>
      </c>
      <c r="S4360" s="13">
        <v>1</v>
      </c>
      <c r="T4360" s="14">
        <v>190</v>
      </c>
      <c r="U4360" s="2">
        <f t="shared" si="711"/>
        <v>43.7</v>
      </c>
      <c r="V4360" s="2">
        <f t="shared" si="712"/>
        <v>233.7</v>
      </c>
      <c r="W4360" s="2">
        <v>125.51600000000001</v>
      </c>
      <c r="X4360" s="5">
        <f t="shared" si="713"/>
        <v>0.33938947368421052</v>
      </c>
      <c r="Z4360" s="2" t="s">
        <v>3231</v>
      </c>
      <c r="AA4360" s="2" t="s">
        <v>76</v>
      </c>
      <c r="AB4360" s="2" t="s">
        <v>77</v>
      </c>
      <c r="AC4360" s="2" t="s">
        <v>78</v>
      </c>
      <c r="AK4360" s="2">
        <f t="shared" si="709"/>
        <v>64.483999999999995</v>
      </c>
      <c r="AL4360" s="5">
        <f t="shared" si="710"/>
        <v>0.33938947368421052</v>
      </c>
    </row>
    <row r="4361" spans="1:38" x14ac:dyDescent="0.2">
      <c r="A4361" s="2">
        <v>2026</v>
      </c>
      <c r="B4361" s="2">
        <v>7</v>
      </c>
      <c r="C4361" s="2" t="s">
        <v>3299</v>
      </c>
      <c r="D4361" s="15" t="s">
        <v>3341</v>
      </c>
      <c r="E4361" s="2" t="s">
        <v>109</v>
      </c>
      <c r="F4361" s="2" t="s">
        <v>39</v>
      </c>
      <c r="L4361" s="2" t="s">
        <v>462</v>
      </c>
      <c r="M4361" s="2" t="s">
        <v>81</v>
      </c>
      <c r="P4361" s="2" t="s">
        <v>94</v>
      </c>
      <c r="Q4361" s="16" t="s">
        <v>95</v>
      </c>
      <c r="R4361" s="15" t="s">
        <v>96</v>
      </c>
      <c r="S4361" s="13">
        <v>1</v>
      </c>
      <c r="T4361" s="14">
        <v>1.48</v>
      </c>
      <c r="U4361" s="2">
        <f t="shared" si="711"/>
        <v>0.34040000000000004</v>
      </c>
      <c r="V4361" s="2">
        <f t="shared" si="712"/>
        <v>1.8204</v>
      </c>
      <c r="W4361" s="2">
        <v>1.48</v>
      </c>
      <c r="X4361" s="5">
        <f t="shared" si="713"/>
        <v>0</v>
      </c>
      <c r="Z4361" s="2" t="s">
        <v>3231</v>
      </c>
      <c r="AA4361" s="2" t="s">
        <v>97</v>
      </c>
      <c r="AB4361" s="2" t="s">
        <v>77</v>
      </c>
      <c r="AC4361" s="2" t="s">
        <v>94</v>
      </c>
      <c r="AK4361" s="2">
        <f t="shared" si="709"/>
        <v>0</v>
      </c>
      <c r="AL4361" s="5">
        <f t="shared" si="710"/>
        <v>0</v>
      </c>
    </row>
    <row r="4362" spans="1:38" x14ac:dyDescent="0.2">
      <c r="A4362" s="2">
        <v>2026</v>
      </c>
      <c r="B4362" s="2">
        <v>7</v>
      </c>
      <c r="C4362" s="2" t="s">
        <v>3299</v>
      </c>
      <c r="D4362" s="15" t="s">
        <v>463</v>
      </c>
      <c r="E4362" s="2" t="s">
        <v>109</v>
      </c>
      <c r="F4362" s="2" t="s">
        <v>39</v>
      </c>
      <c r="L4362" s="2" t="s">
        <v>113</v>
      </c>
      <c r="M4362" s="2" t="s">
        <v>40</v>
      </c>
      <c r="P4362" s="2" t="s">
        <v>115</v>
      </c>
      <c r="Q4362" s="16" t="s">
        <v>780</v>
      </c>
      <c r="R4362" s="15" t="s">
        <v>781</v>
      </c>
      <c r="S4362" s="13">
        <v>1</v>
      </c>
      <c r="T4362" s="14">
        <v>78.59</v>
      </c>
      <c r="U4362" s="2">
        <f t="shared" si="711"/>
        <v>18.075700000000001</v>
      </c>
      <c r="V4362" s="2">
        <f t="shared" si="712"/>
        <v>96.665700000000001</v>
      </c>
      <c r="W4362" s="2">
        <f>36.2258</f>
        <v>36.2258</v>
      </c>
      <c r="X4362" s="5">
        <f t="shared" si="713"/>
        <v>0.53905331467107775</v>
      </c>
      <c r="Z4362" s="2" t="s">
        <v>118</v>
      </c>
      <c r="AA4362" s="2" t="s">
        <v>119</v>
      </c>
      <c r="AB4362" s="2" t="s">
        <v>120</v>
      </c>
      <c r="AC4362" s="2" t="s">
        <v>115</v>
      </c>
      <c r="AK4362" s="2">
        <f t="shared" si="709"/>
        <v>42.364200000000004</v>
      </c>
      <c r="AL4362" s="5">
        <f t="shared" si="710"/>
        <v>0.53905331467107775</v>
      </c>
    </row>
    <row r="4363" spans="1:38" x14ac:dyDescent="0.2">
      <c r="A4363" s="2">
        <v>2026</v>
      </c>
      <c r="B4363" s="2">
        <v>7</v>
      </c>
      <c r="C4363" s="2" t="s">
        <v>3299</v>
      </c>
      <c r="D4363" s="15" t="s">
        <v>463</v>
      </c>
      <c r="E4363" s="2" t="s">
        <v>109</v>
      </c>
      <c r="F4363" s="2" t="s">
        <v>39</v>
      </c>
      <c r="L4363" s="2" t="s">
        <v>113</v>
      </c>
      <c r="M4363" s="2" t="s">
        <v>40</v>
      </c>
      <c r="P4363" s="2" t="s">
        <v>170</v>
      </c>
      <c r="Q4363" s="16" t="s">
        <v>171</v>
      </c>
      <c r="R4363" s="15" t="s">
        <v>171</v>
      </c>
      <c r="S4363" s="13">
        <v>1</v>
      </c>
      <c r="T4363" s="14">
        <v>7</v>
      </c>
      <c r="U4363" s="2">
        <f t="shared" si="711"/>
        <v>1.61</v>
      </c>
      <c r="V4363" s="2">
        <f t="shared" si="712"/>
        <v>8.61</v>
      </c>
      <c r="X4363" s="5">
        <f t="shared" si="713"/>
        <v>1</v>
      </c>
      <c r="Z4363" s="2" t="s">
        <v>170</v>
      </c>
      <c r="AA4363" s="2" t="s">
        <v>170</v>
      </c>
      <c r="AK4363" s="2">
        <f t="shared" si="709"/>
        <v>7</v>
      </c>
      <c r="AL4363" s="5">
        <f t="shared" si="710"/>
        <v>1</v>
      </c>
    </row>
    <row r="4364" spans="1:38" x14ac:dyDescent="0.2">
      <c r="A4364" s="2">
        <v>2026</v>
      </c>
      <c r="B4364" s="2">
        <v>7</v>
      </c>
      <c r="C4364" s="2" t="s">
        <v>3299</v>
      </c>
      <c r="D4364" s="15" t="s">
        <v>3420</v>
      </c>
      <c r="E4364" s="2" t="s">
        <v>109</v>
      </c>
      <c r="F4364" s="2" t="s">
        <v>39</v>
      </c>
      <c r="L4364" s="2" t="s">
        <v>134</v>
      </c>
      <c r="M4364" s="2" t="s">
        <v>110</v>
      </c>
      <c r="P4364" s="2" t="s">
        <v>115</v>
      </c>
      <c r="Q4364" s="16" t="s">
        <v>710</v>
      </c>
      <c r="R4364" s="15" t="s">
        <v>711</v>
      </c>
      <c r="S4364" s="13">
        <v>1</v>
      </c>
      <c r="T4364" s="14">
        <v>1600</v>
      </c>
      <c r="U4364" s="2">
        <f t="shared" si="711"/>
        <v>368</v>
      </c>
      <c r="V4364" s="2">
        <f t="shared" si="712"/>
        <v>1968</v>
      </c>
      <c r="W4364" s="2">
        <v>1244.2445</v>
      </c>
      <c r="X4364" s="5">
        <f t="shared" si="713"/>
        <v>0.22234718749999999</v>
      </c>
      <c r="Z4364" s="2" t="s">
        <v>105</v>
      </c>
      <c r="AA4364" s="2" t="s">
        <v>579</v>
      </c>
      <c r="AB4364" s="2" t="s">
        <v>702</v>
      </c>
      <c r="AC4364" s="2" t="s">
        <v>115</v>
      </c>
      <c r="AK4364" s="2">
        <f t="shared" si="709"/>
        <v>355.75549999999998</v>
      </c>
      <c r="AL4364" s="5">
        <f t="shared" si="710"/>
        <v>0.22234718749999999</v>
      </c>
    </row>
    <row r="4365" spans="1:38" x14ac:dyDescent="0.2">
      <c r="A4365" s="2">
        <v>2026</v>
      </c>
      <c r="B4365" s="2">
        <v>7</v>
      </c>
      <c r="C4365" s="2" t="s">
        <v>3299</v>
      </c>
      <c r="D4365" s="15" t="s">
        <v>3420</v>
      </c>
      <c r="E4365" s="2" t="s">
        <v>109</v>
      </c>
      <c r="F4365" s="2" t="s">
        <v>39</v>
      </c>
      <c r="L4365" s="2" t="s">
        <v>134</v>
      </c>
      <c r="M4365" s="2" t="s">
        <v>110</v>
      </c>
      <c r="P4365" s="2" t="s">
        <v>115</v>
      </c>
      <c r="Q4365" s="16" t="s">
        <v>839</v>
      </c>
      <c r="R4365" s="15" t="s">
        <v>840</v>
      </c>
      <c r="S4365" s="13">
        <v>1</v>
      </c>
      <c r="T4365" s="14">
        <v>4400</v>
      </c>
      <c r="U4365" s="2">
        <f t="shared" si="711"/>
        <v>1012</v>
      </c>
      <c r="V4365" s="2">
        <f t="shared" si="712"/>
        <v>5412</v>
      </c>
      <c r="W4365" s="2">
        <f>3229.76+112.87</f>
        <v>3342.63</v>
      </c>
      <c r="X4365" s="5">
        <f t="shared" si="713"/>
        <v>0.2403113636363636</v>
      </c>
      <c r="Z4365" s="2" t="s">
        <v>105</v>
      </c>
      <c r="AA4365" s="2" t="s">
        <v>151</v>
      </c>
      <c r="AB4365" s="2" t="s">
        <v>152</v>
      </c>
      <c r="AC4365" s="2" t="s">
        <v>115</v>
      </c>
      <c r="AK4365" s="2">
        <f t="shared" ref="AK4365:AK4428" si="715">T4365-W4365</f>
        <v>1057.3699999999999</v>
      </c>
      <c r="AL4365" s="5">
        <f t="shared" ref="AL4365:AL4428" si="716">(T4365-W4365)/T4365</f>
        <v>0.2403113636363636</v>
      </c>
    </row>
    <row r="4366" spans="1:38" x14ac:dyDescent="0.2">
      <c r="A4366" s="2">
        <v>2026</v>
      </c>
      <c r="B4366" s="2">
        <v>7</v>
      </c>
      <c r="C4366" s="2" t="s">
        <v>3300</v>
      </c>
      <c r="D4366" s="15" t="s">
        <v>841</v>
      </c>
      <c r="E4366" s="2" t="s">
        <v>109</v>
      </c>
      <c r="F4366" s="2" t="s">
        <v>842</v>
      </c>
      <c r="G4366" s="2">
        <v>504981285</v>
      </c>
      <c r="H4366" s="2" t="s">
        <v>291</v>
      </c>
      <c r="I4366" s="2" t="s">
        <v>843</v>
      </c>
      <c r="J4366" s="2" t="s">
        <v>844</v>
      </c>
      <c r="K4366" s="2">
        <v>932209225</v>
      </c>
      <c r="L4366" s="2" t="s">
        <v>340</v>
      </c>
      <c r="M4366" s="2" t="s">
        <v>40</v>
      </c>
      <c r="P4366" s="2" t="s">
        <v>115</v>
      </c>
      <c r="Q4366" s="16" t="s">
        <v>1376</v>
      </c>
      <c r="R4366" s="15" t="s">
        <v>1377</v>
      </c>
      <c r="S4366" s="13">
        <v>1</v>
      </c>
      <c r="T4366" s="14">
        <v>58.74</v>
      </c>
      <c r="U4366" s="2">
        <f t="shared" ref="U4366:U4429" si="717">T4366*23%</f>
        <v>13.510200000000001</v>
      </c>
      <c r="V4366" s="2">
        <f t="shared" ref="V4366:V4429" si="718">T4366+U4366</f>
        <v>72.250200000000007</v>
      </c>
      <c r="W4366" s="2">
        <v>27.86</v>
      </c>
      <c r="X4366" s="5">
        <f t="shared" si="713"/>
        <v>0.52570650323459311</v>
      </c>
      <c r="Z4366" s="2" t="s">
        <v>118</v>
      </c>
      <c r="AA4366" s="2" t="s">
        <v>119</v>
      </c>
      <c r="AB4366" s="2" t="s">
        <v>120</v>
      </c>
      <c r="AC4366" s="2" t="s">
        <v>115</v>
      </c>
      <c r="AK4366" s="2">
        <f t="shared" si="715"/>
        <v>30.880000000000003</v>
      </c>
      <c r="AL4366" s="5">
        <f t="shared" si="716"/>
        <v>0.52570650323459311</v>
      </c>
    </row>
    <row r="4367" spans="1:38" x14ac:dyDescent="0.2">
      <c r="A4367" s="2">
        <v>2026</v>
      </c>
      <c r="B4367" s="2">
        <v>7</v>
      </c>
      <c r="C4367" s="2" t="s">
        <v>3300</v>
      </c>
      <c r="D4367" s="15" t="s">
        <v>841</v>
      </c>
      <c r="E4367" s="2" t="s">
        <v>109</v>
      </c>
      <c r="F4367" s="2" t="s">
        <v>842</v>
      </c>
      <c r="G4367" s="2">
        <v>504981285</v>
      </c>
      <c r="H4367" s="2" t="s">
        <v>291</v>
      </c>
      <c r="I4367" s="2" t="s">
        <v>843</v>
      </c>
      <c r="J4367" s="2" t="s">
        <v>844</v>
      </c>
      <c r="K4367" s="2">
        <v>932209225</v>
      </c>
      <c r="L4367" s="2" t="s">
        <v>340</v>
      </c>
      <c r="M4367" s="2" t="s">
        <v>40</v>
      </c>
      <c r="P4367" s="2" t="s">
        <v>188</v>
      </c>
      <c r="Q4367" s="16" t="s">
        <v>189</v>
      </c>
      <c r="R4367" s="15" t="s">
        <v>190</v>
      </c>
      <c r="S4367" s="13">
        <v>1</v>
      </c>
      <c r="T4367" s="14">
        <v>55</v>
      </c>
      <c r="U4367" s="2">
        <f t="shared" si="717"/>
        <v>12.65</v>
      </c>
      <c r="V4367" s="2">
        <f t="shared" si="718"/>
        <v>67.650000000000006</v>
      </c>
      <c r="W4367" s="2">
        <f>T4367*40%</f>
        <v>22</v>
      </c>
      <c r="X4367" s="5">
        <f t="shared" si="713"/>
        <v>0.6</v>
      </c>
      <c r="Z4367" s="2" t="s">
        <v>118</v>
      </c>
      <c r="AA4367" s="2" t="s">
        <v>191</v>
      </c>
      <c r="AB4367" s="2" t="s">
        <v>190</v>
      </c>
      <c r="AC4367" s="2" t="s">
        <v>40</v>
      </c>
      <c r="AK4367" s="2">
        <f t="shared" si="715"/>
        <v>33</v>
      </c>
      <c r="AL4367" s="5">
        <f t="shared" si="716"/>
        <v>0.6</v>
      </c>
    </row>
    <row r="4368" spans="1:38" x14ac:dyDescent="0.2">
      <c r="A4368" s="2">
        <v>2026</v>
      </c>
      <c r="B4368" s="2">
        <v>7</v>
      </c>
      <c r="C4368" s="2" t="s">
        <v>3300</v>
      </c>
      <c r="D4368" s="15" t="s">
        <v>841</v>
      </c>
      <c r="E4368" s="2" t="s">
        <v>109</v>
      </c>
      <c r="F4368" s="2" t="s">
        <v>842</v>
      </c>
      <c r="G4368" s="2">
        <v>504981285</v>
      </c>
      <c r="H4368" s="2" t="s">
        <v>291</v>
      </c>
      <c r="I4368" s="2" t="s">
        <v>843</v>
      </c>
      <c r="J4368" s="2" t="s">
        <v>844</v>
      </c>
      <c r="K4368" s="2">
        <v>932209225</v>
      </c>
      <c r="L4368" s="2" t="s">
        <v>340</v>
      </c>
      <c r="M4368" s="2" t="s">
        <v>40</v>
      </c>
      <c r="P4368" s="2" t="s">
        <v>188</v>
      </c>
      <c r="Q4368" s="16" t="s">
        <v>192</v>
      </c>
      <c r="R4368" s="15" t="s">
        <v>191</v>
      </c>
      <c r="S4368" s="13">
        <v>1.5</v>
      </c>
      <c r="T4368" s="14">
        <v>82.5</v>
      </c>
      <c r="U4368" s="2">
        <f t="shared" si="717"/>
        <v>18.975000000000001</v>
      </c>
      <c r="V4368" s="2">
        <f t="shared" si="718"/>
        <v>101.47499999999999</v>
      </c>
      <c r="W4368" s="2">
        <f>T4368*50%</f>
        <v>41.25</v>
      </c>
      <c r="X4368" s="5">
        <f t="shared" si="713"/>
        <v>0.5</v>
      </c>
      <c r="Z4368" s="2" t="s">
        <v>118</v>
      </c>
      <c r="AA4368" s="2" t="s">
        <v>191</v>
      </c>
      <c r="AB4368" s="2" t="s">
        <v>191</v>
      </c>
      <c r="AC4368" s="2" t="s">
        <v>40</v>
      </c>
      <c r="AK4368" s="2">
        <f t="shared" si="715"/>
        <v>41.25</v>
      </c>
      <c r="AL4368" s="5">
        <f t="shared" si="716"/>
        <v>0.5</v>
      </c>
    </row>
    <row r="4369" spans="1:38" x14ac:dyDescent="0.2">
      <c r="A4369" s="2">
        <v>2026</v>
      </c>
      <c r="B4369" s="2">
        <v>7</v>
      </c>
      <c r="C4369" s="2" t="s">
        <v>3300</v>
      </c>
      <c r="D4369" s="15" t="s">
        <v>841</v>
      </c>
      <c r="E4369" s="2" t="s">
        <v>109</v>
      </c>
      <c r="F4369" s="2" t="s">
        <v>842</v>
      </c>
      <c r="G4369" s="2">
        <v>504981285</v>
      </c>
      <c r="H4369" s="2" t="s">
        <v>291</v>
      </c>
      <c r="I4369" s="2" t="s">
        <v>843</v>
      </c>
      <c r="J4369" s="2" t="s">
        <v>844</v>
      </c>
      <c r="K4369" s="2">
        <v>932209225</v>
      </c>
      <c r="L4369" s="2" t="s">
        <v>340</v>
      </c>
      <c r="M4369" s="2" t="s">
        <v>40</v>
      </c>
      <c r="P4369" s="2" t="s">
        <v>40</v>
      </c>
      <c r="Q4369" s="16" t="s">
        <v>364</v>
      </c>
      <c r="R4369" s="15" t="s">
        <v>365</v>
      </c>
      <c r="S4369" s="13">
        <v>1.7</v>
      </c>
      <c r="T4369" s="14">
        <v>9.34</v>
      </c>
      <c r="U4369" s="2">
        <f t="shared" si="717"/>
        <v>2.1482000000000001</v>
      </c>
      <c r="V4369" s="2">
        <f t="shared" si="718"/>
        <v>11.488199999999999</v>
      </c>
      <c r="X4369" s="5">
        <f t="shared" si="713"/>
        <v>1</v>
      </c>
      <c r="Z4369" s="2" t="s">
        <v>120</v>
      </c>
      <c r="AA4369" s="2" t="s">
        <v>3385</v>
      </c>
      <c r="AK4369" s="2">
        <f t="shared" si="715"/>
        <v>9.34</v>
      </c>
      <c r="AL4369" s="5">
        <f t="shared" si="716"/>
        <v>1</v>
      </c>
    </row>
    <row r="4370" spans="1:38" x14ac:dyDescent="0.2">
      <c r="A4370" s="2">
        <v>2026</v>
      </c>
      <c r="B4370" s="2">
        <v>7</v>
      </c>
      <c r="C4370" s="2" t="s">
        <v>3300</v>
      </c>
      <c r="D4370" s="15" t="s">
        <v>3342</v>
      </c>
      <c r="E4370" s="2" t="s">
        <v>38</v>
      </c>
      <c r="F4370" s="2" t="s">
        <v>39</v>
      </c>
      <c r="L4370" s="2" t="s">
        <v>134</v>
      </c>
      <c r="M4370" s="2" t="s">
        <v>40</v>
      </c>
      <c r="P4370" s="2" t="s">
        <v>115</v>
      </c>
      <c r="Q4370" s="16" t="s">
        <v>180</v>
      </c>
      <c r="R4370" s="15" t="s">
        <v>181</v>
      </c>
      <c r="S4370" s="13">
        <v>1</v>
      </c>
      <c r="T4370" s="14">
        <v>699.3</v>
      </c>
      <c r="U4370" s="2">
        <f t="shared" si="717"/>
        <v>160.839</v>
      </c>
      <c r="V4370" s="2">
        <f t="shared" si="718"/>
        <v>860.1389999999999</v>
      </c>
      <c r="W4370" s="2">
        <v>343.38580000000002</v>
      </c>
      <c r="X4370" s="5">
        <f t="shared" si="713"/>
        <v>0.50895781495781489</v>
      </c>
      <c r="Z4370" s="2" t="s">
        <v>118</v>
      </c>
      <c r="AA4370" s="2" t="s">
        <v>182</v>
      </c>
      <c r="AB4370" s="2" t="s">
        <v>120</v>
      </c>
      <c r="AC4370" s="2" t="s">
        <v>115</v>
      </c>
      <c r="AK4370" s="2">
        <f t="shared" si="715"/>
        <v>355.91419999999994</v>
      </c>
      <c r="AL4370" s="5">
        <f t="shared" si="716"/>
        <v>0.50895781495781489</v>
      </c>
    </row>
    <row r="4371" spans="1:38" x14ac:dyDescent="0.2">
      <c r="A4371" s="2">
        <v>2026</v>
      </c>
      <c r="B4371" s="2">
        <v>7</v>
      </c>
      <c r="C4371" s="2" t="s">
        <v>3300</v>
      </c>
      <c r="D4371" s="15" t="s">
        <v>3342</v>
      </c>
      <c r="E4371" s="2" t="s">
        <v>38</v>
      </c>
      <c r="F4371" s="2" t="s">
        <v>39</v>
      </c>
      <c r="L4371" s="2" t="s">
        <v>134</v>
      </c>
      <c r="M4371" s="2" t="s">
        <v>40</v>
      </c>
      <c r="P4371" s="2" t="s">
        <v>188</v>
      </c>
      <c r="Q4371" s="16" t="s">
        <v>189</v>
      </c>
      <c r="R4371" s="15" t="s">
        <v>190</v>
      </c>
      <c r="S4371" s="13">
        <v>1</v>
      </c>
      <c r="T4371" s="14">
        <v>175</v>
      </c>
      <c r="U4371" s="2">
        <f t="shared" si="717"/>
        <v>40.25</v>
      </c>
      <c r="V4371" s="2">
        <f t="shared" si="718"/>
        <v>215.25</v>
      </c>
      <c r="W4371" s="2">
        <f>T4371*40%</f>
        <v>70</v>
      </c>
      <c r="X4371" s="5">
        <f t="shared" si="713"/>
        <v>0.6</v>
      </c>
      <c r="Z4371" s="2" t="s">
        <v>118</v>
      </c>
      <c r="AA4371" s="2" t="s">
        <v>191</v>
      </c>
      <c r="AB4371" s="2" t="s">
        <v>190</v>
      </c>
      <c r="AC4371" s="2" t="s">
        <v>40</v>
      </c>
      <c r="AK4371" s="2">
        <f t="shared" si="715"/>
        <v>105</v>
      </c>
      <c r="AL4371" s="5">
        <f t="shared" si="716"/>
        <v>0.6</v>
      </c>
    </row>
    <row r="4372" spans="1:38" x14ac:dyDescent="0.2">
      <c r="A4372" s="2">
        <v>2026</v>
      </c>
      <c r="B4372" s="2">
        <v>7</v>
      </c>
      <c r="C4372" s="2" t="s">
        <v>3300</v>
      </c>
      <c r="D4372" s="15" t="s">
        <v>3342</v>
      </c>
      <c r="E4372" s="2" t="s">
        <v>38</v>
      </c>
      <c r="F4372" s="2" t="s">
        <v>39</v>
      </c>
      <c r="L4372" s="2" t="s">
        <v>134</v>
      </c>
      <c r="M4372" s="2" t="s">
        <v>40</v>
      </c>
      <c r="P4372" s="2" t="s">
        <v>188</v>
      </c>
      <c r="Q4372" s="16" t="s">
        <v>192</v>
      </c>
      <c r="R4372" s="15" t="s">
        <v>191</v>
      </c>
      <c r="S4372" s="13">
        <v>1</v>
      </c>
      <c r="T4372" s="14">
        <v>55</v>
      </c>
      <c r="U4372" s="2">
        <f t="shared" si="717"/>
        <v>12.65</v>
      </c>
      <c r="V4372" s="2">
        <f t="shared" si="718"/>
        <v>67.650000000000006</v>
      </c>
      <c r="W4372" s="2">
        <f>T4372*50%</f>
        <v>27.5</v>
      </c>
      <c r="X4372" s="5">
        <f t="shared" si="713"/>
        <v>0.5</v>
      </c>
      <c r="Z4372" s="2" t="s">
        <v>118</v>
      </c>
      <c r="AA4372" s="2" t="s">
        <v>191</v>
      </c>
      <c r="AB4372" s="2" t="s">
        <v>191</v>
      </c>
      <c r="AC4372" s="2" t="s">
        <v>40</v>
      </c>
      <c r="AK4372" s="2">
        <f t="shared" si="715"/>
        <v>27.5</v>
      </c>
      <c r="AL4372" s="5">
        <f t="shared" si="716"/>
        <v>0.5</v>
      </c>
    </row>
    <row r="4373" spans="1:38" x14ac:dyDescent="0.2">
      <c r="A4373" s="2">
        <v>2026</v>
      </c>
      <c r="B4373" s="2">
        <v>7</v>
      </c>
      <c r="D4373" s="15" t="s">
        <v>845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419</v>
      </c>
      <c r="K4373" s="2" t="s">
        <v>846</v>
      </c>
      <c r="L4373" s="2" t="s">
        <v>419</v>
      </c>
      <c r="M4373" s="2" t="s">
        <v>41</v>
      </c>
      <c r="P4373" s="2" t="s">
        <v>43</v>
      </c>
      <c r="Q4373" s="16" t="s">
        <v>49</v>
      </c>
      <c r="R4373" s="15" t="s">
        <v>50</v>
      </c>
      <c r="S4373" s="13">
        <v>1</v>
      </c>
      <c r="T4373" s="14">
        <v>13</v>
      </c>
      <c r="U4373" s="2">
        <f t="shared" si="717"/>
        <v>2.99</v>
      </c>
      <c r="V4373" s="2">
        <f t="shared" si="718"/>
        <v>15.99</v>
      </c>
      <c r="W4373" s="2">
        <f>6.6267*S4373</f>
        <v>6.6266999999999996</v>
      </c>
      <c r="X4373" s="5">
        <f t="shared" si="713"/>
        <v>0.49025384615384621</v>
      </c>
      <c r="Z4373" s="2" t="s">
        <v>3231</v>
      </c>
      <c r="AA4373" s="2" t="s">
        <v>46</v>
      </c>
      <c r="AB4373" s="2" t="s">
        <v>47</v>
      </c>
      <c r="AC4373" s="2" t="s">
        <v>48</v>
      </c>
      <c r="AK4373" s="2">
        <f t="shared" si="715"/>
        <v>6.3733000000000004</v>
      </c>
      <c r="AL4373" s="5">
        <f t="shared" si="716"/>
        <v>0.49025384615384621</v>
      </c>
    </row>
    <row r="4374" spans="1:38" x14ac:dyDescent="0.2">
      <c r="A4374" s="2">
        <v>2026</v>
      </c>
      <c r="B4374" s="2">
        <v>7</v>
      </c>
      <c r="C4374" s="8" t="s">
        <v>3299</v>
      </c>
      <c r="D4374" s="15" t="s">
        <v>845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419</v>
      </c>
      <c r="K4374" s="2" t="s">
        <v>846</v>
      </c>
      <c r="L4374" s="2" t="s">
        <v>419</v>
      </c>
      <c r="M4374" s="2" t="s">
        <v>41</v>
      </c>
      <c r="P4374" s="2" t="s">
        <v>43</v>
      </c>
      <c r="Q4374" s="16" t="s">
        <v>55</v>
      </c>
      <c r="R4374" s="15" t="s">
        <v>56</v>
      </c>
      <c r="S4374" s="13">
        <v>2</v>
      </c>
      <c r="T4374" s="14">
        <v>36</v>
      </c>
      <c r="U4374" s="2">
        <f t="shared" si="717"/>
        <v>8.2800000000000011</v>
      </c>
      <c r="V4374" s="2">
        <f t="shared" si="718"/>
        <v>44.28</v>
      </c>
      <c r="W4374" s="2">
        <f>10.6*S4374</f>
        <v>21.2</v>
      </c>
      <c r="X4374" s="5">
        <f t="shared" si="713"/>
        <v>0.41111111111111115</v>
      </c>
      <c r="Z4374" s="2" t="s">
        <v>3231</v>
      </c>
      <c r="AA4374" s="2" t="s">
        <v>46</v>
      </c>
      <c r="AB4374" s="2" t="s">
        <v>57</v>
      </c>
      <c r="AC4374" s="2" t="s">
        <v>58</v>
      </c>
      <c r="AK4374" s="2">
        <f t="shared" si="715"/>
        <v>14.8</v>
      </c>
      <c r="AL4374" s="5">
        <f t="shared" si="716"/>
        <v>0.41111111111111115</v>
      </c>
    </row>
    <row r="4375" spans="1:38" x14ac:dyDescent="0.2">
      <c r="A4375" s="2">
        <v>2026</v>
      </c>
      <c r="B4375" s="2">
        <v>7</v>
      </c>
      <c r="C4375" s="8" t="s">
        <v>3299</v>
      </c>
      <c r="D4375" s="15" t="s">
        <v>845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419</v>
      </c>
      <c r="K4375" s="2" t="s">
        <v>846</v>
      </c>
      <c r="L4375" s="2" t="s">
        <v>419</v>
      </c>
      <c r="M4375" s="2" t="s">
        <v>41</v>
      </c>
      <c r="P4375" s="2" t="s">
        <v>43</v>
      </c>
      <c r="Q4375" s="16" t="s">
        <v>59</v>
      </c>
      <c r="R4375" s="15" t="s">
        <v>60</v>
      </c>
      <c r="S4375" s="2">
        <v>100</v>
      </c>
      <c r="T4375" s="14">
        <v>13</v>
      </c>
      <c r="U4375" s="2">
        <f t="shared" si="717"/>
        <v>2.99</v>
      </c>
      <c r="V4375" s="2">
        <f t="shared" si="718"/>
        <v>15.99</v>
      </c>
      <c r="W4375" s="2">
        <f>0.0914*S4375</f>
        <v>9.1399999999999988</v>
      </c>
      <c r="X4375" s="5">
        <f t="shared" si="713"/>
        <v>0.29692307692307701</v>
      </c>
      <c r="Z4375" s="2" t="s">
        <v>3231</v>
      </c>
      <c r="AA4375" s="2" t="s">
        <v>46</v>
      </c>
      <c r="AB4375" s="2" t="s">
        <v>61</v>
      </c>
      <c r="AC4375" s="2" t="s">
        <v>58</v>
      </c>
      <c r="AK4375" s="2">
        <f t="shared" si="715"/>
        <v>3.8600000000000012</v>
      </c>
      <c r="AL4375" s="5">
        <f t="shared" si="716"/>
        <v>0.29692307692307701</v>
      </c>
    </row>
    <row r="4376" spans="1:38" x14ac:dyDescent="0.2">
      <c r="A4376" s="2">
        <v>2026</v>
      </c>
      <c r="B4376" s="2">
        <v>7</v>
      </c>
      <c r="C4376" s="8" t="s">
        <v>3299</v>
      </c>
      <c r="D4376" s="15" t="s">
        <v>845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846</v>
      </c>
      <c r="L4376" s="2" t="s">
        <v>419</v>
      </c>
      <c r="M4376" s="2" t="s">
        <v>41</v>
      </c>
      <c r="P4376" s="2" t="s">
        <v>170</v>
      </c>
      <c r="Q4376" s="16" t="s">
        <v>171</v>
      </c>
      <c r="R4376" s="15" t="s">
        <v>171</v>
      </c>
      <c r="S4376" s="13">
        <v>1</v>
      </c>
      <c r="T4376" s="14">
        <v>8</v>
      </c>
      <c r="U4376" s="2">
        <f t="shared" si="717"/>
        <v>1.84</v>
      </c>
      <c r="V4376" s="2">
        <f t="shared" si="718"/>
        <v>9.84</v>
      </c>
      <c r="X4376" s="5">
        <f t="shared" si="713"/>
        <v>1</v>
      </c>
      <c r="Z4376" s="2" t="s">
        <v>170</v>
      </c>
      <c r="AA4376" s="2" t="s">
        <v>170</v>
      </c>
      <c r="AK4376" s="2">
        <f t="shared" si="715"/>
        <v>8</v>
      </c>
      <c r="AL4376" s="5">
        <f t="shared" si="716"/>
        <v>1</v>
      </c>
    </row>
    <row r="4377" spans="1:38" x14ac:dyDescent="0.2">
      <c r="A4377" s="2">
        <v>2026</v>
      </c>
      <c r="B4377" s="2">
        <v>7</v>
      </c>
      <c r="C4377" s="2" t="s">
        <v>3298</v>
      </c>
      <c r="D4377" s="15" t="s">
        <v>3343</v>
      </c>
      <c r="E4377" s="2" t="s">
        <v>109</v>
      </c>
      <c r="F4377" s="2" t="s">
        <v>39</v>
      </c>
      <c r="L4377" s="2" t="s">
        <v>100</v>
      </c>
      <c r="M4377" s="2" t="s">
        <v>81</v>
      </c>
      <c r="P4377" s="2" t="s">
        <v>43</v>
      </c>
      <c r="Q4377" s="16" t="s">
        <v>51</v>
      </c>
      <c r="R4377" s="15" t="s">
        <v>52</v>
      </c>
      <c r="S4377" s="13">
        <v>2</v>
      </c>
      <c r="T4377" s="14">
        <v>42</v>
      </c>
      <c r="U4377" s="2">
        <f t="shared" si="717"/>
        <v>9.66</v>
      </c>
      <c r="V4377" s="2">
        <f t="shared" si="718"/>
        <v>51.66</v>
      </c>
      <c r="W4377" s="2">
        <f>14.4*S4377</f>
        <v>28.8</v>
      </c>
      <c r="X4377" s="5">
        <f t="shared" si="713"/>
        <v>0.31428571428571428</v>
      </c>
      <c r="Z4377" s="2" t="s">
        <v>3231</v>
      </c>
      <c r="AA4377" s="2" t="s">
        <v>46</v>
      </c>
      <c r="AB4377" s="2" t="s">
        <v>47</v>
      </c>
      <c r="AC4377" s="2" t="s">
        <v>48</v>
      </c>
      <c r="AK4377" s="2">
        <f t="shared" si="715"/>
        <v>13.2</v>
      </c>
      <c r="AL4377" s="5">
        <f t="shared" si="716"/>
        <v>0.31428571428571428</v>
      </c>
    </row>
    <row r="4378" spans="1:38" x14ac:dyDescent="0.2">
      <c r="A4378" s="2">
        <v>2026</v>
      </c>
      <c r="B4378" s="2">
        <v>7</v>
      </c>
      <c r="C4378" s="2" t="s">
        <v>3298</v>
      </c>
      <c r="D4378" s="15" t="s">
        <v>3343</v>
      </c>
      <c r="E4378" s="2" t="s">
        <v>109</v>
      </c>
      <c r="F4378" s="2" t="s">
        <v>39</v>
      </c>
      <c r="L4378" s="2" t="s">
        <v>100</v>
      </c>
      <c r="M4378" s="2" t="s">
        <v>81</v>
      </c>
      <c r="P4378" s="2" t="s">
        <v>43</v>
      </c>
      <c r="Q4378" s="16" t="s">
        <v>55</v>
      </c>
      <c r="R4378" s="15" t="s">
        <v>56</v>
      </c>
      <c r="S4378" s="13">
        <v>5</v>
      </c>
      <c r="T4378" s="14">
        <v>85</v>
      </c>
      <c r="U4378" s="2">
        <f t="shared" si="717"/>
        <v>19.55</v>
      </c>
      <c r="V4378" s="2">
        <f t="shared" si="718"/>
        <v>104.55</v>
      </c>
      <c r="W4378" s="2">
        <f>10.6*S4378</f>
        <v>53</v>
      </c>
      <c r="X4378" s="5">
        <f t="shared" si="713"/>
        <v>0.37647058823529411</v>
      </c>
      <c r="Z4378" s="2" t="s">
        <v>3231</v>
      </c>
      <c r="AA4378" s="2" t="s">
        <v>46</v>
      </c>
      <c r="AB4378" s="2" t="s">
        <v>57</v>
      </c>
      <c r="AC4378" s="2" t="s">
        <v>58</v>
      </c>
      <c r="AK4378" s="2">
        <f t="shared" si="715"/>
        <v>32</v>
      </c>
      <c r="AL4378" s="5">
        <f t="shared" si="716"/>
        <v>0.37647058823529411</v>
      </c>
    </row>
    <row r="4379" spans="1:38" x14ac:dyDescent="0.2">
      <c r="A4379" s="2">
        <v>2026</v>
      </c>
      <c r="B4379" s="2">
        <v>7</v>
      </c>
      <c r="C4379" s="2" t="s">
        <v>3298</v>
      </c>
      <c r="D4379" s="15" t="s">
        <v>3343</v>
      </c>
      <c r="E4379" s="2" t="s">
        <v>109</v>
      </c>
      <c r="F4379" s="2" t="s">
        <v>39</v>
      </c>
      <c r="L4379" s="2" t="s">
        <v>100</v>
      </c>
      <c r="M4379" s="2" t="s">
        <v>81</v>
      </c>
      <c r="P4379" s="2" t="s">
        <v>43</v>
      </c>
      <c r="Q4379" s="16" t="s">
        <v>62</v>
      </c>
      <c r="R4379" s="15" t="s">
        <v>63</v>
      </c>
      <c r="S4379" s="13">
        <v>400</v>
      </c>
      <c r="T4379" s="14">
        <v>46</v>
      </c>
      <c r="U4379" s="2">
        <f t="shared" si="717"/>
        <v>10.58</v>
      </c>
      <c r="V4379" s="2">
        <f t="shared" si="718"/>
        <v>56.58</v>
      </c>
      <c r="W4379" s="2">
        <f>0.082*S4379</f>
        <v>32.800000000000004</v>
      </c>
      <c r="X4379" s="5">
        <f t="shared" si="713"/>
        <v>0.28695652173913033</v>
      </c>
      <c r="Z4379" s="2" t="s">
        <v>3231</v>
      </c>
      <c r="AA4379" s="2" t="s">
        <v>46</v>
      </c>
      <c r="AB4379" s="2" t="s">
        <v>61</v>
      </c>
      <c r="AC4379" s="2" t="s">
        <v>58</v>
      </c>
      <c r="AK4379" s="2">
        <f t="shared" si="715"/>
        <v>13.199999999999996</v>
      </c>
      <c r="AL4379" s="5">
        <f t="shared" si="716"/>
        <v>0.28695652173913033</v>
      </c>
    </row>
    <row r="4380" spans="1:38" x14ac:dyDescent="0.2">
      <c r="A4380" s="2">
        <v>2026</v>
      </c>
      <c r="B4380" s="2">
        <v>7</v>
      </c>
      <c r="D4380" s="15" t="s">
        <v>489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490</v>
      </c>
      <c r="J4380" s="2" t="s">
        <v>491</v>
      </c>
      <c r="K4380" s="2">
        <v>912293443</v>
      </c>
      <c r="L4380" s="2" t="s">
        <v>100</v>
      </c>
      <c r="M4380" s="2" t="s">
        <v>40</v>
      </c>
      <c r="P4380" s="2" t="s">
        <v>40</v>
      </c>
      <c r="Q4380" s="16" t="s">
        <v>492</v>
      </c>
      <c r="R4380" s="15" t="s">
        <v>493</v>
      </c>
      <c r="S4380" s="13">
        <v>1</v>
      </c>
      <c r="T4380" s="14">
        <v>678.91</v>
      </c>
      <c r="U4380" s="2">
        <f t="shared" si="717"/>
        <v>156.14930000000001</v>
      </c>
      <c r="V4380" s="2">
        <f t="shared" si="718"/>
        <v>835.05930000000001</v>
      </c>
      <c r="X4380" s="5">
        <f t="shared" si="713"/>
        <v>1</v>
      </c>
      <c r="Z4380" s="2" t="s">
        <v>120</v>
      </c>
      <c r="AA4380" s="2" t="s">
        <v>493</v>
      </c>
      <c r="AK4380" s="2">
        <f t="shared" si="715"/>
        <v>678.91</v>
      </c>
      <c r="AL4380" s="5">
        <f t="shared" si="716"/>
        <v>1</v>
      </c>
    </row>
    <row r="4381" spans="1:38" x14ac:dyDescent="0.2">
      <c r="A4381" s="2">
        <v>2026</v>
      </c>
      <c r="B4381" s="2">
        <v>7</v>
      </c>
      <c r="C4381" s="2" t="s">
        <v>3300</v>
      </c>
      <c r="D4381" s="15" t="s">
        <v>3344</v>
      </c>
      <c r="E4381" s="2" t="s">
        <v>38</v>
      </c>
      <c r="F4381" s="2" t="s">
        <v>39</v>
      </c>
      <c r="L4381" s="2" t="s">
        <v>340</v>
      </c>
      <c r="M4381" s="2" t="s">
        <v>40</v>
      </c>
      <c r="P4381" s="2" t="s">
        <v>115</v>
      </c>
      <c r="Q4381" s="16" t="s">
        <v>180</v>
      </c>
      <c r="R4381" s="15" t="s">
        <v>181</v>
      </c>
      <c r="S4381" s="13">
        <v>1</v>
      </c>
      <c r="T4381" s="14">
        <v>699.3</v>
      </c>
      <c r="U4381" s="2">
        <f t="shared" si="717"/>
        <v>160.839</v>
      </c>
      <c r="V4381" s="2">
        <f t="shared" si="718"/>
        <v>860.1389999999999</v>
      </c>
      <c r="W4381" s="2">
        <v>343.38580000000002</v>
      </c>
      <c r="X4381" s="5">
        <f t="shared" si="713"/>
        <v>0.50895781495781489</v>
      </c>
      <c r="Z4381" s="2" t="s">
        <v>118</v>
      </c>
      <c r="AA4381" s="2" t="s">
        <v>182</v>
      </c>
      <c r="AB4381" s="2" t="s">
        <v>120</v>
      </c>
      <c r="AC4381" s="2" t="s">
        <v>115</v>
      </c>
      <c r="AK4381" s="2">
        <f t="shared" si="715"/>
        <v>355.91419999999994</v>
      </c>
      <c r="AL4381" s="5">
        <f t="shared" si="716"/>
        <v>0.50895781495781489</v>
      </c>
    </row>
    <row r="4382" spans="1:38" x14ac:dyDescent="0.2">
      <c r="A4382" s="2">
        <v>2026</v>
      </c>
      <c r="B4382" s="2">
        <v>7</v>
      </c>
      <c r="C4382" s="2" t="s">
        <v>3300</v>
      </c>
      <c r="D4382" s="15" t="s">
        <v>3344</v>
      </c>
      <c r="E4382" s="2" t="s">
        <v>38</v>
      </c>
      <c r="F4382" s="2" t="s">
        <v>39</v>
      </c>
      <c r="L4382" s="2" t="s">
        <v>340</v>
      </c>
      <c r="M4382" s="2" t="s">
        <v>40</v>
      </c>
      <c r="P4382" s="2" t="s">
        <v>188</v>
      </c>
      <c r="Q4382" s="16" t="s">
        <v>189</v>
      </c>
      <c r="R4382" s="15" t="s">
        <v>190</v>
      </c>
      <c r="S4382" s="13">
        <v>1</v>
      </c>
      <c r="T4382" s="14">
        <v>60</v>
      </c>
      <c r="U4382" s="2">
        <f t="shared" si="717"/>
        <v>13.8</v>
      </c>
      <c r="V4382" s="2">
        <f t="shared" si="718"/>
        <v>73.8</v>
      </c>
      <c r="W4382" s="2">
        <f>T4382*40%</f>
        <v>24</v>
      </c>
      <c r="X4382" s="5">
        <f t="shared" si="713"/>
        <v>0.6</v>
      </c>
      <c r="Z4382" s="2" t="s">
        <v>118</v>
      </c>
      <c r="AA4382" s="2" t="s">
        <v>191</v>
      </c>
      <c r="AB4382" s="2" t="s">
        <v>190</v>
      </c>
      <c r="AC4382" s="2" t="s">
        <v>40</v>
      </c>
      <c r="AK4382" s="2">
        <f t="shared" si="715"/>
        <v>36</v>
      </c>
      <c r="AL4382" s="5">
        <f t="shared" si="716"/>
        <v>0.6</v>
      </c>
    </row>
    <row r="4383" spans="1:38" x14ac:dyDescent="0.2">
      <c r="A4383" s="2">
        <v>2026</v>
      </c>
      <c r="B4383" s="2">
        <v>7</v>
      </c>
      <c r="C4383" s="2" t="s">
        <v>3300</v>
      </c>
      <c r="D4383" s="15" t="s">
        <v>3344</v>
      </c>
      <c r="E4383" s="2" t="s">
        <v>38</v>
      </c>
      <c r="F4383" s="2" t="s">
        <v>39</v>
      </c>
      <c r="L4383" s="2" t="s">
        <v>340</v>
      </c>
      <c r="M4383" s="2" t="s">
        <v>40</v>
      </c>
      <c r="P4383" s="2" t="s">
        <v>188</v>
      </c>
      <c r="Q4383" s="16" t="s">
        <v>192</v>
      </c>
      <c r="R4383" s="15" t="s">
        <v>191</v>
      </c>
      <c r="S4383" s="13">
        <v>1</v>
      </c>
      <c r="T4383" s="14">
        <v>55</v>
      </c>
      <c r="U4383" s="2">
        <f t="shared" si="717"/>
        <v>12.65</v>
      </c>
      <c r="V4383" s="2">
        <f t="shared" si="718"/>
        <v>67.650000000000006</v>
      </c>
      <c r="W4383" s="2">
        <f>T4383*50%</f>
        <v>27.5</v>
      </c>
      <c r="X4383" s="5">
        <f t="shared" si="713"/>
        <v>0.5</v>
      </c>
      <c r="Z4383" s="2" t="s">
        <v>118</v>
      </c>
      <c r="AA4383" s="2" t="s">
        <v>191</v>
      </c>
      <c r="AB4383" s="2" t="s">
        <v>191</v>
      </c>
      <c r="AC4383" s="2" t="s">
        <v>40</v>
      </c>
      <c r="AK4383" s="2">
        <f t="shared" si="715"/>
        <v>27.5</v>
      </c>
      <c r="AL4383" s="5">
        <f t="shared" si="716"/>
        <v>0.5</v>
      </c>
    </row>
    <row r="4384" spans="1:38" x14ac:dyDescent="0.2">
      <c r="A4384" s="2">
        <v>2026</v>
      </c>
      <c r="B4384" s="2">
        <v>7</v>
      </c>
      <c r="C4384" s="8" t="s">
        <v>3299</v>
      </c>
      <c r="D4384" s="15" t="s">
        <v>2157</v>
      </c>
      <c r="E4384" s="2" t="s">
        <v>38</v>
      </c>
      <c r="F4384" s="2" t="s">
        <v>39</v>
      </c>
      <c r="L4384" s="2" t="s">
        <v>345</v>
      </c>
      <c r="M4384" s="2" t="s">
        <v>40</v>
      </c>
      <c r="P4384" s="2" t="s">
        <v>188</v>
      </c>
      <c r="Q4384" s="16" t="s">
        <v>189</v>
      </c>
      <c r="R4384" s="15" t="s">
        <v>190</v>
      </c>
      <c r="S4384" s="13">
        <v>1</v>
      </c>
      <c r="T4384" s="14">
        <v>403</v>
      </c>
      <c r="U4384" s="2">
        <f t="shared" si="717"/>
        <v>92.69</v>
      </c>
      <c r="V4384" s="2">
        <f t="shared" si="718"/>
        <v>495.69</v>
      </c>
      <c r="W4384" s="2">
        <f>T4384*40%</f>
        <v>161.20000000000002</v>
      </c>
      <c r="X4384" s="5">
        <f t="shared" si="713"/>
        <v>0.6</v>
      </c>
      <c r="Z4384" s="2" t="s">
        <v>118</v>
      </c>
      <c r="AA4384" s="2" t="s">
        <v>191</v>
      </c>
      <c r="AB4384" s="2" t="s">
        <v>190</v>
      </c>
      <c r="AC4384" s="2" t="s">
        <v>40</v>
      </c>
      <c r="AK4384" s="2">
        <f t="shared" si="715"/>
        <v>241.79999999999998</v>
      </c>
      <c r="AL4384" s="5">
        <f t="shared" si="716"/>
        <v>0.6</v>
      </c>
    </row>
    <row r="4385" spans="1:38" x14ac:dyDescent="0.2">
      <c r="A4385" s="2">
        <v>2026</v>
      </c>
      <c r="B4385" s="2">
        <v>7</v>
      </c>
      <c r="C4385" s="8" t="s">
        <v>3299</v>
      </c>
      <c r="D4385" s="15" t="s">
        <v>2157</v>
      </c>
      <c r="E4385" s="2" t="s">
        <v>38</v>
      </c>
      <c r="F4385" s="2" t="s">
        <v>39</v>
      </c>
      <c r="L4385" s="2" t="s">
        <v>345</v>
      </c>
      <c r="M4385" s="2" t="s">
        <v>40</v>
      </c>
      <c r="P4385" s="2" t="s">
        <v>188</v>
      </c>
      <c r="Q4385" s="16" t="s">
        <v>192</v>
      </c>
      <c r="R4385" s="15" t="s">
        <v>191</v>
      </c>
      <c r="S4385" s="13">
        <v>1</v>
      </c>
      <c r="T4385" s="14">
        <v>55</v>
      </c>
      <c r="U4385" s="2">
        <f t="shared" si="717"/>
        <v>12.65</v>
      </c>
      <c r="V4385" s="2">
        <f t="shared" si="718"/>
        <v>67.650000000000006</v>
      </c>
      <c r="W4385" s="2">
        <f>T4385*50%</f>
        <v>27.5</v>
      </c>
      <c r="X4385" s="5">
        <f t="shared" si="713"/>
        <v>0.5</v>
      </c>
      <c r="Z4385" s="2" t="s">
        <v>118</v>
      </c>
      <c r="AA4385" s="2" t="s">
        <v>191</v>
      </c>
      <c r="AB4385" s="2" t="s">
        <v>191</v>
      </c>
      <c r="AC4385" s="2" t="s">
        <v>40</v>
      </c>
      <c r="AK4385" s="2">
        <f t="shared" si="715"/>
        <v>27.5</v>
      </c>
      <c r="AL4385" s="5">
        <f t="shared" si="716"/>
        <v>0.5</v>
      </c>
    </row>
    <row r="4386" spans="1:38" x14ac:dyDescent="0.2">
      <c r="A4386" s="2">
        <v>2026</v>
      </c>
      <c r="B4386" s="2">
        <v>7</v>
      </c>
      <c r="C4386" s="8" t="s">
        <v>3299</v>
      </c>
      <c r="D4386" s="15" t="s">
        <v>3113</v>
      </c>
      <c r="E4386" s="2" t="s">
        <v>38</v>
      </c>
      <c r="F4386" s="2" t="s">
        <v>39</v>
      </c>
      <c r="L4386" s="2" t="s">
        <v>100</v>
      </c>
      <c r="M4386" s="2" t="s">
        <v>40</v>
      </c>
      <c r="P4386" s="2" t="s">
        <v>115</v>
      </c>
      <c r="Q4386" s="16" t="s">
        <v>3358</v>
      </c>
      <c r="R4386" s="15" t="s">
        <v>3359</v>
      </c>
      <c r="S4386" s="13">
        <v>2</v>
      </c>
      <c r="T4386" s="14">
        <v>32.549999999999997</v>
      </c>
      <c r="U4386" s="2">
        <f t="shared" si="717"/>
        <v>7.4864999999999995</v>
      </c>
      <c r="V4386" s="2">
        <f t="shared" si="718"/>
        <v>40.036499999999997</v>
      </c>
      <c r="W4386" s="2">
        <f>(7.38+0.13)*S4386</f>
        <v>15.02</v>
      </c>
      <c r="X4386" s="5">
        <f t="shared" si="713"/>
        <v>0.53855606758832564</v>
      </c>
      <c r="Z4386" s="2" t="s">
        <v>118</v>
      </c>
      <c r="AA4386" s="2" t="s">
        <v>119</v>
      </c>
      <c r="AB4386" s="2" t="s">
        <v>120</v>
      </c>
      <c r="AC4386" s="2" t="s">
        <v>115</v>
      </c>
      <c r="AK4386" s="2">
        <f t="shared" si="715"/>
        <v>17.529999999999998</v>
      </c>
      <c r="AL4386" s="5">
        <f t="shared" si="716"/>
        <v>0.53855606758832564</v>
      </c>
    </row>
    <row r="4387" spans="1:38" x14ac:dyDescent="0.2">
      <c r="A4387" s="2">
        <v>2026</v>
      </c>
      <c r="B4387" s="2">
        <v>7</v>
      </c>
      <c r="C4387" s="2" t="s">
        <v>3300</v>
      </c>
      <c r="D4387" s="15" t="s">
        <v>2908</v>
      </c>
      <c r="E4387" s="2" t="s">
        <v>38</v>
      </c>
      <c r="F4387" s="2" t="s">
        <v>3450</v>
      </c>
      <c r="L4387" s="2" t="s">
        <v>100</v>
      </c>
      <c r="M4387" s="2" t="s">
        <v>81</v>
      </c>
      <c r="P4387" s="2" t="s">
        <v>283</v>
      </c>
      <c r="Q4387" s="16" t="s">
        <v>400</v>
      </c>
      <c r="R4387" s="15" t="s">
        <v>401</v>
      </c>
      <c r="S4387" s="13">
        <v>1</v>
      </c>
      <c r="T4387" s="14">
        <v>29</v>
      </c>
      <c r="U4387" s="2">
        <f t="shared" si="717"/>
        <v>6.67</v>
      </c>
      <c r="V4387" s="2">
        <f t="shared" si="718"/>
        <v>35.67</v>
      </c>
      <c r="W4387" s="2">
        <f>14.5099*S4387</f>
        <v>14.5099</v>
      </c>
      <c r="X4387" s="5">
        <f t="shared" si="713"/>
        <v>0.49965862068965516</v>
      </c>
      <c r="Z4387" s="2" t="s">
        <v>3231</v>
      </c>
      <c r="AA4387" s="2" t="s">
        <v>46</v>
      </c>
      <c r="AB4387" s="2" t="s">
        <v>61</v>
      </c>
      <c r="AC4387" s="2" t="s">
        <v>3336</v>
      </c>
      <c r="AK4387" s="2">
        <f t="shared" si="715"/>
        <v>14.4901</v>
      </c>
      <c r="AL4387" s="5">
        <f t="shared" si="716"/>
        <v>0.49965862068965516</v>
      </c>
    </row>
    <row r="4388" spans="1:38" x14ac:dyDescent="0.2">
      <c r="A4388" s="2">
        <v>2026</v>
      </c>
      <c r="B4388" s="2">
        <v>7</v>
      </c>
      <c r="C4388" s="8" t="s">
        <v>3299</v>
      </c>
      <c r="D4388" s="15" t="s">
        <v>1075</v>
      </c>
      <c r="E4388" s="2" t="s">
        <v>109</v>
      </c>
      <c r="F4388" s="2" t="s">
        <v>39</v>
      </c>
      <c r="L4388" s="2" t="s">
        <v>462</v>
      </c>
      <c r="M4388" s="2" t="s">
        <v>41</v>
      </c>
      <c r="P4388" s="2" t="s">
        <v>73</v>
      </c>
      <c r="Q4388" s="16" t="s">
        <v>3360</v>
      </c>
      <c r="R4388" s="15" t="s">
        <v>80</v>
      </c>
      <c r="S4388" s="13">
        <v>1</v>
      </c>
      <c r="T4388" s="14">
        <v>220</v>
      </c>
      <c r="U4388" s="2">
        <f t="shared" si="717"/>
        <v>50.6</v>
      </c>
      <c r="V4388" s="2">
        <f t="shared" si="718"/>
        <v>270.60000000000002</v>
      </c>
      <c r="W4388" s="2">
        <v>125.15</v>
      </c>
      <c r="X4388" s="5">
        <f t="shared" si="713"/>
        <v>0.4311363636363636</v>
      </c>
      <c r="Z4388" s="2" t="s">
        <v>3231</v>
      </c>
      <c r="AA4388" s="2" t="s">
        <v>76</v>
      </c>
      <c r="AB4388" s="2" t="s">
        <v>77</v>
      </c>
      <c r="AC4388" s="2" t="s">
        <v>78</v>
      </c>
      <c r="AK4388" s="2">
        <f t="shared" si="715"/>
        <v>94.85</v>
      </c>
      <c r="AL4388" s="5">
        <f t="shared" si="716"/>
        <v>0.4311363636363636</v>
      </c>
    </row>
    <row r="4389" spans="1:38" x14ac:dyDescent="0.2">
      <c r="A4389" s="2">
        <v>2026</v>
      </c>
      <c r="B4389" s="2">
        <v>7</v>
      </c>
      <c r="C4389" s="8" t="s">
        <v>3299</v>
      </c>
      <c r="D4389" s="15" t="s">
        <v>1075</v>
      </c>
      <c r="E4389" s="2" t="s">
        <v>109</v>
      </c>
      <c r="F4389" s="2" t="s">
        <v>39</v>
      </c>
      <c r="L4389" s="2" t="s">
        <v>462</v>
      </c>
      <c r="M4389" s="2" t="s">
        <v>41</v>
      </c>
      <c r="P4389" s="2" t="s">
        <v>94</v>
      </c>
      <c r="Q4389" s="16" t="s">
        <v>95</v>
      </c>
      <c r="R4389" s="15" t="s">
        <v>96</v>
      </c>
      <c r="S4389" s="13">
        <v>1</v>
      </c>
      <c r="T4389" s="14">
        <v>1.48</v>
      </c>
      <c r="U4389" s="2">
        <f t="shared" si="717"/>
        <v>0.34040000000000004</v>
      </c>
      <c r="V4389" s="2">
        <f t="shared" si="718"/>
        <v>1.8204</v>
      </c>
      <c r="X4389" s="5">
        <f t="shared" si="713"/>
        <v>1</v>
      </c>
      <c r="Z4389" s="2" t="s">
        <v>3231</v>
      </c>
      <c r="AA4389" s="2" t="s">
        <v>97</v>
      </c>
      <c r="AB4389" s="2" t="s">
        <v>77</v>
      </c>
      <c r="AC4389" s="2" t="s">
        <v>94</v>
      </c>
      <c r="AK4389" s="2">
        <f t="shared" si="715"/>
        <v>1.48</v>
      </c>
      <c r="AL4389" s="5">
        <f t="shared" si="716"/>
        <v>1</v>
      </c>
    </row>
    <row r="4390" spans="1:38" x14ac:dyDescent="0.2">
      <c r="A4390" s="2">
        <v>2026</v>
      </c>
      <c r="B4390" s="2">
        <v>7</v>
      </c>
      <c r="C4390" s="8" t="s">
        <v>3299</v>
      </c>
      <c r="D4390" s="15" t="s">
        <v>3345</v>
      </c>
      <c r="E4390" s="2" t="s">
        <v>38</v>
      </c>
      <c r="F4390" s="2" t="s">
        <v>39</v>
      </c>
      <c r="L4390" s="2" t="s">
        <v>361</v>
      </c>
      <c r="M4390" s="2" t="s">
        <v>40</v>
      </c>
      <c r="P4390" s="2" t="s">
        <v>188</v>
      </c>
      <c r="Q4390" s="16" t="s">
        <v>189</v>
      </c>
      <c r="R4390" s="15" t="s">
        <v>190</v>
      </c>
      <c r="S4390" s="13">
        <v>1</v>
      </c>
      <c r="T4390" s="14">
        <v>296</v>
      </c>
      <c r="U4390" s="2">
        <f t="shared" si="717"/>
        <v>68.08</v>
      </c>
      <c r="V4390" s="2">
        <f t="shared" si="718"/>
        <v>364.08</v>
      </c>
      <c r="W4390" s="2">
        <f>T4390*40%</f>
        <v>118.4</v>
      </c>
      <c r="X4390" s="5">
        <f t="shared" si="713"/>
        <v>0.6</v>
      </c>
      <c r="Z4390" s="2" t="s">
        <v>118</v>
      </c>
      <c r="AA4390" s="2" t="s">
        <v>191</v>
      </c>
      <c r="AB4390" s="2" t="s">
        <v>190</v>
      </c>
      <c r="AC4390" s="2" t="s">
        <v>40</v>
      </c>
      <c r="AK4390" s="2">
        <f t="shared" si="715"/>
        <v>177.6</v>
      </c>
      <c r="AL4390" s="5">
        <f t="shared" si="716"/>
        <v>0.6</v>
      </c>
    </row>
    <row r="4391" spans="1:38" x14ac:dyDescent="0.2">
      <c r="A4391" s="2">
        <v>2026</v>
      </c>
      <c r="B4391" s="2">
        <v>7</v>
      </c>
      <c r="C4391" s="8" t="s">
        <v>3299</v>
      </c>
      <c r="D4391" s="15" t="s">
        <v>3345</v>
      </c>
      <c r="E4391" s="2" t="s">
        <v>38</v>
      </c>
      <c r="F4391" s="2" t="s">
        <v>39</v>
      </c>
      <c r="L4391" s="2" t="s">
        <v>361</v>
      </c>
      <c r="M4391" s="2" t="s">
        <v>40</v>
      </c>
      <c r="P4391" s="2" t="s">
        <v>188</v>
      </c>
      <c r="Q4391" s="16" t="s">
        <v>192</v>
      </c>
      <c r="R4391" s="15" t="s">
        <v>191</v>
      </c>
      <c r="S4391" s="13">
        <v>1</v>
      </c>
      <c r="T4391" s="14">
        <v>55</v>
      </c>
      <c r="U4391" s="2">
        <f t="shared" si="717"/>
        <v>12.65</v>
      </c>
      <c r="V4391" s="2">
        <f t="shared" si="718"/>
        <v>67.650000000000006</v>
      </c>
      <c r="W4391" s="2">
        <f>T4391*50%</f>
        <v>27.5</v>
      </c>
      <c r="X4391" s="5">
        <f t="shared" si="713"/>
        <v>0.5</v>
      </c>
      <c r="Z4391" s="2" t="s">
        <v>118</v>
      </c>
      <c r="AA4391" s="2" t="s">
        <v>191</v>
      </c>
      <c r="AB4391" s="2" t="s">
        <v>191</v>
      </c>
      <c r="AC4391" s="2" t="s">
        <v>40</v>
      </c>
      <c r="AK4391" s="2">
        <f t="shared" si="715"/>
        <v>27.5</v>
      </c>
      <c r="AL4391" s="5">
        <f t="shared" si="716"/>
        <v>0.5</v>
      </c>
    </row>
    <row r="4392" spans="1:38" x14ac:dyDescent="0.2">
      <c r="A4392" s="2">
        <v>2026</v>
      </c>
      <c r="B4392" s="2">
        <v>7</v>
      </c>
      <c r="C4392" s="2" t="s">
        <v>3300</v>
      </c>
      <c r="D4392" s="15" t="s">
        <v>2525</v>
      </c>
      <c r="E4392" s="2" t="s">
        <v>38</v>
      </c>
      <c r="F4392" s="2" t="s">
        <v>39</v>
      </c>
      <c r="L4392" s="2" t="s">
        <v>462</v>
      </c>
      <c r="M4392" s="2" t="s">
        <v>81</v>
      </c>
      <c r="P4392" s="2" t="s">
        <v>73</v>
      </c>
      <c r="Q4392" s="16" t="s">
        <v>74</v>
      </c>
      <c r="R4392" s="15" t="s">
        <v>75</v>
      </c>
      <c r="S4392" s="13">
        <v>1</v>
      </c>
      <c r="T4392" s="14">
        <v>225</v>
      </c>
      <c r="U4392" s="2">
        <f t="shared" si="717"/>
        <v>51.75</v>
      </c>
      <c r="V4392" s="2">
        <f t="shared" si="718"/>
        <v>276.75</v>
      </c>
      <c r="W4392" s="2">
        <v>125.51600000000001</v>
      </c>
      <c r="X4392" s="5">
        <f t="shared" si="713"/>
        <v>0.44215111111111111</v>
      </c>
      <c r="Z4392" s="2" t="s">
        <v>3231</v>
      </c>
      <c r="AA4392" s="2" t="s">
        <v>76</v>
      </c>
      <c r="AB4392" s="2" t="s">
        <v>77</v>
      </c>
      <c r="AC4392" s="2" t="s">
        <v>78</v>
      </c>
      <c r="AK4392" s="2">
        <f t="shared" si="715"/>
        <v>99.483999999999995</v>
      </c>
      <c r="AL4392" s="5">
        <f t="shared" si="716"/>
        <v>0.44215111111111111</v>
      </c>
    </row>
    <row r="4393" spans="1:38" x14ac:dyDescent="0.2">
      <c r="A4393" s="2">
        <v>2026</v>
      </c>
      <c r="B4393" s="2">
        <v>7</v>
      </c>
      <c r="C4393" s="2" t="s">
        <v>3300</v>
      </c>
      <c r="D4393" s="15" t="s">
        <v>2525</v>
      </c>
      <c r="E4393" s="2" t="s">
        <v>38</v>
      </c>
      <c r="F4393" s="2" t="s">
        <v>39</v>
      </c>
      <c r="L4393" s="2" t="s">
        <v>462</v>
      </c>
      <c r="M4393" s="2" t="s">
        <v>81</v>
      </c>
      <c r="P4393" s="2" t="s">
        <v>94</v>
      </c>
      <c r="Q4393" s="16" t="s">
        <v>95</v>
      </c>
      <c r="R4393" s="15" t="s">
        <v>96</v>
      </c>
      <c r="S4393" s="13">
        <v>1</v>
      </c>
      <c r="T4393" s="14">
        <v>1.48</v>
      </c>
      <c r="U4393" s="2">
        <f t="shared" si="717"/>
        <v>0.34040000000000004</v>
      </c>
      <c r="V4393" s="2">
        <f t="shared" si="718"/>
        <v>1.8204</v>
      </c>
      <c r="W4393" s="2">
        <v>1.48</v>
      </c>
      <c r="X4393" s="5">
        <f t="shared" si="713"/>
        <v>0</v>
      </c>
      <c r="Z4393" s="2" t="s">
        <v>3231</v>
      </c>
      <c r="AA4393" s="2" t="s">
        <v>97</v>
      </c>
      <c r="AB4393" s="2" t="s">
        <v>77</v>
      </c>
      <c r="AC4393" s="2" t="s">
        <v>94</v>
      </c>
      <c r="AK4393" s="2">
        <f t="shared" si="715"/>
        <v>0</v>
      </c>
      <c r="AL4393" s="5">
        <f t="shared" si="716"/>
        <v>0</v>
      </c>
    </row>
    <row r="4394" spans="1:38" x14ac:dyDescent="0.2">
      <c r="A4394" s="2">
        <v>2026</v>
      </c>
      <c r="B4394" s="2">
        <v>7</v>
      </c>
      <c r="C4394" s="8" t="s">
        <v>3299</v>
      </c>
      <c r="D4394" s="15" t="s">
        <v>3346</v>
      </c>
      <c r="E4394" s="2" t="s">
        <v>38</v>
      </c>
      <c r="F4394" s="2" t="s">
        <v>39</v>
      </c>
      <c r="L4394" s="2" t="s">
        <v>100</v>
      </c>
      <c r="M4394" s="2" t="s">
        <v>81</v>
      </c>
      <c r="P4394" s="2" t="s">
        <v>73</v>
      </c>
      <c r="Q4394" s="16" t="s">
        <v>3361</v>
      </c>
      <c r="R4394" s="15" t="s">
        <v>198</v>
      </c>
      <c r="S4394" s="13">
        <v>1</v>
      </c>
      <c r="T4394" s="14">
        <v>375</v>
      </c>
      <c r="U4394" s="2">
        <f t="shared" si="717"/>
        <v>86.25</v>
      </c>
      <c r="V4394" s="2">
        <f t="shared" si="718"/>
        <v>461.25</v>
      </c>
      <c r="W4394" s="2">
        <v>227.14</v>
      </c>
      <c r="X4394" s="5">
        <f t="shared" si="713"/>
        <v>0.39429333333333338</v>
      </c>
      <c r="Z4394" s="2" t="s">
        <v>3231</v>
      </c>
      <c r="AA4394" s="2" t="s">
        <v>76</v>
      </c>
      <c r="AB4394" s="2" t="s">
        <v>77</v>
      </c>
      <c r="AC4394" s="2" t="s">
        <v>78</v>
      </c>
      <c r="AK4394" s="2">
        <f t="shared" si="715"/>
        <v>147.86000000000001</v>
      </c>
      <c r="AL4394" s="5">
        <f t="shared" si="716"/>
        <v>0.39429333333333338</v>
      </c>
    </row>
    <row r="4395" spans="1:38" x14ac:dyDescent="0.2">
      <c r="A4395" s="2">
        <v>2026</v>
      </c>
      <c r="B4395" s="2">
        <v>7</v>
      </c>
      <c r="C4395" s="8" t="s">
        <v>3299</v>
      </c>
      <c r="D4395" s="15" t="s">
        <v>3346</v>
      </c>
      <c r="E4395" s="2" t="s">
        <v>38</v>
      </c>
      <c r="F4395" s="2" t="s">
        <v>39</v>
      </c>
      <c r="L4395" s="2" t="s">
        <v>100</v>
      </c>
      <c r="M4395" s="2" t="s">
        <v>81</v>
      </c>
      <c r="P4395" s="2" t="s">
        <v>94</v>
      </c>
      <c r="Q4395" s="16" t="s">
        <v>95</v>
      </c>
      <c r="R4395" s="15" t="s">
        <v>96</v>
      </c>
      <c r="S4395" s="13">
        <v>1</v>
      </c>
      <c r="T4395" s="14">
        <v>1.48</v>
      </c>
      <c r="U4395" s="2">
        <f t="shared" si="717"/>
        <v>0.34040000000000004</v>
      </c>
      <c r="V4395" s="2">
        <f t="shared" si="718"/>
        <v>1.8204</v>
      </c>
      <c r="W4395" s="2">
        <v>1.48</v>
      </c>
      <c r="X4395" s="5">
        <f t="shared" si="713"/>
        <v>0</v>
      </c>
      <c r="Z4395" s="2" t="s">
        <v>3231</v>
      </c>
      <c r="AA4395" s="2" t="s">
        <v>97</v>
      </c>
      <c r="AB4395" s="2" t="s">
        <v>77</v>
      </c>
      <c r="AC4395" s="2" t="s">
        <v>94</v>
      </c>
      <c r="AK4395" s="2">
        <f t="shared" si="715"/>
        <v>0</v>
      </c>
      <c r="AL4395" s="5">
        <f t="shared" si="716"/>
        <v>0</v>
      </c>
    </row>
    <row r="4396" spans="1:38" x14ac:dyDescent="0.2">
      <c r="A4396" s="2">
        <v>2026</v>
      </c>
      <c r="B4396" s="2">
        <v>7</v>
      </c>
      <c r="C4396" s="2" t="s">
        <v>3300</v>
      </c>
      <c r="D4396" s="15" t="s">
        <v>2563</v>
      </c>
      <c r="E4396" s="2" t="s">
        <v>109</v>
      </c>
      <c r="F4396" s="2" t="s">
        <v>39</v>
      </c>
      <c r="L4396" s="2" t="s">
        <v>100</v>
      </c>
      <c r="M4396" s="2" t="s">
        <v>81</v>
      </c>
      <c r="P4396" s="2" t="s">
        <v>73</v>
      </c>
      <c r="Q4396" s="16" t="s">
        <v>833</v>
      </c>
      <c r="R4396" s="15" t="s">
        <v>75</v>
      </c>
      <c r="S4396" s="13">
        <v>1</v>
      </c>
      <c r="T4396" s="14">
        <v>225</v>
      </c>
      <c r="U4396" s="2">
        <f t="shared" si="717"/>
        <v>51.75</v>
      </c>
      <c r="V4396" s="2">
        <f t="shared" si="718"/>
        <v>276.75</v>
      </c>
      <c r="W4396" s="2">
        <v>132.35499999999999</v>
      </c>
      <c r="X4396" s="5">
        <f t="shared" si="713"/>
        <v>0.4117555555555556</v>
      </c>
      <c r="Z4396" s="2" t="s">
        <v>3231</v>
      </c>
      <c r="AA4396" s="2" t="s">
        <v>76</v>
      </c>
      <c r="AB4396" s="2" t="s">
        <v>77</v>
      </c>
      <c r="AC4396" s="2" t="s">
        <v>78</v>
      </c>
      <c r="AK4396" s="2">
        <f t="shared" si="715"/>
        <v>92.64500000000001</v>
      </c>
      <c r="AL4396" s="5">
        <f t="shared" si="716"/>
        <v>0.4117555555555556</v>
      </c>
    </row>
    <row r="4397" spans="1:38" x14ac:dyDescent="0.2">
      <c r="A4397" s="2">
        <v>2026</v>
      </c>
      <c r="B4397" s="2">
        <v>7</v>
      </c>
      <c r="C4397" s="2" t="s">
        <v>3300</v>
      </c>
      <c r="D4397" s="15" t="s">
        <v>2563</v>
      </c>
      <c r="E4397" s="2" t="s">
        <v>109</v>
      </c>
      <c r="F4397" s="2" t="s">
        <v>39</v>
      </c>
      <c r="L4397" s="2" t="s">
        <v>100</v>
      </c>
      <c r="M4397" s="2" t="s">
        <v>81</v>
      </c>
      <c r="P4397" s="2" t="s">
        <v>94</v>
      </c>
      <c r="Q4397" s="16" t="s">
        <v>95</v>
      </c>
      <c r="R4397" s="15" t="s">
        <v>96</v>
      </c>
      <c r="S4397" s="13">
        <v>1</v>
      </c>
      <c r="T4397" s="14">
        <v>1.48</v>
      </c>
      <c r="U4397" s="2">
        <f t="shared" si="717"/>
        <v>0.34040000000000004</v>
      </c>
      <c r="V4397" s="2">
        <f t="shared" si="718"/>
        <v>1.8204</v>
      </c>
      <c r="W4397" s="2">
        <v>1.48</v>
      </c>
      <c r="X4397" s="5">
        <f t="shared" si="713"/>
        <v>0</v>
      </c>
      <c r="Z4397" s="2" t="s">
        <v>3231</v>
      </c>
      <c r="AA4397" s="2" t="s">
        <v>97</v>
      </c>
      <c r="AB4397" s="2" t="s">
        <v>77</v>
      </c>
      <c r="AC4397" s="2" t="s">
        <v>94</v>
      </c>
      <c r="AK4397" s="2">
        <f t="shared" si="715"/>
        <v>0</v>
      </c>
      <c r="AL4397" s="5">
        <f t="shared" si="716"/>
        <v>0</v>
      </c>
    </row>
    <row r="4398" spans="1:38" x14ac:dyDescent="0.2">
      <c r="A4398" s="2">
        <v>2026</v>
      </c>
      <c r="B4398" s="2">
        <v>7</v>
      </c>
      <c r="C4398" s="2" t="s">
        <v>3300</v>
      </c>
      <c r="D4398" s="15" t="s">
        <v>575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178</v>
      </c>
      <c r="J4398" s="2" t="s">
        <v>576</v>
      </c>
      <c r="L4398" s="2" t="s">
        <v>178</v>
      </c>
      <c r="M4398" s="2" t="s">
        <v>41</v>
      </c>
      <c r="P4398" s="2" t="s">
        <v>43</v>
      </c>
      <c r="Q4398" s="16" t="s">
        <v>64</v>
      </c>
      <c r="R4398" s="15" t="s">
        <v>65</v>
      </c>
      <c r="S4398" s="13">
        <v>20</v>
      </c>
      <c r="T4398" s="14">
        <v>36</v>
      </c>
      <c r="U4398" s="2">
        <f t="shared" si="717"/>
        <v>8.2800000000000011</v>
      </c>
      <c r="V4398" s="2">
        <f t="shared" si="718"/>
        <v>44.28</v>
      </c>
      <c r="W4398" s="2">
        <f>0.8561*S4398</f>
        <v>17.122</v>
      </c>
      <c r="X4398" s="5">
        <f t="shared" ref="X4398:X4461" si="719">(T4398-W4398)/T4398</f>
        <v>0.5243888888888889</v>
      </c>
      <c r="Z4398" s="2" t="s">
        <v>3231</v>
      </c>
      <c r="AA4398" s="2" t="s">
        <v>46</v>
      </c>
      <c r="AB4398" s="2" t="s">
        <v>61</v>
      </c>
      <c r="AC4398" s="2" t="s">
        <v>58</v>
      </c>
      <c r="AK4398" s="2">
        <f t="shared" si="715"/>
        <v>18.878</v>
      </c>
      <c r="AL4398" s="5">
        <f t="shared" si="716"/>
        <v>0.5243888888888889</v>
      </c>
    </row>
    <row r="4399" spans="1:38" x14ac:dyDescent="0.2">
      <c r="A4399" s="2">
        <v>2026</v>
      </c>
      <c r="B4399" s="2">
        <v>7</v>
      </c>
      <c r="C4399" s="2" t="s">
        <v>3300</v>
      </c>
      <c r="D4399" s="15" t="s">
        <v>575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178</v>
      </c>
      <c r="J4399" s="2" t="s">
        <v>576</v>
      </c>
      <c r="L4399" s="2" t="s">
        <v>178</v>
      </c>
      <c r="M4399" s="2" t="s">
        <v>41</v>
      </c>
      <c r="P4399" s="2" t="s">
        <v>43</v>
      </c>
      <c r="Q4399" s="16" t="s">
        <v>580</v>
      </c>
      <c r="R4399" s="15" t="s">
        <v>581</v>
      </c>
      <c r="S4399" s="13">
        <v>20</v>
      </c>
      <c r="T4399" s="14">
        <v>60</v>
      </c>
      <c r="U4399" s="2">
        <f t="shared" si="717"/>
        <v>13.8</v>
      </c>
      <c r="V4399" s="2">
        <f t="shared" si="718"/>
        <v>73.8</v>
      </c>
      <c r="X4399" s="5">
        <f t="shared" si="719"/>
        <v>1</v>
      </c>
      <c r="Z4399" s="2" t="s">
        <v>3231</v>
      </c>
      <c r="AA4399" s="2" t="s">
        <v>46</v>
      </c>
      <c r="AB4399" s="2" t="s">
        <v>61</v>
      </c>
      <c r="AC4399" s="2" t="s">
        <v>58</v>
      </c>
      <c r="AK4399" s="2">
        <f t="shared" si="715"/>
        <v>60</v>
      </c>
      <c r="AL4399" s="5">
        <f t="shared" si="716"/>
        <v>1</v>
      </c>
    </row>
    <row r="4400" spans="1:38" x14ac:dyDescent="0.2">
      <c r="A4400" s="2">
        <v>2026</v>
      </c>
      <c r="B4400" s="2">
        <v>7</v>
      </c>
      <c r="C4400" s="2" t="s">
        <v>3299</v>
      </c>
      <c r="D4400" s="15" t="s">
        <v>2280</v>
      </c>
      <c r="E4400" s="2" t="s">
        <v>38</v>
      </c>
      <c r="F4400" s="2" t="s">
        <v>39</v>
      </c>
      <c r="L4400" s="2" t="s">
        <v>462</v>
      </c>
      <c r="M4400" s="2" t="s">
        <v>40</v>
      </c>
      <c r="P4400" s="2" t="s">
        <v>115</v>
      </c>
      <c r="Q4400" s="16" t="s">
        <v>3362</v>
      </c>
      <c r="R4400" s="15" t="s">
        <v>1102</v>
      </c>
      <c r="S4400" s="13">
        <v>1</v>
      </c>
      <c r="T4400" s="14">
        <v>187.92</v>
      </c>
      <c r="U4400" s="2">
        <f t="shared" si="717"/>
        <v>43.221600000000002</v>
      </c>
      <c r="V4400" s="2">
        <f t="shared" si="718"/>
        <v>231.14159999999998</v>
      </c>
      <c r="W4400" s="2">
        <v>49.96</v>
      </c>
      <c r="X4400" s="5">
        <f t="shared" si="719"/>
        <v>0.73414218816517662</v>
      </c>
      <c r="Z4400" s="2" t="s">
        <v>118</v>
      </c>
      <c r="AA4400" s="2" t="s">
        <v>119</v>
      </c>
      <c r="AB4400" s="2" t="s">
        <v>120</v>
      </c>
      <c r="AC4400" s="2" t="s">
        <v>115</v>
      </c>
      <c r="AK4400" s="2">
        <f t="shared" si="715"/>
        <v>137.95999999999998</v>
      </c>
      <c r="AL4400" s="5">
        <f t="shared" si="716"/>
        <v>0.73414218816517662</v>
      </c>
    </row>
    <row r="4401" spans="1:38" x14ac:dyDescent="0.2">
      <c r="A4401" s="2">
        <v>2026</v>
      </c>
      <c r="B4401" s="2">
        <v>7</v>
      </c>
      <c r="C4401" s="2" t="s">
        <v>3299</v>
      </c>
      <c r="D4401" s="15" t="s">
        <v>2280</v>
      </c>
      <c r="E4401" s="2" t="s">
        <v>38</v>
      </c>
      <c r="F4401" s="2" t="s">
        <v>39</v>
      </c>
      <c r="L4401" s="2" t="s">
        <v>462</v>
      </c>
      <c r="M4401" s="2" t="s">
        <v>40</v>
      </c>
      <c r="P4401" s="2" t="s">
        <v>115</v>
      </c>
      <c r="Q4401" s="16" t="s">
        <v>794</v>
      </c>
      <c r="R4401" s="15" t="s">
        <v>795</v>
      </c>
      <c r="S4401" s="13">
        <v>1</v>
      </c>
      <c r="T4401" s="14">
        <v>539.16999999999996</v>
      </c>
      <c r="U4401" s="2">
        <f t="shared" si="717"/>
        <v>124.00909999999999</v>
      </c>
      <c r="V4401" s="2">
        <f t="shared" si="718"/>
        <v>663.17909999999995</v>
      </c>
      <c r="W4401" s="2">
        <v>257.3</v>
      </c>
      <c r="X4401" s="5">
        <f t="shared" si="719"/>
        <v>0.52278502142181493</v>
      </c>
      <c r="Z4401" s="2" t="s">
        <v>118</v>
      </c>
      <c r="AA4401" s="2" t="s">
        <v>119</v>
      </c>
      <c r="AB4401" s="2" t="s">
        <v>120</v>
      </c>
      <c r="AC4401" s="2" t="s">
        <v>115</v>
      </c>
      <c r="AK4401" s="2">
        <f t="shared" si="715"/>
        <v>281.86999999999995</v>
      </c>
      <c r="AL4401" s="5">
        <f t="shared" si="716"/>
        <v>0.52278502142181493</v>
      </c>
    </row>
    <row r="4402" spans="1:38" x14ac:dyDescent="0.2">
      <c r="A4402" s="2">
        <v>2026</v>
      </c>
      <c r="B4402" s="2">
        <v>7</v>
      </c>
      <c r="C4402" s="2" t="s">
        <v>3299</v>
      </c>
      <c r="D4402" s="15" t="s">
        <v>2280</v>
      </c>
      <c r="E4402" s="2" t="s">
        <v>38</v>
      </c>
      <c r="F4402" s="2" t="s">
        <v>39</v>
      </c>
      <c r="L4402" s="2" t="s">
        <v>462</v>
      </c>
      <c r="M4402" s="2" t="s">
        <v>40</v>
      </c>
      <c r="P4402" s="2" t="s">
        <v>188</v>
      </c>
      <c r="Q4402" s="16" t="s">
        <v>189</v>
      </c>
      <c r="R4402" s="15" t="s">
        <v>190</v>
      </c>
      <c r="S4402" s="13">
        <v>1</v>
      </c>
      <c r="T4402" s="14">
        <v>149</v>
      </c>
      <c r="U4402" s="2">
        <f t="shared" si="717"/>
        <v>34.270000000000003</v>
      </c>
      <c r="V4402" s="2">
        <f t="shared" si="718"/>
        <v>183.27</v>
      </c>
      <c r="W4402" s="2">
        <f>T4402*40%</f>
        <v>59.6</v>
      </c>
      <c r="X4402" s="5">
        <f t="shared" si="719"/>
        <v>0.60000000000000009</v>
      </c>
      <c r="Z4402" s="2" t="s">
        <v>118</v>
      </c>
      <c r="AA4402" s="2" t="s">
        <v>191</v>
      </c>
      <c r="AB4402" s="2" t="s">
        <v>190</v>
      </c>
      <c r="AC4402" s="2" t="s">
        <v>40</v>
      </c>
      <c r="AK4402" s="2">
        <f t="shared" si="715"/>
        <v>89.4</v>
      </c>
      <c r="AL4402" s="5">
        <f t="shared" si="716"/>
        <v>0.60000000000000009</v>
      </c>
    </row>
    <row r="4403" spans="1:38" x14ac:dyDescent="0.2">
      <c r="A4403" s="2">
        <v>2026</v>
      </c>
      <c r="B4403" s="2">
        <v>7</v>
      </c>
      <c r="C4403" s="2" t="s">
        <v>3299</v>
      </c>
      <c r="D4403" s="15" t="s">
        <v>2280</v>
      </c>
      <c r="E4403" s="2" t="s">
        <v>38</v>
      </c>
      <c r="F4403" s="2" t="s">
        <v>39</v>
      </c>
      <c r="L4403" s="2" t="s">
        <v>462</v>
      </c>
      <c r="M4403" s="2" t="s">
        <v>40</v>
      </c>
      <c r="P4403" s="2" t="s">
        <v>188</v>
      </c>
      <c r="Q4403" s="16" t="s">
        <v>192</v>
      </c>
      <c r="R4403" s="15" t="s">
        <v>191</v>
      </c>
      <c r="S4403" s="13">
        <v>2</v>
      </c>
      <c r="T4403" s="14">
        <v>110</v>
      </c>
      <c r="U4403" s="2">
        <f t="shared" si="717"/>
        <v>25.3</v>
      </c>
      <c r="V4403" s="2">
        <f t="shared" si="718"/>
        <v>135.30000000000001</v>
      </c>
      <c r="W4403" s="2">
        <f>T4403*50%</f>
        <v>55</v>
      </c>
      <c r="X4403" s="5">
        <f t="shared" si="719"/>
        <v>0.5</v>
      </c>
      <c r="Z4403" s="2" t="s">
        <v>118</v>
      </c>
      <c r="AA4403" s="2" t="s">
        <v>191</v>
      </c>
      <c r="AB4403" s="2" t="s">
        <v>191</v>
      </c>
      <c r="AC4403" s="2" t="s">
        <v>40</v>
      </c>
      <c r="AK4403" s="2">
        <f t="shared" si="715"/>
        <v>55</v>
      </c>
      <c r="AL4403" s="5">
        <f t="shared" si="716"/>
        <v>0.5</v>
      </c>
    </row>
    <row r="4404" spans="1:38" x14ac:dyDescent="0.2">
      <c r="A4404" s="2">
        <v>2026</v>
      </c>
      <c r="B4404" s="2">
        <v>7</v>
      </c>
      <c r="C4404" s="2" t="s">
        <v>3300</v>
      </c>
      <c r="D4404" s="15" t="s">
        <v>583</v>
      </c>
      <c r="E4404" s="2" t="s">
        <v>109</v>
      </c>
      <c r="F4404" s="2" t="s">
        <v>39</v>
      </c>
      <c r="G4404" s="2">
        <v>503850276</v>
      </c>
      <c r="H4404" s="2" t="s">
        <v>40</v>
      </c>
      <c r="I4404" s="2" t="s">
        <v>584</v>
      </c>
      <c r="J4404" s="2" t="s">
        <v>585</v>
      </c>
      <c r="L4404" s="2" t="s">
        <v>202</v>
      </c>
      <c r="M4404" s="2" t="s">
        <v>40</v>
      </c>
      <c r="P4404" s="2" t="s">
        <v>699</v>
      </c>
      <c r="Q4404" s="16" t="s">
        <v>3363</v>
      </c>
      <c r="R4404" s="15" t="s">
        <v>3364</v>
      </c>
      <c r="S4404" s="13">
        <v>8</v>
      </c>
      <c r="T4404" s="14">
        <v>100.8</v>
      </c>
      <c r="U4404" s="2">
        <f t="shared" si="717"/>
        <v>23.184000000000001</v>
      </c>
      <c r="V4404" s="2">
        <f t="shared" si="718"/>
        <v>123.98399999999999</v>
      </c>
      <c r="W4404" s="2">
        <f>3*S4404</f>
        <v>24</v>
      </c>
      <c r="X4404" s="5">
        <f t="shared" si="719"/>
        <v>0.76190476190476186</v>
      </c>
      <c r="Z4404" s="2" t="s">
        <v>118</v>
      </c>
      <c r="AA4404" s="2" t="s">
        <v>119</v>
      </c>
      <c r="AB4404" s="2" t="s">
        <v>120</v>
      </c>
      <c r="AC4404" s="2" t="s">
        <v>699</v>
      </c>
      <c r="AK4404" s="2">
        <f t="shared" si="715"/>
        <v>76.8</v>
      </c>
      <c r="AL4404" s="5">
        <f t="shared" si="716"/>
        <v>0.76190476190476186</v>
      </c>
    </row>
    <row r="4405" spans="1:38" x14ac:dyDescent="0.2">
      <c r="A4405" s="2">
        <v>2026</v>
      </c>
      <c r="B4405" s="2">
        <v>7</v>
      </c>
      <c r="C4405" s="2" t="s">
        <v>3300</v>
      </c>
      <c r="D4405" s="15" t="s">
        <v>589</v>
      </c>
      <c r="E4405" s="2" t="s">
        <v>38</v>
      </c>
      <c r="F4405" s="2" t="s">
        <v>39</v>
      </c>
      <c r="L4405" s="2" t="s">
        <v>178</v>
      </c>
      <c r="M4405" s="2" t="s">
        <v>40</v>
      </c>
      <c r="P4405" s="2" t="s">
        <v>115</v>
      </c>
      <c r="Q4405" s="16" t="s">
        <v>374</v>
      </c>
      <c r="R4405" s="15" t="s">
        <v>375</v>
      </c>
      <c r="S4405" s="13">
        <v>1</v>
      </c>
      <c r="T4405" s="14">
        <v>48.95</v>
      </c>
      <c r="U4405" s="2">
        <f t="shared" si="717"/>
        <v>11.258500000000002</v>
      </c>
      <c r="V4405" s="2">
        <f t="shared" si="718"/>
        <v>60.208500000000001</v>
      </c>
      <c r="W4405" s="2">
        <f>23.042*S4405</f>
        <v>23.042000000000002</v>
      </c>
      <c r="X4405" s="5">
        <f t="shared" si="719"/>
        <v>0.52927477017364655</v>
      </c>
      <c r="Z4405" s="2" t="s">
        <v>118</v>
      </c>
      <c r="AA4405" s="2" t="s">
        <v>119</v>
      </c>
      <c r="AB4405" s="2" t="s">
        <v>120</v>
      </c>
      <c r="AC4405" s="2" t="s">
        <v>115</v>
      </c>
      <c r="AK4405" s="2">
        <f t="shared" si="715"/>
        <v>25.908000000000001</v>
      </c>
      <c r="AL4405" s="5">
        <f t="shared" si="716"/>
        <v>0.52927477017364655</v>
      </c>
    </row>
    <row r="4406" spans="1:38" x14ac:dyDescent="0.2">
      <c r="A4406" s="2">
        <v>2026</v>
      </c>
      <c r="B4406" s="2">
        <v>7</v>
      </c>
      <c r="C4406" s="2" t="s">
        <v>3300</v>
      </c>
      <c r="D4406" s="15" t="s">
        <v>589</v>
      </c>
      <c r="E4406" s="2" t="s">
        <v>38</v>
      </c>
      <c r="F4406" s="2" t="s">
        <v>39</v>
      </c>
      <c r="L4406" s="2" t="s">
        <v>178</v>
      </c>
      <c r="M4406" s="2" t="s">
        <v>41</v>
      </c>
      <c r="P4406" s="2" t="s">
        <v>43</v>
      </c>
      <c r="Q4406" s="16" t="s">
        <v>49</v>
      </c>
      <c r="R4406" s="15" t="s">
        <v>50</v>
      </c>
      <c r="S4406" s="13">
        <v>3</v>
      </c>
      <c r="T4406" s="14">
        <v>39</v>
      </c>
      <c r="U4406" s="2">
        <f t="shared" si="717"/>
        <v>8.9700000000000006</v>
      </c>
      <c r="V4406" s="2">
        <f t="shared" si="718"/>
        <v>47.97</v>
      </c>
      <c r="W4406" s="2">
        <f>6.6267*S4406</f>
        <v>19.880099999999999</v>
      </c>
      <c r="X4406" s="5">
        <f t="shared" si="719"/>
        <v>0.49025384615384621</v>
      </c>
      <c r="Z4406" s="2" t="s">
        <v>3231</v>
      </c>
      <c r="AA4406" s="2" t="s">
        <v>46</v>
      </c>
      <c r="AB4406" s="2" t="s">
        <v>47</v>
      </c>
      <c r="AC4406" s="2" t="s">
        <v>48</v>
      </c>
      <c r="AK4406" s="2">
        <f t="shared" si="715"/>
        <v>19.119900000000001</v>
      </c>
      <c r="AL4406" s="5">
        <f t="shared" si="716"/>
        <v>0.49025384615384621</v>
      </c>
    </row>
    <row r="4407" spans="1:38" x14ac:dyDescent="0.2">
      <c r="A4407" s="2">
        <v>2026</v>
      </c>
      <c r="B4407" s="2">
        <v>7</v>
      </c>
      <c r="C4407" s="2" t="s">
        <v>3300</v>
      </c>
      <c r="D4407" s="15" t="s">
        <v>589</v>
      </c>
      <c r="E4407" s="2" t="s">
        <v>38</v>
      </c>
      <c r="F4407" s="2" t="s">
        <v>39</v>
      </c>
      <c r="L4407" s="2" t="s">
        <v>178</v>
      </c>
      <c r="M4407" s="2" t="s">
        <v>41</v>
      </c>
      <c r="P4407" s="2" t="s">
        <v>43</v>
      </c>
      <c r="Q4407" s="16" t="s">
        <v>55</v>
      </c>
      <c r="R4407" s="15" t="s">
        <v>56</v>
      </c>
      <c r="S4407" s="13">
        <v>10</v>
      </c>
      <c r="T4407" s="14">
        <v>150</v>
      </c>
      <c r="U4407" s="2">
        <f t="shared" si="717"/>
        <v>34.5</v>
      </c>
      <c r="V4407" s="2">
        <f t="shared" si="718"/>
        <v>184.5</v>
      </c>
      <c r="W4407" s="2">
        <f>10.6*S4407</f>
        <v>106</v>
      </c>
      <c r="X4407" s="5">
        <f t="shared" si="719"/>
        <v>0.29333333333333333</v>
      </c>
      <c r="Z4407" s="2" t="s">
        <v>3231</v>
      </c>
      <c r="AA4407" s="2" t="s">
        <v>46</v>
      </c>
      <c r="AB4407" s="2" t="s">
        <v>57</v>
      </c>
      <c r="AC4407" s="2" t="s">
        <v>58</v>
      </c>
      <c r="AK4407" s="2">
        <f t="shared" si="715"/>
        <v>44</v>
      </c>
      <c r="AL4407" s="5">
        <f t="shared" si="716"/>
        <v>0.29333333333333333</v>
      </c>
    </row>
    <row r="4408" spans="1:38" x14ac:dyDescent="0.2">
      <c r="A4408" s="2">
        <v>2026</v>
      </c>
      <c r="B4408" s="2">
        <v>7</v>
      </c>
      <c r="C4408" s="2" t="s">
        <v>3300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41</v>
      </c>
      <c r="P4408" s="2" t="s">
        <v>43</v>
      </c>
      <c r="Q4408" s="16" t="s">
        <v>59</v>
      </c>
      <c r="R4408" s="15" t="s">
        <v>60</v>
      </c>
      <c r="S4408" s="2">
        <v>100</v>
      </c>
      <c r="T4408" s="14">
        <v>14</v>
      </c>
      <c r="U4408" s="2">
        <f t="shared" si="717"/>
        <v>3.22</v>
      </c>
      <c r="V4408" s="2">
        <f t="shared" si="718"/>
        <v>17.22</v>
      </c>
      <c r="W4408" s="2">
        <f>0.0914*S4408</f>
        <v>9.1399999999999988</v>
      </c>
      <c r="X4408" s="5">
        <f t="shared" si="719"/>
        <v>0.34714285714285725</v>
      </c>
      <c r="Z4408" s="2" t="s">
        <v>3231</v>
      </c>
      <c r="AA4408" s="2" t="s">
        <v>46</v>
      </c>
      <c r="AB4408" s="2" t="s">
        <v>61</v>
      </c>
      <c r="AC4408" s="2" t="s">
        <v>58</v>
      </c>
      <c r="AK4408" s="2">
        <f t="shared" si="715"/>
        <v>4.8600000000000012</v>
      </c>
      <c r="AL4408" s="5">
        <f t="shared" si="716"/>
        <v>0.34714285714285725</v>
      </c>
    </row>
    <row r="4409" spans="1:38" x14ac:dyDescent="0.2">
      <c r="A4409" s="2">
        <v>2026</v>
      </c>
      <c r="B4409" s="2">
        <v>7</v>
      </c>
      <c r="C4409" s="2" t="s">
        <v>3300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40</v>
      </c>
      <c r="P4409" s="2" t="s">
        <v>188</v>
      </c>
      <c r="Q4409" s="16" t="s">
        <v>189</v>
      </c>
      <c r="R4409" s="15" t="s">
        <v>190</v>
      </c>
      <c r="S4409" s="13">
        <v>1</v>
      </c>
      <c r="T4409" s="14">
        <v>76</v>
      </c>
      <c r="U4409" s="2">
        <f t="shared" si="717"/>
        <v>17.48</v>
      </c>
      <c r="V4409" s="2">
        <f t="shared" si="718"/>
        <v>93.48</v>
      </c>
      <c r="W4409" s="2">
        <f>T4409*40%</f>
        <v>30.400000000000002</v>
      </c>
      <c r="X4409" s="5">
        <f t="shared" si="719"/>
        <v>0.6</v>
      </c>
      <c r="Z4409" s="2" t="s">
        <v>118</v>
      </c>
      <c r="AA4409" s="2" t="s">
        <v>191</v>
      </c>
      <c r="AB4409" s="2" t="s">
        <v>190</v>
      </c>
      <c r="AC4409" s="2" t="s">
        <v>40</v>
      </c>
      <c r="AK4409" s="2">
        <f t="shared" si="715"/>
        <v>45.599999999999994</v>
      </c>
      <c r="AL4409" s="5">
        <f t="shared" si="716"/>
        <v>0.6</v>
      </c>
    </row>
    <row r="4410" spans="1:38" x14ac:dyDescent="0.2">
      <c r="A4410" s="2">
        <v>2026</v>
      </c>
      <c r="B4410" s="2">
        <v>7</v>
      </c>
      <c r="C4410" s="2" t="s">
        <v>3300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40</v>
      </c>
      <c r="P4410" s="2" t="s">
        <v>188</v>
      </c>
      <c r="Q4410" s="16" t="s">
        <v>192</v>
      </c>
      <c r="R4410" s="15" t="s">
        <v>191</v>
      </c>
      <c r="S4410" s="13">
        <v>1</v>
      </c>
      <c r="T4410" s="14">
        <v>55</v>
      </c>
      <c r="U4410" s="2">
        <f t="shared" si="717"/>
        <v>12.65</v>
      </c>
      <c r="V4410" s="2">
        <f t="shared" si="718"/>
        <v>67.650000000000006</v>
      </c>
      <c r="W4410" s="2">
        <f>T4410*50%</f>
        <v>27.5</v>
      </c>
      <c r="X4410" s="5">
        <f t="shared" si="719"/>
        <v>0.5</v>
      </c>
      <c r="Z4410" s="2" t="s">
        <v>118</v>
      </c>
      <c r="AA4410" s="2" t="s">
        <v>191</v>
      </c>
      <c r="AB4410" s="2" t="s">
        <v>191</v>
      </c>
      <c r="AC4410" s="2" t="s">
        <v>40</v>
      </c>
      <c r="AK4410" s="2">
        <f t="shared" si="715"/>
        <v>27.5</v>
      </c>
      <c r="AL4410" s="5">
        <f t="shared" si="716"/>
        <v>0.5</v>
      </c>
    </row>
    <row r="4411" spans="1:38" x14ac:dyDescent="0.2">
      <c r="A4411" s="2">
        <v>2026</v>
      </c>
      <c r="B4411" s="2">
        <v>7</v>
      </c>
      <c r="C4411" s="2" t="s">
        <v>3300</v>
      </c>
      <c r="D4411" s="15" t="s">
        <v>607</v>
      </c>
      <c r="E4411" s="2" t="s">
        <v>109</v>
      </c>
      <c r="F4411" s="2" t="s">
        <v>39</v>
      </c>
      <c r="L4411" s="2" t="s">
        <v>462</v>
      </c>
      <c r="M4411" s="2" t="s">
        <v>40</v>
      </c>
      <c r="P4411" s="2" t="s">
        <v>115</v>
      </c>
      <c r="Q4411" s="16" t="s">
        <v>736</v>
      </c>
      <c r="R4411" s="15" t="s">
        <v>737</v>
      </c>
      <c r="S4411" s="13">
        <v>2</v>
      </c>
      <c r="T4411" s="14">
        <v>44.1</v>
      </c>
      <c r="U4411" s="2">
        <f t="shared" si="717"/>
        <v>10.143000000000001</v>
      </c>
      <c r="V4411" s="2">
        <f t="shared" si="718"/>
        <v>54.243000000000002</v>
      </c>
      <c r="W4411" s="2">
        <f>11.098*S4411</f>
        <v>22.196000000000002</v>
      </c>
      <c r="X4411" s="5">
        <f t="shared" si="719"/>
        <v>0.49668934240362811</v>
      </c>
      <c r="Z4411" s="2" t="s">
        <v>118</v>
      </c>
      <c r="AA4411" s="2" t="s">
        <v>119</v>
      </c>
      <c r="AB4411" s="2" t="s">
        <v>120</v>
      </c>
      <c r="AC4411" s="2" t="s">
        <v>115</v>
      </c>
      <c r="AK4411" s="2">
        <f t="shared" si="715"/>
        <v>21.904</v>
      </c>
      <c r="AL4411" s="5">
        <f t="shared" si="716"/>
        <v>0.49668934240362811</v>
      </c>
    </row>
    <row r="4412" spans="1:38" x14ac:dyDescent="0.2">
      <c r="A4412" s="2">
        <v>2026</v>
      </c>
      <c r="B4412" s="2">
        <v>7</v>
      </c>
      <c r="C4412" s="2" t="s">
        <v>3300</v>
      </c>
      <c r="D4412" s="15" t="s">
        <v>607</v>
      </c>
      <c r="E4412" s="2" t="s">
        <v>109</v>
      </c>
      <c r="F4412" s="2" t="s">
        <v>39</v>
      </c>
      <c r="L4412" s="2" t="s">
        <v>462</v>
      </c>
      <c r="M4412" s="2" t="s">
        <v>40</v>
      </c>
      <c r="P4412" s="2" t="s">
        <v>170</v>
      </c>
      <c r="Q4412" s="16" t="s">
        <v>171</v>
      </c>
      <c r="R4412" s="15" t="s">
        <v>171</v>
      </c>
      <c r="S4412" s="13">
        <v>1</v>
      </c>
      <c r="T4412" s="14">
        <v>8</v>
      </c>
      <c r="U4412" s="2">
        <f t="shared" si="717"/>
        <v>1.84</v>
      </c>
      <c r="V4412" s="2">
        <f t="shared" si="718"/>
        <v>9.84</v>
      </c>
      <c r="X4412" s="5">
        <f t="shared" si="719"/>
        <v>1</v>
      </c>
      <c r="Z4412" s="2" t="s">
        <v>170</v>
      </c>
      <c r="AA4412" s="2" t="s">
        <v>170</v>
      </c>
      <c r="AK4412" s="2">
        <f t="shared" si="715"/>
        <v>8</v>
      </c>
      <c r="AL4412" s="5">
        <f t="shared" si="716"/>
        <v>1</v>
      </c>
    </row>
    <row r="4413" spans="1:38" x14ac:dyDescent="0.2">
      <c r="A4413" s="2">
        <v>2026</v>
      </c>
      <c r="B4413" s="2">
        <v>7</v>
      </c>
      <c r="C4413" s="2" t="s">
        <v>3300</v>
      </c>
      <c r="D4413" s="15" t="s">
        <v>2785</v>
      </c>
      <c r="E4413" s="2" t="s">
        <v>109</v>
      </c>
      <c r="F4413" s="2" t="s">
        <v>39</v>
      </c>
      <c r="L4413" s="2" t="s">
        <v>100</v>
      </c>
      <c r="M4413" s="2" t="s">
        <v>40</v>
      </c>
      <c r="P4413" s="2" t="s">
        <v>115</v>
      </c>
      <c r="Q4413" s="16" t="s">
        <v>562</v>
      </c>
      <c r="R4413" s="15" t="s">
        <v>563</v>
      </c>
      <c r="S4413" s="13">
        <v>4</v>
      </c>
      <c r="T4413" s="14">
        <v>57.15</v>
      </c>
      <c r="U4413" s="2">
        <f t="shared" si="717"/>
        <v>13.144500000000001</v>
      </c>
      <c r="V4413" s="2">
        <f t="shared" si="718"/>
        <v>70.294499999999999</v>
      </c>
      <c r="W4413" s="2">
        <f>5.3525*S4413</f>
        <v>21.41</v>
      </c>
      <c r="X4413" s="5">
        <f t="shared" si="719"/>
        <v>0.62537182852143469</v>
      </c>
      <c r="Z4413" s="2" t="s">
        <v>118</v>
      </c>
      <c r="AA4413" s="2" t="s">
        <v>119</v>
      </c>
      <c r="AB4413" s="2" t="s">
        <v>120</v>
      </c>
      <c r="AC4413" s="2" t="s">
        <v>115</v>
      </c>
      <c r="AK4413" s="2">
        <f t="shared" si="715"/>
        <v>35.739999999999995</v>
      </c>
      <c r="AL4413" s="5">
        <f t="shared" si="716"/>
        <v>0.62537182852143469</v>
      </c>
    </row>
    <row r="4414" spans="1:38" x14ac:dyDescent="0.2">
      <c r="A4414" s="2">
        <v>2026</v>
      </c>
      <c r="B4414" s="2">
        <v>7</v>
      </c>
      <c r="C4414" s="2" t="s">
        <v>3300</v>
      </c>
      <c r="D4414" s="15" t="s">
        <v>2785</v>
      </c>
      <c r="E4414" s="2" t="s">
        <v>109</v>
      </c>
      <c r="F4414" s="2" t="s">
        <v>39</v>
      </c>
      <c r="L4414" s="2" t="s">
        <v>100</v>
      </c>
      <c r="M4414" s="2" t="s">
        <v>40</v>
      </c>
      <c r="P4414" s="2" t="s">
        <v>170</v>
      </c>
      <c r="Q4414" s="16" t="s">
        <v>171</v>
      </c>
      <c r="R4414" s="15" t="s">
        <v>171</v>
      </c>
      <c r="S4414" s="13">
        <v>1</v>
      </c>
      <c r="T4414" s="14">
        <v>8</v>
      </c>
      <c r="U4414" s="2">
        <f t="shared" si="717"/>
        <v>1.84</v>
      </c>
      <c r="V4414" s="2">
        <f t="shared" si="718"/>
        <v>9.84</v>
      </c>
      <c r="X4414" s="5">
        <f t="shared" si="719"/>
        <v>1</v>
      </c>
      <c r="Z4414" s="2" t="s">
        <v>170</v>
      </c>
      <c r="AA4414" s="2" t="s">
        <v>170</v>
      </c>
      <c r="AK4414" s="2">
        <f t="shared" si="715"/>
        <v>8</v>
      </c>
      <c r="AL4414" s="5">
        <f t="shared" si="716"/>
        <v>1</v>
      </c>
    </row>
    <row r="4415" spans="1:38" x14ac:dyDescent="0.2">
      <c r="A4415" s="2">
        <v>2026</v>
      </c>
      <c r="B4415" s="2">
        <v>7</v>
      </c>
      <c r="C4415" s="2" t="s">
        <v>3299</v>
      </c>
      <c r="D4415" s="15" t="s">
        <v>625</v>
      </c>
      <c r="E4415" s="2" t="s">
        <v>38</v>
      </c>
      <c r="F4415" s="2" t="s">
        <v>39</v>
      </c>
      <c r="G4415" s="2" t="s">
        <v>626</v>
      </c>
      <c r="H4415" s="2" t="s">
        <v>40</v>
      </c>
      <c r="I4415" s="2" t="s">
        <v>627</v>
      </c>
      <c r="J4415" s="2" t="s">
        <v>628</v>
      </c>
      <c r="L4415" s="2" t="s">
        <v>627</v>
      </c>
      <c r="M4415" s="2" t="s">
        <v>40</v>
      </c>
      <c r="P4415" s="2" t="s">
        <v>115</v>
      </c>
      <c r="Q4415" s="16" t="s">
        <v>136</v>
      </c>
      <c r="R4415" s="15" t="s">
        <v>137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719"/>
        <v>0.40321601605758584</v>
      </c>
      <c r="Z4415" s="2" t="s">
        <v>118</v>
      </c>
      <c r="AA4415" s="2" t="s">
        <v>119</v>
      </c>
      <c r="AB4415" s="2" t="s">
        <v>120</v>
      </c>
      <c r="AC4415" s="2" t="s">
        <v>115</v>
      </c>
      <c r="AK4415" s="2">
        <f t="shared" si="715"/>
        <v>233.02659999999997</v>
      </c>
      <c r="AL4415" s="5">
        <f t="shared" si="716"/>
        <v>0.40321601605758584</v>
      </c>
    </row>
    <row r="4416" spans="1:38" x14ac:dyDescent="0.2">
      <c r="A4416" s="2">
        <v>2026</v>
      </c>
      <c r="B4416" s="2">
        <v>7</v>
      </c>
      <c r="C4416" s="2" t="s">
        <v>3299</v>
      </c>
      <c r="D4416" s="15" t="s">
        <v>911</v>
      </c>
      <c r="E4416" s="2" t="s">
        <v>38</v>
      </c>
      <c r="F4416" s="2" t="s">
        <v>39</v>
      </c>
      <c r="H4416" s="2" t="s">
        <v>110</v>
      </c>
      <c r="I4416" s="2" t="s">
        <v>134</v>
      </c>
      <c r="L4416" s="2" t="s">
        <v>134</v>
      </c>
      <c r="M4416" s="2" t="s">
        <v>110</v>
      </c>
      <c r="P4416" s="2" t="s">
        <v>115</v>
      </c>
      <c r="Q4416" s="16" t="s">
        <v>413</v>
      </c>
      <c r="R4416" s="15" t="s">
        <v>414</v>
      </c>
      <c r="S4416" s="13">
        <v>1</v>
      </c>
      <c r="T4416" s="14">
        <v>14000</v>
      </c>
      <c r="U4416" s="2">
        <f t="shared" si="717"/>
        <v>3220</v>
      </c>
      <c r="V4416" s="2">
        <f t="shared" si="718"/>
        <v>17220</v>
      </c>
      <c r="W4416" s="2">
        <f>10699.41+285.74</f>
        <v>10985.15</v>
      </c>
      <c r="X4416" s="5">
        <f t="shared" si="719"/>
        <v>0.21534642857142861</v>
      </c>
      <c r="Z4416" s="2" t="s">
        <v>105</v>
      </c>
      <c r="AA4416" s="2" t="s">
        <v>415</v>
      </c>
      <c r="AB4416" s="2" t="s">
        <v>152</v>
      </c>
      <c r="AC4416" s="2" t="s">
        <v>115</v>
      </c>
      <c r="AK4416" s="2">
        <f t="shared" si="715"/>
        <v>3014.8500000000004</v>
      </c>
      <c r="AL4416" s="5">
        <f t="shared" si="716"/>
        <v>0.21534642857142861</v>
      </c>
    </row>
    <row r="4417" spans="1:38" x14ac:dyDescent="0.2">
      <c r="A4417" s="2">
        <v>2026</v>
      </c>
      <c r="B4417" s="2">
        <v>7</v>
      </c>
      <c r="C4417" s="2" t="s">
        <v>3299</v>
      </c>
      <c r="D4417" s="15" t="s">
        <v>634</v>
      </c>
      <c r="E4417" s="2" t="s">
        <v>184</v>
      </c>
      <c r="F4417" s="2" t="s">
        <v>367</v>
      </c>
      <c r="H4417" s="2" t="s">
        <v>291</v>
      </c>
      <c r="L4417" s="2" t="s">
        <v>340</v>
      </c>
      <c r="M4417" s="2" t="s">
        <v>81</v>
      </c>
      <c r="P4417" s="2" t="s">
        <v>73</v>
      </c>
      <c r="Q4417" s="16" t="s">
        <v>665</v>
      </c>
      <c r="R4417" s="15" t="s">
        <v>80</v>
      </c>
      <c r="S4417" s="13">
        <v>1</v>
      </c>
      <c r="T4417" s="14">
        <v>210</v>
      </c>
      <c r="U4417" s="2">
        <f t="shared" si="717"/>
        <v>48.300000000000004</v>
      </c>
      <c r="V4417" s="2">
        <f t="shared" si="718"/>
        <v>258.3</v>
      </c>
      <c r="W4417" s="2">
        <f>113.905+11.25</f>
        <v>125.155</v>
      </c>
      <c r="X4417" s="5">
        <f t="shared" si="719"/>
        <v>0.40402380952380951</v>
      </c>
      <c r="Z4417" s="2" t="s">
        <v>3231</v>
      </c>
      <c r="AA4417" s="2" t="s">
        <v>76</v>
      </c>
      <c r="AB4417" s="2" t="s">
        <v>77</v>
      </c>
      <c r="AC4417" s="2" t="s">
        <v>78</v>
      </c>
      <c r="AK4417" s="2">
        <f t="shared" si="715"/>
        <v>84.844999999999999</v>
      </c>
      <c r="AL4417" s="5">
        <f t="shared" si="716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3299</v>
      </c>
      <c r="D4418" s="15" t="s">
        <v>634</v>
      </c>
      <c r="E4418" s="2" t="s">
        <v>184</v>
      </c>
      <c r="F4418" s="2" t="s">
        <v>367</v>
      </c>
      <c r="H4418" s="2" t="s">
        <v>291</v>
      </c>
      <c r="L4418" s="2" t="s">
        <v>340</v>
      </c>
      <c r="M4418" s="2" t="s">
        <v>81</v>
      </c>
      <c r="P4418" s="2" t="s">
        <v>94</v>
      </c>
      <c r="Q4418" s="16" t="s">
        <v>95</v>
      </c>
      <c r="R4418" s="15" t="s">
        <v>96</v>
      </c>
      <c r="S4418" s="13">
        <v>1</v>
      </c>
      <c r="T4418" s="14">
        <v>1.48</v>
      </c>
      <c r="U4418" s="2">
        <f t="shared" si="717"/>
        <v>0.34040000000000004</v>
      </c>
      <c r="V4418" s="2">
        <f t="shared" si="718"/>
        <v>1.8204</v>
      </c>
      <c r="W4418" s="2">
        <v>1.48</v>
      </c>
      <c r="X4418" s="5">
        <f t="shared" si="719"/>
        <v>0</v>
      </c>
      <c r="Z4418" s="2" t="s">
        <v>3231</v>
      </c>
      <c r="AA4418" s="2" t="s">
        <v>97</v>
      </c>
      <c r="AB4418" s="2" t="s">
        <v>77</v>
      </c>
      <c r="AC4418" s="2" t="s">
        <v>94</v>
      </c>
      <c r="AK4418" s="2">
        <f t="shared" si="715"/>
        <v>0</v>
      </c>
      <c r="AL4418" s="5">
        <f t="shared" si="716"/>
        <v>0</v>
      </c>
    </row>
    <row r="4419" spans="1:38" x14ac:dyDescent="0.2">
      <c r="A4419" s="2">
        <v>2026</v>
      </c>
      <c r="B4419" s="2">
        <v>7</v>
      </c>
      <c r="C4419" s="2" t="s">
        <v>3299</v>
      </c>
      <c r="D4419" s="15" t="s">
        <v>635</v>
      </c>
      <c r="E4419" s="2" t="s">
        <v>109</v>
      </c>
      <c r="F4419" s="2" t="s">
        <v>396</v>
      </c>
      <c r="G4419" s="2">
        <v>502967056</v>
      </c>
      <c r="H4419" s="2" t="s">
        <v>110</v>
      </c>
      <c r="I4419" s="2" t="s">
        <v>636</v>
      </c>
      <c r="J4419" s="2" t="s">
        <v>637</v>
      </c>
      <c r="L4419" s="2" t="s">
        <v>113</v>
      </c>
      <c r="M4419" s="2" t="s">
        <v>40</v>
      </c>
      <c r="P4419" s="2" t="s">
        <v>115</v>
      </c>
      <c r="Q4419" s="16" t="s">
        <v>3365</v>
      </c>
      <c r="R4419" s="15" t="s">
        <v>3366</v>
      </c>
      <c r="S4419" s="13">
        <v>1</v>
      </c>
      <c r="T4419" s="14">
        <v>103.55</v>
      </c>
      <c r="U4419" s="2">
        <f t="shared" si="717"/>
        <v>23.816500000000001</v>
      </c>
      <c r="V4419" s="2">
        <f t="shared" si="718"/>
        <v>127.3665</v>
      </c>
      <c r="W4419" s="2">
        <f>57.53+1</f>
        <v>58.53</v>
      </c>
      <c r="X4419" s="5">
        <f t="shared" si="719"/>
        <v>0.43476581361661032</v>
      </c>
      <c r="Z4419" s="2" t="s">
        <v>118</v>
      </c>
      <c r="AA4419" s="2" t="s">
        <v>119</v>
      </c>
      <c r="AB4419" s="2" t="s">
        <v>120</v>
      </c>
      <c r="AC4419" s="2" t="s">
        <v>115</v>
      </c>
      <c r="AK4419" s="2">
        <f t="shared" si="715"/>
        <v>45.019999999999996</v>
      </c>
      <c r="AL4419" s="5">
        <f t="shared" si="716"/>
        <v>0.43476581361661032</v>
      </c>
    </row>
    <row r="4420" spans="1:38" x14ac:dyDescent="0.2">
      <c r="A4420" s="2">
        <v>2026</v>
      </c>
      <c r="B4420" s="2">
        <v>7</v>
      </c>
      <c r="C4420" s="2" t="s">
        <v>3298</v>
      </c>
      <c r="D4420" s="15" t="s">
        <v>3347</v>
      </c>
      <c r="E4420" s="2" t="s">
        <v>753</v>
      </c>
      <c r="F4420" s="2" t="s">
        <v>39</v>
      </c>
      <c r="L4420" s="2" t="s">
        <v>178</v>
      </c>
      <c r="M4420" s="2" t="s">
        <v>40</v>
      </c>
      <c r="P4420" s="2" t="s">
        <v>283</v>
      </c>
      <c r="Q4420" s="16" t="s">
        <v>3093</v>
      </c>
      <c r="R4420" s="15" t="s">
        <v>3094</v>
      </c>
      <c r="S4420" s="13">
        <v>1</v>
      </c>
      <c r="T4420" s="14">
        <v>2490</v>
      </c>
      <c r="U4420" s="2">
        <f t="shared" si="717"/>
        <v>572.70000000000005</v>
      </c>
      <c r="V4420" s="2">
        <f t="shared" si="718"/>
        <v>3062.7</v>
      </c>
      <c r="W4420" s="2">
        <f>1907.5+49</f>
        <v>1956.5</v>
      </c>
      <c r="X4420" s="5">
        <f t="shared" si="719"/>
        <v>0.21425702811244979</v>
      </c>
      <c r="Z4420" s="2" t="s">
        <v>105</v>
      </c>
      <c r="AA4420" s="2" t="s">
        <v>388</v>
      </c>
      <c r="AB4420" s="2" t="s">
        <v>1332</v>
      </c>
      <c r="AC4420" s="2" t="s">
        <v>1329</v>
      </c>
      <c r="AK4420" s="2">
        <f t="shared" si="715"/>
        <v>533.5</v>
      </c>
      <c r="AL4420" s="5">
        <f t="shared" si="716"/>
        <v>0.21425702811244979</v>
      </c>
    </row>
    <row r="4421" spans="1:38" x14ac:dyDescent="0.2">
      <c r="A4421" s="2">
        <v>2026</v>
      </c>
      <c r="B4421" s="2">
        <v>7</v>
      </c>
      <c r="C4421" s="2" t="s">
        <v>3299</v>
      </c>
      <c r="D4421" s="15" t="s">
        <v>1122</v>
      </c>
      <c r="E4421" s="2" t="s">
        <v>109</v>
      </c>
      <c r="F4421" s="2" t="s">
        <v>39</v>
      </c>
      <c r="G4421" s="2">
        <v>504923765</v>
      </c>
      <c r="H4421" s="2" t="s">
        <v>110</v>
      </c>
      <c r="I4421" s="2" t="s">
        <v>3249</v>
      </c>
      <c r="J4421" s="2" t="s">
        <v>3250</v>
      </c>
      <c r="K4421" s="2">
        <v>96179412</v>
      </c>
      <c r="L4421" s="2" t="s">
        <v>462</v>
      </c>
      <c r="M4421" s="2" t="s">
        <v>40</v>
      </c>
      <c r="O4421" s="2" t="s">
        <v>3381</v>
      </c>
      <c r="P4421" s="2" t="s">
        <v>115</v>
      </c>
      <c r="Q4421" s="16" t="s">
        <v>180</v>
      </c>
      <c r="R4421" s="15" t="s">
        <v>181</v>
      </c>
      <c r="S4421" s="13">
        <v>1</v>
      </c>
      <c r="T4421" s="14">
        <v>699.3</v>
      </c>
      <c r="U4421" s="2">
        <f t="shared" si="717"/>
        <v>160.839</v>
      </c>
      <c r="V4421" s="2">
        <f t="shared" si="718"/>
        <v>860.1389999999999</v>
      </c>
      <c r="W4421" s="2">
        <v>343.38580000000002</v>
      </c>
      <c r="X4421" s="5">
        <f t="shared" si="719"/>
        <v>0.50895781495781489</v>
      </c>
      <c r="Z4421" s="2" t="s">
        <v>118</v>
      </c>
      <c r="AA4421" s="2" t="s">
        <v>182</v>
      </c>
      <c r="AB4421" s="2" t="s">
        <v>120</v>
      </c>
      <c r="AC4421" s="2" t="s">
        <v>115</v>
      </c>
      <c r="AK4421" s="2">
        <f t="shared" si="715"/>
        <v>355.91419999999994</v>
      </c>
      <c r="AL4421" s="5">
        <f t="shared" si="716"/>
        <v>0.50895781495781489</v>
      </c>
    </row>
    <row r="4422" spans="1:38" x14ac:dyDescent="0.2">
      <c r="A4422" s="2">
        <v>2026</v>
      </c>
      <c r="B4422" s="2">
        <v>7</v>
      </c>
      <c r="C4422" s="2" t="s">
        <v>3299</v>
      </c>
      <c r="D4422" s="15" t="s">
        <v>1122</v>
      </c>
      <c r="E4422" s="2" t="s">
        <v>109</v>
      </c>
      <c r="F4422" s="2" t="s">
        <v>39</v>
      </c>
      <c r="G4422" s="2">
        <v>504923765</v>
      </c>
      <c r="H4422" s="2" t="s">
        <v>110</v>
      </c>
      <c r="I4422" s="2" t="s">
        <v>3249</v>
      </c>
      <c r="J4422" s="2" t="s">
        <v>3250</v>
      </c>
      <c r="K4422" s="2">
        <v>96179412</v>
      </c>
      <c r="L4422" s="2" t="s">
        <v>462</v>
      </c>
      <c r="M4422" s="2" t="s">
        <v>40</v>
      </c>
      <c r="O4422" s="2" t="s">
        <v>3381</v>
      </c>
      <c r="P4422" s="2" t="s">
        <v>188</v>
      </c>
      <c r="Q4422" s="16" t="s">
        <v>189</v>
      </c>
      <c r="R4422" s="15" t="s">
        <v>190</v>
      </c>
      <c r="S4422" s="13">
        <v>1</v>
      </c>
      <c r="T4422" s="14">
        <v>246</v>
      </c>
      <c r="U4422" s="2">
        <f t="shared" si="717"/>
        <v>56.580000000000005</v>
      </c>
      <c r="V4422" s="2">
        <f t="shared" si="718"/>
        <v>302.58</v>
      </c>
      <c r="W4422" s="2">
        <f>T4422*40%</f>
        <v>98.4</v>
      </c>
      <c r="X4422" s="5">
        <f t="shared" si="719"/>
        <v>0.6</v>
      </c>
      <c r="Z4422" s="2" t="s">
        <v>118</v>
      </c>
      <c r="AA4422" s="2" t="s">
        <v>191</v>
      </c>
      <c r="AB4422" s="2" t="s">
        <v>190</v>
      </c>
      <c r="AC4422" s="2" t="s">
        <v>40</v>
      </c>
      <c r="AK4422" s="2">
        <f t="shared" si="715"/>
        <v>147.6</v>
      </c>
      <c r="AL4422" s="5">
        <f t="shared" si="716"/>
        <v>0.6</v>
      </c>
    </row>
    <row r="4423" spans="1:38" x14ac:dyDescent="0.2">
      <c r="A4423" s="2">
        <v>2026</v>
      </c>
      <c r="B4423" s="2">
        <v>7</v>
      </c>
      <c r="C4423" s="2" t="s">
        <v>3299</v>
      </c>
      <c r="D4423" s="15" t="s">
        <v>1122</v>
      </c>
      <c r="E4423" s="2" t="s">
        <v>109</v>
      </c>
      <c r="F4423" s="2" t="s">
        <v>39</v>
      </c>
      <c r="G4423" s="2">
        <v>504923765</v>
      </c>
      <c r="H4423" s="2" t="s">
        <v>110</v>
      </c>
      <c r="I4423" s="2" t="s">
        <v>3249</v>
      </c>
      <c r="J4423" s="2" t="s">
        <v>3250</v>
      </c>
      <c r="K4423" s="2">
        <v>96179412</v>
      </c>
      <c r="L4423" s="2" t="s">
        <v>462</v>
      </c>
      <c r="M4423" s="2" t="s">
        <v>40</v>
      </c>
      <c r="O4423" s="2" t="s">
        <v>3381</v>
      </c>
      <c r="P4423" s="2" t="s">
        <v>188</v>
      </c>
      <c r="Q4423" s="16" t="s">
        <v>192</v>
      </c>
      <c r="R4423" s="15" t="s">
        <v>191</v>
      </c>
      <c r="S4423" s="13">
        <v>1.5</v>
      </c>
      <c r="T4423" s="14">
        <v>82.5</v>
      </c>
      <c r="U4423" s="2">
        <f t="shared" si="717"/>
        <v>18.975000000000001</v>
      </c>
      <c r="V4423" s="2">
        <f t="shared" si="718"/>
        <v>101.47499999999999</v>
      </c>
      <c r="W4423" s="2">
        <f>T4423*50%</f>
        <v>41.25</v>
      </c>
      <c r="X4423" s="5">
        <f t="shared" si="719"/>
        <v>0.5</v>
      </c>
      <c r="Z4423" s="2" t="s">
        <v>118</v>
      </c>
      <c r="AA4423" s="2" t="s">
        <v>191</v>
      </c>
      <c r="AB4423" s="2" t="s">
        <v>191</v>
      </c>
      <c r="AC4423" s="2" t="s">
        <v>40</v>
      </c>
      <c r="AK4423" s="2">
        <f t="shared" si="715"/>
        <v>41.25</v>
      </c>
      <c r="AL4423" s="5">
        <f t="shared" si="716"/>
        <v>0.5</v>
      </c>
    </row>
    <row r="4424" spans="1:38" x14ac:dyDescent="0.2">
      <c r="A4424" s="2">
        <v>2026</v>
      </c>
      <c r="B4424" s="2">
        <v>7</v>
      </c>
      <c r="C4424" s="2" t="s">
        <v>3300</v>
      </c>
      <c r="D4424" s="15" t="s">
        <v>3348</v>
      </c>
      <c r="E4424" s="2" t="s">
        <v>38</v>
      </c>
      <c r="F4424" s="2" t="s">
        <v>39</v>
      </c>
      <c r="H4424" s="2" t="s">
        <v>40</v>
      </c>
      <c r="I4424" s="2" t="s">
        <v>3380</v>
      </c>
      <c r="L4424" s="2" t="s">
        <v>202</v>
      </c>
      <c r="M4424" s="2" t="s">
        <v>81</v>
      </c>
      <c r="P4424" s="2" t="s">
        <v>73</v>
      </c>
      <c r="Q4424" s="16" t="s">
        <v>74</v>
      </c>
      <c r="R4424" s="15" t="s">
        <v>75</v>
      </c>
      <c r="S4424" s="13">
        <v>1</v>
      </c>
      <c r="T4424" s="14">
        <v>230</v>
      </c>
      <c r="U4424" s="2">
        <f t="shared" si="717"/>
        <v>52.900000000000006</v>
      </c>
      <c r="V4424" s="2">
        <f t="shared" si="718"/>
        <v>282.89999999999998</v>
      </c>
      <c r="W4424" s="2">
        <v>125.51600000000001</v>
      </c>
      <c r="X4424" s="5">
        <f t="shared" si="719"/>
        <v>0.45427826086956519</v>
      </c>
      <c r="Z4424" s="2" t="s">
        <v>3231</v>
      </c>
      <c r="AA4424" s="2" t="s">
        <v>76</v>
      </c>
      <c r="AB4424" s="2" t="s">
        <v>77</v>
      </c>
      <c r="AC4424" s="2" t="s">
        <v>78</v>
      </c>
      <c r="AK4424" s="2">
        <f t="shared" si="715"/>
        <v>104.48399999999999</v>
      </c>
      <c r="AL4424" s="5">
        <f t="shared" si="716"/>
        <v>0.45427826086956519</v>
      </c>
    </row>
    <row r="4425" spans="1:38" x14ac:dyDescent="0.2">
      <c r="A4425" s="2">
        <v>2026</v>
      </c>
      <c r="B4425" s="2">
        <v>7</v>
      </c>
      <c r="C4425" s="2" t="s">
        <v>3300</v>
      </c>
      <c r="D4425" s="15" t="s">
        <v>3348</v>
      </c>
      <c r="E4425" s="2" t="s">
        <v>38</v>
      </c>
      <c r="F4425" s="2" t="s">
        <v>39</v>
      </c>
      <c r="H4425" s="2" t="s">
        <v>40</v>
      </c>
      <c r="I4425" s="2" t="s">
        <v>3380</v>
      </c>
      <c r="L4425" s="2" t="s">
        <v>202</v>
      </c>
      <c r="M4425" s="2" t="s">
        <v>81</v>
      </c>
      <c r="P4425" s="2" t="s">
        <v>94</v>
      </c>
      <c r="Q4425" s="16" t="s">
        <v>95</v>
      </c>
      <c r="R4425" s="15" t="s">
        <v>96</v>
      </c>
      <c r="S4425" s="13">
        <v>1</v>
      </c>
      <c r="T4425" s="14">
        <v>1.48</v>
      </c>
      <c r="U4425" s="2">
        <f t="shared" si="717"/>
        <v>0.34040000000000004</v>
      </c>
      <c r="V4425" s="2">
        <f t="shared" si="718"/>
        <v>1.8204</v>
      </c>
      <c r="W4425" s="2">
        <v>1.48</v>
      </c>
      <c r="X4425" s="5">
        <f t="shared" si="719"/>
        <v>0</v>
      </c>
      <c r="Z4425" s="2" t="s">
        <v>3231</v>
      </c>
      <c r="AA4425" s="2" t="s">
        <v>97</v>
      </c>
      <c r="AB4425" s="2" t="s">
        <v>77</v>
      </c>
      <c r="AC4425" s="2" t="s">
        <v>94</v>
      </c>
      <c r="AK4425" s="2">
        <f t="shared" si="715"/>
        <v>0</v>
      </c>
      <c r="AL4425" s="5">
        <f t="shared" si="716"/>
        <v>0</v>
      </c>
    </row>
    <row r="4426" spans="1:38" x14ac:dyDescent="0.2">
      <c r="A4426" s="2">
        <v>2026</v>
      </c>
      <c r="B4426" s="2">
        <v>7</v>
      </c>
      <c r="C4426" s="2" t="s">
        <v>3300</v>
      </c>
      <c r="D4426" s="15" t="s">
        <v>1314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178</v>
      </c>
      <c r="J4426" s="2" t="s">
        <v>1315</v>
      </c>
      <c r="L4426" s="2" t="s">
        <v>178</v>
      </c>
      <c r="M4426" s="2" t="s">
        <v>41</v>
      </c>
      <c r="O4426" s="2" t="s">
        <v>3379</v>
      </c>
      <c r="P4426" s="2" t="s">
        <v>43</v>
      </c>
      <c r="Q4426" s="16" t="s">
        <v>159</v>
      </c>
      <c r="R4426" s="15" t="s">
        <v>160</v>
      </c>
      <c r="S4426" s="13">
        <v>1</v>
      </c>
      <c r="T4426" s="14">
        <v>21</v>
      </c>
      <c r="U4426" s="2">
        <f t="shared" si="717"/>
        <v>4.83</v>
      </c>
      <c r="V4426" s="2">
        <f t="shared" si="718"/>
        <v>25.83</v>
      </c>
      <c r="W4426" s="2">
        <f>9.3*S4426</f>
        <v>9.3000000000000007</v>
      </c>
      <c r="X4426" s="5">
        <f t="shared" si="719"/>
        <v>0.55714285714285716</v>
      </c>
      <c r="Z4426" s="2" t="s">
        <v>3231</v>
      </c>
      <c r="AA4426" s="2" t="s">
        <v>46</v>
      </c>
      <c r="AB4426" s="2" t="s">
        <v>47</v>
      </c>
      <c r="AC4426" s="2" t="s">
        <v>48</v>
      </c>
      <c r="AK4426" s="2">
        <f t="shared" si="715"/>
        <v>11.7</v>
      </c>
      <c r="AL4426" s="5">
        <f t="shared" si="716"/>
        <v>0.55714285714285716</v>
      </c>
    </row>
    <row r="4427" spans="1:38" x14ac:dyDescent="0.2">
      <c r="A4427" s="2">
        <v>2026</v>
      </c>
      <c r="B4427" s="2">
        <v>7</v>
      </c>
      <c r="C4427" s="2" t="s">
        <v>3300</v>
      </c>
      <c r="D4427" s="15" t="s">
        <v>1314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178</v>
      </c>
      <c r="J4427" s="2" t="s">
        <v>1315</v>
      </c>
      <c r="L4427" s="2" t="s">
        <v>178</v>
      </c>
      <c r="M4427" s="2" t="s">
        <v>41</v>
      </c>
      <c r="O4427" s="2" t="s">
        <v>3379</v>
      </c>
      <c r="P4427" s="2" t="s">
        <v>43</v>
      </c>
      <c r="Q4427" s="16" t="s">
        <v>55</v>
      </c>
      <c r="R4427" s="15" t="s">
        <v>56</v>
      </c>
      <c r="S4427" s="13">
        <v>2</v>
      </c>
      <c r="T4427" s="14">
        <v>36</v>
      </c>
      <c r="U4427" s="2">
        <f t="shared" si="717"/>
        <v>8.2800000000000011</v>
      </c>
      <c r="V4427" s="2">
        <f t="shared" si="718"/>
        <v>44.28</v>
      </c>
      <c r="W4427" s="2">
        <f>10.6*S4427</f>
        <v>21.2</v>
      </c>
      <c r="X4427" s="5">
        <f t="shared" si="719"/>
        <v>0.41111111111111115</v>
      </c>
      <c r="Z4427" s="2" t="s">
        <v>3231</v>
      </c>
      <c r="AA4427" s="2" t="s">
        <v>46</v>
      </c>
      <c r="AB4427" s="2" t="s">
        <v>57</v>
      </c>
      <c r="AC4427" s="2" t="s">
        <v>58</v>
      </c>
      <c r="AK4427" s="2">
        <f t="shared" si="715"/>
        <v>14.8</v>
      </c>
      <c r="AL4427" s="5">
        <f t="shared" si="716"/>
        <v>0.41111111111111115</v>
      </c>
    </row>
    <row r="4428" spans="1:38" x14ac:dyDescent="0.2">
      <c r="A4428" s="2">
        <v>2026</v>
      </c>
      <c r="B4428" s="2">
        <v>7</v>
      </c>
      <c r="C4428" s="2" t="s">
        <v>3300</v>
      </c>
      <c r="D4428" s="15" t="s">
        <v>1314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178</v>
      </c>
      <c r="J4428" s="2" t="s">
        <v>1315</v>
      </c>
      <c r="L4428" s="2" t="s">
        <v>178</v>
      </c>
      <c r="M4428" s="2" t="s">
        <v>41</v>
      </c>
      <c r="O4428" s="2" t="s">
        <v>3379</v>
      </c>
      <c r="P4428" s="2" t="s">
        <v>43</v>
      </c>
      <c r="Q4428" s="16" t="s">
        <v>255</v>
      </c>
      <c r="R4428" s="15" t="s">
        <v>256</v>
      </c>
      <c r="S4428" s="13">
        <v>100</v>
      </c>
      <c r="T4428" s="14">
        <v>14</v>
      </c>
      <c r="U4428" s="2">
        <f t="shared" si="717"/>
        <v>3.22</v>
      </c>
      <c r="V4428" s="2">
        <f t="shared" si="718"/>
        <v>17.22</v>
      </c>
      <c r="W4428" s="2">
        <f>0.0914*S4428</f>
        <v>9.1399999999999988</v>
      </c>
      <c r="X4428" s="5">
        <f t="shared" si="719"/>
        <v>0.34714285714285725</v>
      </c>
      <c r="Z4428" s="2" t="s">
        <v>3231</v>
      </c>
      <c r="AA4428" s="2" t="s">
        <v>46</v>
      </c>
      <c r="AB4428" s="2" t="s">
        <v>61</v>
      </c>
      <c r="AC4428" s="2" t="s">
        <v>58</v>
      </c>
      <c r="AK4428" s="2">
        <f t="shared" si="715"/>
        <v>4.8600000000000012</v>
      </c>
      <c r="AL4428" s="5">
        <f t="shared" si="716"/>
        <v>0.34714285714285725</v>
      </c>
    </row>
    <row r="4429" spans="1:38" x14ac:dyDescent="0.2">
      <c r="A4429" s="2">
        <v>2026</v>
      </c>
      <c r="B4429" s="2">
        <v>7</v>
      </c>
      <c r="C4429" s="2" t="s">
        <v>3299</v>
      </c>
      <c r="D4429" s="15" t="s">
        <v>1127</v>
      </c>
      <c r="E4429" s="2" t="s">
        <v>109</v>
      </c>
      <c r="F4429" s="2" t="s">
        <v>39</v>
      </c>
      <c r="L4429" s="2" t="s">
        <v>462</v>
      </c>
      <c r="M4429" s="2" t="s">
        <v>40</v>
      </c>
      <c r="O4429" s="2" t="s">
        <v>3378</v>
      </c>
      <c r="P4429" s="2" t="s">
        <v>115</v>
      </c>
      <c r="Q4429" s="16" t="s">
        <v>3367</v>
      </c>
      <c r="R4429" s="15" t="s">
        <v>3368</v>
      </c>
      <c r="S4429" s="13">
        <v>12</v>
      </c>
      <c r="T4429" s="14">
        <v>157.75</v>
      </c>
      <c r="U4429" s="2">
        <f t="shared" si="717"/>
        <v>36.282499999999999</v>
      </c>
      <c r="V4429" s="2">
        <f t="shared" si="718"/>
        <v>194.0325</v>
      </c>
      <c r="W4429" s="2">
        <f>6.26*S4429</f>
        <v>75.12</v>
      </c>
      <c r="X4429" s="5">
        <f t="shared" si="719"/>
        <v>0.52380348652931852</v>
      </c>
      <c r="Z4429" s="2" t="s">
        <v>118</v>
      </c>
      <c r="AA4429" s="2" t="s">
        <v>119</v>
      </c>
      <c r="AB4429" s="2" t="s">
        <v>120</v>
      </c>
      <c r="AC4429" s="2" t="s">
        <v>115</v>
      </c>
      <c r="AK4429" s="2">
        <f>T4429-W4429</f>
        <v>82.63</v>
      </c>
      <c r="AL4429" s="5">
        <f>(T4429-W4429)/T4429</f>
        <v>0.52380348652931852</v>
      </c>
    </row>
    <row r="4430" spans="1:38" x14ac:dyDescent="0.2">
      <c r="A4430" s="2">
        <v>2026</v>
      </c>
      <c r="B4430" s="2">
        <v>7</v>
      </c>
      <c r="C4430" s="2" t="s">
        <v>3299</v>
      </c>
      <c r="D4430" s="15" t="s">
        <v>1127</v>
      </c>
      <c r="E4430" s="2" t="s">
        <v>109</v>
      </c>
      <c r="F4430" s="2" t="s">
        <v>39</v>
      </c>
      <c r="L4430" s="2" t="s">
        <v>462</v>
      </c>
      <c r="M4430" s="2" t="s">
        <v>40</v>
      </c>
      <c r="O4430" s="2" t="s">
        <v>3378</v>
      </c>
      <c r="P4430" s="2" t="s">
        <v>115</v>
      </c>
      <c r="Q4430" s="16" t="s">
        <v>3369</v>
      </c>
      <c r="R4430" s="15" t="s">
        <v>3370</v>
      </c>
      <c r="S4430" s="13">
        <v>2</v>
      </c>
      <c r="T4430" s="14">
        <v>571.12</v>
      </c>
      <c r="U4430" s="2">
        <f>T4430*23%</f>
        <v>131.35760000000002</v>
      </c>
      <c r="V4430" s="2">
        <f>T4430+U4430</f>
        <v>702.47760000000005</v>
      </c>
      <c r="W4430" s="2">
        <f>135.98+1.76*S4430</f>
        <v>139.5</v>
      </c>
      <c r="X4430" s="5">
        <f t="shared" si="719"/>
        <v>0.75574310127468836</v>
      </c>
      <c r="Z4430" s="2" t="s">
        <v>118</v>
      </c>
      <c r="AA4430" s="2" t="s">
        <v>119</v>
      </c>
      <c r="AB4430" s="2" t="s">
        <v>120</v>
      </c>
      <c r="AC4430" s="2" t="s">
        <v>115</v>
      </c>
      <c r="AK4430" s="2">
        <f>T4430-W4430</f>
        <v>431.62</v>
      </c>
      <c r="AL4430" s="5">
        <f>(T4430-W4430)/T4430</f>
        <v>0.75574310127468836</v>
      </c>
    </row>
    <row r="4431" spans="1:38" x14ac:dyDescent="0.2">
      <c r="A4431" s="2">
        <v>2026</v>
      </c>
      <c r="B4431" s="2">
        <v>7</v>
      </c>
      <c r="C4431" s="2" t="s">
        <v>3299</v>
      </c>
      <c r="D4431" s="15" t="s">
        <v>1127</v>
      </c>
      <c r="E4431" s="2" t="s">
        <v>109</v>
      </c>
      <c r="F4431" s="2" t="s">
        <v>39</v>
      </c>
      <c r="L4431" s="2" t="s">
        <v>462</v>
      </c>
      <c r="M4431" s="2" t="s">
        <v>40</v>
      </c>
      <c r="O4431" s="2" t="s">
        <v>3378</v>
      </c>
      <c r="P4431" s="2" t="s">
        <v>115</v>
      </c>
      <c r="Q4431" s="16" t="s">
        <v>3371</v>
      </c>
      <c r="R4431" s="15" t="s">
        <v>3372</v>
      </c>
      <c r="S4431" s="13">
        <v>16</v>
      </c>
      <c r="T4431" s="14">
        <v>117.6</v>
      </c>
      <c r="U4431" s="2">
        <f>T4431*23%</f>
        <v>27.047999999999998</v>
      </c>
      <c r="V4431" s="2">
        <f>T4431+U4431</f>
        <v>144.648</v>
      </c>
      <c r="W4431" s="2">
        <f>3.5+5*S4431</f>
        <v>83.5</v>
      </c>
      <c r="X4431" s="5">
        <f t="shared" si="719"/>
        <v>0.28996598639455778</v>
      </c>
      <c r="Z4431" s="2" t="s">
        <v>118</v>
      </c>
      <c r="AA4431" s="2" t="s">
        <v>119</v>
      </c>
      <c r="AB4431" s="2" t="s">
        <v>120</v>
      </c>
      <c r="AC4431" s="2" t="s">
        <v>115</v>
      </c>
      <c r="AK4431" s="2">
        <f>T4431-W4431</f>
        <v>34.099999999999994</v>
      </c>
      <c r="AL4431" s="5">
        <f>(T4431-W4431)/T4431</f>
        <v>0.28996598639455778</v>
      </c>
    </row>
    <row r="4432" spans="1:38" x14ac:dyDescent="0.2">
      <c r="A4432" s="2">
        <v>2026</v>
      </c>
      <c r="B4432" s="2">
        <v>7</v>
      </c>
      <c r="C4432" s="2" t="s">
        <v>3430</v>
      </c>
      <c r="D4432" s="2" t="s">
        <v>37</v>
      </c>
      <c r="E4432" s="2" t="s">
        <v>38</v>
      </c>
      <c r="F4432" s="2" t="s">
        <v>39</v>
      </c>
      <c r="L4432" s="2" t="s">
        <v>3274</v>
      </c>
      <c r="M4432" s="2" t="s">
        <v>81</v>
      </c>
      <c r="P4432" s="2" t="s">
        <v>43</v>
      </c>
      <c r="Q4432" s="23" t="s">
        <v>55</v>
      </c>
      <c r="R4432" s="23" t="s">
        <v>56</v>
      </c>
      <c r="S4432" s="21">
        <v>3</v>
      </c>
      <c r="T4432" s="22">
        <v>48</v>
      </c>
      <c r="U4432" s="2">
        <f>T4432*23%</f>
        <v>11.040000000000001</v>
      </c>
      <c r="V4432" s="2">
        <f>T4432+U4432</f>
        <v>59.04</v>
      </c>
      <c r="W4432" s="2">
        <f>10.6*S4432</f>
        <v>31.799999999999997</v>
      </c>
      <c r="X4432" s="5">
        <f t="shared" si="719"/>
        <v>0.33750000000000008</v>
      </c>
      <c r="Z4432" s="2" t="s">
        <v>3231</v>
      </c>
      <c r="AA4432" s="2" t="s">
        <v>46</v>
      </c>
      <c r="AB4432" s="2" t="s">
        <v>57</v>
      </c>
      <c r="AC4432" s="2" t="s">
        <v>58</v>
      </c>
      <c r="AK4432" s="2">
        <f t="shared" ref="AK4432:AK4442" si="720">T4432-W4432</f>
        <v>16.200000000000003</v>
      </c>
      <c r="AL4432" s="5">
        <f t="shared" ref="AL4432:AL4442" si="721">(T4432-W4432)/T4432</f>
        <v>0.33750000000000008</v>
      </c>
    </row>
    <row r="4433" spans="1:38" x14ac:dyDescent="0.2">
      <c r="A4433" s="2">
        <v>2026</v>
      </c>
      <c r="B4433" s="2">
        <v>7</v>
      </c>
      <c r="C4433" s="2" t="s">
        <v>3430</v>
      </c>
      <c r="D4433" s="2" t="s">
        <v>37</v>
      </c>
      <c r="E4433" s="2" t="s">
        <v>38</v>
      </c>
      <c r="F4433" s="2" t="s">
        <v>39</v>
      </c>
      <c r="L4433" s="2" t="s">
        <v>3274</v>
      </c>
      <c r="M4433" s="2" t="s">
        <v>81</v>
      </c>
      <c r="P4433" s="2" t="s">
        <v>43</v>
      </c>
      <c r="Q4433" s="23" t="s">
        <v>62</v>
      </c>
      <c r="R4433" s="23" t="s">
        <v>63</v>
      </c>
      <c r="S4433" s="21">
        <v>700</v>
      </c>
      <c r="T4433" s="22">
        <v>70</v>
      </c>
      <c r="U4433" s="2">
        <f t="shared" ref="U4433:U4442" si="722">T4433*23%</f>
        <v>16.100000000000001</v>
      </c>
      <c r="V4433" s="2">
        <f t="shared" ref="V4433:V4443" si="723">T4433+U4433</f>
        <v>86.1</v>
      </c>
      <c r="W4433" s="2">
        <f>0.082*S4433</f>
        <v>57.400000000000006</v>
      </c>
      <c r="X4433" s="5">
        <f t="shared" si="719"/>
        <v>0.17999999999999991</v>
      </c>
      <c r="Z4433" s="2" t="s">
        <v>3231</v>
      </c>
      <c r="AA4433" s="2" t="s">
        <v>46</v>
      </c>
      <c r="AB4433" s="2" t="s">
        <v>61</v>
      </c>
      <c r="AC4433" s="2" t="s">
        <v>58</v>
      </c>
      <c r="AK4433" s="2">
        <f t="shared" si="720"/>
        <v>12.599999999999994</v>
      </c>
      <c r="AL4433" s="5">
        <f t="shared" si="721"/>
        <v>0.17999999999999991</v>
      </c>
    </row>
    <row r="4434" spans="1:38" x14ac:dyDescent="0.2">
      <c r="A4434" s="2">
        <v>2026</v>
      </c>
      <c r="B4434" s="2">
        <v>7</v>
      </c>
      <c r="C4434" s="2" t="s">
        <v>3430</v>
      </c>
      <c r="D4434" s="23" t="s">
        <v>1547</v>
      </c>
      <c r="E4434" s="2" t="s">
        <v>109</v>
      </c>
      <c r="F4434" s="2" t="s">
        <v>39</v>
      </c>
      <c r="L4434" s="2" t="s">
        <v>178</v>
      </c>
      <c r="M4434" s="2" t="s">
        <v>40</v>
      </c>
      <c r="P4434" s="2" t="s">
        <v>115</v>
      </c>
      <c r="Q4434" s="23" t="s">
        <v>562</v>
      </c>
      <c r="R4434" s="23" t="s">
        <v>563</v>
      </c>
      <c r="S4434" s="21">
        <v>1</v>
      </c>
      <c r="T4434" s="22">
        <v>14.29</v>
      </c>
      <c r="U4434" s="2">
        <f t="shared" si="722"/>
        <v>3.2866999999999997</v>
      </c>
      <c r="V4434" s="2">
        <f t="shared" si="723"/>
        <v>17.576699999999999</v>
      </c>
      <c r="W4434" s="2">
        <v>5.3525</v>
      </c>
      <c r="X4434" s="5">
        <f t="shared" si="719"/>
        <v>0.62543736878936318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 t="shared" si="720"/>
        <v>8.9375</v>
      </c>
      <c r="AL4434" s="5">
        <f t="shared" si="721"/>
        <v>0.62543736878936318</v>
      </c>
    </row>
    <row r="4435" spans="1:38" x14ac:dyDescent="0.2">
      <c r="A4435" s="2">
        <v>2026</v>
      </c>
      <c r="B4435" s="2">
        <v>7</v>
      </c>
      <c r="C4435" s="2" t="s">
        <v>3430</v>
      </c>
      <c r="D4435" s="23" t="s">
        <v>2778</v>
      </c>
      <c r="E4435" s="2" t="s">
        <v>109</v>
      </c>
      <c r="F4435" s="2" t="s">
        <v>39</v>
      </c>
      <c r="L4435" s="2" t="s">
        <v>2442</v>
      </c>
      <c r="M4435" s="2" t="s">
        <v>40</v>
      </c>
      <c r="P4435" s="2" t="s">
        <v>115</v>
      </c>
      <c r="Q4435" s="23" t="s">
        <v>468</v>
      </c>
      <c r="R4435" s="23" t="s">
        <v>469</v>
      </c>
      <c r="S4435" s="21">
        <v>1</v>
      </c>
      <c r="T4435" s="22">
        <v>418.99</v>
      </c>
      <c r="U4435" s="2">
        <f t="shared" si="722"/>
        <v>96.367699999999999</v>
      </c>
      <c r="V4435" s="2">
        <f t="shared" si="723"/>
        <v>515.35770000000002</v>
      </c>
      <c r="W4435" s="2">
        <v>237.8466</v>
      </c>
      <c r="X4435" s="5">
        <f t="shared" si="719"/>
        <v>0.43233346857920241</v>
      </c>
      <c r="Z4435" s="2" t="s">
        <v>118</v>
      </c>
      <c r="AA4435" s="2" t="s">
        <v>119</v>
      </c>
      <c r="AB4435" s="2" t="s">
        <v>120</v>
      </c>
      <c r="AC4435" s="2" t="s">
        <v>115</v>
      </c>
      <c r="AK4435" s="2">
        <f t="shared" si="720"/>
        <v>181.14340000000001</v>
      </c>
      <c r="AL4435" s="5">
        <f t="shared" si="721"/>
        <v>0.43233346857920241</v>
      </c>
    </row>
    <row r="4436" spans="1:38" x14ac:dyDescent="0.2">
      <c r="A4436" s="2">
        <v>2026</v>
      </c>
      <c r="B4436" s="2">
        <v>7</v>
      </c>
      <c r="C4436" s="2" t="s">
        <v>3430</v>
      </c>
      <c r="D4436" s="23" t="s">
        <v>2778</v>
      </c>
      <c r="E4436" s="2" t="s">
        <v>109</v>
      </c>
      <c r="F4436" s="2" t="s">
        <v>39</v>
      </c>
      <c r="L4436" s="2" t="s">
        <v>2442</v>
      </c>
      <c r="M4436" s="2" t="s">
        <v>40</v>
      </c>
      <c r="P4436" s="2" t="s">
        <v>188</v>
      </c>
      <c r="Q4436" s="23" t="s">
        <v>189</v>
      </c>
      <c r="R4436" s="23" t="s">
        <v>190</v>
      </c>
      <c r="S4436" s="21">
        <v>1</v>
      </c>
      <c r="T4436" s="22">
        <v>99</v>
      </c>
      <c r="U4436" s="2">
        <f t="shared" si="722"/>
        <v>22.77</v>
      </c>
      <c r="V4436" s="2">
        <f t="shared" si="723"/>
        <v>121.77</v>
      </c>
      <c r="W4436" s="2">
        <f>T4436*40%</f>
        <v>39.6</v>
      </c>
      <c r="X4436" s="5">
        <f t="shared" si="719"/>
        <v>0.6</v>
      </c>
      <c r="Z4436" s="2" t="s">
        <v>118</v>
      </c>
      <c r="AA4436" s="2" t="s">
        <v>191</v>
      </c>
      <c r="AB4436" s="2" t="s">
        <v>190</v>
      </c>
      <c r="AC4436" s="2" t="s">
        <v>40</v>
      </c>
      <c r="AK4436" s="2">
        <f t="shared" si="720"/>
        <v>59.4</v>
      </c>
      <c r="AL4436" s="5">
        <f t="shared" si="721"/>
        <v>0.6</v>
      </c>
    </row>
    <row r="4437" spans="1:38" x14ac:dyDescent="0.2">
      <c r="A4437" s="2">
        <v>2026</v>
      </c>
      <c r="B4437" s="2">
        <v>7</v>
      </c>
      <c r="C4437" s="2" t="s">
        <v>3430</v>
      </c>
      <c r="D4437" s="23" t="s">
        <v>2778</v>
      </c>
      <c r="E4437" s="2" t="s">
        <v>109</v>
      </c>
      <c r="F4437" s="2" t="s">
        <v>39</v>
      </c>
      <c r="L4437" s="2" t="s">
        <v>2442</v>
      </c>
      <c r="M4437" s="2" t="s">
        <v>40</v>
      </c>
      <c r="P4437" s="2" t="s">
        <v>188</v>
      </c>
      <c r="Q4437" s="23" t="s">
        <v>192</v>
      </c>
      <c r="R4437" s="23" t="s">
        <v>191</v>
      </c>
      <c r="S4437" s="21">
        <v>1</v>
      </c>
      <c r="T4437" s="22">
        <v>49.5</v>
      </c>
      <c r="U4437" s="2">
        <f t="shared" si="722"/>
        <v>11.385</v>
      </c>
      <c r="V4437" s="2">
        <f t="shared" si="723"/>
        <v>60.884999999999998</v>
      </c>
      <c r="W4437" s="2">
        <f>T4437*50%</f>
        <v>24.75</v>
      </c>
      <c r="X4437" s="5">
        <f t="shared" si="719"/>
        <v>0.5</v>
      </c>
      <c r="Z4437" s="2" t="s">
        <v>118</v>
      </c>
      <c r="AA4437" s="2" t="s">
        <v>191</v>
      </c>
      <c r="AB4437" s="2" t="s">
        <v>191</v>
      </c>
      <c r="AC4437" s="2" t="s">
        <v>40</v>
      </c>
      <c r="AK4437" s="2">
        <f t="shared" si="720"/>
        <v>24.75</v>
      </c>
      <c r="AL4437" s="5">
        <f t="shared" si="721"/>
        <v>0.5</v>
      </c>
    </row>
    <row r="4438" spans="1:38" x14ac:dyDescent="0.2">
      <c r="A4438" s="2">
        <v>2026</v>
      </c>
      <c r="B4438" s="2">
        <v>7</v>
      </c>
      <c r="C4438" s="2" t="s">
        <v>3430</v>
      </c>
      <c r="D4438" s="23" t="s">
        <v>1577</v>
      </c>
      <c r="E4438" s="2" t="s">
        <v>753</v>
      </c>
      <c r="F4438" s="2" t="s">
        <v>39</v>
      </c>
      <c r="L4438" s="2" t="s">
        <v>462</v>
      </c>
      <c r="M4438" s="2" t="s">
        <v>110</v>
      </c>
      <c r="P4438" s="2" t="s">
        <v>283</v>
      </c>
      <c r="Q4438" s="23" t="s">
        <v>3001</v>
      </c>
      <c r="R4438" s="23" t="s">
        <v>3002</v>
      </c>
      <c r="S4438" s="21">
        <v>1</v>
      </c>
      <c r="T4438" s="22">
        <v>1130.5</v>
      </c>
      <c r="U4438" s="2">
        <f t="shared" si="722"/>
        <v>260.01499999999999</v>
      </c>
      <c r="V4438" s="2">
        <f t="shared" si="723"/>
        <v>1390.5149999999999</v>
      </c>
      <c r="W4438" s="2">
        <v>773.5</v>
      </c>
      <c r="X4438" s="5">
        <f t="shared" si="719"/>
        <v>0.31578947368421051</v>
      </c>
      <c r="Z4438" s="2" t="s">
        <v>105</v>
      </c>
      <c r="AA4438" s="2" t="s">
        <v>182</v>
      </c>
      <c r="AB4438" s="2" t="s">
        <v>120</v>
      </c>
      <c r="AC4438" s="2" t="s">
        <v>1329</v>
      </c>
      <c r="AK4438" s="2">
        <f t="shared" si="720"/>
        <v>357</v>
      </c>
      <c r="AL4438" s="5">
        <f t="shared" si="721"/>
        <v>0.31578947368421051</v>
      </c>
    </row>
    <row r="4439" spans="1:38" x14ac:dyDescent="0.2">
      <c r="A4439" s="2">
        <v>2026</v>
      </c>
      <c r="B4439" s="2">
        <v>7</v>
      </c>
      <c r="C4439" s="2" t="s">
        <v>3430</v>
      </c>
      <c r="D4439" s="23" t="s">
        <v>841</v>
      </c>
      <c r="E4439" s="2" t="s">
        <v>109</v>
      </c>
      <c r="F4439" s="2" t="s">
        <v>842</v>
      </c>
      <c r="G4439" s="2">
        <v>504981285</v>
      </c>
      <c r="H4439" s="2" t="s">
        <v>291</v>
      </c>
      <c r="I4439" s="2" t="s">
        <v>843</v>
      </c>
      <c r="J4439" s="2" t="s">
        <v>844</v>
      </c>
      <c r="K4439" s="2">
        <v>932209225</v>
      </c>
      <c r="L4439" s="2" t="s">
        <v>340</v>
      </c>
      <c r="M4439" s="2" t="s">
        <v>40</v>
      </c>
      <c r="P4439" s="2" t="s">
        <v>188</v>
      </c>
      <c r="Q4439" s="23" t="s">
        <v>189</v>
      </c>
      <c r="R4439" s="23" t="s">
        <v>190</v>
      </c>
      <c r="S4439" s="21">
        <v>1</v>
      </c>
      <c r="T4439" s="22">
        <v>60</v>
      </c>
      <c r="U4439" s="2">
        <f t="shared" si="722"/>
        <v>13.8</v>
      </c>
      <c r="V4439" s="2">
        <f t="shared" si="723"/>
        <v>73.8</v>
      </c>
      <c r="W4439" s="2">
        <f>T4439*40%</f>
        <v>24</v>
      </c>
      <c r="X4439" s="5">
        <f t="shared" si="719"/>
        <v>0.6</v>
      </c>
      <c r="Z4439" s="2" t="s">
        <v>118</v>
      </c>
      <c r="AA4439" s="2" t="s">
        <v>191</v>
      </c>
      <c r="AB4439" s="2" t="s">
        <v>190</v>
      </c>
      <c r="AC4439" s="2" t="s">
        <v>40</v>
      </c>
      <c r="AK4439" s="2">
        <f t="shared" si="720"/>
        <v>36</v>
      </c>
      <c r="AL4439" s="5">
        <f t="shared" si="721"/>
        <v>0.6</v>
      </c>
    </row>
    <row r="4440" spans="1:38" x14ac:dyDescent="0.2">
      <c r="A4440" s="2">
        <v>2026</v>
      </c>
      <c r="B4440" s="2">
        <v>7</v>
      </c>
      <c r="C4440" s="2" t="s">
        <v>3430</v>
      </c>
      <c r="D4440" s="23" t="s">
        <v>841</v>
      </c>
      <c r="E4440" s="2" t="s">
        <v>109</v>
      </c>
      <c r="F4440" s="2" t="s">
        <v>842</v>
      </c>
      <c r="G4440" s="2">
        <v>504981285</v>
      </c>
      <c r="H4440" s="2" t="s">
        <v>291</v>
      </c>
      <c r="I4440" s="2" t="s">
        <v>843</v>
      </c>
      <c r="J4440" s="2" t="s">
        <v>844</v>
      </c>
      <c r="K4440" s="2">
        <v>932209225</v>
      </c>
      <c r="L4440" s="2" t="s">
        <v>340</v>
      </c>
      <c r="M4440" s="2" t="s">
        <v>40</v>
      </c>
      <c r="P4440" s="2" t="s">
        <v>188</v>
      </c>
      <c r="Q4440" s="23" t="s">
        <v>192</v>
      </c>
      <c r="R4440" s="23" t="s">
        <v>191</v>
      </c>
      <c r="S4440" s="21">
        <v>2</v>
      </c>
      <c r="T4440" s="22">
        <v>110</v>
      </c>
      <c r="U4440" s="2">
        <f t="shared" si="722"/>
        <v>25.3</v>
      </c>
      <c r="V4440" s="2">
        <f t="shared" si="723"/>
        <v>135.30000000000001</v>
      </c>
      <c r="W4440" s="2">
        <f>T4440*50%</f>
        <v>55</v>
      </c>
      <c r="X4440" s="5">
        <f t="shared" si="719"/>
        <v>0.5</v>
      </c>
      <c r="Z4440" s="2" t="s">
        <v>118</v>
      </c>
      <c r="AA4440" s="2" t="s">
        <v>191</v>
      </c>
      <c r="AB4440" s="2" t="s">
        <v>191</v>
      </c>
      <c r="AC4440" s="2" t="s">
        <v>40</v>
      </c>
      <c r="AK4440" s="2">
        <f t="shared" si="720"/>
        <v>55</v>
      </c>
      <c r="AL4440" s="5">
        <f t="shared" si="721"/>
        <v>0.5</v>
      </c>
    </row>
    <row r="4441" spans="1:38" x14ac:dyDescent="0.2">
      <c r="A4441" s="2">
        <v>2026</v>
      </c>
      <c r="B4441" s="2">
        <v>7</v>
      </c>
      <c r="C4441" s="2" t="s">
        <v>3430</v>
      </c>
      <c r="D4441" s="23" t="s">
        <v>1626</v>
      </c>
      <c r="E4441" s="2" t="s">
        <v>109</v>
      </c>
      <c r="F4441" s="2" t="s">
        <v>478</v>
      </c>
      <c r="G4441" s="2">
        <v>504161342</v>
      </c>
      <c r="H4441" s="2" t="s">
        <v>291</v>
      </c>
      <c r="I4441" s="2" t="s">
        <v>1627</v>
      </c>
      <c r="J4441" s="2" t="s">
        <v>1628</v>
      </c>
      <c r="L4441" s="2" t="s">
        <v>294</v>
      </c>
      <c r="M4441" s="2" t="s">
        <v>81</v>
      </c>
      <c r="P4441" s="2" t="s">
        <v>73</v>
      </c>
      <c r="Q4441" s="23" t="s">
        <v>307</v>
      </c>
      <c r="R4441" s="23" t="s">
        <v>308</v>
      </c>
      <c r="S4441" s="21">
        <v>1</v>
      </c>
      <c r="T4441" s="22">
        <v>230</v>
      </c>
      <c r="U4441" s="2">
        <f t="shared" si="722"/>
        <v>52.900000000000006</v>
      </c>
      <c r="V4441" s="2">
        <f t="shared" si="723"/>
        <v>282.89999999999998</v>
      </c>
      <c r="W4441" s="2">
        <v>134.57</v>
      </c>
      <c r="X4441" s="5">
        <f t="shared" si="719"/>
        <v>0.41491304347826091</v>
      </c>
      <c r="Z4441" s="2" t="s">
        <v>3231</v>
      </c>
      <c r="AA4441" s="2" t="s">
        <v>76</v>
      </c>
      <c r="AB4441" s="2" t="s">
        <v>77</v>
      </c>
      <c r="AC4441" s="2" t="s">
        <v>78</v>
      </c>
      <c r="AK4441" s="2">
        <f t="shared" si="720"/>
        <v>95.43</v>
      </c>
      <c r="AL4441" s="5">
        <f t="shared" si="721"/>
        <v>0.41491304347826091</v>
      </c>
    </row>
    <row r="4442" spans="1:38" x14ac:dyDescent="0.2">
      <c r="A4442" s="2">
        <v>2026</v>
      </c>
      <c r="B4442" s="2">
        <v>7</v>
      </c>
      <c r="C4442" s="2" t="s">
        <v>3430</v>
      </c>
      <c r="D4442" s="23" t="s">
        <v>1626</v>
      </c>
      <c r="E4442" s="2" t="s">
        <v>109</v>
      </c>
      <c r="F4442" s="2" t="s">
        <v>478</v>
      </c>
      <c r="G4442" s="2">
        <v>504161342</v>
      </c>
      <c r="H4442" s="2" t="s">
        <v>291</v>
      </c>
      <c r="I4442" s="2" t="s">
        <v>1627</v>
      </c>
      <c r="J4442" s="2" t="s">
        <v>1628</v>
      </c>
      <c r="L4442" s="2" t="s">
        <v>294</v>
      </c>
      <c r="M4442" s="2" t="s">
        <v>81</v>
      </c>
      <c r="P4442" s="2" t="s">
        <v>94</v>
      </c>
      <c r="Q4442" s="23" t="s">
        <v>95</v>
      </c>
      <c r="R4442" s="23" t="s">
        <v>96</v>
      </c>
      <c r="S4442" s="21">
        <v>1</v>
      </c>
      <c r="T4442" s="22">
        <v>1.48</v>
      </c>
      <c r="U4442" s="2">
        <f t="shared" si="722"/>
        <v>0.34040000000000004</v>
      </c>
      <c r="V4442" s="2">
        <f t="shared" si="723"/>
        <v>1.8204</v>
      </c>
      <c r="W4442" s="2">
        <v>1.48</v>
      </c>
      <c r="X4442" s="5">
        <f t="shared" si="719"/>
        <v>0</v>
      </c>
      <c r="Z4442" s="2" t="s">
        <v>3231</v>
      </c>
      <c r="AA4442" s="2" t="s">
        <v>97</v>
      </c>
      <c r="AB4442" s="2" t="s">
        <v>77</v>
      </c>
      <c r="AC4442" s="2" t="s">
        <v>94</v>
      </c>
      <c r="AK4442" s="2">
        <f t="shared" si="720"/>
        <v>0</v>
      </c>
      <c r="AL4442" s="5">
        <f t="shared" si="721"/>
        <v>0</v>
      </c>
    </row>
    <row r="4443" spans="1:38" x14ac:dyDescent="0.2">
      <c r="A4443" s="2">
        <v>2026</v>
      </c>
      <c r="B4443" s="2">
        <v>7</v>
      </c>
      <c r="C4443" s="2" t="s">
        <v>3430</v>
      </c>
      <c r="D4443" s="2" t="s">
        <v>3431</v>
      </c>
      <c r="E4443" s="2" t="s">
        <v>38</v>
      </c>
      <c r="F4443" s="2" t="s">
        <v>39</v>
      </c>
      <c r="L4443" s="2" t="s">
        <v>340</v>
      </c>
      <c r="M4443" s="2" t="s">
        <v>81</v>
      </c>
      <c r="P4443" s="2" t="s">
        <v>73</v>
      </c>
      <c r="Q4443" s="2" t="s">
        <v>74</v>
      </c>
      <c r="R4443" s="2" t="s">
        <v>75</v>
      </c>
      <c r="S4443" s="13">
        <v>1</v>
      </c>
      <c r="T4443" s="14">
        <v>230</v>
      </c>
      <c r="U4443" s="2">
        <f>T4443*23%</f>
        <v>52.900000000000006</v>
      </c>
      <c r="V4443" s="2">
        <f t="shared" si="723"/>
        <v>282.89999999999998</v>
      </c>
      <c r="W4443" s="2">
        <v>133.4614</v>
      </c>
      <c r="X4443" s="5">
        <f t="shared" si="719"/>
        <v>0.4197330434782609</v>
      </c>
      <c r="Z4443" s="2" t="s">
        <v>3231</v>
      </c>
      <c r="AA4443" s="2" t="s">
        <v>76</v>
      </c>
      <c r="AB4443" s="2" t="s">
        <v>77</v>
      </c>
      <c r="AC4443" s="2" t="s">
        <v>78</v>
      </c>
      <c r="AK4443" s="2">
        <f t="shared" ref="AK4443:AK4462" si="724">T4443-W4443</f>
        <v>96.538600000000002</v>
      </c>
      <c r="AL4443" s="5">
        <f t="shared" ref="AL4443:AL4462" si="725">(T4443-W4443)/T4443</f>
        <v>0.4197330434782609</v>
      </c>
    </row>
    <row r="4444" spans="1:38" x14ac:dyDescent="0.2">
      <c r="A4444" s="2">
        <v>2026</v>
      </c>
      <c r="B4444" s="2">
        <v>7</v>
      </c>
      <c r="C4444" s="2" t="s">
        <v>3430</v>
      </c>
      <c r="D4444" s="2" t="s">
        <v>3431</v>
      </c>
      <c r="E4444" s="2" t="s">
        <v>38</v>
      </c>
      <c r="F4444" s="2" t="s">
        <v>39</v>
      </c>
      <c r="L4444" s="2" t="s">
        <v>340</v>
      </c>
      <c r="M4444" s="2" t="s">
        <v>81</v>
      </c>
      <c r="P4444" s="2" t="s">
        <v>94</v>
      </c>
      <c r="Q4444" s="2" t="s">
        <v>95</v>
      </c>
      <c r="R4444" s="2" t="s">
        <v>96</v>
      </c>
      <c r="S4444" s="13">
        <v>1</v>
      </c>
      <c r="T4444" s="14">
        <v>1.48</v>
      </c>
      <c r="U4444" s="2">
        <f t="shared" ref="U4444:U4462" si="726">T4444*23%</f>
        <v>0.34040000000000004</v>
      </c>
      <c r="V4444" s="2">
        <f t="shared" ref="V4444:V4462" si="727">T4444+U4444</f>
        <v>1.8204</v>
      </c>
      <c r="W4444" s="2">
        <v>1.48</v>
      </c>
      <c r="X4444" s="5">
        <f t="shared" si="719"/>
        <v>0</v>
      </c>
      <c r="Z4444" s="2" t="s">
        <v>3231</v>
      </c>
      <c r="AA4444" s="2" t="s">
        <v>97</v>
      </c>
      <c r="AB4444" s="2" t="s">
        <v>77</v>
      </c>
      <c r="AC4444" s="2" t="s">
        <v>94</v>
      </c>
      <c r="AK4444" s="2">
        <f t="shared" si="724"/>
        <v>0</v>
      </c>
      <c r="AL4444" s="5">
        <f t="shared" si="725"/>
        <v>0</v>
      </c>
    </row>
    <row r="4445" spans="1:38" x14ac:dyDescent="0.2">
      <c r="A4445" s="2">
        <v>2026</v>
      </c>
      <c r="B4445" s="2">
        <v>7</v>
      </c>
      <c r="C4445" s="2" t="s">
        <v>3430</v>
      </c>
      <c r="D4445" s="2" t="s">
        <v>2582</v>
      </c>
      <c r="E4445" s="2" t="s">
        <v>184</v>
      </c>
      <c r="F4445" s="2" t="s">
        <v>2583</v>
      </c>
      <c r="G4445" s="2">
        <v>515259144</v>
      </c>
      <c r="H4445" s="2" t="s">
        <v>81</v>
      </c>
      <c r="I4445" s="2" t="s">
        <v>157</v>
      </c>
      <c r="J4445" s="2" t="s">
        <v>2584</v>
      </c>
      <c r="K4445" s="2">
        <v>968626165</v>
      </c>
      <c r="L4445" s="2" t="s">
        <v>100</v>
      </c>
      <c r="M4445" s="2" t="s">
        <v>81</v>
      </c>
      <c r="P4445" s="2" t="s">
        <v>1040</v>
      </c>
      <c r="Q4445" s="2" t="s">
        <v>2893</v>
      </c>
      <c r="R4445" s="2" t="s">
        <v>2894</v>
      </c>
      <c r="S4445" s="13">
        <v>1</v>
      </c>
      <c r="T4445" s="14">
        <v>223.1</v>
      </c>
      <c r="U4445" s="2">
        <f t="shared" si="726"/>
        <v>51.313000000000002</v>
      </c>
      <c r="V4445" s="2">
        <f t="shared" si="727"/>
        <v>274.41300000000001</v>
      </c>
      <c r="W4445" s="2">
        <v>141.16</v>
      </c>
      <c r="X4445" s="5">
        <f t="shared" si="719"/>
        <v>0.36727924697445091</v>
      </c>
      <c r="Z4445" s="2" t="s">
        <v>3231</v>
      </c>
      <c r="AA4445" s="2" t="s">
        <v>76</v>
      </c>
      <c r="AB4445" s="2" t="s">
        <v>77</v>
      </c>
      <c r="AC4445" s="2" t="s">
        <v>1040</v>
      </c>
      <c r="AK4445" s="2">
        <f t="shared" si="724"/>
        <v>81.94</v>
      </c>
      <c r="AL4445" s="5">
        <f t="shared" si="725"/>
        <v>0.36727924697445091</v>
      </c>
    </row>
    <row r="4446" spans="1:38" x14ac:dyDescent="0.2">
      <c r="A4446" s="2">
        <v>2026</v>
      </c>
      <c r="B4446" s="2">
        <v>7</v>
      </c>
      <c r="C4446" s="2" t="s">
        <v>3430</v>
      </c>
      <c r="D4446" s="2" t="s">
        <v>2582</v>
      </c>
      <c r="E4446" s="2" t="s">
        <v>184</v>
      </c>
      <c r="F4446" s="2" t="s">
        <v>2583</v>
      </c>
      <c r="G4446" s="2">
        <v>515259144</v>
      </c>
      <c r="H4446" s="2" t="s">
        <v>81</v>
      </c>
      <c r="I4446" s="2" t="s">
        <v>157</v>
      </c>
      <c r="J4446" s="2" t="s">
        <v>2584</v>
      </c>
      <c r="K4446" s="2">
        <v>968626165</v>
      </c>
      <c r="L4446" s="2" t="s">
        <v>100</v>
      </c>
      <c r="M4446" s="2" t="s">
        <v>81</v>
      </c>
      <c r="P4446" s="2" t="s">
        <v>94</v>
      </c>
      <c r="Q4446" s="2" t="s">
        <v>95</v>
      </c>
      <c r="R4446" s="2" t="s">
        <v>96</v>
      </c>
      <c r="S4446" s="13">
        <v>1</v>
      </c>
      <c r="T4446" s="14">
        <v>1.48</v>
      </c>
      <c r="U4446" s="2">
        <f t="shared" si="726"/>
        <v>0.34040000000000004</v>
      </c>
      <c r="V4446" s="2">
        <f t="shared" si="727"/>
        <v>1.8204</v>
      </c>
      <c r="W4446" s="2">
        <v>1.48</v>
      </c>
      <c r="X4446" s="5">
        <f t="shared" si="719"/>
        <v>0</v>
      </c>
      <c r="Z4446" s="2" t="s">
        <v>3231</v>
      </c>
      <c r="AA4446" s="2" t="s">
        <v>97</v>
      </c>
      <c r="AB4446" s="2" t="s">
        <v>77</v>
      </c>
      <c r="AC4446" s="2" t="s">
        <v>94</v>
      </c>
      <c r="AK4446" s="2">
        <f t="shared" si="724"/>
        <v>0</v>
      </c>
      <c r="AL4446" s="5">
        <f t="shared" si="725"/>
        <v>0</v>
      </c>
    </row>
    <row r="4447" spans="1:38" x14ac:dyDescent="0.2">
      <c r="A4447" s="2">
        <v>2026</v>
      </c>
      <c r="B4447" s="2">
        <v>7</v>
      </c>
      <c r="C4447" s="2" t="s">
        <v>3430</v>
      </c>
      <c r="D4447" s="2" t="s">
        <v>1010</v>
      </c>
      <c r="E4447" s="2" t="s">
        <v>109</v>
      </c>
      <c r="F4447" s="2" t="s">
        <v>39</v>
      </c>
      <c r="L4447" s="2" t="s">
        <v>419</v>
      </c>
      <c r="M4447" s="2" t="s">
        <v>41</v>
      </c>
      <c r="P4447" s="2" t="s">
        <v>43</v>
      </c>
      <c r="Q4447" s="2" t="s">
        <v>51</v>
      </c>
      <c r="R4447" s="2" t="s">
        <v>52</v>
      </c>
      <c r="S4447" s="13">
        <v>1</v>
      </c>
      <c r="T4447" s="14">
        <v>21</v>
      </c>
      <c r="U4447" s="2">
        <f t="shared" si="726"/>
        <v>4.83</v>
      </c>
      <c r="V4447" s="2">
        <f t="shared" si="727"/>
        <v>25.83</v>
      </c>
      <c r="W4447" s="2">
        <f>14.4*S4447</f>
        <v>14.4</v>
      </c>
      <c r="X4447" s="5">
        <f t="shared" si="719"/>
        <v>0.31428571428571428</v>
      </c>
      <c r="Z4447" s="2" t="s">
        <v>3231</v>
      </c>
      <c r="AA4447" s="2" t="s">
        <v>46</v>
      </c>
      <c r="AB4447" s="2" t="s">
        <v>47</v>
      </c>
      <c r="AC4447" s="2" t="s">
        <v>48</v>
      </c>
      <c r="AK4447" s="2">
        <f t="shared" si="724"/>
        <v>6.6</v>
      </c>
      <c r="AL4447" s="5">
        <f t="shared" si="725"/>
        <v>0.31428571428571428</v>
      </c>
    </row>
    <row r="4448" spans="1:38" x14ac:dyDescent="0.2">
      <c r="A4448" s="2">
        <v>2026</v>
      </c>
      <c r="B4448" s="2">
        <v>7</v>
      </c>
      <c r="C4448" s="2" t="s">
        <v>3430</v>
      </c>
      <c r="D4448" s="2" t="s">
        <v>1010</v>
      </c>
      <c r="E4448" s="2" t="s">
        <v>109</v>
      </c>
      <c r="F4448" s="2" t="s">
        <v>39</v>
      </c>
      <c r="L4448" s="2" t="s">
        <v>419</v>
      </c>
      <c r="M4448" s="2" t="s">
        <v>41</v>
      </c>
      <c r="P4448" s="2" t="s">
        <v>43</v>
      </c>
      <c r="Q4448" s="2" t="s">
        <v>55</v>
      </c>
      <c r="R4448" s="2" t="s">
        <v>56</v>
      </c>
      <c r="S4448" s="13">
        <v>2</v>
      </c>
      <c r="T4448" s="14">
        <v>36</v>
      </c>
      <c r="U4448" s="2">
        <f t="shared" si="726"/>
        <v>8.2800000000000011</v>
      </c>
      <c r="V4448" s="2">
        <f t="shared" si="727"/>
        <v>44.28</v>
      </c>
      <c r="W4448" s="2">
        <f>10.6*S4448</f>
        <v>21.2</v>
      </c>
      <c r="X4448" s="5">
        <f t="shared" si="719"/>
        <v>0.41111111111111115</v>
      </c>
      <c r="Z4448" s="2" t="s">
        <v>3231</v>
      </c>
      <c r="AA4448" s="2" t="s">
        <v>46</v>
      </c>
      <c r="AB4448" s="2" t="s">
        <v>57</v>
      </c>
      <c r="AC4448" s="2" t="s">
        <v>58</v>
      </c>
      <c r="AK4448" s="2">
        <f t="shared" si="724"/>
        <v>14.8</v>
      </c>
      <c r="AL4448" s="5">
        <f t="shared" si="725"/>
        <v>0.41111111111111115</v>
      </c>
    </row>
    <row r="4449" spans="1:38" x14ac:dyDescent="0.2">
      <c r="A4449" s="2">
        <v>2026</v>
      </c>
      <c r="B4449" s="2">
        <v>7</v>
      </c>
      <c r="C4449" s="2" t="s">
        <v>3430</v>
      </c>
      <c r="D4449" s="2" t="s">
        <v>1010</v>
      </c>
      <c r="E4449" s="2" t="s">
        <v>109</v>
      </c>
      <c r="F4449" s="2" t="s">
        <v>39</v>
      </c>
      <c r="L4449" s="2" t="s">
        <v>419</v>
      </c>
      <c r="M4449" s="2" t="s">
        <v>41</v>
      </c>
      <c r="P4449" s="2" t="s">
        <v>170</v>
      </c>
      <c r="Q4449" s="2" t="s">
        <v>171</v>
      </c>
      <c r="R4449" s="2" t="s">
        <v>171</v>
      </c>
      <c r="S4449" s="13">
        <v>1</v>
      </c>
      <c r="T4449" s="14">
        <v>8</v>
      </c>
      <c r="U4449" s="2">
        <f t="shared" si="726"/>
        <v>1.84</v>
      </c>
      <c r="V4449" s="2">
        <f t="shared" si="727"/>
        <v>9.84</v>
      </c>
      <c r="X4449" s="5">
        <f t="shared" si="719"/>
        <v>1</v>
      </c>
      <c r="Z4449" s="2" t="s">
        <v>170</v>
      </c>
      <c r="AA4449" s="2" t="s">
        <v>170</v>
      </c>
      <c r="AK4449" s="2">
        <f t="shared" si="724"/>
        <v>8</v>
      </c>
      <c r="AL4449" s="5">
        <f t="shared" si="725"/>
        <v>1</v>
      </c>
    </row>
    <row r="4450" spans="1:38" x14ac:dyDescent="0.2">
      <c r="A4450" s="2">
        <v>2026</v>
      </c>
      <c r="B4450" s="2">
        <v>7</v>
      </c>
      <c r="C4450" s="2" t="s">
        <v>3430</v>
      </c>
      <c r="D4450" s="2" t="s">
        <v>434</v>
      </c>
      <c r="E4450" s="2" t="s">
        <v>38</v>
      </c>
      <c r="F4450" s="2" t="s">
        <v>39</v>
      </c>
      <c r="L4450" s="2" t="s">
        <v>100</v>
      </c>
      <c r="M4450" s="2" t="s">
        <v>41</v>
      </c>
      <c r="P4450" s="2" t="s">
        <v>283</v>
      </c>
      <c r="Q4450" s="2" t="s">
        <v>400</v>
      </c>
      <c r="R4450" s="2" t="s">
        <v>401</v>
      </c>
      <c r="S4450" s="13">
        <v>20</v>
      </c>
      <c r="T4450" s="14">
        <v>400</v>
      </c>
      <c r="U4450" s="2">
        <f t="shared" si="726"/>
        <v>92</v>
      </c>
      <c r="V4450" s="2">
        <f t="shared" si="727"/>
        <v>492</v>
      </c>
      <c r="W4450" s="2">
        <f>14.5099*S4450</f>
        <v>290.19799999999998</v>
      </c>
      <c r="X4450" s="5">
        <f t="shared" si="719"/>
        <v>0.27450500000000005</v>
      </c>
      <c r="Z4450" s="2" t="s">
        <v>3231</v>
      </c>
      <c r="AA4450" s="2" t="s">
        <v>46</v>
      </c>
      <c r="AB4450" s="2" t="s">
        <v>61</v>
      </c>
      <c r="AC4450" s="2" t="s">
        <v>3336</v>
      </c>
      <c r="AK4450" s="2">
        <f t="shared" si="724"/>
        <v>109.80200000000002</v>
      </c>
      <c r="AL4450" s="5">
        <f t="shared" si="725"/>
        <v>0.27450500000000005</v>
      </c>
    </row>
    <row r="4451" spans="1:38" x14ac:dyDescent="0.2">
      <c r="A4451" s="2">
        <v>2026</v>
      </c>
      <c r="B4451" s="2">
        <v>7</v>
      </c>
      <c r="C4451" s="2" t="s">
        <v>3430</v>
      </c>
      <c r="D4451" s="2" t="s">
        <v>440</v>
      </c>
      <c r="E4451" s="2" t="s">
        <v>38</v>
      </c>
      <c r="F4451" s="2" t="s">
        <v>39</v>
      </c>
      <c r="L4451" s="2" t="s">
        <v>178</v>
      </c>
      <c r="M4451" s="2" t="s">
        <v>41</v>
      </c>
      <c r="P4451" s="2" t="s">
        <v>43</v>
      </c>
      <c r="Q4451" s="2" t="s">
        <v>49</v>
      </c>
      <c r="R4451" s="2" t="s">
        <v>50</v>
      </c>
      <c r="S4451" s="13">
        <v>4</v>
      </c>
      <c r="T4451" s="14">
        <v>52</v>
      </c>
      <c r="U4451" s="2">
        <f t="shared" si="726"/>
        <v>11.96</v>
      </c>
      <c r="V4451" s="2">
        <f t="shared" si="727"/>
        <v>63.96</v>
      </c>
      <c r="W4451" s="2">
        <f>6.6267*S4451</f>
        <v>26.506799999999998</v>
      </c>
      <c r="X4451" s="5">
        <f t="shared" si="719"/>
        <v>0.49025384615384621</v>
      </c>
      <c r="Z4451" s="2" t="s">
        <v>3231</v>
      </c>
      <c r="AA4451" s="2" t="s">
        <v>46</v>
      </c>
      <c r="AB4451" s="2" t="s">
        <v>47</v>
      </c>
      <c r="AC4451" s="2" t="s">
        <v>48</v>
      </c>
      <c r="AK4451" s="2">
        <f t="shared" si="724"/>
        <v>25.493200000000002</v>
      </c>
      <c r="AL4451" s="5">
        <f t="shared" si="725"/>
        <v>0.49025384615384621</v>
      </c>
    </row>
    <row r="4452" spans="1:38" x14ac:dyDescent="0.2">
      <c r="A4452" s="2">
        <v>2026</v>
      </c>
      <c r="B4452" s="2">
        <v>7</v>
      </c>
      <c r="C4452" s="2" t="s">
        <v>3430</v>
      </c>
      <c r="D4452" s="2" t="s">
        <v>440</v>
      </c>
      <c r="E4452" s="2" t="s">
        <v>38</v>
      </c>
      <c r="F4452" s="2" t="s">
        <v>39</v>
      </c>
      <c r="L4452" s="2" t="s">
        <v>178</v>
      </c>
      <c r="M4452" s="2" t="s">
        <v>41</v>
      </c>
      <c r="P4452" s="2" t="s">
        <v>43</v>
      </c>
      <c r="Q4452" s="2" t="s">
        <v>51</v>
      </c>
      <c r="R4452" s="2" t="s">
        <v>52</v>
      </c>
      <c r="S4452" s="13">
        <v>1</v>
      </c>
      <c r="T4452" s="14">
        <v>21</v>
      </c>
      <c r="U4452" s="2">
        <f t="shared" si="726"/>
        <v>4.83</v>
      </c>
      <c r="V4452" s="2">
        <f t="shared" si="727"/>
        <v>25.83</v>
      </c>
      <c r="W4452" s="2">
        <f>14.4*S4452</f>
        <v>14.4</v>
      </c>
      <c r="X4452" s="5">
        <f t="shared" si="719"/>
        <v>0.31428571428571428</v>
      </c>
      <c r="Z4452" s="2" t="s">
        <v>3231</v>
      </c>
      <c r="AA4452" s="2" t="s">
        <v>46</v>
      </c>
      <c r="AB4452" s="2" t="s">
        <v>47</v>
      </c>
      <c r="AC4452" s="2" t="s">
        <v>48</v>
      </c>
      <c r="AK4452" s="2">
        <f t="shared" si="724"/>
        <v>6.6</v>
      </c>
      <c r="AL4452" s="5">
        <f t="shared" si="725"/>
        <v>0.31428571428571428</v>
      </c>
    </row>
    <row r="4453" spans="1:38" x14ac:dyDescent="0.2">
      <c r="A4453" s="2">
        <v>2026</v>
      </c>
      <c r="B4453" s="2">
        <v>7</v>
      </c>
      <c r="C4453" s="2" t="s">
        <v>3430</v>
      </c>
      <c r="D4453" s="2" t="s">
        <v>817</v>
      </c>
      <c r="E4453" s="2" t="s">
        <v>38</v>
      </c>
      <c r="F4453" s="2" t="s">
        <v>39</v>
      </c>
      <c r="L4453" s="2" t="s">
        <v>481</v>
      </c>
      <c r="M4453" s="2" t="s">
        <v>81</v>
      </c>
      <c r="P4453" s="2" t="s">
        <v>1040</v>
      </c>
      <c r="Q4453" s="2" t="s">
        <v>3432</v>
      </c>
      <c r="R4453" s="2" t="s">
        <v>3433</v>
      </c>
      <c r="S4453" s="13">
        <v>1</v>
      </c>
      <c r="T4453" s="14">
        <v>287</v>
      </c>
      <c r="U4453" s="2">
        <f t="shared" si="726"/>
        <v>66.010000000000005</v>
      </c>
      <c r="V4453" s="2">
        <f t="shared" si="727"/>
        <v>353.01</v>
      </c>
      <c r="W4453" s="2">
        <v>157.85</v>
      </c>
      <c r="X4453" s="5">
        <f t="shared" si="719"/>
        <v>0.45</v>
      </c>
      <c r="Z4453" s="2" t="s">
        <v>3231</v>
      </c>
      <c r="AA4453" s="2" t="s">
        <v>76</v>
      </c>
      <c r="AB4453" s="2" t="s">
        <v>77</v>
      </c>
      <c r="AC4453" s="2" t="s">
        <v>78</v>
      </c>
      <c r="AK4453" s="2">
        <f t="shared" si="724"/>
        <v>129.15</v>
      </c>
      <c r="AL4453" s="5">
        <f t="shared" si="725"/>
        <v>0.45</v>
      </c>
    </row>
    <row r="4454" spans="1:38" x14ac:dyDescent="0.2">
      <c r="A4454" s="2">
        <v>2026</v>
      </c>
      <c r="B4454" s="2">
        <v>7</v>
      </c>
      <c r="C4454" s="2" t="s">
        <v>3430</v>
      </c>
      <c r="D4454" s="2" t="s">
        <v>817</v>
      </c>
      <c r="E4454" s="2" t="s">
        <v>38</v>
      </c>
      <c r="F4454" s="2" t="s">
        <v>39</v>
      </c>
      <c r="L4454" s="2" t="s">
        <v>481</v>
      </c>
      <c r="M4454" s="2" t="s">
        <v>81</v>
      </c>
      <c r="P4454" s="2" t="s">
        <v>94</v>
      </c>
      <c r="Q4454" s="2" t="s">
        <v>95</v>
      </c>
      <c r="R4454" s="2" t="s">
        <v>96</v>
      </c>
      <c r="S4454" s="13">
        <v>1</v>
      </c>
      <c r="T4454" s="14">
        <v>1.48</v>
      </c>
      <c r="U4454" s="2">
        <f t="shared" si="726"/>
        <v>0.34040000000000004</v>
      </c>
      <c r="V4454" s="2">
        <f t="shared" si="727"/>
        <v>1.8204</v>
      </c>
      <c r="W4454" s="2">
        <v>1.48</v>
      </c>
      <c r="X4454" s="5">
        <f t="shared" si="719"/>
        <v>0</v>
      </c>
      <c r="Z4454" s="2" t="s">
        <v>3231</v>
      </c>
      <c r="AA4454" s="2" t="s">
        <v>97</v>
      </c>
      <c r="AB4454" s="2" t="s">
        <v>77</v>
      </c>
      <c r="AC4454" s="2" t="s">
        <v>94</v>
      </c>
      <c r="AK4454" s="2">
        <f t="shared" si="724"/>
        <v>0</v>
      </c>
      <c r="AL4454" s="5">
        <f t="shared" si="725"/>
        <v>0</v>
      </c>
    </row>
    <row r="4455" spans="1:38" x14ac:dyDescent="0.2">
      <c r="A4455" s="2">
        <v>2026</v>
      </c>
      <c r="B4455" s="2">
        <v>7</v>
      </c>
      <c r="C4455" s="2" t="s">
        <v>3430</v>
      </c>
      <c r="D4455" s="2" t="s">
        <v>2147</v>
      </c>
      <c r="E4455" s="2" t="s">
        <v>109</v>
      </c>
      <c r="F4455" s="2" t="s">
        <v>39</v>
      </c>
      <c r="I4455" s="2" t="s">
        <v>316</v>
      </c>
      <c r="L4455" s="2" t="s">
        <v>100</v>
      </c>
      <c r="M4455" s="2" t="s">
        <v>81</v>
      </c>
      <c r="P4455" s="2" t="s">
        <v>1040</v>
      </c>
      <c r="Q4455" s="2" t="s">
        <v>3434</v>
      </c>
      <c r="R4455" s="2" t="s">
        <v>3435</v>
      </c>
      <c r="S4455" s="13">
        <v>1</v>
      </c>
      <c r="T4455" s="14">
        <v>390</v>
      </c>
      <c r="U4455" s="2">
        <f t="shared" si="726"/>
        <v>89.7</v>
      </c>
      <c r="V4455" s="2">
        <f t="shared" si="727"/>
        <v>479.7</v>
      </c>
      <c r="W4455" s="2">
        <v>217</v>
      </c>
      <c r="X4455" s="5">
        <f t="shared" si="719"/>
        <v>0.44358974358974357</v>
      </c>
      <c r="Z4455" s="2" t="s">
        <v>3231</v>
      </c>
      <c r="AA4455" s="2" t="s">
        <v>76</v>
      </c>
      <c r="AB4455" s="2" t="s">
        <v>77</v>
      </c>
      <c r="AC4455" s="2" t="s">
        <v>1040</v>
      </c>
      <c r="AK4455" s="2">
        <f t="shared" si="724"/>
        <v>173</v>
      </c>
      <c r="AL4455" s="5">
        <f t="shared" si="725"/>
        <v>0.44358974358974357</v>
      </c>
    </row>
    <row r="4456" spans="1:38" x14ac:dyDescent="0.2">
      <c r="A4456" s="2">
        <v>2026</v>
      </c>
      <c r="B4456" s="2">
        <v>7</v>
      </c>
      <c r="C4456" s="2" t="s">
        <v>3430</v>
      </c>
      <c r="D4456" s="2" t="s">
        <v>2147</v>
      </c>
      <c r="E4456" s="2" t="s">
        <v>109</v>
      </c>
      <c r="F4456" s="2" t="s">
        <v>39</v>
      </c>
      <c r="I4456" s="2" t="s">
        <v>316</v>
      </c>
      <c r="L4456" s="2" t="s">
        <v>100</v>
      </c>
      <c r="M4456" s="2" t="s">
        <v>81</v>
      </c>
      <c r="P4456" s="2" t="s">
        <v>170</v>
      </c>
      <c r="Q4456" s="2" t="s">
        <v>171</v>
      </c>
      <c r="R4456" s="2" t="s">
        <v>171</v>
      </c>
      <c r="S4456" s="13">
        <v>1</v>
      </c>
      <c r="T4456" s="14">
        <v>15</v>
      </c>
      <c r="U4456" s="2">
        <f t="shared" si="726"/>
        <v>3.45</v>
      </c>
      <c r="V4456" s="2">
        <f t="shared" si="727"/>
        <v>18.45</v>
      </c>
      <c r="W4456" s="2">
        <v>28</v>
      </c>
      <c r="X4456" s="5">
        <f t="shared" si="719"/>
        <v>-0.8666666666666667</v>
      </c>
      <c r="Z4456" s="2" t="s">
        <v>170</v>
      </c>
      <c r="AA4456" s="2" t="s">
        <v>170</v>
      </c>
      <c r="AK4456" s="2">
        <f t="shared" si="724"/>
        <v>-13</v>
      </c>
      <c r="AL4456" s="5">
        <f t="shared" si="725"/>
        <v>-0.8666666666666667</v>
      </c>
    </row>
    <row r="4457" spans="1:38" x14ac:dyDescent="0.2">
      <c r="A4457" s="2">
        <v>2026</v>
      </c>
      <c r="B4457" s="2">
        <v>7</v>
      </c>
      <c r="C4457" s="2" t="s">
        <v>3430</v>
      </c>
      <c r="D4457" s="2" t="s">
        <v>2147</v>
      </c>
      <c r="E4457" s="2" t="s">
        <v>109</v>
      </c>
      <c r="F4457" s="2" t="s">
        <v>39</v>
      </c>
      <c r="I4457" s="2" t="s">
        <v>316</v>
      </c>
      <c r="L4457" s="2" t="s">
        <v>100</v>
      </c>
      <c r="M4457" s="2" t="s">
        <v>81</v>
      </c>
      <c r="P4457" s="2" t="s">
        <v>94</v>
      </c>
      <c r="Q4457" s="2" t="s">
        <v>95</v>
      </c>
      <c r="R4457" s="2" t="s">
        <v>96</v>
      </c>
      <c r="S4457" s="13">
        <v>1</v>
      </c>
      <c r="T4457" s="14">
        <v>1.48</v>
      </c>
      <c r="U4457" s="2">
        <f t="shared" si="726"/>
        <v>0.34040000000000004</v>
      </c>
      <c r="V4457" s="2">
        <f t="shared" si="727"/>
        <v>1.8204</v>
      </c>
      <c r="W4457" s="2">
        <v>1.48</v>
      </c>
      <c r="X4457" s="5">
        <f t="shared" si="719"/>
        <v>0</v>
      </c>
      <c r="Z4457" s="2" t="s">
        <v>3231</v>
      </c>
      <c r="AA4457" s="2" t="s">
        <v>97</v>
      </c>
      <c r="AB4457" s="2" t="s">
        <v>77</v>
      </c>
      <c r="AC4457" s="2" t="s">
        <v>94</v>
      </c>
      <c r="AK4457" s="2">
        <f t="shared" si="724"/>
        <v>0</v>
      </c>
      <c r="AL4457" s="5">
        <f t="shared" si="725"/>
        <v>0</v>
      </c>
    </row>
    <row r="4458" spans="1:38" x14ac:dyDescent="0.2">
      <c r="A4458" s="2">
        <v>2026</v>
      </c>
      <c r="B4458" s="2">
        <v>7</v>
      </c>
      <c r="C4458" s="2" t="s">
        <v>3430</v>
      </c>
      <c r="D4458" s="2" t="s">
        <v>2563</v>
      </c>
      <c r="E4458" s="2" t="s">
        <v>109</v>
      </c>
      <c r="F4458" s="2" t="s">
        <v>39</v>
      </c>
      <c r="L4458" s="2" t="s">
        <v>100</v>
      </c>
      <c r="M4458" s="2" t="s">
        <v>81</v>
      </c>
      <c r="P4458" s="2" t="s">
        <v>1040</v>
      </c>
      <c r="Q4458" s="2" t="s">
        <v>3436</v>
      </c>
      <c r="R4458" s="2" t="s">
        <v>3437</v>
      </c>
      <c r="S4458" s="13">
        <v>4</v>
      </c>
      <c r="T4458" s="14">
        <v>569.1</v>
      </c>
      <c r="U4458" s="2">
        <f t="shared" si="726"/>
        <v>130.893</v>
      </c>
      <c r="V4458" s="2">
        <f t="shared" si="727"/>
        <v>699.99300000000005</v>
      </c>
      <c r="W4458" s="2">
        <f>86.81*S4458</f>
        <v>347.24</v>
      </c>
      <c r="X4458" s="5">
        <f t="shared" si="719"/>
        <v>0.38984361272184154</v>
      </c>
      <c r="Z4458" s="2" t="s">
        <v>3231</v>
      </c>
      <c r="AA4458" s="2" t="s">
        <v>1043</v>
      </c>
      <c r="AB4458" s="2" t="s">
        <v>1272</v>
      </c>
      <c r="AC4458" s="2" t="s">
        <v>1040</v>
      </c>
      <c r="AK4458" s="2">
        <f t="shared" si="724"/>
        <v>221.86</v>
      </c>
      <c r="AL4458" s="5">
        <f t="shared" si="725"/>
        <v>0.38984361272184154</v>
      </c>
    </row>
    <row r="4459" spans="1:38" x14ac:dyDescent="0.2">
      <c r="A4459" s="2">
        <v>2026</v>
      </c>
      <c r="B4459" s="2">
        <v>7</v>
      </c>
      <c r="C4459" s="2" t="s">
        <v>3430</v>
      </c>
      <c r="D4459" s="2" t="s">
        <v>1297</v>
      </c>
      <c r="E4459" s="2" t="s">
        <v>184</v>
      </c>
      <c r="F4459" s="2" t="s">
        <v>367</v>
      </c>
      <c r="G4459" s="2">
        <v>500625654</v>
      </c>
      <c r="H4459" s="2" t="s">
        <v>291</v>
      </c>
      <c r="I4459" s="2" t="s">
        <v>340</v>
      </c>
      <c r="J4459" s="2" t="s">
        <v>1298</v>
      </c>
      <c r="L4459" s="2" t="s">
        <v>340</v>
      </c>
      <c r="M4459" s="2" t="s">
        <v>81</v>
      </c>
      <c r="P4459" s="2" t="s">
        <v>73</v>
      </c>
      <c r="Q4459" s="2" t="s">
        <v>557</v>
      </c>
      <c r="R4459" s="2" t="s">
        <v>382</v>
      </c>
      <c r="S4459" s="13">
        <v>2</v>
      </c>
      <c r="T4459" s="14">
        <v>485</v>
      </c>
      <c r="U4459" s="2">
        <f t="shared" si="726"/>
        <v>111.55000000000001</v>
      </c>
      <c r="V4459" s="2">
        <f t="shared" si="727"/>
        <v>596.54999999999995</v>
      </c>
      <c r="W4459" s="2">
        <f>150.9766*S4459</f>
        <v>301.95319999999998</v>
      </c>
      <c r="X4459" s="5">
        <f t="shared" si="719"/>
        <v>0.37741608247422687</v>
      </c>
      <c r="Z4459" s="2" t="s">
        <v>3231</v>
      </c>
      <c r="AA4459" s="2" t="s">
        <v>76</v>
      </c>
      <c r="AB4459" s="2" t="s">
        <v>77</v>
      </c>
      <c r="AC4459" s="2" t="s">
        <v>78</v>
      </c>
      <c r="AK4459" s="2">
        <f t="shared" si="724"/>
        <v>183.04680000000002</v>
      </c>
      <c r="AL4459" s="5">
        <f t="shared" si="725"/>
        <v>0.37741608247422687</v>
      </c>
    </row>
    <row r="4460" spans="1:38" x14ac:dyDescent="0.2">
      <c r="A4460" s="2">
        <v>2026</v>
      </c>
      <c r="B4460" s="2">
        <v>7</v>
      </c>
      <c r="C4460" s="2" t="s">
        <v>3430</v>
      </c>
      <c r="D4460" s="2" t="s">
        <v>1297</v>
      </c>
      <c r="E4460" s="2" t="s">
        <v>184</v>
      </c>
      <c r="F4460" s="2" t="s">
        <v>367</v>
      </c>
      <c r="G4460" s="2">
        <v>500625654</v>
      </c>
      <c r="H4460" s="2" t="s">
        <v>291</v>
      </c>
      <c r="I4460" s="2" t="s">
        <v>340</v>
      </c>
      <c r="J4460" s="2" t="s">
        <v>1298</v>
      </c>
      <c r="L4460" s="2" t="s">
        <v>340</v>
      </c>
      <c r="M4460" s="2" t="s">
        <v>81</v>
      </c>
      <c r="P4460" s="2" t="s">
        <v>1040</v>
      </c>
      <c r="Q4460" s="2" t="s">
        <v>3438</v>
      </c>
      <c r="R4460" s="2" t="s">
        <v>3439</v>
      </c>
      <c r="S4460" s="13">
        <v>1</v>
      </c>
      <c r="T4460" s="14">
        <v>232.8</v>
      </c>
      <c r="U4460" s="2">
        <f t="shared" si="726"/>
        <v>53.544000000000004</v>
      </c>
      <c r="V4460" s="2">
        <f t="shared" si="727"/>
        <v>286.34399999999999</v>
      </c>
      <c r="W4460" s="2">
        <v>128.99</v>
      </c>
      <c r="X4460" s="5">
        <f t="shared" si="719"/>
        <v>0.44591924398625427</v>
      </c>
      <c r="Z4460" s="2" t="s">
        <v>3231</v>
      </c>
      <c r="AA4460" s="2" t="s">
        <v>76</v>
      </c>
      <c r="AB4460" s="2" t="s">
        <v>77</v>
      </c>
      <c r="AC4460" s="2" t="s">
        <v>1040</v>
      </c>
      <c r="AK4460" s="2">
        <f t="shared" si="724"/>
        <v>103.81</v>
      </c>
      <c r="AL4460" s="5">
        <f t="shared" si="725"/>
        <v>0.44591924398625427</v>
      </c>
    </row>
    <row r="4461" spans="1:38" x14ac:dyDescent="0.2">
      <c r="A4461" s="2">
        <v>2026</v>
      </c>
      <c r="B4461" s="2">
        <v>7</v>
      </c>
      <c r="C4461" s="2" t="s">
        <v>3430</v>
      </c>
      <c r="D4461" s="2" t="s">
        <v>1297</v>
      </c>
      <c r="E4461" s="2" t="s">
        <v>184</v>
      </c>
      <c r="F4461" s="2" t="s">
        <v>367</v>
      </c>
      <c r="G4461" s="2">
        <v>500625654</v>
      </c>
      <c r="H4461" s="2" t="s">
        <v>291</v>
      </c>
      <c r="I4461" s="2" t="s">
        <v>340</v>
      </c>
      <c r="J4461" s="2" t="s">
        <v>1298</v>
      </c>
      <c r="L4461" s="2" t="s">
        <v>340</v>
      </c>
      <c r="M4461" s="2" t="s">
        <v>81</v>
      </c>
      <c r="P4461" s="2" t="s">
        <v>94</v>
      </c>
      <c r="Q4461" s="2" t="s">
        <v>95</v>
      </c>
      <c r="R4461" s="2" t="s">
        <v>96</v>
      </c>
      <c r="S4461" s="13">
        <v>3</v>
      </c>
      <c r="T4461" s="14">
        <v>4.4400000000000004</v>
      </c>
      <c r="U4461" s="2">
        <f t="shared" si="726"/>
        <v>1.0212000000000001</v>
      </c>
      <c r="V4461" s="2">
        <f t="shared" si="727"/>
        <v>5.4612000000000007</v>
      </c>
      <c r="W4461" s="2">
        <f>1.48*S4461</f>
        <v>4.4399999999999995</v>
      </c>
      <c r="X4461" s="5">
        <f t="shared" si="719"/>
        <v>2.000401846171453E-16</v>
      </c>
      <c r="Z4461" s="2" t="s">
        <v>3231</v>
      </c>
      <c r="AA4461" s="2" t="s">
        <v>97</v>
      </c>
      <c r="AB4461" s="2" t="s">
        <v>77</v>
      </c>
      <c r="AC4461" s="2" t="s">
        <v>94</v>
      </c>
      <c r="AK4461" s="2">
        <f t="shared" si="724"/>
        <v>0</v>
      </c>
      <c r="AL4461" s="5">
        <f t="shared" si="725"/>
        <v>2.000401846171453E-16</v>
      </c>
    </row>
    <row r="4462" spans="1:38" x14ac:dyDescent="0.2">
      <c r="A4462" s="2">
        <v>2026</v>
      </c>
      <c r="B4462" s="2">
        <v>7</v>
      </c>
      <c r="C4462" s="2" t="s">
        <v>3430</v>
      </c>
      <c r="D4462" s="2" t="s">
        <v>2368</v>
      </c>
      <c r="E4462" s="2" t="s">
        <v>109</v>
      </c>
      <c r="F4462" s="2" t="s">
        <v>39</v>
      </c>
      <c r="L4462" s="2" t="s">
        <v>419</v>
      </c>
      <c r="M4462" s="2" t="s">
        <v>41</v>
      </c>
      <c r="P4462" s="2" t="s">
        <v>43</v>
      </c>
      <c r="Q4462" s="2" t="s">
        <v>49</v>
      </c>
      <c r="R4462" s="2" t="s">
        <v>50</v>
      </c>
      <c r="S4462" s="13">
        <v>4</v>
      </c>
      <c r="T4462" s="14">
        <v>52</v>
      </c>
      <c r="U4462" s="2">
        <f t="shared" si="726"/>
        <v>11.96</v>
      </c>
      <c r="V4462" s="2">
        <f t="shared" si="727"/>
        <v>63.96</v>
      </c>
      <c r="W4462" s="2">
        <f>6.6267*S4462</f>
        <v>26.506799999999998</v>
      </c>
      <c r="X4462" s="5">
        <f t="shared" ref="X4462:X4479" si="728">(T4462-W4462)/T4462</f>
        <v>0.49025384615384621</v>
      </c>
      <c r="Z4462" s="2" t="s">
        <v>3231</v>
      </c>
      <c r="AA4462" s="2" t="s">
        <v>46</v>
      </c>
      <c r="AB4462" s="2" t="s">
        <v>47</v>
      </c>
      <c r="AC4462" s="2" t="s">
        <v>48</v>
      </c>
      <c r="AK4462" s="2">
        <f t="shared" si="724"/>
        <v>25.493200000000002</v>
      </c>
      <c r="AL4462" s="5">
        <f t="shared" si="725"/>
        <v>0.49025384615384621</v>
      </c>
    </row>
    <row r="4463" spans="1:38" x14ac:dyDescent="0.2">
      <c r="A4463" s="2">
        <v>2026</v>
      </c>
      <c r="B4463" s="2">
        <v>7</v>
      </c>
      <c r="C4463" s="2" t="s">
        <v>3430</v>
      </c>
      <c r="D4463" s="2" t="s">
        <v>37</v>
      </c>
      <c r="E4463" s="2" t="s">
        <v>38</v>
      </c>
      <c r="F4463" s="2" t="s">
        <v>39</v>
      </c>
      <c r="L4463" s="2" t="s">
        <v>100</v>
      </c>
      <c r="M4463" s="2" t="s">
        <v>81</v>
      </c>
      <c r="P4463" s="2" t="s">
        <v>43</v>
      </c>
      <c r="Q4463" s="24" t="s">
        <v>55</v>
      </c>
      <c r="R4463" s="24" t="s">
        <v>56</v>
      </c>
      <c r="S4463" s="25">
        <v>1</v>
      </c>
      <c r="T4463" s="26">
        <v>18</v>
      </c>
      <c r="U4463" s="2">
        <f>T4463*23%</f>
        <v>4.1400000000000006</v>
      </c>
      <c r="V4463" s="12">
        <f>T4463+U4463</f>
        <v>22.14</v>
      </c>
      <c r="W4463" s="2">
        <f>10.6*S4463</f>
        <v>10.6</v>
      </c>
      <c r="X4463" s="5">
        <f t="shared" si="728"/>
        <v>0.41111111111111115</v>
      </c>
      <c r="Z4463" s="2" t="s">
        <v>3231</v>
      </c>
      <c r="AA4463" s="2" t="s">
        <v>46</v>
      </c>
      <c r="AB4463" s="2" t="s">
        <v>57</v>
      </c>
      <c r="AC4463" s="2" t="s">
        <v>58</v>
      </c>
      <c r="AK4463" s="2">
        <f t="shared" ref="AK4463:AK4467" si="729">T4463-W4463</f>
        <v>7.4</v>
      </c>
      <c r="AL4463" s="5">
        <f t="shared" ref="AL4463:AL4467" si="730">(T4463-W4463)/T4463</f>
        <v>0.41111111111111115</v>
      </c>
    </row>
    <row r="4464" spans="1:38" x14ac:dyDescent="0.2">
      <c r="A4464" s="2">
        <v>2026</v>
      </c>
      <c r="B4464" s="2">
        <v>7</v>
      </c>
      <c r="C4464" s="2" t="s">
        <v>3430</v>
      </c>
      <c r="D4464" s="2" t="s">
        <v>37</v>
      </c>
      <c r="E4464" s="2" t="s">
        <v>38</v>
      </c>
      <c r="F4464" s="2" t="s">
        <v>39</v>
      </c>
      <c r="L4464" s="2" t="s">
        <v>100</v>
      </c>
      <c r="M4464" s="2" t="s">
        <v>81</v>
      </c>
      <c r="P4464" s="2" t="s">
        <v>43</v>
      </c>
      <c r="Q4464" s="24" t="s">
        <v>59</v>
      </c>
      <c r="R4464" s="24" t="s">
        <v>60</v>
      </c>
      <c r="S4464" s="25">
        <v>100</v>
      </c>
      <c r="T4464" s="26">
        <v>14</v>
      </c>
      <c r="U4464" s="2">
        <f t="shared" ref="U4464:U4467" si="731">T4464*23%</f>
        <v>3.22</v>
      </c>
      <c r="V4464" s="12">
        <f t="shared" ref="V4464:V4467" si="732">T4464+U4464</f>
        <v>17.22</v>
      </c>
      <c r="W4464" s="2">
        <f>0.0914*S4464</f>
        <v>9.1399999999999988</v>
      </c>
      <c r="X4464" s="5">
        <f t="shared" si="728"/>
        <v>0.34714285714285725</v>
      </c>
      <c r="Z4464" s="2" t="s">
        <v>3231</v>
      </c>
      <c r="AA4464" s="2" t="s">
        <v>46</v>
      </c>
      <c r="AB4464" s="2" t="s">
        <v>61</v>
      </c>
      <c r="AC4464" s="2" t="s">
        <v>58</v>
      </c>
      <c r="AK4464" s="2">
        <f t="shared" si="729"/>
        <v>4.8600000000000012</v>
      </c>
      <c r="AL4464" s="5">
        <f t="shared" si="730"/>
        <v>0.34714285714285725</v>
      </c>
    </row>
    <row r="4465" spans="1:38" x14ac:dyDescent="0.2">
      <c r="A4465" s="2">
        <v>2026</v>
      </c>
      <c r="B4465" s="2">
        <v>7</v>
      </c>
      <c r="C4465" s="2" t="s">
        <v>3430</v>
      </c>
      <c r="D4465" s="24" t="s">
        <v>459</v>
      </c>
      <c r="E4465" s="2" t="s">
        <v>109</v>
      </c>
      <c r="F4465" s="2" t="s">
        <v>39</v>
      </c>
      <c r="L4465" s="2" t="s">
        <v>462</v>
      </c>
      <c r="M4465" s="2" t="s">
        <v>41</v>
      </c>
      <c r="P4465" s="2" t="s">
        <v>283</v>
      </c>
      <c r="Q4465" s="24" t="s">
        <v>402</v>
      </c>
      <c r="R4465" s="24" t="s">
        <v>403</v>
      </c>
      <c r="S4465" s="25">
        <v>5</v>
      </c>
      <c r="T4465" s="26">
        <v>145</v>
      </c>
      <c r="U4465" s="2">
        <f t="shared" si="731"/>
        <v>33.35</v>
      </c>
      <c r="V4465" s="12">
        <f t="shared" si="732"/>
        <v>178.35</v>
      </c>
      <c r="W4465" s="2">
        <f>14.5099*S4465</f>
        <v>72.549499999999995</v>
      </c>
      <c r="X4465" s="5">
        <f t="shared" si="728"/>
        <v>0.49965862068965522</v>
      </c>
      <c r="Z4465" s="2" t="s">
        <v>3231</v>
      </c>
      <c r="AA4465" s="2" t="s">
        <v>46</v>
      </c>
      <c r="AB4465" s="2" t="s">
        <v>61</v>
      </c>
      <c r="AC4465" s="2" t="s">
        <v>3336</v>
      </c>
      <c r="AK4465" s="2">
        <f t="shared" si="729"/>
        <v>72.450500000000005</v>
      </c>
      <c r="AL4465" s="5">
        <f t="shared" si="730"/>
        <v>0.49965862068965522</v>
      </c>
    </row>
    <row r="4466" spans="1:38" x14ac:dyDescent="0.2">
      <c r="A4466" s="2">
        <v>2026</v>
      </c>
      <c r="B4466" s="2">
        <v>7</v>
      </c>
      <c r="C4466" s="2" t="s">
        <v>3430</v>
      </c>
      <c r="D4466" s="24" t="s">
        <v>2053</v>
      </c>
      <c r="E4466" s="2" t="s">
        <v>109</v>
      </c>
      <c r="F4466" s="2" t="s">
        <v>39</v>
      </c>
      <c r="L4466" s="2" t="s">
        <v>481</v>
      </c>
      <c r="M4466" s="2" t="s">
        <v>40</v>
      </c>
      <c r="P4466" s="2" t="s">
        <v>115</v>
      </c>
      <c r="Q4466" s="24" t="s">
        <v>1518</v>
      </c>
      <c r="R4466" s="24" t="s">
        <v>1519</v>
      </c>
      <c r="S4466" s="25">
        <v>1</v>
      </c>
      <c r="T4466" s="26">
        <v>24.39</v>
      </c>
      <c r="U4466" s="2">
        <f t="shared" si="731"/>
        <v>5.6097000000000001</v>
      </c>
      <c r="V4466" s="12">
        <f t="shared" si="732"/>
        <v>29.999700000000001</v>
      </c>
      <c r="W4466" s="2">
        <f>11.2466</f>
        <v>11.246600000000001</v>
      </c>
      <c r="X4466" s="5">
        <f t="shared" si="728"/>
        <v>0.53888478884788849</v>
      </c>
      <c r="Z4466" s="2" t="s">
        <v>118</v>
      </c>
      <c r="AA4466" s="2" t="s">
        <v>119</v>
      </c>
      <c r="AB4466" s="2" t="s">
        <v>120</v>
      </c>
      <c r="AC4466" s="2" t="s">
        <v>115</v>
      </c>
      <c r="AK4466" s="2">
        <f t="shared" si="729"/>
        <v>13.1434</v>
      </c>
      <c r="AL4466" s="5">
        <f t="shared" si="730"/>
        <v>0.53888478884788849</v>
      </c>
    </row>
    <row r="4467" spans="1:38" x14ac:dyDescent="0.2">
      <c r="A4467" s="2">
        <v>2026</v>
      </c>
      <c r="B4467" s="2">
        <v>7</v>
      </c>
      <c r="C4467" s="2" t="s">
        <v>3430</v>
      </c>
      <c r="D4467" s="24" t="s">
        <v>2053</v>
      </c>
      <c r="E4467" s="2" t="s">
        <v>109</v>
      </c>
      <c r="F4467" s="2" t="s">
        <v>39</v>
      </c>
      <c r="L4467" s="2" t="s">
        <v>481</v>
      </c>
      <c r="M4467" s="2" t="s">
        <v>40</v>
      </c>
      <c r="P4467" s="2" t="s">
        <v>170</v>
      </c>
      <c r="Q4467" s="24" t="s">
        <v>171</v>
      </c>
      <c r="R4467" s="24" t="s">
        <v>171</v>
      </c>
      <c r="S4467" s="25">
        <v>1</v>
      </c>
      <c r="T4467" s="26">
        <v>8</v>
      </c>
      <c r="U4467" s="2">
        <f t="shared" si="731"/>
        <v>1.84</v>
      </c>
      <c r="V4467" s="12">
        <f t="shared" si="732"/>
        <v>9.84</v>
      </c>
      <c r="X4467" s="5">
        <f t="shared" si="728"/>
        <v>1</v>
      </c>
      <c r="Z4467" s="2" t="s">
        <v>170</v>
      </c>
      <c r="AA4467" s="2" t="s">
        <v>170</v>
      </c>
      <c r="AK4467" s="2">
        <f t="shared" si="729"/>
        <v>8</v>
      </c>
      <c r="AL4467" s="5">
        <f t="shared" si="730"/>
        <v>1</v>
      </c>
    </row>
    <row r="4468" spans="1:38" x14ac:dyDescent="0.2">
      <c r="A4468" s="2">
        <v>2026</v>
      </c>
      <c r="B4468" s="2">
        <v>7</v>
      </c>
      <c r="C4468" s="2" t="s">
        <v>3430</v>
      </c>
      <c r="D4468" s="2" t="s">
        <v>37</v>
      </c>
      <c r="E4468" s="2" t="s">
        <v>38</v>
      </c>
      <c r="F4468" s="2" t="s">
        <v>39</v>
      </c>
      <c r="L4468" s="2" t="s">
        <v>100</v>
      </c>
      <c r="M4468" s="2" t="s">
        <v>81</v>
      </c>
      <c r="P4468" s="2" t="s">
        <v>73</v>
      </c>
      <c r="Q4468" s="2" t="s">
        <v>74</v>
      </c>
      <c r="R4468" s="2" t="s">
        <v>75</v>
      </c>
      <c r="S4468" s="13">
        <v>1</v>
      </c>
      <c r="T4468" s="14">
        <v>246.5</v>
      </c>
      <c r="U4468" s="2">
        <f t="shared" ref="U4468:U4477" si="733">T4468*23%</f>
        <v>56.695</v>
      </c>
      <c r="V4468" s="12">
        <f t="shared" ref="V4468:V4477" si="734">T4468+U4468</f>
        <v>303.19499999999999</v>
      </c>
      <c r="W4468" s="2">
        <v>133.4614</v>
      </c>
      <c r="X4468" s="5">
        <f t="shared" si="728"/>
        <v>0.4585744421906694</v>
      </c>
      <c r="Z4468" s="2" t="s">
        <v>3231</v>
      </c>
      <c r="AA4468" s="2" t="s">
        <v>76</v>
      </c>
      <c r="AB4468" s="2" t="s">
        <v>77</v>
      </c>
      <c r="AC4468" s="2" t="s">
        <v>78</v>
      </c>
      <c r="AK4468" s="2">
        <f t="shared" ref="AK4468:AK4472" si="735">T4468-W4468</f>
        <v>113.0386</v>
      </c>
      <c r="AL4468" s="5">
        <f t="shared" ref="AL4468:AL4471" si="736">(T4468-W4468)/T4468</f>
        <v>0.4585744421906694</v>
      </c>
    </row>
    <row r="4469" spans="1:38" x14ac:dyDescent="0.2">
      <c r="A4469" s="2">
        <v>2026</v>
      </c>
      <c r="B4469" s="2">
        <v>7</v>
      </c>
      <c r="C4469" s="2" t="s">
        <v>3430</v>
      </c>
      <c r="D4469" s="2" t="s">
        <v>37</v>
      </c>
      <c r="E4469" s="2" t="s">
        <v>38</v>
      </c>
      <c r="F4469" s="2" t="s">
        <v>39</v>
      </c>
      <c r="L4469" s="2" t="s">
        <v>100</v>
      </c>
      <c r="M4469" s="2" t="s">
        <v>81</v>
      </c>
      <c r="P4469" s="2" t="s">
        <v>94</v>
      </c>
      <c r="Q4469" s="2" t="s">
        <v>95</v>
      </c>
      <c r="R4469" s="2" t="s">
        <v>96</v>
      </c>
      <c r="S4469" s="13">
        <v>1</v>
      </c>
      <c r="T4469" s="14">
        <v>1.48</v>
      </c>
      <c r="U4469" s="2">
        <f t="shared" si="733"/>
        <v>0.34040000000000004</v>
      </c>
      <c r="V4469" s="12">
        <f t="shared" si="734"/>
        <v>1.8204</v>
      </c>
      <c r="W4469" s="2">
        <v>1.48</v>
      </c>
      <c r="X4469" s="5">
        <f t="shared" si="728"/>
        <v>0</v>
      </c>
      <c r="Z4469" s="2" t="s">
        <v>3231</v>
      </c>
      <c r="AA4469" s="2" t="s">
        <v>97</v>
      </c>
      <c r="AB4469" s="2" t="s">
        <v>77</v>
      </c>
      <c r="AC4469" s="2" t="s">
        <v>94</v>
      </c>
      <c r="AK4469" s="2">
        <f t="shared" si="735"/>
        <v>0</v>
      </c>
      <c r="AL4469" s="5">
        <f t="shared" si="736"/>
        <v>0</v>
      </c>
    </row>
    <row r="4470" spans="1:38" x14ac:dyDescent="0.2">
      <c r="A4470" s="2">
        <v>2026</v>
      </c>
      <c r="B4470" s="2">
        <v>7</v>
      </c>
      <c r="C4470" s="2" t="s">
        <v>3430</v>
      </c>
      <c r="D4470" s="2" t="s">
        <v>694</v>
      </c>
      <c r="E4470" s="2" t="s">
        <v>38</v>
      </c>
      <c r="F4470" s="2" t="s">
        <v>39</v>
      </c>
      <c r="L4470" s="2" t="s">
        <v>178</v>
      </c>
      <c r="M4470" s="2" t="s">
        <v>41</v>
      </c>
      <c r="P4470" s="2" t="s">
        <v>43</v>
      </c>
      <c r="Q4470" s="2" t="s">
        <v>64</v>
      </c>
      <c r="R4470" s="2" t="s">
        <v>65</v>
      </c>
      <c r="S4470" s="13">
        <v>20</v>
      </c>
      <c r="T4470" s="14">
        <v>36</v>
      </c>
      <c r="U4470" s="2">
        <f t="shared" si="733"/>
        <v>8.2800000000000011</v>
      </c>
      <c r="V4470" s="12">
        <f t="shared" si="734"/>
        <v>44.28</v>
      </c>
      <c r="W4470" s="2">
        <f>0.8561*S4470</f>
        <v>17.122</v>
      </c>
      <c r="X4470" s="5">
        <f t="shared" si="728"/>
        <v>0.5243888888888889</v>
      </c>
      <c r="Z4470" s="2" t="s">
        <v>3231</v>
      </c>
      <c r="AA4470" s="2" t="s">
        <v>46</v>
      </c>
      <c r="AB4470" s="2" t="s">
        <v>61</v>
      </c>
      <c r="AC4470" s="2" t="s">
        <v>58</v>
      </c>
      <c r="AK4470" s="2">
        <f t="shared" si="735"/>
        <v>18.878</v>
      </c>
      <c r="AL4470" s="5">
        <f t="shared" si="736"/>
        <v>0.5243888888888889</v>
      </c>
    </row>
    <row r="4471" spans="1:38" x14ac:dyDescent="0.2">
      <c r="A4471" s="2">
        <v>2026</v>
      </c>
      <c r="B4471" s="2">
        <v>7</v>
      </c>
      <c r="C4471" s="2" t="s">
        <v>3430</v>
      </c>
      <c r="D4471" s="2" t="s">
        <v>383</v>
      </c>
      <c r="E4471" s="2" t="s">
        <v>38</v>
      </c>
      <c r="F4471" s="2" t="s">
        <v>39</v>
      </c>
      <c r="L4471" s="2" t="s">
        <v>113</v>
      </c>
      <c r="M4471" s="2" t="s">
        <v>291</v>
      </c>
      <c r="P4471" s="2" t="s">
        <v>283</v>
      </c>
      <c r="Q4471" s="2" t="s">
        <v>1551</v>
      </c>
      <c r="R4471" s="2" t="s">
        <v>1552</v>
      </c>
      <c r="S4471" s="13">
        <v>1</v>
      </c>
      <c r="T4471" s="14">
        <v>595</v>
      </c>
      <c r="U4471" s="2">
        <f t="shared" si="733"/>
        <v>136.85</v>
      </c>
      <c r="V4471" s="12">
        <f t="shared" si="734"/>
        <v>731.85</v>
      </c>
      <c r="W4471" s="2">
        <v>297</v>
      </c>
      <c r="X4471" s="5">
        <f t="shared" si="728"/>
        <v>0.50084033613445378</v>
      </c>
      <c r="Z4471" s="2" t="s">
        <v>105</v>
      </c>
      <c r="AA4471" s="2" t="s">
        <v>388</v>
      </c>
      <c r="AB4471" s="2" t="s">
        <v>389</v>
      </c>
      <c r="AC4471" s="2" t="s">
        <v>390</v>
      </c>
      <c r="AK4471" s="2">
        <f t="shared" si="735"/>
        <v>298</v>
      </c>
      <c r="AL4471" s="5">
        <f t="shared" si="736"/>
        <v>0.50084033613445378</v>
      </c>
    </row>
    <row r="4472" spans="1:38" x14ac:dyDescent="0.2">
      <c r="A4472" s="2">
        <v>2026</v>
      </c>
      <c r="B4472" s="2">
        <v>7</v>
      </c>
      <c r="C4472" s="2" t="s">
        <v>3430</v>
      </c>
      <c r="D4472" s="2" t="s">
        <v>383</v>
      </c>
      <c r="E4472" s="2" t="s">
        <v>38</v>
      </c>
      <c r="F4472" s="2" t="s">
        <v>39</v>
      </c>
      <c r="L4472" s="2" t="s">
        <v>113</v>
      </c>
      <c r="M4472" s="2" t="s">
        <v>291</v>
      </c>
      <c r="P4472" s="2" t="s">
        <v>283</v>
      </c>
      <c r="Q4472" s="2" t="s">
        <v>402</v>
      </c>
      <c r="R4472" s="2" t="s">
        <v>403</v>
      </c>
      <c r="S4472" s="13">
        <v>4</v>
      </c>
      <c r="T4472" s="14">
        <v>0</v>
      </c>
      <c r="U4472" s="2">
        <f t="shared" si="733"/>
        <v>0</v>
      </c>
      <c r="V4472" s="12">
        <f t="shared" si="734"/>
        <v>0</v>
      </c>
      <c r="W4472" s="2">
        <f>14.5099</f>
        <v>14.5099</v>
      </c>
      <c r="Z4472" s="2" t="s">
        <v>3231</v>
      </c>
      <c r="AA4472" s="2" t="s">
        <v>46</v>
      </c>
      <c r="AB4472" s="2" t="s">
        <v>61</v>
      </c>
      <c r="AC4472" s="2" t="s">
        <v>3336</v>
      </c>
      <c r="AK4472" s="2">
        <f t="shared" si="735"/>
        <v>-14.5099</v>
      </c>
    </row>
    <row r="4473" spans="1:38" x14ac:dyDescent="0.2">
      <c r="A4473" s="2">
        <v>2026</v>
      </c>
      <c r="B4473" s="2">
        <v>7</v>
      </c>
      <c r="C4473" s="2" t="s">
        <v>3430</v>
      </c>
      <c r="D4473" s="2" t="s">
        <v>434</v>
      </c>
      <c r="E4473" s="2" t="s">
        <v>38</v>
      </c>
      <c r="F4473" s="2" t="s">
        <v>39</v>
      </c>
      <c r="L4473" s="2" t="s">
        <v>100</v>
      </c>
      <c r="M4473" s="2" t="s">
        <v>41</v>
      </c>
      <c r="P4473" s="2" t="s">
        <v>73</v>
      </c>
      <c r="Q4473" s="2" t="s">
        <v>1451</v>
      </c>
      <c r="R4473" s="2" t="s">
        <v>308</v>
      </c>
      <c r="S4473" s="13">
        <v>1</v>
      </c>
      <c r="T4473" s="14">
        <v>230</v>
      </c>
      <c r="U4473" s="2">
        <f t="shared" si="733"/>
        <v>52.900000000000006</v>
      </c>
      <c r="V4473" s="12">
        <f t="shared" si="734"/>
        <v>282.89999999999998</v>
      </c>
      <c r="W4473" s="2">
        <v>122.446</v>
      </c>
      <c r="X4473" s="5">
        <f t="shared" si="728"/>
        <v>0.46762608695652175</v>
      </c>
      <c r="Z4473" s="2" t="s">
        <v>3231</v>
      </c>
      <c r="AA4473" s="2" t="s">
        <v>76</v>
      </c>
      <c r="AB4473" s="2" t="s">
        <v>77</v>
      </c>
      <c r="AC4473" s="2" t="s">
        <v>78</v>
      </c>
      <c r="AK4473" s="2">
        <f t="shared" ref="AK4473" si="737">T4473-W4473</f>
        <v>107.554</v>
      </c>
      <c r="AL4473" s="5">
        <f t="shared" ref="AL4473" si="738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3430</v>
      </c>
      <c r="D4474" s="2" t="s">
        <v>434</v>
      </c>
      <c r="E4474" s="2" t="s">
        <v>38</v>
      </c>
      <c r="F4474" s="2" t="s">
        <v>39</v>
      </c>
      <c r="L4474" s="2" t="s">
        <v>100</v>
      </c>
      <c r="M4474" s="2" t="s">
        <v>41</v>
      </c>
      <c r="P4474" s="2" t="s">
        <v>94</v>
      </c>
      <c r="Q4474" s="2" t="s">
        <v>95</v>
      </c>
      <c r="R4474" s="2" t="s">
        <v>96</v>
      </c>
      <c r="S4474" s="13">
        <v>1</v>
      </c>
      <c r="T4474" s="14">
        <v>1.48</v>
      </c>
      <c r="U4474" s="2">
        <f t="shared" si="733"/>
        <v>0.34040000000000004</v>
      </c>
      <c r="V4474" s="12">
        <f t="shared" si="734"/>
        <v>1.8204</v>
      </c>
      <c r="W4474" s="2">
        <v>1.48</v>
      </c>
      <c r="X4474" s="5">
        <f t="shared" si="728"/>
        <v>0</v>
      </c>
      <c r="Z4474" s="2" t="s">
        <v>3231</v>
      </c>
      <c r="AA4474" s="2" t="s">
        <v>97</v>
      </c>
      <c r="AB4474" s="2" t="s">
        <v>77</v>
      </c>
      <c r="AC4474" s="2" t="s">
        <v>94</v>
      </c>
      <c r="AK4474" s="2">
        <f t="shared" ref="AK4474" si="739">T4474-W4474</f>
        <v>0</v>
      </c>
      <c r="AL4474" s="5">
        <f t="shared" ref="AL4474" si="740">(T4474-W4474)/T4474</f>
        <v>0</v>
      </c>
    </row>
    <row r="4475" spans="1:38" x14ac:dyDescent="0.2">
      <c r="A4475" s="2">
        <v>2026</v>
      </c>
      <c r="B4475" s="2">
        <v>7</v>
      </c>
      <c r="C4475" s="2" t="s">
        <v>3430</v>
      </c>
      <c r="D4475" s="2" t="s">
        <v>3471</v>
      </c>
      <c r="E4475" s="2" t="s">
        <v>109</v>
      </c>
      <c r="F4475" s="2" t="s">
        <v>39</v>
      </c>
      <c r="L4475" s="2" t="s">
        <v>419</v>
      </c>
      <c r="M4475" s="2" t="s">
        <v>41</v>
      </c>
      <c r="P4475" s="2" t="s">
        <v>115</v>
      </c>
      <c r="Q4475" s="2" t="s">
        <v>413</v>
      </c>
      <c r="R4475" s="2" t="s">
        <v>414</v>
      </c>
      <c r="S4475" s="13">
        <v>1</v>
      </c>
      <c r="T4475" s="14">
        <v>14990</v>
      </c>
      <c r="U4475" s="2">
        <f t="shared" si="733"/>
        <v>3447.7000000000003</v>
      </c>
      <c r="V4475" s="12">
        <f t="shared" si="734"/>
        <v>18437.7</v>
      </c>
      <c r="W4475" s="2">
        <f>10699.41+285.74</f>
        <v>10985.15</v>
      </c>
      <c r="X4475" s="5">
        <f t="shared" si="728"/>
        <v>0.26716811207471652</v>
      </c>
      <c r="Z4475" s="2" t="s">
        <v>105</v>
      </c>
      <c r="AA4475" s="2" t="s">
        <v>415</v>
      </c>
      <c r="AB4475" s="2" t="s">
        <v>152</v>
      </c>
      <c r="AC4475" s="2" t="s">
        <v>115</v>
      </c>
      <c r="AK4475" s="2">
        <f>T4475-W4475</f>
        <v>4004.8500000000004</v>
      </c>
      <c r="AL4475" s="5">
        <f>(T4475-W4475)/T4475</f>
        <v>0.26716811207471652</v>
      </c>
    </row>
    <row r="4476" spans="1:38" x14ac:dyDescent="0.2">
      <c r="A4476" s="2">
        <v>2026</v>
      </c>
      <c r="B4476" s="2">
        <v>7</v>
      </c>
      <c r="C4476" s="2" t="s">
        <v>3430</v>
      </c>
      <c r="D4476" s="2" t="s">
        <v>3468</v>
      </c>
      <c r="E4476" s="2" t="s">
        <v>38</v>
      </c>
      <c r="F4476" s="2" t="s">
        <v>39</v>
      </c>
      <c r="L4476" s="2" t="s">
        <v>178</v>
      </c>
      <c r="M4476" s="2" t="s">
        <v>41</v>
      </c>
      <c r="P4476" s="2" t="s">
        <v>40</v>
      </c>
      <c r="Q4476" s="2" t="s">
        <v>3469</v>
      </c>
      <c r="R4476" s="2" t="s">
        <v>3470</v>
      </c>
      <c r="S4476" s="13">
        <v>1</v>
      </c>
      <c r="T4476" s="14">
        <v>1500</v>
      </c>
      <c r="U4476" s="2">
        <f t="shared" si="733"/>
        <v>345</v>
      </c>
      <c r="V4476" s="12">
        <f t="shared" si="734"/>
        <v>1845</v>
      </c>
      <c r="W4476" s="2">
        <f>T4476*75%</f>
        <v>1125</v>
      </c>
      <c r="X4476" s="5">
        <f t="shared" si="728"/>
        <v>0.25</v>
      </c>
      <c r="Z4476" s="2" t="s">
        <v>105</v>
      </c>
      <c r="AA4476" s="2" t="s">
        <v>415</v>
      </c>
      <c r="AB4476" s="2" t="s">
        <v>476</v>
      </c>
      <c r="AC4476" s="2" t="s">
        <v>115</v>
      </c>
      <c r="AK4476" s="2">
        <f>T4476-W4476</f>
        <v>375</v>
      </c>
      <c r="AL4476" s="5">
        <f>(T4476-W4476)/T4476</f>
        <v>0.25</v>
      </c>
    </row>
    <row r="4477" spans="1:38" x14ac:dyDescent="0.2">
      <c r="A4477" s="2">
        <v>2026</v>
      </c>
      <c r="B4477" s="2">
        <v>7</v>
      </c>
      <c r="C4477" s="2" t="s">
        <v>3300</v>
      </c>
      <c r="D4477" s="2" t="s">
        <v>37</v>
      </c>
      <c r="E4477" s="2" t="s">
        <v>38</v>
      </c>
      <c r="F4477" s="2" t="s">
        <v>39</v>
      </c>
      <c r="L4477" s="2" t="s">
        <v>3274</v>
      </c>
      <c r="M4477" s="2" t="s">
        <v>81</v>
      </c>
      <c r="P4477" s="2" t="s">
        <v>43</v>
      </c>
      <c r="Q4477" s="2" t="s">
        <v>49</v>
      </c>
      <c r="R4477" s="2" t="s">
        <v>50</v>
      </c>
      <c r="S4477" s="13">
        <v>2</v>
      </c>
      <c r="T4477" s="2">
        <f>9*S4477</f>
        <v>18</v>
      </c>
      <c r="U4477" s="2">
        <f t="shared" si="733"/>
        <v>4.1400000000000006</v>
      </c>
      <c r="V4477" s="2">
        <f t="shared" si="734"/>
        <v>22.14</v>
      </c>
      <c r="W4477" s="2">
        <f>6.6267*S4477</f>
        <v>13.253399999999999</v>
      </c>
      <c r="X4477" s="5">
        <f t="shared" si="728"/>
        <v>0.26370000000000005</v>
      </c>
      <c r="Z4477" s="2" t="s">
        <v>3231</v>
      </c>
      <c r="AA4477" s="2" t="s">
        <v>46</v>
      </c>
      <c r="AB4477" s="2" t="s">
        <v>47</v>
      </c>
      <c r="AC4477" s="2" t="s">
        <v>48</v>
      </c>
      <c r="AK4477" s="2">
        <f t="shared" ref="AK4477:AK4479" si="741">T4477-W4477</f>
        <v>4.7466000000000008</v>
      </c>
      <c r="AL4477" s="5">
        <f t="shared" ref="AL4477:AL4479" si="742">(T4477-W4477)/T4477</f>
        <v>0.26370000000000005</v>
      </c>
    </row>
    <row r="4478" spans="1:38" x14ac:dyDescent="0.2">
      <c r="A4478" s="2">
        <v>2026</v>
      </c>
      <c r="B4478" s="2">
        <v>7</v>
      </c>
      <c r="C4478" s="2" t="s">
        <v>3300</v>
      </c>
      <c r="D4478" s="2" t="s">
        <v>37</v>
      </c>
      <c r="E4478" s="2" t="s">
        <v>38</v>
      </c>
      <c r="F4478" s="2" t="s">
        <v>39</v>
      </c>
      <c r="L4478" s="2" t="s">
        <v>3274</v>
      </c>
      <c r="M4478" s="2" t="s">
        <v>81</v>
      </c>
      <c r="P4478" s="2" t="s">
        <v>43</v>
      </c>
      <c r="Q4478" s="2" t="s">
        <v>55</v>
      </c>
      <c r="R4478" s="2" t="s">
        <v>56</v>
      </c>
      <c r="S4478" s="13">
        <v>3</v>
      </c>
      <c r="T4478" s="2">
        <f>12.75*S4478</f>
        <v>38.25</v>
      </c>
      <c r="U4478" s="2">
        <f t="shared" ref="U4478:U4479" si="743">T4478*23%</f>
        <v>8.7975000000000012</v>
      </c>
      <c r="V4478" s="2">
        <f t="shared" ref="V4478:V4479" si="744">T4478+U4478</f>
        <v>47.047499999999999</v>
      </c>
      <c r="W4478" s="2">
        <f>10.6*S4478</f>
        <v>31.799999999999997</v>
      </c>
      <c r="X4478" s="5">
        <f t="shared" si="728"/>
        <v>0.16862745098039222</v>
      </c>
      <c r="Z4478" s="2" t="s">
        <v>3231</v>
      </c>
      <c r="AA4478" s="2" t="s">
        <v>46</v>
      </c>
      <c r="AB4478" s="2" t="s">
        <v>57</v>
      </c>
      <c r="AC4478" s="2" t="s">
        <v>58</v>
      </c>
      <c r="AK4478" s="2">
        <f t="shared" si="741"/>
        <v>6.4500000000000028</v>
      </c>
      <c r="AL4478" s="5">
        <f t="shared" si="742"/>
        <v>0.16862745098039222</v>
      </c>
    </row>
    <row r="4479" spans="1:38" x14ac:dyDescent="0.2">
      <c r="A4479" s="2">
        <v>2026</v>
      </c>
      <c r="B4479" s="2">
        <v>7</v>
      </c>
      <c r="C4479" s="2" t="s">
        <v>3300</v>
      </c>
      <c r="D4479" s="2" t="s">
        <v>37</v>
      </c>
      <c r="E4479" s="2" t="s">
        <v>38</v>
      </c>
      <c r="F4479" s="2" t="s">
        <v>39</v>
      </c>
      <c r="L4479" s="2" t="s">
        <v>3274</v>
      </c>
      <c r="M4479" s="2" t="s">
        <v>81</v>
      </c>
      <c r="P4479" s="2" t="s">
        <v>85</v>
      </c>
      <c r="Q4479" s="6" t="s">
        <v>277</v>
      </c>
      <c r="R4479" s="2" t="s">
        <v>278</v>
      </c>
      <c r="S4479" s="8">
        <v>1</v>
      </c>
      <c r="T4479" s="2">
        <v>6</v>
      </c>
      <c r="U4479" s="2">
        <f t="shared" si="743"/>
        <v>1.3800000000000001</v>
      </c>
      <c r="V4479" s="2">
        <f t="shared" si="744"/>
        <v>7.38</v>
      </c>
      <c r="W4479" s="2">
        <v>2.5051000000000001</v>
      </c>
      <c r="X4479" s="5">
        <f t="shared" si="728"/>
        <v>0.58248333333333335</v>
      </c>
      <c r="Z4479" s="2" t="s">
        <v>3231</v>
      </c>
      <c r="AA4479" s="2" t="s">
        <v>88</v>
      </c>
      <c r="AB4479" s="2" t="s">
        <v>91</v>
      </c>
      <c r="AC4479" s="2" t="s">
        <v>85</v>
      </c>
      <c r="AK4479" s="2">
        <f t="shared" si="741"/>
        <v>3.4948999999999999</v>
      </c>
      <c r="AL4479" s="5">
        <f t="shared" si="742"/>
        <v>0.58248333333333335</v>
      </c>
    </row>
  </sheetData>
  <autoFilter ref="A1:AL4479" xr:uid="{00000000-0001-0000-0000-000000000000}">
    <filterColumn colId="0">
      <filters>
        <filter val="2026"/>
      </filters>
    </filterColumn>
    <filterColumn colId="1">
      <filters>
        <filter val="7"/>
      </filters>
    </filterColumn>
  </autoFilter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2026-07-24T14:43:05Z</dcterms:modified>
</cp:coreProperties>
</file>