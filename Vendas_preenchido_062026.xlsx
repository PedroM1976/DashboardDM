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5C380AF7-5F02-4358-9C84-44FB5A59F9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43" i="1" l="1"/>
  <c r="AL4651" i="1"/>
  <c r="AL4652" i="1"/>
  <c r="AK4641" i="1"/>
  <c r="AL4641" i="1"/>
  <c r="AK4642" i="1"/>
  <c r="AL4642" i="1"/>
  <c r="AK4643" i="1"/>
  <c r="AL4643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3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26" i="1" l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X2928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<sst xmlns="http://schemas.openxmlformats.org/spreadsheetml/2006/main" count="62970" uniqueCount="3533">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</sst>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6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6" fillId="0" borderId="0" xfId="0" quotePrefix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52"/>
  <sheetViews>
    <sheetView tabSelected="1" workbookViewId="0">
      <pane ySplit="1" topLeftCell="A4617" activePane="bottomLeft" state="frozen"/>
      <selection pane="bottomLeft" activeCell="D4628" sqref="D4628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3489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3489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3489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3489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3489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3489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3502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3489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3502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3489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3489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3488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3530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3488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1987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1987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3506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3501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3501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3507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3507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3507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3507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3507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3507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3507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3507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3501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3501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3507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3507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3501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3501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3501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3501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3508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3508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3508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3508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3508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3503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3530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3530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3530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3530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3530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3530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3487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3487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3487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3490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3490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3490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3490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3490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3490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3488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3490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3530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3530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3530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1987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3392</v>
      </c>
      <c r="D2255" s="2" t="s">
        <v>2072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1330</v>
      </c>
      <c r="AC2255" s="2" t="s">
        <v>1327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3491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3491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3491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3491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3491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3491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3491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3513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3513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3491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3530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3530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3"/>
        <v>1</v>
      </c>
      <c r="AF2751" s="2">
        <f t="shared" si="408"/>
        <v>0</v>
      </c>
      <c r="AJ2751" s="2">
        <f t="shared" si="409"/>
        <v>0</v>
      </c>
      <c r="AK2751" s="2">
        <f t="shared" si="410"/>
        <v>23.62</v>
      </c>
      <c r="AL2751" s="5">
        <f t="shared" si="412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D2928" s="2" t="s">
        <v>1590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 t="shared" si="439"/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3518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3518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3518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3505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M3315" s="2" t="s">
        <v>41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X3315" s="5">
        <f t="shared" si="515"/>
        <v>1</v>
      </c>
      <c r="Z3315" s="2" t="s">
        <v>117</v>
      </c>
      <c r="AF3315" s="2">
        <f t="shared" si="511"/>
        <v>0</v>
      </c>
      <c r="AJ3315" s="2">
        <f t="shared" si="512"/>
        <v>0</v>
      </c>
      <c r="AK3315" s="2">
        <f t="shared" si="516"/>
        <v>136.22999999999999</v>
      </c>
      <c r="AL3315" s="5">
        <f t="shared" si="517"/>
        <v>1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3505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3505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3505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3504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3504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3504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3504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1987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3520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3516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3516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3516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3517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3519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3492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3492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3492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3492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3492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3492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3492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3492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3492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3492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3492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3492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3492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3492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3492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3493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3493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3494</v>
      </c>
      <c r="R4536" s="2" t="s">
        <v>3495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3496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3496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3496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3496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3497</v>
      </c>
      <c r="R4560" s="2" t="s">
        <v>3498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3492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3492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3492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3492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3492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3499</v>
      </c>
      <c r="E4570" s="2" t="s">
        <v>183</v>
      </c>
      <c r="F4570" s="2" t="s">
        <v>3500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3509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3509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3510</v>
      </c>
      <c r="R4572" s="2" t="s">
        <v>3511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3509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3509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3509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3509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3509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3509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3510</v>
      </c>
      <c r="R4578" s="2" t="s">
        <v>3511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3509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3509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3509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3509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3509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3509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3509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3509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3509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3509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3509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3509</v>
      </c>
      <c r="D4590" s="2" t="s">
        <v>3512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3509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52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3509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3509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3509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3509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3509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3514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3509</v>
      </c>
      <c r="D4597" s="2" t="s">
        <v>3493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3509</v>
      </c>
      <c r="D4598" s="2" t="s">
        <v>3493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3509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3509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3509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3509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3509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3509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3509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3509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3509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3509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3509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3509</v>
      </c>
      <c r="D4610" s="35" t="s">
        <v>3515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3509</v>
      </c>
      <c r="D4611" s="35" t="s">
        <v>3515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3509</v>
      </c>
      <c r="D4612" s="35" t="s">
        <v>3515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3509</v>
      </c>
      <c r="D4613" s="35" t="s">
        <v>3515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3509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3509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3509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3509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3509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3509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3509</v>
      </c>
      <c r="D4620" s="35" t="s">
        <v>3515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3509</v>
      </c>
      <c r="D4621" s="35" t="s">
        <v>3515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3521</v>
      </c>
      <c r="R4621" s="2" t="s">
        <v>3522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3509</v>
      </c>
      <c r="D4622" s="35" t="s">
        <v>3515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3509</v>
      </c>
      <c r="D4623" s="35" t="s">
        <v>3515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3509</v>
      </c>
      <c r="D4624" s="35" t="s">
        <v>3515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3523</v>
      </c>
      <c r="R4624" s="2" t="s">
        <v>3524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3509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3509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3509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3509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3509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3525</v>
      </c>
      <c r="R4629" s="2" t="s">
        <v>3526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3509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3492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3509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3492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3509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3492</v>
      </c>
      <c r="Z4632" s="2" t="s">
        <v>117</v>
      </c>
      <c r="AA4632" s="2" t="s">
        <v>118</v>
      </c>
      <c r="AB4632" s="2" t="s">
        <v>119</v>
      </c>
      <c r="AC4632" s="2" t="s">
        <v>3528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3509</v>
      </c>
      <c r="D4633" s="2" t="s">
        <v>3527</v>
      </c>
      <c r="E4633" s="2" t="s">
        <v>38</v>
      </c>
      <c r="F4633" s="2" t="s">
        <v>3529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3509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3509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3509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3509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3509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2"/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2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  <row r="4641" spans="1:38" x14ac:dyDescent="0.2">
      <c r="A4641" s="2">
        <v>2026</v>
      </c>
      <c r="B4641" s="2">
        <v>8</v>
      </c>
      <c r="C4641" s="2" t="s">
        <v>3509</v>
      </c>
      <c r="D4641" s="2" t="s">
        <v>311</v>
      </c>
      <c r="E4641" s="2" t="s">
        <v>2446</v>
      </c>
      <c r="F4641" s="2" t="s">
        <v>39</v>
      </c>
      <c r="G4641" s="2">
        <v>505814030</v>
      </c>
      <c r="H4641" s="2" t="s">
        <v>290</v>
      </c>
      <c r="I4641" s="2" t="s">
        <v>2447</v>
      </c>
      <c r="J4641" s="2" t="s">
        <v>2448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2"/>
        <v>0.41973217391304346</v>
      </c>
      <c r="Z4641" s="2" t="s">
        <v>3226</v>
      </c>
      <c r="AA4641" s="2" t="s">
        <v>75</v>
      </c>
      <c r="AB4641" s="2" t="s">
        <v>76</v>
      </c>
      <c r="AC4641" s="2" t="s">
        <v>77</v>
      </c>
      <c r="AK4641" s="2">
        <f t="shared" ref="AK4641:AK4652" si="857">T4641-W4641</f>
        <v>96.538399999999996</v>
      </c>
      <c r="AL4641" s="5">
        <f t="shared" ref="AL4641:AL4652" si="858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3509</v>
      </c>
      <c r="D4642" s="2" t="s">
        <v>311</v>
      </c>
      <c r="E4642" s="2" t="s">
        <v>2446</v>
      </c>
      <c r="F4642" s="2" t="s">
        <v>39</v>
      </c>
      <c r="G4642" s="2">
        <v>505814030</v>
      </c>
      <c r="H4642" s="2" t="s">
        <v>290</v>
      </c>
      <c r="I4642" s="2" t="s">
        <v>2447</v>
      </c>
      <c r="J4642" s="2" t="s">
        <v>2448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59">T4642*23%</f>
        <v>0.34040000000000004</v>
      </c>
      <c r="V4642" s="2">
        <f t="shared" ref="V4642:V4652" si="860">T4642+U4642</f>
        <v>1.8204</v>
      </c>
      <c r="W4642" s="2">
        <v>1.48</v>
      </c>
      <c r="X4642" s="18">
        <f t="shared" si="842"/>
        <v>0</v>
      </c>
      <c r="Z4642" s="2" t="s">
        <v>3226</v>
      </c>
      <c r="AA4642" s="2" t="s">
        <v>96</v>
      </c>
      <c r="AB4642" s="2" t="s">
        <v>76</v>
      </c>
      <c r="AC4642" s="2" t="s">
        <v>93</v>
      </c>
      <c r="AK4642" s="2">
        <f t="shared" si="857"/>
        <v>0</v>
      </c>
      <c r="AL4642" s="5">
        <f t="shared" si="858"/>
        <v>0</v>
      </c>
    </row>
    <row r="4643" spans="1:38" x14ac:dyDescent="0.2">
      <c r="A4643" s="2">
        <v>2026</v>
      </c>
      <c r="B4643" s="2">
        <v>8</v>
      </c>
      <c r="C4643" s="2" t="s">
        <v>3509</v>
      </c>
      <c r="D4643" s="2" t="s">
        <v>2111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3531</v>
      </c>
      <c r="R4643" s="2" t="s">
        <v>3532</v>
      </c>
      <c r="S4643" s="13">
        <v>4</v>
      </c>
      <c r="T4643" s="14">
        <v>29.48</v>
      </c>
      <c r="U4643" s="2">
        <f t="shared" si="859"/>
        <v>6.7804000000000002</v>
      </c>
      <c r="V4643" s="2">
        <f t="shared" si="860"/>
        <v>36.260400000000004</v>
      </c>
      <c r="W4643" s="2">
        <f>(2.79+0.04)*S4643</f>
        <v>11.32</v>
      </c>
      <c r="X4643" s="18">
        <f t="shared" si="842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7"/>
        <v>18.16</v>
      </c>
      <c r="AL4643" s="5">
        <f t="shared" si="858"/>
        <v>0.61601085481682494</v>
      </c>
    </row>
    <row r="4644" spans="1:38" x14ac:dyDescent="0.2">
      <c r="A4644" s="2">
        <v>2026</v>
      </c>
      <c r="B4644" s="2">
        <v>8</v>
      </c>
      <c r="C4644" s="2" t="s">
        <v>3509</v>
      </c>
      <c r="D4644" s="2" t="s">
        <v>2111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59"/>
        <v>1.84</v>
      </c>
      <c r="V4644" s="2">
        <f t="shared" si="860"/>
        <v>9.84</v>
      </c>
      <c r="W4644" s="2">
        <v>6</v>
      </c>
      <c r="X4644" s="18">
        <f t="shared" si="842"/>
        <v>0.25</v>
      </c>
      <c r="Z4644" s="2" t="s">
        <v>169</v>
      </c>
      <c r="AA4644" s="2" t="s">
        <v>169</v>
      </c>
      <c r="AK4644" s="2">
        <f t="shared" si="857"/>
        <v>2</v>
      </c>
      <c r="AL4644" s="5">
        <f t="shared" si="858"/>
        <v>0.25</v>
      </c>
    </row>
    <row r="4645" spans="1:38" x14ac:dyDescent="0.2">
      <c r="A4645" s="2">
        <v>2026</v>
      </c>
      <c r="B4645" s="2">
        <v>8</v>
      </c>
      <c r="C4645" s="2" t="s">
        <v>3509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1987</v>
      </c>
      <c r="L4645" s="2" t="s">
        <v>177</v>
      </c>
      <c r="M4645" s="2" t="s">
        <v>80</v>
      </c>
      <c r="P4645" s="2" t="s">
        <v>1038</v>
      </c>
      <c r="Q4645" s="2" t="s">
        <v>2990</v>
      </c>
      <c r="R4645" s="2" t="s">
        <v>2991</v>
      </c>
      <c r="S4645" s="13">
        <v>1</v>
      </c>
      <c r="T4645" s="14">
        <v>220</v>
      </c>
      <c r="U4645" s="2">
        <f t="shared" si="859"/>
        <v>50.6</v>
      </c>
      <c r="V4645" s="2">
        <f t="shared" si="860"/>
        <v>270.60000000000002</v>
      </c>
      <c r="W4645" s="2">
        <v>122</v>
      </c>
      <c r="X4645" s="18">
        <f t="shared" si="842"/>
        <v>0.44545454545454544</v>
      </c>
      <c r="Z4645" s="2" t="s">
        <v>3226</v>
      </c>
      <c r="AA4645" s="2" t="s">
        <v>75</v>
      </c>
      <c r="AB4645" s="2" t="s">
        <v>76</v>
      </c>
      <c r="AC4645" s="2" t="s">
        <v>1038</v>
      </c>
      <c r="AK4645" s="2">
        <f t="shared" si="857"/>
        <v>98</v>
      </c>
      <c r="AL4645" s="5">
        <f t="shared" si="858"/>
        <v>0.44545454545454544</v>
      </c>
    </row>
    <row r="4646" spans="1:38" x14ac:dyDescent="0.2">
      <c r="A4646" s="2">
        <v>2026</v>
      </c>
      <c r="B4646" s="2">
        <v>8</v>
      </c>
      <c r="C4646" s="2" t="s">
        <v>3509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1987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59"/>
        <v>8.0500000000000007</v>
      </c>
      <c r="V4646" s="2">
        <f t="shared" si="860"/>
        <v>43.05</v>
      </c>
      <c r="W4646" s="2">
        <v>28</v>
      </c>
      <c r="X4646" s="18">
        <f t="shared" si="842"/>
        <v>0.2</v>
      </c>
      <c r="Z4646" s="2" t="s">
        <v>169</v>
      </c>
      <c r="AA4646" s="2" t="s">
        <v>169</v>
      </c>
      <c r="AK4646" s="2">
        <f t="shared" si="857"/>
        <v>7</v>
      </c>
      <c r="AL4646" s="5">
        <f t="shared" si="858"/>
        <v>0.2</v>
      </c>
    </row>
    <row r="4647" spans="1:38" x14ac:dyDescent="0.2">
      <c r="A4647" s="2">
        <v>2026</v>
      </c>
      <c r="B4647" s="2">
        <v>8</v>
      </c>
      <c r="C4647" s="2" t="s">
        <v>3509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1987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59"/>
        <v>0.34040000000000004</v>
      </c>
      <c r="V4647" s="2">
        <f t="shared" si="860"/>
        <v>1.8204</v>
      </c>
      <c r="W4647" s="2">
        <v>1.48</v>
      </c>
      <c r="X4647" s="18">
        <f t="shared" si="842"/>
        <v>0</v>
      </c>
      <c r="Z4647" s="2" t="s">
        <v>3226</v>
      </c>
      <c r="AA4647" s="2" t="s">
        <v>96</v>
      </c>
      <c r="AB4647" s="2" t="s">
        <v>76</v>
      </c>
      <c r="AC4647" s="2" t="s">
        <v>93</v>
      </c>
      <c r="AK4647" s="2">
        <f t="shared" si="857"/>
        <v>0</v>
      </c>
      <c r="AL4647" s="5">
        <f t="shared" si="858"/>
        <v>0</v>
      </c>
    </row>
    <row r="4648" spans="1:38" x14ac:dyDescent="0.2">
      <c r="A4648" s="2">
        <v>2026</v>
      </c>
      <c r="B4648" s="2">
        <v>8</v>
      </c>
      <c r="C4648" s="2" t="s">
        <v>3509</v>
      </c>
      <c r="D4648" s="2" t="s">
        <v>3108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1547</v>
      </c>
      <c r="R4648" s="2" t="s">
        <v>1548</v>
      </c>
      <c r="S4648" s="13">
        <v>1</v>
      </c>
      <c r="T4648" s="14">
        <v>595</v>
      </c>
      <c r="U4648" s="2">
        <f t="shared" si="859"/>
        <v>136.85</v>
      </c>
      <c r="V4648" s="2">
        <f t="shared" si="860"/>
        <v>731.85</v>
      </c>
      <c r="W4648" s="2">
        <v>297</v>
      </c>
      <c r="X4648" s="18">
        <f t="shared" si="842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7"/>
        <v>298</v>
      </c>
      <c r="AL4648" s="5">
        <f t="shared" si="858"/>
        <v>0.50084033613445378</v>
      </c>
    </row>
    <row r="4649" spans="1:38" x14ac:dyDescent="0.2">
      <c r="A4649" s="2">
        <v>2026</v>
      </c>
      <c r="B4649" s="2">
        <v>8</v>
      </c>
      <c r="C4649" s="2" t="s">
        <v>3509</v>
      </c>
      <c r="D4649" s="2" t="s">
        <v>3108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59"/>
        <v>0</v>
      </c>
      <c r="V4649" s="2">
        <f t="shared" si="860"/>
        <v>0</v>
      </c>
      <c r="W4649" s="2">
        <f>14.5099*2</f>
        <v>29.0198</v>
      </c>
      <c r="X4649" s="18">
        <v>-1</v>
      </c>
      <c r="Z4649" s="2" t="s">
        <v>3226</v>
      </c>
      <c r="AA4649" s="2" t="s">
        <v>46</v>
      </c>
      <c r="AB4649" s="2" t="s">
        <v>60</v>
      </c>
      <c r="AC4649" s="2" t="s">
        <v>3330</v>
      </c>
      <c r="AK4649" s="2">
        <f t="shared" si="857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3509</v>
      </c>
      <c r="D4650" s="2" t="s">
        <v>3108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59"/>
        <v>0</v>
      </c>
      <c r="V4650" s="2">
        <f t="shared" si="860"/>
        <v>0</v>
      </c>
      <c r="W4650" s="2">
        <f>14.5099*2</f>
        <v>29.0198</v>
      </c>
      <c r="X4650" s="18">
        <v>-1</v>
      </c>
      <c r="Z4650" s="2" t="s">
        <v>3226</v>
      </c>
      <c r="AA4650" s="2" t="s">
        <v>46</v>
      </c>
      <c r="AB4650" s="2" t="s">
        <v>60</v>
      </c>
      <c r="AC4650" s="2" t="s">
        <v>3330</v>
      </c>
      <c r="AK4650" s="2">
        <f t="shared" si="857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3509</v>
      </c>
      <c r="D4651" s="2" t="s">
        <v>2072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1530</v>
      </c>
      <c r="R4651" s="2" t="s">
        <v>1531</v>
      </c>
      <c r="S4651" s="13">
        <v>-1</v>
      </c>
      <c r="T4651" s="14">
        <v>-54</v>
      </c>
      <c r="U4651" s="2">
        <f t="shared" si="859"/>
        <v>-12.42</v>
      </c>
      <c r="V4651" s="2">
        <f t="shared" si="860"/>
        <v>-66.42</v>
      </c>
      <c r="W4651" s="2">
        <v>6.3</v>
      </c>
      <c r="X4651" s="18">
        <f t="shared" si="842"/>
        <v>-0.88333333333333341</v>
      </c>
      <c r="Z4651" s="2" t="s">
        <v>3226</v>
      </c>
      <c r="AA4651" s="2" t="s">
        <v>155</v>
      </c>
      <c r="AB4651" s="2" t="s">
        <v>3401</v>
      </c>
      <c r="AC4651" s="2" t="s">
        <v>1327</v>
      </c>
      <c r="AK4651" s="2">
        <f t="shared" si="857"/>
        <v>-60.3</v>
      </c>
      <c r="AL4651" s="5">
        <f t="shared" si="858"/>
        <v>1.1166666666666667</v>
      </c>
    </row>
    <row r="4652" spans="1:38" x14ac:dyDescent="0.2">
      <c r="A4652" s="2">
        <v>2026</v>
      </c>
      <c r="B4652" s="2">
        <v>8</v>
      </c>
      <c r="C4652" s="2" t="s">
        <v>3509</v>
      </c>
      <c r="D4652" s="2" t="s">
        <v>2072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2183</v>
      </c>
      <c r="R4652" s="2" t="s">
        <v>2184</v>
      </c>
      <c r="S4652" s="13">
        <v>-1</v>
      </c>
      <c r="T4652" s="14">
        <v>-32</v>
      </c>
      <c r="U4652" s="2">
        <f t="shared" si="859"/>
        <v>-7.36</v>
      </c>
      <c r="V4652" s="2">
        <f t="shared" si="860"/>
        <v>-39.36</v>
      </c>
      <c r="W4652" s="2">
        <v>6.3</v>
      </c>
      <c r="X4652" s="18">
        <f t="shared" si="842"/>
        <v>-0.80312499999999998</v>
      </c>
      <c r="Z4652" s="2" t="s">
        <v>3226</v>
      </c>
      <c r="AA4652" s="2" t="s">
        <v>155</v>
      </c>
      <c r="AB4652" s="2" t="s">
        <v>3401</v>
      </c>
      <c r="AC4652" s="2" t="s">
        <v>1327</v>
      </c>
      <c r="AK4652" s="2">
        <f t="shared" si="857"/>
        <v>-38.299999999999997</v>
      </c>
      <c r="AL4652" s="5">
        <f t="shared" si="858"/>
        <v>1.1968749999999999</v>
      </c>
    </row>
  </sheetData>
  <autoFilter ref="A1:AL4652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2026-08-10T07:10:16Z</dcterms:modified>
</cp:coreProperties>
</file>