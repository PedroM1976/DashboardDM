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4E489E0B-0D5C-4DB1-863C-2C0001C6BC1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ráfico1" sheetId="2" r:id="rId1"/>
    <sheet name="Sheet1" sheetId="1" r:id="rId2"/>
  </sheets>
  <definedNames>
    <definedName name="_xlnm._FilterDatabase" localSheetId="1" hidden="1">Sheet1!$A$1:$AL$4455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22" i="1" l="1"/>
  <c r="W2310" i="1"/>
  <c r="W1955" i="1"/>
  <c r="W1934" i="1"/>
  <c r="W1735" i="1"/>
  <c r="W1590" i="1"/>
  <c r="W1569" i="1"/>
  <c r="AK1569" i="1" s="1"/>
  <c r="W566" i="1"/>
  <c r="AK2335" i="1"/>
  <c r="W2328" i="1"/>
  <c r="W4436" i="1"/>
  <c r="W4443" i="1"/>
  <c r="AK4443" i="1" s="1"/>
  <c r="W4442" i="1"/>
  <c r="AL4442" i="1" s="1"/>
  <c r="W4440" i="1"/>
  <c r="X4440" i="1" s="1"/>
  <c r="W4439" i="1"/>
  <c r="AK4439" i="1" s="1"/>
  <c r="AK4436" i="1"/>
  <c r="AL4436" i="1"/>
  <c r="AK4437" i="1"/>
  <c r="AL4437" i="1"/>
  <c r="AK4438" i="1"/>
  <c r="AL4438" i="1"/>
  <c r="AK4441" i="1"/>
  <c r="AL4441" i="1"/>
  <c r="AK4444" i="1"/>
  <c r="AL4444" i="1"/>
  <c r="AK4445" i="1"/>
  <c r="AL4445" i="1"/>
  <c r="W4435" i="1"/>
  <c r="X4435" i="1" s="1"/>
  <c r="X4436" i="1"/>
  <c r="X4437" i="1"/>
  <c r="X4438" i="1"/>
  <c r="X4441" i="1"/>
  <c r="X4444" i="1"/>
  <c r="X4445" i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43" i="1"/>
  <c r="V4443" i="1" s="1"/>
  <c r="U4444" i="1"/>
  <c r="V4444" i="1" s="1"/>
  <c r="U4445" i="1"/>
  <c r="V4445" i="1" s="1"/>
  <c r="U4435" i="1"/>
  <c r="V4435" i="1" s="1"/>
  <c r="W4190" i="1"/>
  <c r="AL4190" i="1" s="1"/>
  <c r="W4093" i="1"/>
  <c r="AL4093" i="1" s="1"/>
  <c r="W3872" i="1"/>
  <c r="X3872" i="1" s="1"/>
  <c r="W3398" i="1"/>
  <c r="AL3398" i="1" s="1"/>
  <c r="W951" i="1"/>
  <c r="X951" i="1" s="1"/>
  <c r="W87" i="1"/>
  <c r="X87" i="1" s="1"/>
  <c r="W4086" i="1"/>
  <c r="AL4086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1" i="1"/>
  <c r="AL4411" i="1" s="1"/>
  <c r="W4378" i="1"/>
  <c r="AL4378" i="1" s="1"/>
  <c r="AL4233" i="1"/>
  <c r="AK4233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4" i="1"/>
  <c r="AL4254" i="1" s="1"/>
  <c r="W4157" i="1"/>
  <c r="AL4157" i="1" s="1"/>
  <c r="W4084" i="1"/>
  <c r="AL4084" i="1" s="1"/>
  <c r="W1429" i="1"/>
  <c r="W67" i="1"/>
  <c r="W2332" i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80" i="1"/>
  <c r="AL4380" i="1" s="1"/>
  <c r="W4284" i="1"/>
  <c r="AK4284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9" i="1"/>
  <c r="X4409" i="1" s="1"/>
  <c r="W4376" i="1"/>
  <c r="X4376" i="1" s="1"/>
  <c r="W4283" i="1"/>
  <c r="X4283" i="1" s="1"/>
  <c r="W3308" i="1"/>
  <c r="X3308" i="1" s="1"/>
  <c r="W2716" i="1"/>
  <c r="AL2716" i="1" s="1"/>
  <c r="W830" i="1"/>
  <c r="AL830" i="1" s="1"/>
  <c r="W474" i="1"/>
  <c r="AL474" i="1" s="1"/>
  <c r="W4429" i="1"/>
  <c r="AK4429" i="1" s="1"/>
  <c r="W4282" i="1"/>
  <c r="X4282" i="1" s="1"/>
  <c r="W4083" i="1"/>
  <c r="AL4083" i="1" s="1"/>
  <c r="W4156" i="1"/>
  <c r="AL4156" i="1" s="1"/>
  <c r="W4141" i="1"/>
  <c r="AL4141" i="1" s="1"/>
  <c r="W4082" i="1"/>
  <c r="AL4082" i="1" s="1"/>
  <c r="W3641" i="1"/>
  <c r="X3641" i="1" s="1"/>
  <c r="W4081" i="1"/>
  <c r="AL4081" i="1" s="1"/>
  <c r="W3929" i="1"/>
  <c r="AL3929" i="1" s="1"/>
  <c r="W1506" i="1"/>
  <c r="AK1506" i="1" s="1"/>
  <c r="W1505" i="1"/>
  <c r="AK1505" i="1" s="1"/>
  <c r="W1504" i="1"/>
  <c r="W1502" i="1"/>
  <c r="X4246" i="1"/>
  <c r="X4247" i="1"/>
  <c r="X4250" i="1"/>
  <c r="U4247" i="1"/>
  <c r="V4247" i="1" s="1"/>
  <c r="U4246" i="1"/>
  <c r="V4246" i="1" s="1"/>
  <c r="W4242" i="1"/>
  <c r="X4242" i="1" s="1"/>
  <c r="W4241" i="1"/>
  <c r="U4250" i="1"/>
  <c r="V4250" i="1" s="1"/>
  <c r="W4263" i="1"/>
  <c r="X4263" i="1" s="1"/>
  <c r="W4262" i="1"/>
  <c r="X4262" i="1" s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AL4218" i="1" s="1"/>
  <c r="W4217" i="1"/>
  <c r="AK4217" i="1" s="1"/>
  <c r="W4216" i="1"/>
  <c r="X4216" i="1" s="1"/>
  <c r="W4215" i="1"/>
  <c r="X4215" i="1" s="1"/>
  <c r="W4214" i="1"/>
  <c r="AL4214" i="1" s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6" i="1"/>
  <c r="AL4316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4" i="1"/>
  <c r="AL4144" i="1" s="1"/>
  <c r="W3481" i="1"/>
  <c r="AL3481" i="1" s="1"/>
  <c r="W4251" i="1"/>
  <c r="W2271" i="1"/>
  <c r="W4338" i="1"/>
  <c r="AL4338" i="1" s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20" i="1"/>
  <c r="AL4420" i="1" s="1"/>
  <c r="W4309" i="1"/>
  <c r="X4309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4" i="1"/>
  <c r="X4213" i="1"/>
  <c r="X4212" i="1"/>
  <c r="AL4220" i="1"/>
  <c r="AK4220" i="1"/>
  <c r="AL4215" i="1"/>
  <c r="AK4215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AL930" i="1" s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5" i="1"/>
  <c r="AK4085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AL4422" i="1" s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5" i="1"/>
  <c r="AL4335" i="1"/>
  <c r="AK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7" i="1"/>
  <c r="AL4377" i="1"/>
  <c r="AK4379" i="1"/>
  <c r="AL4379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15" i="1"/>
  <c r="AL4415" i="1"/>
  <c r="AK4417" i="1"/>
  <c r="AL4417" i="1"/>
  <c r="AK4418" i="1"/>
  <c r="AK4421" i="1"/>
  <c r="AL4421" i="1"/>
  <c r="AK4422" i="1"/>
  <c r="AK4424" i="1"/>
  <c r="AL4424" i="1"/>
  <c r="AK4427" i="1"/>
  <c r="AL4427" i="1"/>
  <c r="AK4428" i="1"/>
  <c r="AL4428" i="1"/>
  <c r="X4241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7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21" i="1"/>
  <c r="X4423" i="1"/>
  <c r="X4424" i="1"/>
  <c r="X4427" i="1"/>
  <c r="X4428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AL317" i="1" s="1"/>
  <c r="W318" i="1"/>
  <c r="AL318" i="1" s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L457" i="1" s="1"/>
  <c r="AK455" i="1"/>
  <c r="W459" i="1"/>
  <c r="AK4273" i="1"/>
  <c r="AL4273" i="1"/>
  <c r="AK4281" i="1"/>
  <c r="AL4281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U4157" i="1"/>
  <c r="V4157" i="1" s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J4144" i="1"/>
  <c r="AF4144" i="1" s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U4086" i="1"/>
  <c r="V4086" i="1" s="1"/>
  <c r="X4085" i="1"/>
  <c r="U4085" i="1"/>
  <c r="V4085" i="1" s="1"/>
  <c r="U4084" i="1"/>
  <c r="V4084" i="1" s="1"/>
  <c r="U4083" i="1"/>
  <c r="V4083" i="1" s="1"/>
  <c r="U4082" i="1"/>
  <c r="V4082" i="1" s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AL1971" i="1"/>
  <c r="AK1971" i="1"/>
  <c r="AJ1971" i="1"/>
  <c r="AF1971" i="1" s="1"/>
  <c r="AK1970" i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K1829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J1506" i="1"/>
  <c r="AF1506" i="1" s="1"/>
  <c r="AJ1505" i="1"/>
  <c r="AF1505" i="1" s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X318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1569" i="1" l="1"/>
  <c r="X3387" i="1"/>
  <c r="AL4439" i="1"/>
  <c r="AK87" i="1"/>
  <c r="AL87" i="1"/>
  <c r="X4086" i="1"/>
  <c r="AL4443" i="1"/>
  <c r="X4443" i="1"/>
  <c r="X4442" i="1"/>
  <c r="AK4442" i="1"/>
  <c r="AK939" i="1"/>
  <c r="X4439" i="1"/>
  <c r="AL4440" i="1"/>
  <c r="AK4440" i="1"/>
  <c r="X3398" i="1"/>
  <c r="AK3398" i="1"/>
  <c r="AL939" i="1"/>
  <c r="AK3771" i="1"/>
  <c r="AK951" i="1"/>
  <c r="AL951" i="1"/>
  <c r="X4190" i="1"/>
  <c r="AK3385" i="1"/>
  <c r="X4093" i="1"/>
  <c r="AK4093" i="1"/>
  <c r="AL4435" i="1"/>
  <c r="AK3872" i="1"/>
  <c r="AL3872" i="1"/>
  <c r="X3705" i="1"/>
  <c r="AK4435" i="1"/>
  <c r="AL4309" i="1"/>
  <c r="AK2494" i="1"/>
  <c r="AK4309" i="1"/>
  <c r="X3481" i="1"/>
  <c r="X795" i="1"/>
  <c r="X1829" i="1"/>
  <c r="X1924" i="1"/>
  <c r="X1970" i="1"/>
  <c r="X2646" i="1"/>
  <c r="X4422" i="1"/>
  <c r="X4338" i="1"/>
  <c r="AK4420" i="1"/>
  <c r="AL4334" i="1"/>
  <c r="AK4277" i="1"/>
  <c r="X4217" i="1"/>
  <c r="X1776" i="1"/>
  <c r="AK4334" i="1"/>
  <c r="AK795" i="1"/>
  <c r="X1505" i="1"/>
  <c r="AK1870" i="1"/>
  <c r="AL2646" i="1"/>
  <c r="AK2187" i="1"/>
  <c r="X3464" i="1"/>
  <c r="AK3851" i="1"/>
  <c r="X4144" i="1"/>
  <c r="AL4217" i="1"/>
  <c r="AK2981" i="1"/>
  <c r="AK3463" i="1"/>
  <c r="AK318" i="1"/>
  <c r="AL2981" i="1"/>
  <c r="AK4216" i="1"/>
  <c r="AL412" i="1"/>
  <c r="AK692" i="1"/>
  <c r="X930" i="1"/>
  <c r="AL1505" i="1"/>
  <c r="AL2187" i="1"/>
  <c r="AK4218" i="1"/>
  <c r="X692" i="1"/>
  <c r="X1506" i="1"/>
  <c r="AK1827" i="1"/>
  <c r="AL2076" i="1"/>
  <c r="AK4144" i="1"/>
  <c r="AK4278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6" i="1"/>
  <c r="X410" i="1"/>
  <c r="X81" i="1"/>
  <c r="AK81" i="1"/>
  <c r="X281" i="1"/>
  <c r="AK1202" i="1"/>
  <c r="AK410" i="1"/>
  <c r="AL1877" i="1"/>
  <c r="X3666" i="1"/>
  <c r="X226" i="1"/>
  <c r="AK4190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1" i="1"/>
  <c r="AL493" i="1"/>
  <c r="X2331" i="1"/>
  <c r="X4084" i="1"/>
  <c r="X3660" i="1"/>
  <c r="AK629" i="1"/>
  <c r="AL629" i="1"/>
  <c r="AK3660" i="1"/>
  <c r="X476" i="1"/>
  <c r="AK4258" i="1"/>
  <c r="AL4258" i="1"/>
  <c r="AK4411" i="1"/>
  <c r="X4378" i="1"/>
  <c r="AK4378" i="1"/>
  <c r="X65" i="1"/>
  <c r="AK706" i="1"/>
  <c r="AK1410" i="1"/>
  <c r="X279" i="1"/>
  <c r="AL303" i="1"/>
  <c r="X4157" i="1"/>
  <c r="X4254" i="1"/>
  <c r="X303" i="1"/>
  <c r="X706" i="1"/>
  <c r="AL2331" i="1"/>
  <c r="AK474" i="1"/>
  <c r="AK4380" i="1"/>
  <c r="X4380" i="1"/>
  <c r="X1789" i="1"/>
  <c r="AL994" i="1"/>
  <c r="AL3651" i="1"/>
  <c r="AK4084" i="1"/>
  <c r="AL1050" i="1"/>
  <c r="AK1990" i="1"/>
  <c r="X2298" i="1"/>
  <c r="X2154" i="1"/>
  <c r="X994" i="1"/>
  <c r="X1050" i="1"/>
  <c r="AK1791" i="1"/>
  <c r="AK2298" i="1"/>
  <c r="AK1790" i="1"/>
  <c r="AK4157" i="1"/>
  <c r="AK4254" i="1"/>
  <c r="AK2716" i="1"/>
  <c r="AK2468" i="1"/>
  <c r="AL2468" i="1"/>
  <c r="X1908" i="1"/>
  <c r="X3651" i="1"/>
  <c r="AL279" i="1"/>
  <c r="AL4429" i="1"/>
  <c r="AL4283" i="1"/>
  <c r="AK3145" i="1"/>
  <c r="AK4283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4" i="1"/>
  <c r="AL4409" i="1"/>
  <c r="X3652" i="1"/>
  <c r="AK4409" i="1"/>
  <c r="AL3144" i="1"/>
  <c r="AK3308" i="1"/>
  <c r="X3929" i="1"/>
  <c r="AL3308" i="1"/>
  <c r="AK3652" i="1"/>
  <c r="AL4284" i="1"/>
  <c r="AK4023" i="1"/>
  <c r="AK2790" i="1"/>
  <c r="AL4282" i="1"/>
  <c r="X4429" i="1"/>
  <c r="AK2875" i="1"/>
  <c r="AK3929" i="1"/>
  <c r="AK4282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1" i="1"/>
  <c r="AL4376" i="1"/>
  <c r="X4083" i="1"/>
  <c r="AK4376" i="1"/>
  <c r="AL1410" i="1"/>
  <c r="AL1908" i="1"/>
  <c r="AK1788" i="1"/>
  <c r="X1980" i="1"/>
  <c r="X4141" i="1"/>
  <c r="AK4083" i="1"/>
  <c r="AK4081" i="1"/>
  <c r="AK3641" i="1"/>
  <c r="X4156" i="1"/>
  <c r="AL3641" i="1"/>
  <c r="X4082" i="1"/>
  <c r="AK4141" i="1"/>
  <c r="AK4082" i="1"/>
  <c r="AK4156" i="1"/>
  <c r="AL3124" i="1"/>
  <c r="AK41" i="1"/>
  <c r="X41" i="1"/>
  <c r="X4410" i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<sst xmlns="http://schemas.openxmlformats.org/spreadsheetml/2006/main" count="54149" uniqueCount="3446">
  <si>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</si>
  <si>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</si>
  <si>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</si>
  <si>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</si>
  <si>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</si>
  <si>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</si>
  <si>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</si>
  <si>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</si>
  <si>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</si>
  <si>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</si>
  <si>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</si>
  <si>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</si>
  <si>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</si>
  <si>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</si>
  <si>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</si>
  <si>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</si>
  <si>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</si>
  <si>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</si>
  <si>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</si>
  <si>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</si>
  <si>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</si>
  <si>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</si>
  <si>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</si>
  <si>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</si>
  <si>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</si>
  <si>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</si>
  <si>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</si>
  <si>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</si>
  <si>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</si>
  <si>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</si>
  <si>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</si>
  <si>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</si>
  <si>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</si>
  <si>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</si>
  <si>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</si>
  <si>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</si>
  <si>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</si>
  <si>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</si>
  <si>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</si>
  <si>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</si>
  <si>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</si>
  <si>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</si>
  <si>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</si>
  <si>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</si>
  <si>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</si>
  <si>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</si>
  <si>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</si>
  <si>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</si>
  <si>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</si>
  <si>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</si>
  <si>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</si>
  <si>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</si>
  <si>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</si>
  <si>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</si>
  <si>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</si>
  <si>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</si>
  <si>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</si>
  <si>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</si>
  <si>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</si>
  <si>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</si>
  <si>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</si>
  <si>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</si>
  <si>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</si>
  <si>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</si>
  <si>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</si>
  <si>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</si>
  <si>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</si>
  <si>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</si>
  <si>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</si>
  <si>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</si>
  <si>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</si>
  <si>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</si>
  <si>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</si>
  <si>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</si>
  <si>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</si>
  <si>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</si>
  <si>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</si>
  <si>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</si>
  <si>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</si>
  <si>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</si>
  <si>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</si>
  <si>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</si>
  <si>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</si>
  <si>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</si>
  <si>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</si>
  <si>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</si>
  <si>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</si>
  <si>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</si>
  <si>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</si>
  <si>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</si>
  <si>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</si>
  <si>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</si>
  <si>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</si>
  <si>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</si>
  <si>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</si>
  <si>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</si>
  <si>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</si>
  <si>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</si>
  <si>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</si>
  <si>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</si>
  <si>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</si>
  <si>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</si>
  <si>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</si>
  <si>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</si>
  <si>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</si>
  <si>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</si>
  <si>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</si>
  <si>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</si>
  <si>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</si>
  <si>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</si>
  <si>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</si>
  <si>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</si>
  <si>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</si>
  <si>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</si>
  <si>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</si>
  <si>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</si>
  <si>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</si>
  <si>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</si>
  <si>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</si>
  <si>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</si>
  <si>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</si>
  <si>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</si>
  <si>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</si>
  <si>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</si>
  <si>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</si>
  <si>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</si>
  <si>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</si>
  <si>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</si>
  <si>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</si>
  <si>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</si>
  <si>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</si>
  <si>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</si>
  <si>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</si>
  <si>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</si>
  <si>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</si>
  <si>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</si>
  <si>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</si>
  <si>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</si>
  <si>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</si>
  <si>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</si>
  <si>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</si>
  <si>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</si>
  <si>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</si>
  <si>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</si>
  <si>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</si>
  <si>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</si>
  <si>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</si>
  <si>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</si>
  <si>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</si>
  <si>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</si>
  <si>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</si>
  <si>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</si>
  <si>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</si>
  <si>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</si>
  <si>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</si>
  <si>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</si>
  <si>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</si>
  <si>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</si>
  <si>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</si>
  <si>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</si>
  <si>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</si>
  <si>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</si>
  <si>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</si>
  <si>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</si>
  <si>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</si>
  <si>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</si>
  <si>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</si>
  <si>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</si>
  <si>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</si>
  <si>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</si>
  <si>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</si>
  <si>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</si>
  <si>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</si>
  <si>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</si>
  <si>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</si>
  <si>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</si>
  <si>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</si>
  <si>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</si>
  <si>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</si>
  <si>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</si>
  <si>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</si>
  <si>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</si>
  <si>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</si>
  <si>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</si>
  <si>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</si>
  <si>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</si>
  <si>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</si>
  <si>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</si>
  <si>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</si>
  <si>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</si>
  <si>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</si>
  <si>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</si>
  <si>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</si>
  <si>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</si>
  <si>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</si>
  <si>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</si>
  <si>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</si>
  <si>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</si>
  <si>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</si>
  <si>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</si>
  <si>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</si>
  <si>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</si>
  <si>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</si>
  <si>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</si>
  <si>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</si>
  <si>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</si>
  <si>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</si>
  <si>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</si>
  <si>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</si>
  <si>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</si>
  <si>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</si>
  <si>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</si>
  <si>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</si>
  <si>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</si>
  <si>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</si>
  <si>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</si>
  <si>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</si>
  <si>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</si>
  <si>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</si>
  <si>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</si>
  <si>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</si>
  <si>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</si>
  <si>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</si>
  <si>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</si>
  <si>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</si>
  <si>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</si>
  <si>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</si>
  <si>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</si>
  <si>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</si>
  <si>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</si>
  <si>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</si>
  <si>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</si>
  <si>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</si>
  <si>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</si>
  <si>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</si>
  <si>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</si>
  <si>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</si>
  <si>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</si>
  <si>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</si>
  <si>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</si>
  <si>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</si>
  <si>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</si>
  <si>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</si>
  <si>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</si>
  <si>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</si>
  <si>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</si>
  <si>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</si>
  <si>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</si>
  <si>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</si>
  <si>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</si>
  <si>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</si>
  <si>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</si>
  <si>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</si>
  <si>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</si>
  <si>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</si>
  <si>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</si>
  <si>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</si>
  <si>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</si>
  <si>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</si>
  <si>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</si>
  <si>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</si>
  <si>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</si>
  <si>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</si>
  <si>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</si>
  <si>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</si>
  <si>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</si>
  <si>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</si>
  <si>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</si>
  <si>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</si>
  <si>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</si>
  <si>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</si>
  <si>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</si>
  <si>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</si>
  <si>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</si>
  <si>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</si>
  <si>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</si>
  <si>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</si>
  <si>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</si>
  <si>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</si>
  <si>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</si>
  <si>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</si>
  <si>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</si>
  <si>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</si>
  <si>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</si>
  <si>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</si>
  <si>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</si>
  <si>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</si>
  <si>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</si>
  <si>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</si>
  <si>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</si>
  <si>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</si>
  <si>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</si>
  <si>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</si>
  <si>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</si>
  <si>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</si>
  <si>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</si>
  <si>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</si>
  <si>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</si>
  <si>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</si>
  <si>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</si>
  <si>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</si>
  <si>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</si>
  <si>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</si>
  <si>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</si>
  <si>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</si>
  <si>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</si>
  <si>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</si>
  <si>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</si>
  <si>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</si>
  <si>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</si>
  <si>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</si>
  <si>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</si>
  <si>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</si>
  <si>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</si>
  <si>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</si>
  <si>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</si>
  <si>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</si>
  <si>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</si>
  <si>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</si>
  <si>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</si>
  <si>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</si>
  <si>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</si>
  <si>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</si>
  <si>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</si>
  <si>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</si>
  <si>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</si>
  <si>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</si>
  <si>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</si>
  <si>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</si>
  <si>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</si>
  <si>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</si>
  <si>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</si>
  <si>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</si>
  <si>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</si>
  <si>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</si>
  <si>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</si>
  <si>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</si>
  <si>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</si>
  <si>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</si>
  <si>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</si>
  <si>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</si>
  <si>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</si>
  <si>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</si>
  <si>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</si>
  <si>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</si>
  <si>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</si>
  <si>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</si>
  <si>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</si>
  <si>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</si>
  <si>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</si>
  <si>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</si>
  <si>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</si>
  <si>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</si>
  <si>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</si>
  <si>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</si>
  <si>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</si>
  <si>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</si>
  <si>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</si>
  <si>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</si>
  <si>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</si>
  <si>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</si>
  <si>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</si>
  <si>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</si>
  <si>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</si>
  <si>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</si>
  <si>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</si>
  <si>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</si>
  <si>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</si>
  <si>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</si>
  <si>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</si>
  <si>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</si>
  <si>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</si>
  <si>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</si>
  <si>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</si>
  <si>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</si>
  <si>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</si>
  <si>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</si>
  <si>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</si>
  <si>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</si>
  <si>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</si>
  <si>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</si>
  <si>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</si>
  <si>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</si>
  <si>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</si>
  <si>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</si>
  <si>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</si>
  <si>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</si>
  <si>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</si>
  <si>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</si>
  <si>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</si>
  <si>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</si>
  <si>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</si>
  <si>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</si>
  <si>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</si>
  <si>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</si>
  <si>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</si>
  <si>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</si>
  <si>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</si>
  <si>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</si>
  <si>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</si>
  <si>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</si>
  <si>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</si>
  <si>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</si>
  <si>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</si>
  <si>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</si>
  <si>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</si>
  <si>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</si>
  <si>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</si>
  <si>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</si>
  <si>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</si>
  <si>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</si>
  <si>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</si>
  <si>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</si>
  <si>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</si>
  <si>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</si>
  <si>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</si>
  <si>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</si>
  <si>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</si>
  <si>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</si>
  <si>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</si>
  <si>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</si>
  <si>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</si>
  <si>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</si>
  <si>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</si>
  <si>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</si>
  <si>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</si>
  <si>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</si>
  <si>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</si>
  <si>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</si>
  <si>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</si>
  <si>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</si>
  <si>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</si>
  <si>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</si>
  <si>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</si>
  <si>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</si>
  <si>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</si>
  <si>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</si>
  <si>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</si>
  <si>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</si>
  <si>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</si>
  <si>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</si>
  <si>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</si>
  <si>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</si>
  <si>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</si>
  <si>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</si>
  <si>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</si>
  <si>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</si>
  <si>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</si>
  <si>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</si>
  <si>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</si>
  <si>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</si>
  <si>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</si>
  <si>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</si>
  <si>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</si>
  <si>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</si>
  <si>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</si>
  <si>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</si>
  <si>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</si>
  <si>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</si>
  <si>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</si>
  <si>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</si>
  <si>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</si>
  <si>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</si>
  <si>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</si>
  <si>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</si>
  <si>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</si>
  <si>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</si>
  <si>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</si>
  <si>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</si>
  <si>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</si>
  <si>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</si>
  <si>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</si>
  <si>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</si>
  <si>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</si>
  <si>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</si>
  <si>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</si>
  <si>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</si>
  <si>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</si>
  <si>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</si>
  <si>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</si>
  <si>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</si>
  <si>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</si>
  <si>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</si>
  <si>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</si>
  <si>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</si>
  <si>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</si>
  <si>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</si>
  <si>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</si>
  <si>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</si>
  <si>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</si>
  <si>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</si>
  <si>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</si>
  <si>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</si>
  <si>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</si>
  <si>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</si>
  <si>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</si>
  <si>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</si>
  <si>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</si>
  <si>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</si>
  <si>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</si>
  <si>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</si>
  <si>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</si>
  <si>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</si>
  <si>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</si>
  <si>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</si>
  <si>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</si>
  <si>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</si>
  <si>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</si>
  <si>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</si>
  <si>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</si>
  <si>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</si>
  <si>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</si>
  <si>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</si>
  <si>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</si>
  <si>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</si>
  <si>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</si>
  <si>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</si>
  <si>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</si>
  <si>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</si>
  <si>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</si>
  <si>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</si>
  <si>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</si>
  <si>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</si>
  <si>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</si>
  <si>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</si>
  <si>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</si>
  <si>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</si>
  <si>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</si>
  <si>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</si>
  <si>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</si>
  <si>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</si>
  <si>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</si>
  <si>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</si>
  <si>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</si>
  <si>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</si>
  <si>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</si>
  <si>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</si>
  <si>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</si>
  <si>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</si>
  <si>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</si>
  <si>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</si>
  <si>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</si>
  <si>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</si>
  <si>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</si>
  <si>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</si>
  <si>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</si>
  <si>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</si>
  <si>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</si>
  <si>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</si>
  <si>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</si>
  <si>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</si>
  <si>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</si>
  <si>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</si>
  <si>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</si>
  <si>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</si>
  <si>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</si>
  <si>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</si>
  <si>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</si>
  <si>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</si>
  <si>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</si>
  <si>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</si>
  <si>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</si>
  <si>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</si>
  <si>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</si>
  <si>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</si>
  <si>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</si>
  <si>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</si>
  <si>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</si>
  <si>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</si>
  <si>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</si>
  <si>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</si>
  <si>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</si>
  <si>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</si>
  <si>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</si>
  <si>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</si>
  <si>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</si>
  <si>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</si>
  <si>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</si>
  <si>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</si>
  <si>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</si>
  <si>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</si>
  <si>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</si>
  <si>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</si>
  <si>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</si>
  <si>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</si>
  <si>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</si>
  <si>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</si>
  <si>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</si>
  <si>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</si>
  <si>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</si>
  <si>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</si>
  <si>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</si>
  <si>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</si>
  <si>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</si>
  <si>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</si>
  <si>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</si>
  <si>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</si>
  <si>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</si>
  <si>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</si>
  <si>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</si>
  <si>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</si>
  <si>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</si>
  <si>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</si>
  <si>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</si>
  <si>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</si>
  <si>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</si>
  <si>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</si>
  <si>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</si>
  <si>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</si>
  <si>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</si>
  <si>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</si>
  <si>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</si>
  <si>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</si>
  <si>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</si>
  <si>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</si>
  <si>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</si>
  <si>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</si>
  <si>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</si>
  <si>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</si>
  <si>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</si>
  <si>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</si>
  <si>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</si>
  <si>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</si>
  <si>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</si>
  <si>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</si>
  <si>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</si>
  <si>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</si>
  <si>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</si>
  <si>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</si>
  <si>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</si>
  <si>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</si>
  <si>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</si>
  <si>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</si>
  <si>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</si>
  <si>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</si>
  <si>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</si>
  <si>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</si>
  <si>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</si>
  <si>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</si>
  <si>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</si>
  <si>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</si>
  <si>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</si>
  <si>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</si>
  <si>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</si>
  <si>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</si>
  <si>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</si>
  <si>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</si>
  <si>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</si>
  <si>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</si>
  <si>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</si>
  <si>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</si>
  <si>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</si>
  <si>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</si>
  <si>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</si>
  <si>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</si>
  <si>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</si>
  <si>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</si>
  <si>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</si>
  <si>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</si>
  <si>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</si>
  <si>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</si>
  <si>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</si>
  <si>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</si>
  <si>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</si>
  <si>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</si>
  <si>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</si>
  <si>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</si>
  <si>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</si>
  <si>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</si>
  <si>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</si>
  <si>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</si>
  <si>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</si>
  <si>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</si>
  <si>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</si>
  <si>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</si>
  <si>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</si>
  <si>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</si>
  <si>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</si>
  <si>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</si>
  <si>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</si>
  <si>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</si>
  <si>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</si>
  <si>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</si>
  <si>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</si>
  <si>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</si>
  <si>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</si>
  <si>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</si>
  <si>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</si>
  <si>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</si>
  <si>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</si>
  <si>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</si>
  <si>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</si>
  <si>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</si>
  <si>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</si>
  <si>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</si>
  <si>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</si>
  <si>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</si>
  <si>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</si>
  <si>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</si>
  <si>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</si>
  <si>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</si>
  <si>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</si>
  <si>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</si>
  <si>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</si>
  <si>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</si>
  <si>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</si>
  <si>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</si>
  <si>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</si>
  <si>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</si>
  <si>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</si>
  <si>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</si>
  <si>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</si>
  <si>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</si>
  <si>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</si>
  <si>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</si>
  <si>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</si>
  <si>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</si>
  <si>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</si>
  <si>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</si>
  <si>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</si>
  <si>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</si>
  <si>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</si>
  <si>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</si>
  <si>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</si>
  <si>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</si>
  <si>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</si>
  <si>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</si>
  <si>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</si>
  <si>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</si>
  <si>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</si>
  <si>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</si>
  <si>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</si>
  <si>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</si>
  <si>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</si>
  <si>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</si>
  <si>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</si>
  <si>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</si>
  <si>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</si>
  <si>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</si>
  <si>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</si>
  <si>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</si>
  <si>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</si>
  <si>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</si>
  <si>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</si>
  <si>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</si>
  <si>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</si>
  <si>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</si>
  <si>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</si>
  <si>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</si>
  <si>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</si>
  <si>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</si>
  <si>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</si>
  <si>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</si>
  <si>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</si>
  <si>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</si>
  <si>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</si>
  <si>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</si>
  <si>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</si>
  <si>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</si>
  <si>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</si>
  <si>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</si>
  <si>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</si>
  <si>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</si>
  <si>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</si>
  <si>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</si>
  <si>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</si>
  <si>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</si>
  <si>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</si>
  <si>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</si>
  <si>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</si>
  <si>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</si>
  <si>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</si>
  <si>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</si>
  <si>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</si>
  <si>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</si>
  <si>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</si>
  <si>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</si>
  <si>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</si>
  <si>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</si>
  <si>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</si>
  <si>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</si>
  <si>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</si>
  <si>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</si>
  <si>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</si>
  <si>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</si>
  <si>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</si>
  <si>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</si>
  <si>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</si>
  <si>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</si>
  <si>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</si>
  <si>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</si>
  <si>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</si>
  <si>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</si>
  <si>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</si>
  <si>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</si>
  <si>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</si>
  <si>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</si>
  <si>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</si>
  <si>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</si>
  <si>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</si>
  <si>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</si>
  <si>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</si>
  <si>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</si>
  <si>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</si>
  <si>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</si>
  <si>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</si>
  <si>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</si>
  <si>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</si>
  <si>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</si>
  <si>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</si>
  <si>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</si>
  <si>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</si>
  <si>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</si>
  <si>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</si>
  <si>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</si>
  <si>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</si>
  <si>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</si>
  <si>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</si>
  <si>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</si>
  <si>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</si>
  <si>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</si>
  <si>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</si>
  <si>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</si>
  <si>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</si>
  <si>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</si>
  <si>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</si>
  <si>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</si>
  <si>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</si>
  <si>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</si>
  <si>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</si>
  <si>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</si>
  <si>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</si>
  <si>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</si>
  <si>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</si>
  <si>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</si>
  <si>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</si>
  <si>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</si>
  <si>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</si>
  <si>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</si>
  <si>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</si>
  <si>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</si>
  <si>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</si>
  <si>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</si>
  <si>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</si>
  <si>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</si>
  <si>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</si>
  <si>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</si>
  <si>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</si>
  <si>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</si>
  <si>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</si>
  <si>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</si>
  <si>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</si>
  <si>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</si>
  <si>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</si>
  <si>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</si>
  <si>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</si>
  <si>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</si>
  <si>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</si>
  <si>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</si>
  <si>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</si>
  <si>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</si>
  <si>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</si>
  <si>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</si>
  <si>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</si>
  <si>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</si>
  <si>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</si>
  <si>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</si>
  <si>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</si>
  <si>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</si>
  <si>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</si>
  <si>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</si>
  <si>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</si>
  <si>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</si>
  <si>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</si>
  <si>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</si>
  <si>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</si>
  <si>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</si>
  <si>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</si>
  <si>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</si>
  <si>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</si>
  <si>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</si>
  <si>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</si>
  <si>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</si>
  <si>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</si>
  <si>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</si>
  <si>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</si>
  <si>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</si>
  <si>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</si>
  <si>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</si>
  <si>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</si>
  <si>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</si>
  <si>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</si>
  <si>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</si>
  <si>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</si>
  <si>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</si>
  <si>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</si>
  <si>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</si>
  <si>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</si>
  <si>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</si>
  <si>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</si>
  <si>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</si>
  <si>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</si>
  <si>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</si>
  <si>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</si>
  <si>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</si>
  <si>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</si>
  <si>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</si>
  <si>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</si>
  <si>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</si>
  <si>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</si>
  <si>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</si>
  <si>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</si>
  <si>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</si>
  <si>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</si>
  <si>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</si>
  <si>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</si>
  <si>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</si>
  <si>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</si>
  <si>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</si>
  <si>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</si>
  <si>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</si>
  <si>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</si>
  <si>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</si>
  <si>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</si>
  <si>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</si>
  <si>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</si>
  <si>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</si>
  <si>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</si>
  <si>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</si>
  <si>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</si>
  <si>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</si>
  <si>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</si>
  <si>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</si>
  <si>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</si>
  <si>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</si>
  <si>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</si>
  <si>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</si>
  <si>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</si>
  <si>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</si>
  <si>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</si>
  <si>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</si>
  <si>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</si>
  <si>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</si>
  <si>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</si>
  <si>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</si>
  <si>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</si>
  <si>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</si>
  <si>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</si>
  <si>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</si>
  <si>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</si>
  <si>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</si>
  <si>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</si>
  <si>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</si>
  <si>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</si>
  <si>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</si>
  <si>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</si>
  <si>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</si>
  <si>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</si>
  <si>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</si>
  <si>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</si>
  <si>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</si>
  <si>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</si>
  <si>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</si>
  <si>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</si>
  <si>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</si>
  <si>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</si>
  <si>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</si>
  <si>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</si>
  <si>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</si>
  <si>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</si>
  <si>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</si>
  <si>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</si>
  <si>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</si>
  <si>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</si>
  <si>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</si>
  <si>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</si>
  <si>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</si>
  <si>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</si>
  <si>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</si>
  <si>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</si>
  <si>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</si>
  <si>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</si>
  <si>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</si>
  <si>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</si>
  <si>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</si>
  <si>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</si>
  <si>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</si>
  <si>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</si>
  <si>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</si>
  <si>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</si>
  <si>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</si>
  <si>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</si>
  <si>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</si>
  <si>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</si>
  <si>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</si>
  <si>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</si>
  <si>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</si>
  <si>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</si>
  <si>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</si>
  <si>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</si>
  <si>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</si>
  <si>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</si>
  <si>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</si>
  <si>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</si>
  <si>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</si>
  <si>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</si>
  <si>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</si>
  <si>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</si>
  <si>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</si>
  <si>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</si>
  <si>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</si>
  <si>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</si>
  <si>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</si>
  <si>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</si>
  <si>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</si>
  <si>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</si>
  <si>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</si>
  <si>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</si>
  <si>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</si>
  <si>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</si>
  <si>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</si>
  <si>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</si>
  <si>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</si>
  <si>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</si>
  <si>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</si>
  <si>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</si>
  <si>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</si>
  <si>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</si>
  <si>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</si>
  <si>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</si>
  <si>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</si>
  <si>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</si>
  <si>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</si>
  <si>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</si>
  <si>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</si>
  <si>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</si>
  <si>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</si>
  <si>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</si>
  <si>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</si>
  <si>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</si>
  <si>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</si>
  <si>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</si>
  <si>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</si>
  <si>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</si>
  <si>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</si>
  <si>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</si>
  <si>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</si>
  <si>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</si>
  <si>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</si>
  <si>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</si>
  <si>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</si>
  <si>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</si>
  <si>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</si>
  <si>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</si>
  <si>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</si>
  <si>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</si>
  <si>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</si>
  <si>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</si>
  <si>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</si>
  <si>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</si>
  <si>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</si>
  <si>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</si>
  <si>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</si>
  <si>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</si>
  <si>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</si>
  <si>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</si>
  <si>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</si>
  <si>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</si>
  <si>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</si>
  <si>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</si>
  <si>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</si>
  <si>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</si>
  <si>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</si>
  <si>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</si>
  <si>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</si>
  <si>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</si>
  <si>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</si>
  <si>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</si>
  <si>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</si>
  <si>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</si>
  <si>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</si>
  <si>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</si>
  <si>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</si>
  <si>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</si>
  <si>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</si>
  <si>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</si>
  <si>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</si>
  <si>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</si>
  <si>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</si>
  <si>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</si>
  <si>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</si>
  <si>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</si>
  <si>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</si>
  <si>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</si>
  <si>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</si>
  <si>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</si>
  <si>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</si>
  <si>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</si>
  <si>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</si>
  <si>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</si>
  <si>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</si>
  <si>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</si>
  <si>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</si>
  <si>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</si>
  <si>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</si>
  <si>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</si>
  <si>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</si>
  <si>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</si>
  <si>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</si>
  <si>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</si>
  <si>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</si>
  <si>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</si>
  <si>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</si>
  <si>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</si>
  <si>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</si>
  <si>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</si>
  <si>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</si>
  <si>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</si>
  <si>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</si>
  <si>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</si>
  <si>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</si>
  <si>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</si>
  <si>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</si>
  <si>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</si>
  <si>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</si>
  <si>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</si>
  <si>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</si>
  <si>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</si>
  <si>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</si>
  <si>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</si>
  <si>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</si>
  <si>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</si>
  <si>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</si>
  <si>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</si>
  <si>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</si>
  <si>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</si>
  <si>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</si>
  <si>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</si>
  <si>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</si>
  <si>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</si>
  <si>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</si>
  <si>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</si>
  <si>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</si>
  <si>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</si>
  <si>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</si>
  <si>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</si>
  <si>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</si>
  <si>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</si>
  <si>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</si>
  <si>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</si>
  <si>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</si>
  <si>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</si>
  <si>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</si>
  <si>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</si>
  <si>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</si>
  <si>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</si>
  <si>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</si>
  <si>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</si>
  <si>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</si>
  <si>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</si>
  <si>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</si>
  <si>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</si>
  <si>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</si>
  <si>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</si>
  <si>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</si>
  <si>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</si>
  <si>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</si>
  <si>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</si>
  <si>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</si>
  <si>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</si>
  <si>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</si>
  <si>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</si>
  <si>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</si>
  <si>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</si>
  <si>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</si>
  <si>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</si>
  <si>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</si>
  <si>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</si>
  <si>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</si>
  <si>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</si>
  <si>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</si>
  <si>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</si>
  <si>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</si>
  <si>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</si>
  <si>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</si>
  <si>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</si>
  <si>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</si>
  <si>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</si>
  <si>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</si>
  <si>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</si>
  <si>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</si>
  <si>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</si>
  <si>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</si>
  <si>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</si>
  <si>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</si>
  <si>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</si>
  <si>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</si>
  <si>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</si>
  <si>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</si>
  <si>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</si>
  <si>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</si>
  <si>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</si>
  <si>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</si>
  <si>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</si>
  <si>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</si>
  <si>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</si>
  <si>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</si>
  <si>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</si>
  <si>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</si>
  <si>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</si>
  <si>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</si>
  <si>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</si>
  <si>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</si>
  <si>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</si>
  <si>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</si>
  <si>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</si>
  <si>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</si>
  <si>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</si>
  <si>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</si>
  <si>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</si>
  <si>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</si>
  <si>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</si>
  <si>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</si>
  <si>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</si>
  <si>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</si>
  <si>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</si>
  <si>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</si>
  <si>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</si>
  <si>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</si>
  <si>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</si>
  <si>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</si>
  <si>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</si>
  <si>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</si>
  <si>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</si>
  <si>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</si>
  <si>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</si>
  <si>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</si>
  <si>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</si>
  <si>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</si>
  <si>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</si>
  <si>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</si>
  <si>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</si>
  <si>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</si>
  <si>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</si>
  <si>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</si>
  <si>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</si>
  <si>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</si>
  <si>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</si>
  <si>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</si>
  <si>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</si>
  <si>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</si>
  <si>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</si>
  <si>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</si>
  <si>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</si>
  <si>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</si>
  <si>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</si>
  <si>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</si>
  <si>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</si>
  <si>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</si>
  <si>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</si>
  <si>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</si>
  <si>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</si>
  <si>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</si>
  <si>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</si>
  <si>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</si>
  <si>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</si>
  <si>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</si>
  <si>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</si>
  <si>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</si>
  <si>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</si>
  <si>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</si>
  <si>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</si>
  <si>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</si>
  <si>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</si>
  <si>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</si>
  <si>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</si>
  <si>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</si>
  <si>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</si>
  <si>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</si>
  <si>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</si>
  <si>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</si>
  <si>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</si>
  <si>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</si>
  <si>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</si>
  <si>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</si>
  <si>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</si>
  <si>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</si>
  <si>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</si>
  <si>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</si>
  <si>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</si>
  <si>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</si>
  <si>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</si>
  <si>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</si>
  <si>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</si>
  <si>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</si>
  <si>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</si>
  <si>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</si>
  <si>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</si>
  <si>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</si>
  <si>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</si>
  <si>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</si>
  <si>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</si>
  <si>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</si>
  <si>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</si>
  <si>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</si>
  <si>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</si>
  <si>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</si>
  <si>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</si>
  <si>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</si>
  <si>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</si>
  <si>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</si>
  <si>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</si>
  <si>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</si>
  <si>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</si>
  <si>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</si>
  <si>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</si>
  <si>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</si>
  <si>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</si>
  <si>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</si>
  <si>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</si>
  <si>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</si>
  <si>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</si>
  <si>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</si>
  <si>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</si>
  <si>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</si>
  <si>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</si>
  <si>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</si>
  <si>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</si>
  <si>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</si>
  <si>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</si>
  <si>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</si>
  <si>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</si>
  <si>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</si>
  <si>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</si>
  <si>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</si>
  <si>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</si>
  <si>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</si>
  <si>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</si>
  <si>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</si>
  <si>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</si>
  <si>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</si>
  <si>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</si>
  <si>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</si>
  <si>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</si>
  <si>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</si>
  <si>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</si>
  <si>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</si>
  <si>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</si>
  <si>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</si>
  <si>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</si>
  <si>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</si>
  <si>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</si>
  <si>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</si>
  <si>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</si>
  <si>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</si>
  <si>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</si>
  <si>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</si>
  <si>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</si>
  <si>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</si>
  <si>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</si>
  <si>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</si>
  <si>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</si>
  <si>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</si>
  <si>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</si>
  <si>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</si>
  <si>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</si>
  <si>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</si>
  <si>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</si>
  <si>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</si>
  <si>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</si>
  <si>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</si>
  <si>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</si>
  <si>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</si>
  <si>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</si>
  <si>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</si>
  <si>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</si>
  <si>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</si>
  <si>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</si>
  <si>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</si>
  <si>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</si>
  <si>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</si>
  <si>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</si>
  <si>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</si>
  <si>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</si>
  <si>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</si>
  <si>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</si>
  <si>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</si>
  <si>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</si>
  <si>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</si>
  <si>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</si>
  <si>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</si>
  <si>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</si>
  <si>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</si>
  <si>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</si>
  <si>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</si>
  <si>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</si>
  <si>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</si>
  <si>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</si>
  <si>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</si>
  <si>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</si>
  <si>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</si>
  <si>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</si>
  <si>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</si>
  <si>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</si>
  <si>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</si>
  <si>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</si>
  <si>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</si>
  <si>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</si>
  <si>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</si>
  <si>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</si>
  <si>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</si>
  <si>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</si>
  <si>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</si>
  <si>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</si>
  <si>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</si>
  <si>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</si>
  <si>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</si>
  <si>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</si>
  <si>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</si>
  <si>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</si>
  <si>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</si>
  <si>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</si>
  <si>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</si>
  <si>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</si>
  <si>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</si>
  <si>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</si>
  <si>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</si>
  <si>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</si>
  <si>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</si>
  <si>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</si>
  <si>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</si>
  <si>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</si>
  <si>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</si>
  <si>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</si>
  <si>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</si>
  <si>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</si>
  <si>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</si>
  <si>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</si>
  <si>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</si>
  <si>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</si>
  <si>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</si>
  <si>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</si>
  <si>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</si>
  <si>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</si>
  <si>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</si>
  <si>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</si>
  <si>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</si>
  <si>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</si>
  <si>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</si>
  <si>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</si>
  <si>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</si>
  <si>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</si>
  <si>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</si>
  <si>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</si>
  <si>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</si>
  <si>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</si>
  <si>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</si>
  <si>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</si>
  <si>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</si>
  <si>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</si>
  <si>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</si>
  <si>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</si>
  <si>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</si>
  <si>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</si>
  <si>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</si>
  <si>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</si>
  <si>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</si>
  <si>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</si>
  <si>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</si>
  <si>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</si>
  <si>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</si>
  <si>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</si>
  <si>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</si>
  <si>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</si>
  <si>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</si>
  <si>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</si>
  <si>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</si>
  <si>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</si>
  <si>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</si>
  <si>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</si>
  <si>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</si>
  <si>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</si>
  <si>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</si>
  <si>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</si>
  <si>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</si>
  <si>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</si>
  <si>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</si>
  <si>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</si>
  <si>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</si>
  <si>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</si>
  <si>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</si>
  <si>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</si>
  <si>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</si>
  <si>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</si>
  <si>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</si>
  <si>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</si>
  <si>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</si>
  <si>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</si>
  <si>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</si>
  <si>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</si>
  <si>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</si>
  <si>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</si>
  <si>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</si>
  <si>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</si>
  <si>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</si>
  <si>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</si>
  <si>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</si>
  <si>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</si>
  <si>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</si>
  <si>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</si>
  <si>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</si>
  <si>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</si>
  <si>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</si>
  <si>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</si>
  <si>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</si>
  <si>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</si>
  <si>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</si>
  <si>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</si>
  <si>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</si>
  <si>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</si>
  <si>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</si>
  <si>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</si>
  <si>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</si>
  <si>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</si>
  <si>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</si>
  <si>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</si>
  <si>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</si>
  <si>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</si>
  <si>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</si>
  <si>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</si>
  <si>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</si>
  <si>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</si>
  <si>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</si>
  <si>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</si>
  <si>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</si>
  <si>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</si>
  <si>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</si>
  <si>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</si>
  <si>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</si>
  <si>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</si>
  <si>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</si>
  <si>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</si>
  <si>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</si>
  <si>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</si>
  <si>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</si>
  <si>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</si>
  <si>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</si>
  <si>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</si>
  <si>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</si>
  <si>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</si>
  <si>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</si>
  <si>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</si>
  <si>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</si>
  <si>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</si>
  <si>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</si>
  <si>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</si>
  <si>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</si>
  <si>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</si>
  <si>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</si>
  <si>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</si>
  <si>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</si>
  <si>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</si>
  <si>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</si>
  <si>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</si>
  <si>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</si>
  <si>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</si>
  <si>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</si>
  <si>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</si>
  <si>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</si>
  <si>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</si>
  <si>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</si>
  <si>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</si>
  <si>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</si>
  <si>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</si>
  <si>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</si>
  <si>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</si>
  <si>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</si>
  <si>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</si>
  <si>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</si>
  <si>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</si>
  <si>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</si>
  <si>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</si>
  <si>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</si>
  <si>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</si>
  <si>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</si>
  <si>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</si>
  <si>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</si>
  <si>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</si>
  <si>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</si>
  <si>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</si>
  <si>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</si>
  <si>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</si>
  <si>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</si>
  <si>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</si>
  <si>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</si>
  <si>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</si>
  <si>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</si>
  <si>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</si>
  <si>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</si>
  <si>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</si>
  <si>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</si>
  <si>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</si>
  <si>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</si>
  <si>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</si>
  <si>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</si>
  <si>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</si>
  <si>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</si>
  <si>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</si>
  <si>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</si>
  <si>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</si>
  <si>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</si>
  <si>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</si>
  <si>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</si>
  <si>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</si>
  <si>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</si>
  <si>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</si>
  <si>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</si>
  <si>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</si>
  <si>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</si>
  <si>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</si>
  <si>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</si>
  <si>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</si>
  <si>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</si>
  <si>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</si>
  <si>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</si>
  <si>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</si>
  <si>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</si>
  <si>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</si>
  <si>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</si>
  <si>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</si>
  <si>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</si>
  <si>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</si>
  <si>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</si>
  <si>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</si>
  <si>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</si>
  <si>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</si>
  <si>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</si>
  <si>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</si>
  <si>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</si>
  <si>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</si>
  <si>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</si>
  <si>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</si>
  <si>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</si>
  <si>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</si>
  <si>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</si>
  <si>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</si>
  <si>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</si>
  <si>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</si>
  <si>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</si>
  <si>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</si>
  <si>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</si>
  <si>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</si>
  <si>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</si>
  <si>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</si>
  <si>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</si>
  <si>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</si>
  <si>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</si>
  <si>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</si>
  <si>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</si>
  <si>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</si>
  <si>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</si>
  <si>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</si>
  <si>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</si>
  <si>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</si>
  <si>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</si>
  <si>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</si>
  <si>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</si>
  <si>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</si>
  <si>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</si>
  <si>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</si>
  <si>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</si>
  <si>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</si>
  <si>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</si>
  <si>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</si>
  <si>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</si>
  <si>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</si>
  <si>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</si>
  <si>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</si>
  <si>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</si>
  <si>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</si>
  <si>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</si>
  <si>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</si>
  <si>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</si>
  <si>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</si>
  <si>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</si>
  <si>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</si>
  <si>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</si>
  <si>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</si>
  <si>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</si>
  <si>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</si>
  <si>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</si>
  <si>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</si>
  <si>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</si>
  <si>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</si>
  <si>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</si>
  <si>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</si>
  <si>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</si>
  <si>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</si>
  <si>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</si>
  <si>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</si>
  <si>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</si>
  <si>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</si>
  <si>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</si>
  <si>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</si>
  <si>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</si>
  <si>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</si>
  <si>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</si>
  <si>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</si>
  <si>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</si>
  <si>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</si>
  <si>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</si>
  <si>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</si>
  <si>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</si>
  <si>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</si>
  <si>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</si>
  <si>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</si>
  <si>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</si>
  <si>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</si>
  <si>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</si>
  <si>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</si>
  <si>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</si>
  <si>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</si>
  <si>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</si>
  <si>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</si>
  <si>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</si>
  <si>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</si>
  <si>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</si>
  <si>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</si>
  <si>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</si>
  <si>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</si>
  <si>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</si>
  <si>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</si>
  <si>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</si>
  <si>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</si>
  <si>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</si>
  <si>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</si>
  <si>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</si>
  <si>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</si>
  <si>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</si>
  <si>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</si>
  <si>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</si>
  <si>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</si>
  <si>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</si>
  <si>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</si>
  <si>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</si>
  <si>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</si>
  <si>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</si>
  <si>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</si>
  <si>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</si>
  <si>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</si>
  <si>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</si>
  <si>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</si>
  <si>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</si>
  <si>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</si>
  <si>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</si>
  <si>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</si>
  <si>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</si>
  <si>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</si>
  <si>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</si>
  <si>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</si>
  <si>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</si>
  <si>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</si>
  <si>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</si>
  <si>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</si>
  <si>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</si>
  <si>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</si>
  <si>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</si>
  <si>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</si>
  <si>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</si>
  <si>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</si>
  <si>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</si>
  <si>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</si>
  <si>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</si>
  <si>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</si>
  <si>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</si>
  <si>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</si>
  <si>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</si>
  <si>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</si>
  <si>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</si>
  <si>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</si>
  <si>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</si>
  <si>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</si>
  <si>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</si>
  <si>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</si>
  <si>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</si>
  <si>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</si>
  <si>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</si>
  <si>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</si>
  <si>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</si>
  <si>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</si>
  <si>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</si>
  <si>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</si>
  <si>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</si>
  <si>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</si>
  <si>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</si>
  <si>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</si>
  <si>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</si>
  <si>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</si>
  <si>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</si>
  <si>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</si>
  <si>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</si>
  <si>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</si>
  <si>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</si>
  <si>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</si>
  <si>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</si>
  <si>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</si>
  <si>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</si>
  <si>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</si>
  <si>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</si>
  <si>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</si>
  <si>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</si>
  <si>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</si>
  <si>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</si>
  <si>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</si>
  <si>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</si>
  <si>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</si>
  <si>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</si>
  <si>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</si>
  <si>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</si>
  <si>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</si>
  <si>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</si>
  <si>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</si>
  <si>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</si>
  <si>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</si>
  <si>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</si>
  <si>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</si>
  <si>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</si>
  <si>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</si>
  <si>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</si>
  <si>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</si>
  <si>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</si>
  <si>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</si>
  <si>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</si>
  <si>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</si>
  <si>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</si>
  <si>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</si>
  <si>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</si>
  <si>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</si>
  <si>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</si>
  <si>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</si>
  <si>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</si>
  <si>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</si>
  <si>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</si>
  <si>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</si>
  <si>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</si>
  <si>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</si>
  <si>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</si>
  <si>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</si>
  <si>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</si>
  <si>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</si>
  <si>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</si>
  <si>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</si>
  <si>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</si>
  <si>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</si>
  <si>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</si>
  <si>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</si>
  <si>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</si>
  <si>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</si>
  <si>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</si>
  <si>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</si>
  <si>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</si>
  <si>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</si>
  <si>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</si>
  <si>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</si>
  <si>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</si>
  <si>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</si>
  <si>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</si>
  <si>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</si>
  <si>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</si>
  <si>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</si>
  <si>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</si>
  <si>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</si>
  <si>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</si>
  <si>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</si>
  <si>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</si>
  <si>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</si>
  <si>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</si>
  <si>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</si>
  <si>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</si>
  <si>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</si>
  <si>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</si>
  <si>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</si>
  <si>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</si>
  <si>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</si>
  <si>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</si>
  <si>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</si>
  <si>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</si>
  <si>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</si>
  <si>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</si>
  <si>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</si>
  <si>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</si>
  <si>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</si>
  <si>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</si>
  <si>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</si>
  <si>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</si>
  <si>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</si>
  <si>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</si>
  <si>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</si>
  <si>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</si>
  <si>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</si>
  <si>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</si>
  <si>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</si>
  <si>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</si>
  <si>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</si>
  <si>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</si>
  <si>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</si>
  <si>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</si>
  <si>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</si>
  <si>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</si>
  <si>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</si>
  <si>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</si>
  <si>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</si>
  <si>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</si>
  <si>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</si>
  <si>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</si>
  <si>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</si>
  <si>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</si>
  <si>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</si>
  <si>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</si>
  <si>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</si>
  <si>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</si>
  <si>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</si>
  <si>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</si>
  <si>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</si>
  <si>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</si>
  <si>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</si>
  <si>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</si>
  <si>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</si>
  <si>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</si>
  <si>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</si>
  <si>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</si>
  <si>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</si>
  <si>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</si>
  <si>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</si>
  <si>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</si>
  <si>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</si>
  <si>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</si>
  <si>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</si>
  <si>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</si>
  <si>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</si>
  <si>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</si>
  <si>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</si>
  <si>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</si>
  <si>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</si>
  <si>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</si>
  <si>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</si>
  <si>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</si>
  <si>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</si>
  <si>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</si>
  <si>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</si>
  <si>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</si>
  <si>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</si>
  <si>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</si>
  <si>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</si>
  <si>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</si>
  <si>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</si>
  <si>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</si>
  <si>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</si>
  <si>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</si>
  <si>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</si>
  <si>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</si>
  <si>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</si>
  <si>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</si>
  <si>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</si>
  <si>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</si>
  <si>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</si>
  <si>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</si>
  <si>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</si>
  <si>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</si>
  <si>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</si>
  <si>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</si>
  <si>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</si>
  <si>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</si>
  <si>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</si>
  <si>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</si>
  <si>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</si>
  <si>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</si>
  <si>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</si>
  <si>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</si>
  <si>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</si>
  <si>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</si>
  <si>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</si>
  <si>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</si>
  <si>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</si>
  <si>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</si>
  <si>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</si>
  <si>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</si>
  <si>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</si>
  <si>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</si>
  <si>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</si>
  <si>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</si>
  <si>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</si>
  <si>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</si>
  <si>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</si>
  <si>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</si>
  <si>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</si>
  <si>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</si>
  <si>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</si>
  <si>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</si>
  <si>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</si>
  <si>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</si>
  <si>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</si>
  <si>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</si>
  <si>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</si>
  <si>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</si>
  <si>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</si>
  <si>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</si>
  <si>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</si>
  <si>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</si>
  <si>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</si>
  <si>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</si>
  <si>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</si>
  <si>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</si>
  <si>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</si>
  <si>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</si>
  <si>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</si>
  <si>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</si>
  <si>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</si>
  <si>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</si>
  <si>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</si>
  <si>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</si>
  <si>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</si>
  <si>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</si>
  <si>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</si>
  <si>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</si>
  <si>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</si>
  <si>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</si>
  <si>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</si>
  <si>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</si>
  <si>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</si>
  <si>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</si>
  <si>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</si>
  <si>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</si>
  <si>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</si>
  <si>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</si>
  <si>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</si>
  <si>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</si>
  <si>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</si>
  <si>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</si>
  <si>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</si>
  <si>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</si>
  <si>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</si>
  <si>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</si>
  <si>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</si>
  <si>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</si>
  <si>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</si>
  <si>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</si>
  <si>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</si>
  <si>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</si>
  <si>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</si>
  <si>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</si>
  <si>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</si>
  <si>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</si>
  <si>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</si>
  <si>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</si>
  <si>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</si>
  <si>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</si>
  <si>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</si>
  <si>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</si>
  <si>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</si>
  <si>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</si>
  <si>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</si>
  <si>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</si>
  <si>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</si>
  <si>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</si>
  <si>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</si>
  <si>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</si>
  <si>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</si>
  <si>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</si>
  <si>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</si>
  <si>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</si>
  <si>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</si>
  <si>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</si>
  <si>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</si>
  <si>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</si>
  <si>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</si>
  <si>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</si>
  <si>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</si>
  <si>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</si>
  <si>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</si>
  <si>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</si>
  <si>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</si>
  <si>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</si>
  <si>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</si>
  <si>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</si>
  <si>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</si>
  <si>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</si>
  <si>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</si>
  <si>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</si>
  <si>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</si>
  <si>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</si>
  <si>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</si>
  <si>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</si>
  <si>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</si>
  <si>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</si>
  <si>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</si>
  <si>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</si>
  <si>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</si>
  <si>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</si>
  <si>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</si>
  <si>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</si>
  <si>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</si>
  <si>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</si>
  <si>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</si>
  <si>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</si>
  <si>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</si>
  <si>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</si>
  <si>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</si>
  <si>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</si>
  <si>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</si>
  <si>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</si>
  <si>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</si>
  <si>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</si>
  <si>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</si>
  <si>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</si>
  <si>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</si>
  <si>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</si>
  <si>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</si>
  <si>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</si>
  <si>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</si>
  <si>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</si>
  <si>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</si>
  <si>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</si>
  <si>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</si>
  <si>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</si>
  <si>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</si>
  <si>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</si>
  <si>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</si>
  <si>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</si>
  <si>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</si>
  <si>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</si>
  <si>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</si>
  <si>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</si>
  <si>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</si>
  <si>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</si>
  <si>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</si>
  <si>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</si>
  <si>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</si>
  <si>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</si>
  <si>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</si>
  <si>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</si>
  <si>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</si>
  <si>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</si>
  <si>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</si>
  <si>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</si>
  <si>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</si>
  <si>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</si>
  <si>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</si>
  <si>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</si>
  <si>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</si>
  <si>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</si>
  <si>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</si>
  <si>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</si>
  <si>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</si>
  <si>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</si>
  <si>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</si>
  <si>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</si>
  <si>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</si>
  <si>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</si>
  <si>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</si>
  <si>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</si>
  <si>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</si>
  <si>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</si>
  <si>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</si>
  <si>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</si>
  <si>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</si>
  <si>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</si>
  <si>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</si>
  <si>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</si>
  <si>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</si>
  <si>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</si>
  <si>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</si>
  <si>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</si>
  <si>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</si>
  <si>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</si>
  <si>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</si>
  <si>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</si>
  <si>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</si>
  <si>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</si>
  <si>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</si>
  <si>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</si>
  <si>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</si>
  <si>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</si>
  <si>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</si>
  <si>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</si>
  <si>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</si>
  <si>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</si>
  <si>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</si>
  <si>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</si>
  <si>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</si>
  <si>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</si>
  <si>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</si>
  <si>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</si>
  <si>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</si>
  <si>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</si>
  <si>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</si>
  <si>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</si>
  <si>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</si>
  <si>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</si>
  <si>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</si>
  <si>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</si>
  <si>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</si>
  <si>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</si>
  <si>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</si>
  <si>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</si>
  <si>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</si>
  <si>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</si>
  <si>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</si>
  <si>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</si>
  <si>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</si>
  <si>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</si>
  <si>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</si>
  <si>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</si>
  <si>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</si>
  <si>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</si>
  <si>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</si>
  <si>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</si>
  <si>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</si>
  <si>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</si>
  <si>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</si>
  <si>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</si>
  <si>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</si>
  <si>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</si>
  <si>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</si>
  <si>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</si>
  <si>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</si>
  <si>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</si>
  <si>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</si>
  <si>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</si>
  <si>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</si>
  <si>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</si>
  <si>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</si>
  <si>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</si>
  <si>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</si>
  <si>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</si>
  <si>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</si>
  <si>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</si>
  <si>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</si>
  <si>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</si>
  <si>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</si>
  <si>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</si>
  <si>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</si>
  <si>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</si>
  <si>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</si>
  <si>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</si>
  <si>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</si>
  <si>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</si>
  <si>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</si>
  <si>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</si>
  <si>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</si>
  <si>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</si>
  <si>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</si>
  <si>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</si>
  <si>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</si>
  <si>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</si>
  <si>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</si>
  <si>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</si>
  <si>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</si>
  <si>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</si>
  <si>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</si>
  <si>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</si>
  <si>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</si>
  <si>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</si>
  <si>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</si>
  <si>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</si>
  <si>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</si>
  <si>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</si>
  <si>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</si>
  <si>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</si>
  <si>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</si>
  <si>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</si>
  <si>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</si>
  <si>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</si>
  <si>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</si>
  <si>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</si>
  <si>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</si>
  <si>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</si>
  <si>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</si>
  <si>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</si>
  <si>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</si>
  <si>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</si>
  <si>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</si>
  <si>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</si>
  <si>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</si>
  <si>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</si>
  <si>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</si>
  <si>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</si>
  <si>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</si>
  <si>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</si>
  <si>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</si>
  <si>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</si>
  <si>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</si>
  <si>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</si>
  <si>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</si>
  <si>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</si>
  <si>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</si>
  <si>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</si>
  <si>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</si>
  <si>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</si>
  <si>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</si>
  <si>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</si>
  <si>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</si>
  <si>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</si>
  <si>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</si>
  <si>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</si>
  <si>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</si>
  <si>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</si>
  <si>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</si>
  <si>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</si>
  <si>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</si>
  <si>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</si>
  <si>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</si>
  <si>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</si>
  <si>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</si>
  <si>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</si>
  <si>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</si>
  <si>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</si>
  <si>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</si>
  <si>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</si>
  <si>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</si>
  <si>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</si>
  <si>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</si>
  <si>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</si>
  <si>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</si>
  <si>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</si>
  <si>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</si>
  <si>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</si>
  <si>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</si>
  <si>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</si>
  <si>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</si>
  <si>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</si>
  <si>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</si>
  <si>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</si>
  <si>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</si>
  <si>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</si>
  <si>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</si>
  <si>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</si>
  <si>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</si>
  <si>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</si>
  <si>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</si>
  <si>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</si>
  <si>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</si>
  <si>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</si>
  <si>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</si>
  <si>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</si>
  <si>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</si>
  <si>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</si>
  <si>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</si>
  <si>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</si>
  <si>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</si>
  <si>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</si>
  <si>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</si>
  <si>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</si>
  <si>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</si>
  <si>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</si>
  <si>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</si>
  <si>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</si>
  <si>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</si>
  <si>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</si>
  <si>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</si>
  <si>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</si>
  <si>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</si>
  <si>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</si>
  <si>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</si>
  <si>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</si>
  <si>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</si>
  <si>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</si>
  <si>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</si>
  <si>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</si>
  <si>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</si>
  <si>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</si>
  <si>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</si>
  <si>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</si>
  <si>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</si>
  <si>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</si>
  <si>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</si>
  <si>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</si>
  <si>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</si>
  <si>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</si>
  <si>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</si>
  <si>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</si>
  <si>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</si>
  <si>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</si>
  <si>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</si>
  <si>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</si>
  <si>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</si>
  <si>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</si>
  <si>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</si>
  <si>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</si>
  <si>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</si>
  <si>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</si>
  <si>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</si>
  <si>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</si>
  <si>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</si>
  <si>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</si>
  <si>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</si>
  <si>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</si>
  <si>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</si>
  <si>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</si>
  <si>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</si>
  <si>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</si>
  <si>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</si>
  <si>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</si>
  <si>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</si>
  <si>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</si>
  <si>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</si>
  <si>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</si>
  <si>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</si>
  <si>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</si>
  <si>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</si>
  <si>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</si>
  <si>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</si>
  <si>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</si>
  <si>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</si>
  <si>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</si>
  <si>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</si>
  <si>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</si>
  <si>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</si>
  <si>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</si>
  <si>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</si>
  <si>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</si>
  <si>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</si>
  <si>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</si>
  <si>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</si>
  <si>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</si>
  <si>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</si>
  <si>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</si>
  <si>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</si>
  <si>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</si>
  <si>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</si>
  <si>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</si>
  <si>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</si>
  <si>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</si>
  <si>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</si>
  <si>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</si>
  <si>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</si>
  <si>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</si>
  <si>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</si>
  <si>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</si>
  <si>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</si>
  <si>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</si>
  <si>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</si>
  <si>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</si>
  <si>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</si>
  <si>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</si>
  <si>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</si>
  <si>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</si>
  <si>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</si>
  <si>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</si>
  <si>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</si>
  <si>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</si>
  <si>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</si>
  <si>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</si>
  <si>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</si>
  <si>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</si>
  <si>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</si>
  <si>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</si>
  <si>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</si>
  <si>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</si>
  <si>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</si>
  <si>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</si>
  <si>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</si>
  <si>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</si>
  <si>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</si>
  <si>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</si>
  <si>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</si>
  <si>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</si>
  <si>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</si>
  <si>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</si>
  <si>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</si>
  <si>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</si>
  <si>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</si>
  <si>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</si>
  <si>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</si>
  <si>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</si>
  <si>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</si>
  <si>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</si>
  <si>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</si>
  <si>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</si>
  <si>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</si>
  <si>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</si>
  <si>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</si>
  <si>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</si>
  <si>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</si>
  <si>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</si>
  <si>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</si>
  <si>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</si>
  <si>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</si>
  <si>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</si>
  <si>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</si>
  <si>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</si>
  <si>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</si>
  <si>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</si>
  <si>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</si>
  <si>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</si>
  <si>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</si>
  <si>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</si>
  <si>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</si>
  <si>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</si>
  <si>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</si>
  <si>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</si>
  <si>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</si>
  <si>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</si>
  <si>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</si>
  <si>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</si>
  <si>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</si>
  <si>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</si>
  <si>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</si>
  <si>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</si>
  <si>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</si>
  <si>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</si>
  <si>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</si>
  <si>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</si>
  <si>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</si>
  <si>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</si>
  <si>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</si>
  <si>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</si>
  <si>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</si>
  <si>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</si>
  <si>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</si>
  <si>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</si>
  <si>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</si>
  <si>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</si>
  <si>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</si>
  <si>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</si>
  <si>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</si>
  <si>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</si>
  <si>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</si>
  <si>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</si>
  <si>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</si>
  <si>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</si>
  <si>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</si>
  <si>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</si>
  <si>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</si>
  <si>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</si>
  <si>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</si>
  <si>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</si>
  <si>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</si>
  <si>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</si>
  <si>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</si>
  <si>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</si>
  <si>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</si>
  <si>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</si>
  <si>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</si>
  <si>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</si>
  <si>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</si>
  <si>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</si>
  <si>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</si>
  <si>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</si>
  <si>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</si>
  <si>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</si>
  <si>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</si>
  <si>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</si>
  <si>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</si>
  <si>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</si>
  <si>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</si>
  <si>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</si>
  <si>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</si>
  <si>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</si>
  <si>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</si>
  <si>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</si>
  <si>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</si>
  <si>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</si>
  <si>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</si>
  <si>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</si>
  <si>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</si>
  <si>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</si>
  <si>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</si>
  <si>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</si>
  <si>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</si>
  <si>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</si>
  <si>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</si>
  <si>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</si>
  <si>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</si>
  <si>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</si>
  <si>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</si>
  <si>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</si>
  <si>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</si>
  <si>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</si>
  <si>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</si>
  <si>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</si>
  <si>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</si>
  <si>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</si>
  <si>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</si>
  <si>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</si>
  <si>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</si>
  <si>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</si>
  <si>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</si>
  <si>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</si>
  <si>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</si>
  <si>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</si>
  <si>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</si>
  <si>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</si>
  <si>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</si>
  <si>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</si>
  <si>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</si>
  <si>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</si>
  <si>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</si>
  <si>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</si>
  <si>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</si>
  <si>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</si>
  <si>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</si>
  <si>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</si>
  <si>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</si>
  <si>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</si>
  <si>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</si>
  <si>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</si>
  <si>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</si>
  <si>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</si>
  <si>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</si>
  <si>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</si>
  <si>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</si>
  <si>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</si>
  <si>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</si>
  <si>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</si>
  <si>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</si>
  <si>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</si>
  <si>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</si>
  <si>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</si>
  <si>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</si>
  <si>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</si>
  <si>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</si>
  <si>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</si>
  <si>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</si>
  <si>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</si>
  <si>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</si>
  <si>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</si>
  <si>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</si>
  <si>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</si>
  <si>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</si>
  <si>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</si>
  <si>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</si>
  <si>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</si>
  <si>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</si>
  <si>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</si>
  <si>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</si>
  <si>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</si>
  <si>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</si>
  <si>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</si>
  <si>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</si>
  <si>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</si>
  <si>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</si>
  <si>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</si>
  <si>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</si>
  <si>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</si>
  <si>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</si>
  <si>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</si>
  <si>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</si>
  <si>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</si>
  <si>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</si>
  <si>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</si>
  <si>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</si>
  <si>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</si>
  <si>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</si>
  <si>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</si>
  <si>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</si>
  <si>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</si>
  <si>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</si>
  <si>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</si>
  <si>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</si>
  <si>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</si>
  <si>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</si>
  <si>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</si>
  <si>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</si>
  <si>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</si>
  <si>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</si>
  <si>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</si>
  <si>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</si>
  <si>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</si>
  <si>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</si>
  <si>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</si>
  <si>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</si>
  <si>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</si>
  <si>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</si>
  <si>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</si>
  <si>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</si>
  <si>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</si>
  <si>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</si>
  <si>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</si>
  <si>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</si>
  <si>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</si>
  <si>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</si>
  <si>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</si>
  <si>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</si>
  <si>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</si>
  <si>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</si>
  <si>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</si>
  <si>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</si>
  <si>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</si>
  <si>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</si>
  <si>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</si>
  <si>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</si>
  <si>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</si>
  <si>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</si>
  <si>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</si>
  <si>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</si>
  <si>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</si>
  <si>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</si>
  <si>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</si>
  <si>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</si>
  <si>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</si>
  <si>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</si>
  <si>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</si>
  <si>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</si>
  <si>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</si>
  <si>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</si>
  <si>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</si>
  <si>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</si>
  <si>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</si>
  <si>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</si>
  <si>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</si>
  <si>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</si>
  <si>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</si>
  <si>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</si>
  <si>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</si>
  <si>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</si>
  <si>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</si>
  <si>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</si>
  <si>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</si>
  <si>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</si>
  <si>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</si>
  <si>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</si>
  <si>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</si>
  <si>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</si>
  <si>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</si>
  <si>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</si>
  <si>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</si>
  <si>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</si>
  <si>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</si>
  <si>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</si>
  <si>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</si>
  <si>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</si>
  <si>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</si>
  <si>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</si>
  <si>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</si>
  <si>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</si>
  <si>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</si>
  <si>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</si>
  <si>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</si>
  <si>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</si>
  <si>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</si>
  <si>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</si>
  <si>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</si>
  <si>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</si>
  <si>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</si>
  <si>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</si>
  <si>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</si>
  <si>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</si>
  <si>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</si>
  <si>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</si>
  <si>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</si>
  <si>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</si>
  <si>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</si>
  <si>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</si>
  <si>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</si>
  <si>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</si>
  <si>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</si>
  <si>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</si>
  <si>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</si>
  <si>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</si>
  <si>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</si>
  <si>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</si>
  <si>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</si>
  <si>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</si>
  <si>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</si>
  <si>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</si>
  <si>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</si>
  <si>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</si>
  <si>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</si>
  <si>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</si>
  <si>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</si>
  <si>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</si>
  <si>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</si>
  <si>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</si>
  <si>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</si>
  <si>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</si>
  <si>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</si>
  <si>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</si>
  <si>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</si>
  <si>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</si>
  <si>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</si>
  <si>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</si>
  <si>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</si>
  <si>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</si>
  <si>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</si>
  <si>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</si>
  <si>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</si>
  <si>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</si>
  <si>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</si>
  <si>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</si>
  <si>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</si>
  <si>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</si>
  <si>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</si>
  <si>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</si>
  <si>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</si>
  <si>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</si>
  <si>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</si>
  <si>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</si>
  <si>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</si>
  <si>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</si>
  <si>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</si>
  <si>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</si>
  <si>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</si>
  <si>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</si>
  <si>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</si>
  <si>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</si>
  <si>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</si>
  <si>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</si>
  <si>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</si>
  <si>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</si>
  <si>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</si>
  <si>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</si>
  <si>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</si>
  <si>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</si>
  <si>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</si>
  <si>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</si>
  <si>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</si>
  <si>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</si>
  <si>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</si>
  <si>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</si>
  <si>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</si>
  <si>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</si>
  <si>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</si>
  <si>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</si>
  <si>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</si>
  <si>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</si>
  <si>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</si>
  <si>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</si>
  <si>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</si>
  <si>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</si>
  <si>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</si>
  <si>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</si>
  <si>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</si>
  <si>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</si>
  <si>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</si>
  <si>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</si>
  <si>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</si>
  <si>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</si>
  <si>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</si>
  <si>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</si>
  <si>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</si>
  <si>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</si>
  <si>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</si>
  <si>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</si>
  <si>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</si>
  <si>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</si>
  <si>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</si>
  <si>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</si>
  <si>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</si>
  <si>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</si>
  <si>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</si>
  <si>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</si>
  <si>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</si>
  <si>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</si>
  <si>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</si>
  <si>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</si>
  <si>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</si>
  <si>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</si>
  <si>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</si>
  <si>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</si>
  <si>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</si>
  <si>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</si>
  <si>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</si>
  <si>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</si>
  <si>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</si>
  <si>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</si>
  <si>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</si>
  <si>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</si>
  <si>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</si>
  <si>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</si>
  <si>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</si>
  <si>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</si>
  <si>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</si>
  <si>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</si>
  <si>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</si>
  <si>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</si>
  <si>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</si>
  <si>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</si>
  <si>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</si>
  <si>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</si>
  <si>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</si>
  <si>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</si>
  <si>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</si>
  <si>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</si>
  <si>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</si>
  <si>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</si>
  <si>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</si>
  <si>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</si>
  <si>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</si>
  <si>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</si>
  <si>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</si>
  <si>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</si>
  <si>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</si>
  <si>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</si>
  <si>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</si>
  <si>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</si>
  <si>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</si>
  <si>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</si>
  <si>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</si>
  <si>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</si>
  <si>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</si>
  <si>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</si>
  <si>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</si>
  <si>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</si>
  <si>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</si>
  <si>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</si>
  <si>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</si>
  <si>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</si>
  <si>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</si>
  <si>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</si>
  <si>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</si>
  <si>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</si>
  <si>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</si>
  <si>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</si>
  <si>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</si>
  <si>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</si>
  <si>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</si>
  <si>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</si>
  <si>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</si>
  <si>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</si>
  <si>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</si>
  <si>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</si>
  <si>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</si>
  <si>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</si>
  <si>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</si>
  <si>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</si>
  <si>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</si>
  <si>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</si>
  <si>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</si>
  <si>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</si>
  <si>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</si>
  <si>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</si>
  <si>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</si>
  <si>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</si>
  <si>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</si>
  <si>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</si>
  <si>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</si>
  <si>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</si>
  <si>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</si>
  <si>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</si>
  <si>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</si>
  <si>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</si>
  <si>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</si>
  <si>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</si>
  <si>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</si>
  <si>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</si>
  <si>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</si>
  <si>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</si>
  <si>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</si>
  <si>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</si>
  <si>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</si>
  <si>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</si>
  <si>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</si>
  <si>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</si>
  <si>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</si>
  <si>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</si>
  <si>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</si>
  <si>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</si>
  <si>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</si>
  <si>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</si>
  <si>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</si>
  <si>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</si>
  <si>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</si>
  <si>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</si>
  <si>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</si>
  <si>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</si>
  <si>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</si>
  <si>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</si>
  <si>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</si>
  <si>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</si>
  <si>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</si>
  <si>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</si>
  <si>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</si>
  <si>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</si>
  <si>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</si>
  <si>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</si>
  <si>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</si>
  <si>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</si>
  <si>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</si>
  <si>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</si>
  <si>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</si>
  <si>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</si>
  <si>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</si>
  <si>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</si>
  <si>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</si>
  <si>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</si>
  <si>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</si>
  <si>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</si>
  <si>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</si>
  <si>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</si>
  <si>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</si>
  <si>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</si>
  <si>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</si>
  <si>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</si>
  <si>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</si>
  <si>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</si>
  <si>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</si>
  <si>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</si>
  <si>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</si>
  <si>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</si>
  <si>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</si>
  <si>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</si>
  <si>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</si>
  <si>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</si>
  <si>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</si>
  <si>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</si>
  <si>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</si>
  <si>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</si>
  <si>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</si>
  <si>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</si>
  <si>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</si>
  <si>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</si>
  <si>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</si>
  <si>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</si>
  <si>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</si>
  <si>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</si>
  <si>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</si>
  <si>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</si>
  <si>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</si>
  <si>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</si>
  <si>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</si>
  <si>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</si>
  <si>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</si>
  <si>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</si>
  <si>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</si>
  <si>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</si>
  <si>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</si>
  <si>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</si>
  <si>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</si>
  <si>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</si>
  <si>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</si>
  <si>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</si>
  <si>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</si>
  <si>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</si>
  <si>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</si>
  <si>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</si>
  <si>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</si>
  <si>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</si>
  <si>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</si>
  <si>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</si>
  <si>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</si>
  <si>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</si>
  <si>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</si>
  <si>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</si>
  <si>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</si>
  <si>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</si>
  <si>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</si>
  <si>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</si>
  <si>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</si>
  <si>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</si>
  <si>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</si>
  <si>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</si>
  <si>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</si>
  <si>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</si>
  <si>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</si>
  <si>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</si>
  <si>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</si>
  <si>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</si>
  <si>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</si>
  <si>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</si>
  <si>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</si>
  <si>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</si>
  <si>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</si>
  <si>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</si>
  <si>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</si>
  <si>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</si>
  <si>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</si>
  <si>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</si>
  <si>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</si>
  <si>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</si>
  <si>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</si>
  <si>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</si>
  <si>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</si>
  <si>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</si>
  <si>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</si>
  <si>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</si>
  <si>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</si>
  <si>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</si>
  <si>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</si>
  <si>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</si>
  <si>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</si>
  <si>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</si>
  <si>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</si>
  <si>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</si>
  <si>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</si>
  <si>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</si>
  <si>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</si>
  <si>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</si>
  <si>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</si>
  <si>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</si>
  <si>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</si>
  <si>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</si>
  <si>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</si>
  <si>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</si>
  <si>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</si>
  <si>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</si>
  <si>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</si>
  <si>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</si>
  <si>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</si>
  <si>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</si>
  <si>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</si>
  <si>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</si>
  <si>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</si>
  <si>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</si>
  <si>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</si>
  <si>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</si>
  <si>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</si>
  <si>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</si>
  <si>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</si>
  <si>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</si>
  <si>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</si>
  <si>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</si>
  <si>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</si>
  <si>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</si>
  <si>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</si>
  <si>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</si>
  <si>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</si>
  <si>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</si>
  <si>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</si>
  <si>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</si>
  <si>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</si>
  <si>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</si>
  <si>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</si>
  <si>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</si>
  <si>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</si>
  <si>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</si>
  <si>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</si>
  <si>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</si>
  <si>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</si>
  <si>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</si>
  <si>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</si>
  <si>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</si>
  <si>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</si>
  <si>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</si>
  <si>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</si>
  <si>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</si>
  <si>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</si>
  <si>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</si>
  <si>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</si>
  <si>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</si>
  <si>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</si>
  <si>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</si>
  <si>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</si>
  <si>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</si>
  <si>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</si>
  <si>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</si>
  <si>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</si>
  <si>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</si>
  <si>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</si>
  <si>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</si>
  <si>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</si>
  <si>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</si>
  <si>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</si>
  <si>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</si>
  <si>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</si>
  <si>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</si>
  <si>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</si>
  <si>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</si>
  <si>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</si>
  <si>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</si>
  <si>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</si>
  <si>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</si>
  <si>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</si>
  <si>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</si>
  <si>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</si>
  <si>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</si>
  <si>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</si>
  <si>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</si>
  <si>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</si>
  <si>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</si>
  <si>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</si>
  <si>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</si>
  <si>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</si>
  <si>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</si>
  <si>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</si>
  <si>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</si>
  <si>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</si>
  <si>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</si>
  <si>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</si>
  <si>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</si>
  <si>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</si>
  <si>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</si>
  <si>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</si>
  <si>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</si>
  <si>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</si>
  <si>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</si>
  <si>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</si>
  <si>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</si>
  <si>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</si>
  <si>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</si>
  <si>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</si>
  <si>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</si>
  <si>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</si>
  <si>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</si>
  <si>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</si>
  <si>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</si>
  <si>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</si>
  <si>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</si>
  <si>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</si>
  <si>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</si>
  <si>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</si>
  <si>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</si>
  <si>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</si>
  <si>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</si>
  <si>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</si>
  <si>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</si>
  <si>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</si>
  <si>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</si>
  <si>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</si>
  <si>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</si>
  <si>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</si>
  <si>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</si>
  <si>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</si>
  <si>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</si>
  <si>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</si>
  <si>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</si>
  <si>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</si>
  <si>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</si>
  <si>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</si>
  <si>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</si>
  <si>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</si>
  <si>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</si>
  <si>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</si>
  <si>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</si>
  <si>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</si>
  <si>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</si>
  <si>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</si>
  <si>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</si>
  <si>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</si>
  <si>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</si>
  <si>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</si>
  <si>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</si>
  <si>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</si>
  <si>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</si>
  <si>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</si>
  <si>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</si>
  <si>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</si>
  <si>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</si>
  <si>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</si>
  <si>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</si>
  <si>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</si>
  <si>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</si>
  <si>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</si>
  <si>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</si>
  <si>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</si>
  <si>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</si>
  <si>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</si>
  <si>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</si>
  <si>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</si>
  <si>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</si>
  <si>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</si>
  <si>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</si>
  <si>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</si>
  <si>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</si>
  <si>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</si>
  <si>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</si>
  <si>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</si>
  <si>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</si>
  <si>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</si>
  <si>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</si>
  <si>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</si>
  <si>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</si>
  <si>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</si>
  <si>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</si>
  <si>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</si>
  <si>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</si>
  <si>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</si>
  <si>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</si>
  <si>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</si>
  <si>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</si>
  <si>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</si>
  <si>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</si>
  <si>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</si>
  <si>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</si>
  <si>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</si>
  <si>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</si>
  <si>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</si>
  <si>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</si>
  <si>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</si>
  <si>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</si>
  <si>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</si>
  <si>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</si>
  <si>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</si>
  <si>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</si>
  <si>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</si>
  <si>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</si>
  <si>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</si>
  <si>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</si>
  <si>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</si>
  <si>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</si>
  <si>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</si>
  <si>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</si>
  <si>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</si>
  <si>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</si>
  <si>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</si>
  <si>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</si>
  <si>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</si>
  <si>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</si>
  <si>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</si>
  <si>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</si>
  <si>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</si>
  <si>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</si>
  <si>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</si>
  <si>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</si>
  <si>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</si>
  <si>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</si>
  <si>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</si>
  <si>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</si>
  <si>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</si>
  <si>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</si>
  <si>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</si>
  <si>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</si>
  <si>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</si>
  <si>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</si>
  <si>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</si>
  <si>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</si>
  <si>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</si>
  <si>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</si>
  <si>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</si>
  <si>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</si>
  <si>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</si>
  <si>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</si>
  <si>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</si>
  <si>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</si>
  <si>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</si>
  <si>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</si>
  <si>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</si>
  <si>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</si>
  <si>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</si>
  <si>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</si>
  <si>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</si>
  <si>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</si>
  <si>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</si>
  <si>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</si>
  <si>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</si>
  <si>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</si>
  <si>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</si>
  <si>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</si>
  <si>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</si>
  <si>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</si>
  <si>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</si>
  <si>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</si>
  <si>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</si>
  <si>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</si>
  <si>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</si>
  <si>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</si>
  <si>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</si>
  <si>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</si>
  <si>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</si>
  <si>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</si>
  <si>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</si>
  <si>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</si>
  <si>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</si>
  <si>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</si>
  <si>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</si>
  <si>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</si>
  <si>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</si>
  <si>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</si>
  <si>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</si>
  <si>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</si>
  <si>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</si>
  <si>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</si>
  <si>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</si>
  <si>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</si>
  <si>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</si>
  <si>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</si>
  <si>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</si>
  <si>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</si>
  <si>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</si>
  <si>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</si>
  <si>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</si>
  <si>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</si>
  <si>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</si>
  <si>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</si>
  <si>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</si>
  <si>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</si>
  <si>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</si>
  <si>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</si>
  <si>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</si>
  <si>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</si>
  <si>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</si>
  <si>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</si>
  <si>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</si>
  <si>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</si>
  <si>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</si>
  <si>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</si>
  <si>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</si>
  <si>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</si>
  <si>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</si>
  <si>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</si>
  <si>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</si>
  <si>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</si>
  <si>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</si>
  <si>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</si>
  <si>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</si>
  <si>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</si>
  <si>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</si>
  <si>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</si>
  <si>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</si>
  <si>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</si>
  <si>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</si>
  <si>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</si>
  <si>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</si>
  <si>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</si>
  <si>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</si>
  <si>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</si>
  <si>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</si>
  <si>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</si>
  <si>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</si>
  <si>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</si>
  <si>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</si>
  <si>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</si>
  <si>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</si>
  <si>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</si>
  <si>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</si>
  <si>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</si>
  <si>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</si>
  <si>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</si>
  <si>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</si>
  <si>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</si>
  <si>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</si>
  <si>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</si>
  <si>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</si>
  <si>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</si>
  <si>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</si>
  <si>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</si>
  <si>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</si>
  <si>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</si>
  <si>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</si>
  <si>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</si>
  <si>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</si>
  <si>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</si>
  <si>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</si>
  <si>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</si>
  <si>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</si>
  <si>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</si>
  <si>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</si>
  <si>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</si>
  <si>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</si>
  <si>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>S30(20JULHO-25JULHO 2026)</t>
  </si>
  <si>
    <t xml:space="preserve">MAQUINAS DE EQUILIBRAR </t>
  </si>
  <si>
    <t>600P</t>
  </si>
  <si>
    <t>MAO DE OBRA</t>
  </si>
  <si>
    <t>S30(21JULHO-27JULHO 2025)</t>
  </si>
  <si>
    <t>S30(20JULHO-26JULHO 2026)</t>
  </si>
  <si>
    <t>MAQUINAS DESMONTAR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</si>
</sst>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5" applyNumberFormat="0" applyAlignment="0" applyProtection="0"/>
    <xf numFmtId="0" fontId="12" fillId="8" borderId="6" applyNumberFormat="0" applyAlignment="0" applyProtection="0"/>
    <xf numFmtId="0" fontId="13" fillId="8" borderId="5" applyNumberFormat="0" applyAlignment="0" applyProtection="0"/>
    <xf numFmtId="0" fontId="14" fillId="0" borderId="7" applyNumberFormat="0" applyFill="0" applyAlignment="0" applyProtection="0"/>
    <xf numFmtId="0" fontId="15" fillId="9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0" applyNumberFormat="0" applyFill="0" applyAlignment="0" applyProtection="0"/>
    <xf numFmtId="0" fontId="19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9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9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9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9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9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10" borderId="9" applyNumberFormat="0" applyFont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2" fillId="0" borderId="1" xfId="0" applyFont="1" applyBorder="1" applyAlignment="1">
      <alignment horizontal="left" vertical="top"/>
    </xf>
    <xf numFmtId="10" fontId="2" fillId="0" borderId="1" xfId="0" applyNumberFormat="1" applyFont="1" applyBorder="1" applyAlignment="1">
      <alignment horizontal="center" vertical="top"/>
    </xf>
    <xf numFmtId="10" fontId="3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2" fillId="0" borderId="1" xfId="0" applyNumberFormat="1" applyFont="1" applyBorder="1" applyAlignment="1">
      <alignment horizontal="center" vertical="top"/>
    </xf>
    <xf numFmtId="166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/>
    <xf numFmtId="10" fontId="3" fillId="2" borderId="0" xfId="0" applyNumberFormat="1" applyFont="1" applyFill="1"/>
    <xf numFmtId="10" fontId="3" fillId="3" borderId="0" xfId="0" applyNumberFormat="1" applyFont="1" applyFill="1"/>
    <xf numFmtId="10" fontId="3" fillId="0" borderId="0" xfId="0" quotePrefix="1" applyNumberFormat="1" applyFont="1"/>
    <xf numFmtId="164" fontId="3" fillId="0" borderId="0" xfId="41" applyNumberFormat="1" applyFont="1"/>
    <xf numFmtId="165" fontId="3" fillId="0" borderId="0" xfId="41" applyNumberFormat="1" applyFont="1"/>
    <xf numFmtId="0" fontId="3" fillId="0" borderId="0" xfId="41" applyFont="1"/>
  </cellXfs>
  <cellStyles count="43">
    <cellStyle name="20% - Cor1" xfId="18" builtinId="30" customBuiltin="1"/>
    <cellStyle name="20% - Cor2" xfId="22" builtinId="34" customBuiltin="1"/>
    <cellStyle name="20% - Cor3" xfId="26" builtinId="38" customBuiltin="1"/>
    <cellStyle name="20% - Cor4" xfId="30" builtinId="42" customBuiltin="1"/>
    <cellStyle name="20% - Cor5" xfId="34" builtinId="46" customBuiltin="1"/>
    <cellStyle name="20% - Cor6" xfId="38" builtinId="50" customBuiltin="1"/>
    <cellStyle name="40% - Cor1" xfId="19" builtinId="31" customBuiltin="1"/>
    <cellStyle name="40% - Cor2" xfId="23" builtinId="35" customBuiltin="1"/>
    <cellStyle name="40% - Cor3" xfId="27" builtinId="39" customBuiltin="1"/>
    <cellStyle name="40% - Cor4" xfId="31" builtinId="43" customBuiltin="1"/>
    <cellStyle name="40% - Cor5" xfId="35" builtinId="47" customBuiltin="1"/>
    <cellStyle name="40% - Cor6" xfId="39" builtinId="51" customBuiltin="1"/>
    <cellStyle name="60% - Cor1" xfId="20" builtinId="32" customBuiltin="1"/>
    <cellStyle name="60% - Cor2" xfId="24" builtinId="36" customBuiltin="1"/>
    <cellStyle name="60% - Cor3" xfId="28" builtinId="40" customBuiltin="1"/>
    <cellStyle name="60% - Cor4" xfId="32" builtinId="44" customBuiltin="1"/>
    <cellStyle name="60% - Cor5" xfId="36" builtinId="48" customBuiltin="1"/>
    <cellStyle name="60% - Cor6" xfId="40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ta 2" xfId="42" xr:uid="{B10ED945-6AC2-457D-9920-F6FD2C78ABDB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Sheet1!$AD$1:$AD$1716</c:f>
              <c:strCache>
                <c:ptCount val="1716"/>
                <c:pt idx="0">
                  <c:v>PAGAMENTO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Sheet1!$AD$1717:$AD$4445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C945-41EE-B830-FF721DD5CBD2}"/>
            </c:ext>
          </c:extLst>
        </c:ser>
        <c:ser>
          <c:idx val="1"/>
          <c:order val="1"/>
          <c:tx>
            <c:strRef>
              <c:f>Sheet1!$AE$1:$AE$1716</c:f>
              <c:strCache>
                <c:ptCount val="1716"/>
                <c:pt idx="0">
                  <c:v>CUSTO TRANSPORTE</c:v>
                </c:pt>
                <c:pt idx="128">
                  <c:v>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Sheet1!$AE$1717:$AE$4445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C945-41EE-B830-FF721DD5CBD2}"/>
            </c:ext>
          </c:extLst>
        </c:ser>
        <c:ser>
          <c:idx val="2"/>
          <c:order val="2"/>
          <c:tx>
            <c:strRef>
              <c:f>Sheet1!$AF$1:$AF$1716</c:f>
              <c:strCache>
                <c:ptCount val="1716"/>
                <c:pt idx="0">
                  <c:v>COMISSAO VENDEDOR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Sheet1!$AF$1717:$AF$4445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45-41EE-B830-FF721DD5CBD2}"/>
            </c:ext>
          </c:extLst>
        </c:ser>
        <c:ser>
          <c:idx val="3"/>
          <c:order val="3"/>
          <c:tx>
            <c:strRef>
              <c:f>Sheet1!$AG$1:$AG$1716</c:f>
              <c:strCache>
                <c:ptCount val="1716"/>
                <c:pt idx="0">
                  <c:v>PCOMPRA</c:v>
                </c:pt>
                <c:pt idx="1">
                  <c:v>14,535</c:v>
                </c:pt>
                <c:pt idx="2">
                  <c:v>6,6267</c:v>
                </c:pt>
                <c:pt idx="3">
                  <c:v>10,2346</c:v>
                </c:pt>
                <c:pt idx="4">
                  <c:v>5,2973</c:v>
                </c:pt>
                <c:pt idx="5">
                  <c:v>10,6</c:v>
                </c:pt>
                <c:pt idx="6">
                  <c:v>9,14</c:v>
                </c:pt>
                <c:pt idx="7">
                  <c:v>8,2</c:v>
                </c:pt>
                <c:pt idx="8">
                  <c:v>0,8561</c:v>
                </c:pt>
                <c:pt idx="9">
                  <c:v>15,0203</c:v>
                </c:pt>
                <c:pt idx="10">
                  <c:v>5,472</c:v>
                </c:pt>
                <c:pt idx="11">
                  <c:v>117,453</c:v>
                </c:pt>
                <c:pt idx="12">
                  <c:v>111,98</c:v>
                </c:pt>
                <c:pt idx="13">
                  <c:v>208,69</c:v>
                </c:pt>
                <c:pt idx="14">
                  <c:v>0,3995</c:v>
                </c:pt>
                <c:pt idx="15">
                  <c:v>3,5967</c:v>
                </c:pt>
                <c:pt idx="16">
                  <c:v>2,475</c:v>
                </c:pt>
                <c:pt idx="17">
                  <c:v>1,14</c:v>
                </c:pt>
                <c:pt idx="18">
                  <c:v>1985,04</c:v>
                </c:pt>
                <c:pt idx="19">
                  <c:v>3,35</c:v>
                </c:pt>
                <c:pt idx="20">
                  <c:v>6,66</c:v>
                </c:pt>
                <c:pt idx="21">
                  <c:v>21,94</c:v>
                </c:pt>
                <c:pt idx="22">
                  <c:v>3,35</c:v>
                </c:pt>
                <c:pt idx="23">
                  <c:v>3,3596</c:v>
                </c:pt>
                <c:pt idx="26">
                  <c:v>1346,9279</c:v>
                </c:pt>
                <c:pt idx="28">
                  <c:v>117,453</c:v>
                </c:pt>
                <c:pt idx="32">
                  <c:v>9,3</c:v>
                </c:pt>
                <c:pt idx="33">
                  <c:v>6,6267</c:v>
                </c:pt>
                <c:pt idx="34">
                  <c:v>10,2346</c:v>
                </c:pt>
                <c:pt idx="35">
                  <c:v>3,7358</c:v>
                </c:pt>
                <c:pt idx="36">
                  <c:v>5,2973</c:v>
                </c:pt>
                <c:pt idx="37">
                  <c:v>8,2</c:v>
                </c:pt>
                <c:pt idx="39">
                  <c:v>7,9612</c:v>
                </c:pt>
                <c:pt idx="41">
                  <c:v>117,453</c:v>
                </c:pt>
                <c:pt idx="49">
                  <c:v>187,99</c:v>
                </c:pt>
                <c:pt idx="51">
                  <c:v>117,453</c:v>
                </c:pt>
                <c:pt idx="52">
                  <c:v>152,85</c:v>
                </c:pt>
                <c:pt idx="54">
                  <c:v>14,535</c:v>
                </c:pt>
                <c:pt idx="55">
                  <c:v>6,6267</c:v>
                </c:pt>
                <c:pt idx="56">
                  <c:v>10,6</c:v>
                </c:pt>
                <c:pt idx="57">
                  <c:v>8,2</c:v>
                </c:pt>
                <c:pt idx="58">
                  <c:v>1,832</c:v>
                </c:pt>
                <c:pt idx="59">
                  <c:v>291,59</c:v>
                </c:pt>
                <c:pt idx="62">
                  <c:v>6,6267</c:v>
                </c:pt>
                <c:pt idx="63">
                  <c:v>10,2346</c:v>
                </c:pt>
                <c:pt idx="67">
                  <c:v>3,7358</c:v>
                </c:pt>
                <c:pt idx="68">
                  <c:v>5,2973</c:v>
                </c:pt>
                <c:pt idx="78">
                  <c:v>5,9067</c:v>
                </c:pt>
                <c:pt idx="79">
                  <c:v>7,2217</c:v>
                </c:pt>
                <c:pt idx="87">
                  <c:v>10,6</c:v>
                </c:pt>
                <c:pt idx="90">
                  <c:v>9,14</c:v>
                </c:pt>
                <c:pt idx="91">
                  <c:v>8,2</c:v>
                </c:pt>
                <c:pt idx="96">
                  <c:v>15,0203</c:v>
                </c:pt>
                <c:pt idx="97">
                  <c:v>8,3145</c:v>
                </c:pt>
                <c:pt idx="106">
                  <c:v>101,5</c:v>
                </c:pt>
                <c:pt idx="107">
                  <c:v>5,9067</c:v>
                </c:pt>
                <c:pt idx="110">
                  <c:v>10,6</c:v>
                </c:pt>
                <c:pt idx="111">
                  <c:v>8,2</c:v>
                </c:pt>
                <c:pt idx="114">
                  <c:v>4275,98</c:v>
                </c:pt>
                <c:pt idx="115">
                  <c:v>7,9612</c:v>
                </c:pt>
                <c:pt idx="116">
                  <c:v>386</c:v>
                </c:pt>
                <c:pt idx="118">
                  <c:v>121,46</c:v>
                </c:pt>
                <c:pt idx="119">
                  <c:v>1,14</c:v>
                </c:pt>
                <c:pt idx="121">
                  <c:v>119,33</c:v>
                </c:pt>
                <c:pt idx="123">
                  <c:v>601</c:v>
                </c:pt>
                <c:pt idx="126">
                  <c:v>69,75</c:v>
                </c:pt>
                <c:pt idx="128">
                  <c:v>117,453</c:v>
                </c:pt>
                <c:pt idx="130">
                  <c:v>110,68</c:v>
                </c:pt>
                <c:pt idx="131">
                  <c:v>1,14</c:v>
                </c:pt>
                <c:pt idx="132">
                  <c:v>101,305</c:v>
                </c:pt>
                <c:pt idx="135">
                  <c:v>1,1122</c:v>
                </c:pt>
                <c:pt idx="138">
                  <c:v>10,6</c:v>
                </c:pt>
                <c:pt idx="139">
                  <c:v>8,2</c:v>
                </c:pt>
                <c:pt idx="141">
                  <c:v>124,4</c:v>
                </c:pt>
                <c:pt idx="147">
                  <c:v>10,67</c:v>
                </c:pt>
                <c:pt idx="148">
                  <c:v>10,2346</c:v>
                </c:pt>
                <c:pt idx="149">
                  <c:v>10,6</c:v>
                </c:pt>
                <c:pt idx="154">
                  <c:v>7,9612</c:v>
                </c:pt>
                <c:pt idx="155">
                  <c:v>8,3145</c:v>
                </c:pt>
                <c:pt idx="157">
                  <c:v>117,453</c:v>
                </c:pt>
                <c:pt idx="160">
                  <c:v>7,2217</c:v>
                </c:pt>
                <c:pt idx="167">
                  <c:v>117,453</c:v>
                </c:pt>
                <c:pt idx="174">
                  <c:v>119,33</c:v>
                </c:pt>
                <c:pt idx="182">
                  <c:v>10669,4</c:v>
                </c:pt>
                <c:pt idx="183">
                  <c:v>10,6</c:v>
                </c:pt>
                <c:pt idx="184">
                  <c:v>8,2</c:v>
                </c:pt>
                <c:pt idx="185">
                  <c:v>3,7556</c:v>
                </c:pt>
                <c:pt idx="187">
                  <c:v>10,6</c:v>
                </c:pt>
                <c:pt idx="188">
                  <c:v>8,2</c:v>
                </c:pt>
                <c:pt idx="189">
                  <c:v>108,075</c:v>
                </c:pt>
                <c:pt idx="192">
                  <c:v>117,453</c:v>
                </c:pt>
                <c:pt idx="193">
                  <c:v>1,14</c:v>
                </c:pt>
                <c:pt idx="194">
                  <c:v>3,7358</c:v>
                </c:pt>
                <c:pt idx="195">
                  <c:v>0,8561</c:v>
                </c:pt>
                <c:pt idx="196">
                  <c:v>16,2825</c:v>
                </c:pt>
                <c:pt idx="197">
                  <c:v>52,49</c:v>
                </c:pt>
                <c:pt idx="198">
                  <c:v>248,5</c:v>
                </c:pt>
                <c:pt idx="201">
                  <c:v>110,68</c:v>
                </c:pt>
                <c:pt idx="203">
                  <c:v>10,67</c:v>
                </c:pt>
                <c:pt idx="205">
                  <c:v>10,6</c:v>
                </c:pt>
                <c:pt idx="206">
                  <c:v>9,14</c:v>
                </c:pt>
                <c:pt idx="207">
                  <c:v>8,2</c:v>
                </c:pt>
                <c:pt idx="208">
                  <c:v>15,0203</c:v>
                </c:pt>
                <c:pt idx="215">
                  <c:v>102,17</c:v>
                </c:pt>
                <c:pt idx="216">
                  <c:v>131,93</c:v>
                </c:pt>
                <c:pt idx="217">
                  <c:v>152,85</c:v>
                </c:pt>
                <c:pt idx="219">
                  <c:v>15,0203</c:v>
                </c:pt>
                <c:pt idx="224">
                  <c:v>6,6267</c:v>
                </c:pt>
                <c:pt idx="227">
                  <c:v>15,0203</c:v>
                </c:pt>
                <c:pt idx="228">
                  <c:v>8,2</c:v>
                </c:pt>
                <c:pt idx="229">
                  <c:v>10,6</c:v>
                </c:pt>
                <c:pt idx="230">
                  <c:v>8,2</c:v>
                </c:pt>
                <c:pt idx="231">
                  <c:v>10,6</c:v>
                </c:pt>
                <c:pt idx="238">
                  <c:v>131,93</c:v>
                </c:pt>
                <c:pt idx="239">
                  <c:v>1,14</c:v>
                </c:pt>
                <c:pt idx="240">
                  <c:v>299,25</c:v>
                </c:pt>
                <c:pt idx="241">
                  <c:v>117,453</c:v>
                </c:pt>
                <c:pt idx="243">
                  <c:v>121,895</c:v>
                </c:pt>
                <c:pt idx="244">
                  <c:v>291,59</c:v>
                </c:pt>
                <c:pt idx="247">
                  <c:v>117,453</c:v>
                </c:pt>
                <c:pt idx="249">
                  <c:v>91,41</c:v>
                </c:pt>
                <c:pt idx="250">
                  <c:v>1,14</c:v>
                </c:pt>
                <c:pt idx="252">
                  <c:v>15,495</c:v>
                </c:pt>
                <c:pt idx="253">
                  <c:v>117,453</c:v>
                </c:pt>
                <c:pt idx="254">
                  <c:v>143,92</c:v>
                </c:pt>
                <c:pt idx="255">
                  <c:v>122,446</c:v>
                </c:pt>
                <c:pt idx="256">
                  <c:v>1,14</c:v>
                </c:pt>
                <c:pt idx="257">
                  <c:v>5,33</c:v>
                </c:pt>
                <c:pt idx="263">
                  <c:v>9,3</c:v>
                </c:pt>
                <c:pt idx="264">
                  <c:v>8,2</c:v>
                </c:pt>
                <c:pt idx="268">
                  <c:v>25,2</c:v>
                </c:pt>
                <c:pt idx="269">
                  <c:v>6,6267</c:v>
                </c:pt>
                <c:pt idx="270">
                  <c:v>10,6</c:v>
                </c:pt>
                <c:pt idx="271">
                  <c:v>1,1122</c:v>
                </c:pt>
                <c:pt idx="272">
                  <c:v>1,4114</c:v>
                </c:pt>
                <c:pt idx="273">
                  <c:v>8,2</c:v>
                </c:pt>
                <c:pt idx="274">
                  <c:v>15,0203</c:v>
                </c:pt>
                <c:pt idx="277">
                  <c:v>6,6267</c:v>
                </c:pt>
                <c:pt idx="279">
                  <c:v>7,2217</c:v>
                </c:pt>
                <c:pt idx="283">
                  <c:v>9,14</c:v>
                </c:pt>
                <c:pt idx="288">
                  <c:v>10,2346</c:v>
                </c:pt>
                <c:pt idx="289">
                  <c:v>5,2973</c:v>
                </c:pt>
                <c:pt idx="291">
                  <c:v>1,832</c:v>
                </c:pt>
                <c:pt idx="292">
                  <c:v>15,0203</c:v>
                </c:pt>
                <c:pt idx="296">
                  <c:v>7,2217</c:v>
                </c:pt>
                <c:pt idx="299">
                  <c:v>8,2</c:v>
                </c:pt>
                <c:pt idx="300">
                  <c:v>4157,4</c:v>
                </c:pt>
                <c:pt idx="303">
                  <c:v>10,6</c:v>
                </c:pt>
                <c:pt idx="304">
                  <c:v>9,14</c:v>
                </c:pt>
                <c:pt idx="305">
                  <c:v>8,2</c:v>
                </c:pt>
                <c:pt idx="308">
                  <c:v>12,9386</c:v>
                </c:pt>
                <c:pt idx="309">
                  <c:v>25,57</c:v>
                </c:pt>
                <c:pt idx="310">
                  <c:v>5,33</c:v>
                </c:pt>
                <c:pt idx="311">
                  <c:v>117,453</c:v>
                </c:pt>
                <c:pt idx="313">
                  <c:v>117,453</c:v>
                </c:pt>
                <c:pt idx="323">
                  <c:v>77</c:v>
                </c:pt>
                <c:pt idx="324">
                  <c:v>119,33</c:v>
                </c:pt>
                <c:pt idx="325">
                  <c:v>1,14</c:v>
                </c:pt>
                <c:pt idx="328">
                  <c:v>121,46</c:v>
                </c:pt>
                <c:pt idx="331">
                  <c:v>29,27</c:v>
                </c:pt>
                <c:pt idx="335">
                  <c:v>11533,19</c:v>
                </c:pt>
                <c:pt idx="336">
                  <c:v>104,49</c:v>
                </c:pt>
                <c:pt idx="337">
                  <c:v>122,446</c:v>
                </c:pt>
                <c:pt idx="338">
                  <c:v>147,86</c:v>
                </c:pt>
                <c:pt idx="341">
                  <c:v>246,77</c:v>
                </c:pt>
                <c:pt idx="344">
                  <c:v>12,1</c:v>
                </c:pt>
                <c:pt idx="345">
                  <c:v>3,7358</c:v>
                </c:pt>
                <c:pt idx="346">
                  <c:v>0,8561</c:v>
                </c:pt>
                <c:pt idx="347">
                  <c:v>3,7358</c:v>
                </c:pt>
                <c:pt idx="348">
                  <c:v>7,2217</c:v>
                </c:pt>
                <c:pt idx="355">
                  <c:v>10,6</c:v>
                </c:pt>
                <c:pt idx="356">
                  <c:v>15,495</c:v>
                </c:pt>
                <c:pt idx="357">
                  <c:v>7,9612</c:v>
                </c:pt>
                <c:pt idx="374">
                  <c:v>110,68</c:v>
                </c:pt>
                <c:pt idx="378">
                  <c:v>9,14</c:v>
                </c:pt>
                <c:pt idx="380">
                  <c:v>15,0203</c:v>
                </c:pt>
                <c:pt idx="383">
                  <c:v>13,59</c:v>
                </c:pt>
                <c:pt idx="384">
                  <c:v>10,38</c:v>
                </c:pt>
                <c:pt idx="385">
                  <c:v>117,453</c:v>
                </c:pt>
                <c:pt idx="386">
                  <c:v>1,14</c:v>
                </c:pt>
                <c:pt idx="404">
                  <c:v>10,6</c:v>
                </c:pt>
                <c:pt idx="405">
                  <c:v>8,2</c:v>
                </c:pt>
                <c:pt idx="406">
                  <c:v>117,453</c:v>
                </c:pt>
                <c:pt idx="408">
                  <c:v>7,2217</c:v>
                </c:pt>
                <c:pt idx="409">
                  <c:v>9,075</c:v>
                </c:pt>
                <c:pt idx="410">
                  <c:v>16,2249</c:v>
                </c:pt>
                <c:pt idx="412">
                  <c:v>1,14</c:v>
                </c:pt>
                <c:pt idx="417">
                  <c:v>10,67</c:v>
                </c:pt>
                <c:pt idx="427">
                  <c:v>8,2</c:v>
                </c:pt>
                <c:pt idx="428">
                  <c:v>121,895</c:v>
                </c:pt>
                <c:pt idx="436">
                  <c:v>117,453</c:v>
                </c:pt>
                <c:pt idx="438">
                  <c:v>121,46</c:v>
                </c:pt>
                <c:pt idx="440">
                  <c:v>10,2346</c:v>
                </c:pt>
                <c:pt idx="441">
                  <c:v>3,7358</c:v>
                </c:pt>
                <c:pt idx="442">
                  <c:v>8,2</c:v>
                </c:pt>
                <c:pt idx="443">
                  <c:v>15,0203</c:v>
                </c:pt>
                <c:pt idx="449">
                  <c:v>122,446</c:v>
                </c:pt>
                <c:pt idx="451">
                  <c:v>120,636</c:v>
                </c:pt>
                <c:pt idx="452">
                  <c:v>1,14</c:v>
                </c:pt>
                <c:pt idx="455">
                  <c:v>1244,2445</c:v>
                </c:pt>
                <c:pt idx="462">
                  <c:v>6,6267</c:v>
                </c:pt>
                <c:pt idx="463">
                  <c:v>10,6</c:v>
                </c:pt>
                <c:pt idx="464">
                  <c:v>9,14</c:v>
                </c:pt>
                <c:pt idx="465">
                  <c:v>117,453</c:v>
                </c:pt>
                <c:pt idx="472">
                  <c:v>9,3</c:v>
                </c:pt>
                <c:pt idx="474">
                  <c:v>10,2346</c:v>
                </c:pt>
                <c:pt idx="478">
                  <c:v>10,6</c:v>
                </c:pt>
                <c:pt idx="481">
                  <c:v>10,67</c:v>
                </c:pt>
                <c:pt idx="482">
                  <c:v>6,6267</c:v>
                </c:pt>
                <c:pt idx="483">
                  <c:v>10,2346</c:v>
                </c:pt>
                <c:pt idx="484">
                  <c:v>14,12</c:v>
                </c:pt>
                <c:pt idx="490">
                  <c:v>10,2346</c:v>
                </c:pt>
                <c:pt idx="493">
                  <c:v>10,6</c:v>
                </c:pt>
                <c:pt idx="494">
                  <c:v>117,453</c:v>
                </c:pt>
                <c:pt idx="495">
                  <c:v>1,14</c:v>
                </c:pt>
                <c:pt idx="497">
                  <c:v>10,6</c:v>
                </c:pt>
                <c:pt idx="498">
                  <c:v>8,2</c:v>
                </c:pt>
                <c:pt idx="499">
                  <c:v>117,453</c:v>
                </c:pt>
                <c:pt idx="501">
                  <c:v>117,453</c:v>
                </c:pt>
                <c:pt idx="505">
                  <c:v>1,4114</c:v>
                </c:pt>
                <c:pt idx="506">
                  <c:v>3,7358</c:v>
                </c:pt>
                <c:pt idx="509">
                  <c:v>120,636</c:v>
                </c:pt>
                <c:pt idx="511">
                  <c:v>9,14</c:v>
                </c:pt>
                <c:pt idx="512">
                  <c:v>8,2</c:v>
                </c:pt>
                <c:pt idx="513">
                  <c:v>42,36</c:v>
                </c:pt>
                <c:pt idx="515">
                  <c:v>9,14</c:v>
                </c:pt>
                <c:pt idx="516">
                  <c:v>8,2</c:v>
                </c:pt>
                <c:pt idx="517">
                  <c:v>15,0203</c:v>
                </c:pt>
                <c:pt idx="521">
                  <c:v>1,14</c:v>
                </c:pt>
                <c:pt idx="525">
                  <c:v>10,6</c:v>
                </c:pt>
                <c:pt idx="526">
                  <c:v>117,453</c:v>
                </c:pt>
                <c:pt idx="528">
                  <c:v>121,46</c:v>
                </c:pt>
                <c:pt idx="535">
                  <c:v>8,2</c:v>
                </c:pt>
                <c:pt idx="536">
                  <c:v>7,9612</c:v>
                </c:pt>
                <c:pt idx="537">
                  <c:v>15,0203</c:v>
                </c:pt>
                <c:pt idx="541">
                  <c:v>117,453</c:v>
                </c:pt>
                <c:pt idx="543">
                  <c:v>10,6</c:v>
                </c:pt>
                <c:pt idx="544">
                  <c:v>291,59</c:v>
                </c:pt>
                <c:pt idx="547">
                  <c:v>10,6</c:v>
                </c:pt>
                <c:pt idx="548">
                  <c:v>8,2</c:v>
                </c:pt>
                <c:pt idx="554">
                  <c:v>8,2</c:v>
                </c:pt>
                <c:pt idx="558">
                  <c:v>6,6267</c:v>
                </c:pt>
                <c:pt idx="561">
                  <c:v>187,99</c:v>
                </c:pt>
                <c:pt idx="563">
                  <c:v>10,38</c:v>
                </c:pt>
                <c:pt idx="564">
                  <c:v>14,4</c:v>
                </c:pt>
                <c:pt idx="568">
                  <c:v>6468,73</c:v>
                </c:pt>
                <c:pt idx="574">
                  <c:v>9,14</c:v>
                </c:pt>
                <c:pt idx="577">
                  <c:v>1,77</c:v>
                </c:pt>
                <c:pt idx="583">
                  <c:v>38,01</c:v>
                </c:pt>
                <c:pt idx="586">
                  <c:v>15,0203</c:v>
                </c:pt>
                <c:pt idx="587">
                  <c:v>6,6267</c:v>
                </c:pt>
                <c:pt idx="588">
                  <c:v>9,14</c:v>
                </c:pt>
                <c:pt idx="590">
                  <c:v>117,453</c:v>
                </c:pt>
                <c:pt idx="591">
                  <c:v>1,14</c:v>
                </c:pt>
                <c:pt idx="592">
                  <c:v>0,7</c:v>
                </c:pt>
                <c:pt idx="600">
                  <c:v>1,14</c:v>
                </c:pt>
                <c:pt idx="602">
                  <c:v>117,453</c:v>
                </c:pt>
                <c:pt idx="607">
                  <c:v>7,2217</c:v>
                </c:pt>
                <c:pt idx="608">
                  <c:v>9,075</c:v>
                </c:pt>
                <c:pt idx="609">
                  <c:v>16,2249</c:v>
                </c:pt>
                <c:pt idx="612">
                  <c:v>246,77</c:v>
                </c:pt>
                <c:pt idx="615">
                  <c:v>10,6</c:v>
                </c:pt>
                <c:pt idx="616">
                  <c:v>8,2</c:v>
                </c:pt>
                <c:pt idx="624">
                  <c:v>1,1122</c:v>
                </c:pt>
                <c:pt idx="625">
                  <c:v>7,9612</c:v>
                </c:pt>
                <c:pt idx="626">
                  <c:v>10,6</c:v>
                </c:pt>
                <c:pt idx="627">
                  <c:v>15,0203</c:v>
                </c:pt>
                <c:pt idx="629">
                  <c:v>15,0203</c:v>
                </c:pt>
                <c:pt idx="630">
                  <c:v>117,453</c:v>
                </c:pt>
                <c:pt idx="631">
                  <c:v>1,14</c:v>
                </c:pt>
                <c:pt idx="636">
                  <c:v>1,14</c:v>
                </c:pt>
                <c:pt idx="638">
                  <c:v>117,453</c:v>
                </c:pt>
                <c:pt idx="649">
                  <c:v>119,33</c:v>
                </c:pt>
                <c:pt idx="650">
                  <c:v>113,33</c:v>
                </c:pt>
                <c:pt idx="651">
                  <c:v>1,14</c:v>
                </c:pt>
                <c:pt idx="652">
                  <c:v>119,33</c:v>
                </c:pt>
                <c:pt idx="654">
                  <c:v>10,6</c:v>
                </c:pt>
                <c:pt idx="655">
                  <c:v>117,453</c:v>
                </c:pt>
                <c:pt idx="656">
                  <c:v>150,37</c:v>
                </c:pt>
                <c:pt idx="663">
                  <c:v>110,68</c:v>
                </c:pt>
                <c:pt idx="670">
                  <c:v>8,2</c:v>
                </c:pt>
                <c:pt idx="671">
                  <c:v>15,0203</c:v>
                </c:pt>
                <c:pt idx="675">
                  <c:v>6,6267</c:v>
                </c:pt>
                <c:pt idx="676">
                  <c:v>8,2</c:v>
                </c:pt>
                <c:pt idx="678">
                  <c:v>117,453</c:v>
                </c:pt>
                <c:pt idx="682">
                  <c:v>159,54</c:v>
                </c:pt>
                <c:pt idx="684">
                  <c:v>74,795</c:v>
                </c:pt>
                <c:pt idx="685">
                  <c:v>37,96</c:v>
                </c:pt>
                <c:pt idx="686">
                  <c:v>117,453</c:v>
                </c:pt>
                <c:pt idx="687">
                  <c:v>111,11</c:v>
                </c:pt>
                <c:pt idx="690">
                  <c:v>1,14</c:v>
                </c:pt>
                <c:pt idx="694">
                  <c:v>120,636</c:v>
                </c:pt>
                <c:pt idx="703">
                  <c:v>10</c:v>
                </c:pt>
                <c:pt idx="704">
                  <c:v>10,67</c:v>
                </c:pt>
                <c:pt idx="706">
                  <c:v>10,2346</c:v>
                </c:pt>
                <c:pt idx="707">
                  <c:v>3,7358</c:v>
                </c:pt>
                <c:pt idx="708">
                  <c:v>8,2</c:v>
                </c:pt>
                <c:pt idx="709">
                  <c:v>15,0203</c:v>
                </c:pt>
                <c:pt idx="710">
                  <c:v>6,6267</c:v>
                </c:pt>
                <c:pt idx="711">
                  <c:v>3,7358</c:v>
                </c:pt>
                <c:pt idx="712">
                  <c:v>10,6</c:v>
                </c:pt>
                <c:pt idx="714">
                  <c:v>2242,31</c:v>
                </c:pt>
                <c:pt idx="717">
                  <c:v>3,7358</c:v>
                </c:pt>
                <c:pt idx="720">
                  <c:v>7,9612</c:v>
                </c:pt>
                <c:pt idx="724">
                  <c:v>117,453</c:v>
                </c:pt>
                <c:pt idx="735">
                  <c:v>5,4834</c:v>
                </c:pt>
                <c:pt idx="740">
                  <c:v>10,67</c:v>
                </c:pt>
                <c:pt idx="741">
                  <c:v>9,3</c:v>
                </c:pt>
                <c:pt idx="742">
                  <c:v>3,7358</c:v>
                </c:pt>
                <c:pt idx="743">
                  <c:v>10,6</c:v>
                </c:pt>
                <c:pt idx="744">
                  <c:v>8,2</c:v>
                </c:pt>
                <c:pt idx="745">
                  <c:v>3,7556</c:v>
                </c:pt>
                <c:pt idx="746">
                  <c:v>0,8561</c:v>
                </c:pt>
                <c:pt idx="747">
                  <c:v>7,9612</c:v>
                </c:pt>
                <c:pt idx="748">
                  <c:v>8,3145</c:v>
                </c:pt>
                <c:pt idx="749">
                  <c:v>117,453</c:v>
                </c:pt>
                <c:pt idx="750">
                  <c:v>122,446</c:v>
                </c:pt>
                <c:pt idx="751">
                  <c:v>121,895</c:v>
                </c:pt>
                <c:pt idx="762">
                  <c:v>8,2</c:v>
                </c:pt>
                <c:pt idx="778">
                  <c:v>1,8107</c:v>
                </c:pt>
                <c:pt idx="779">
                  <c:v>20,3</c:v>
                </c:pt>
                <c:pt idx="780">
                  <c:v>18,9342</c:v>
                </c:pt>
                <c:pt idx="781">
                  <c:v>7,2217</c:v>
                </c:pt>
                <c:pt idx="786">
                  <c:v>10,6</c:v>
                </c:pt>
                <c:pt idx="791">
                  <c:v>117,453</c:v>
                </c:pt>
                <c:pt idx="796">
                  <c:v>117,453</c:v>
                </c:pt>
                <c:pt idx="797">
                  <c:v>1,14</c:v>
                </c:pt>
                <c:pt idx="804">
                  <c:v>6,6267</c:v>
                </c:pt>
                <c:pt idx="805">
                  <c:v>10,2346</c:v>
                </c:pt>
                <c:pt idx="806">
                  <c:v>3,7358</c:v>
                </c:pt>
                <c:pt idx="812">
                  <c:v>122,446</c:v>
                </c:pt>
                <c:pt idx="813">
                  <c:v>1,14</c:v>
                </c:pt>
                <c:pt idx="817">
                  <c:v>6,6267</c:v>
                </c:pt>
                <c:pt idx="818">
                  <c:v>5,2973</c:v>
                </c:pt>
                <c:pt idx="819">
                  <c:v>7,2217</c:v>
                </c:pt>
                <c:pt idx="820">
                  <c:v>10,6</c:v>
                </c:pt>
                <c:pt idx="821">
                  <c:v>8,2</c:v>
                </c:pt>
                <c:pt idx="822">
                  <c:v>15,0203</c:v>
                </c:pt>
                <c:pt idx="823">
                  <c:v>103,72</c:v>
                </c:pt>
                <c:pt idx="824">
                  <c:v>137,1</c:v>
                </c:pt>
                <c:pt idx="825">
                  <c:v>1,14</c:v>
                </c:pt>
                <c:pt idx="828">
                  <c:v>10,67</c:v>
                </c:pt>
                <c:pt idx="830">
                  <c:v>3,7358</c:v>
                </c:pt>
                <c:pt idx="831">
                  <c:v>121,46</c:v>
                </c:pt>
                <c:pt idx="833">
                  <c:v>117,453</c:v>
                </c:pt>
                <c:pt idx="837">
                  <c:v>3246,85</c:v>
                </c:pt>
                <c:pt idx="838">
                  <c:v>2190</c:v>
                </c:pt>
                <c:pt idx="840">
                  <c:v>10,6</c:v>
                </c:pt>
                <c:pt idx="841">
                  <c:v>9,14</c:v>
                </c:pt>
                <c:pt idx="843">
                  <c:v>3,7358</c:v>
                </c:pt>
                <c:pt idx="844">
                  <c:v>10,6</c:v>
                </c:pt>
                <c:pt idx="852">
                  <c:v>10,6</c:v>
                </c:pt>
                <c:pt idx="854">
                  <c:v>117,453</c:v>
                </c:pt>
                <c:pt idx="855">
                  <c:v>101,305</c:v>
                </c:pt>
                <c:pt idx="856">
                  <c:v>1,14</c:v>
                </c:pt>
                <c:pt idx="857">
                  <c:v>6,6267</c:v>
                </c:pt>
                <c:pt idx="865">
                  <c:v>10669,4</c:v>
                </c:pt>
                <c:pt idx="866">
                  <c:v>1239</c:v>
                </c:pt>
                <c:pt idx="867">
                  <c:v>6,6267</c:v>
                </c:pt>
                <c:pt idx="868">
                  <c:v>10,6</c:v>
                </c:pt>
                <c:pt idx="869">
                  <c:v>8,2</c:v>
                </c:pt>
                <c:pt idx="870">
                  <c:v>117,453</c:v>
                </c:pt>
                <c:pt idx="874">
                  <c:v>8,2</c:v>
                </c:pt>
                <c:pt idx="878">
                  <c:v>159,54</c:v>
                </c:pt>
                <c:pt idx="881">
                  <c:v>117,453</c:v>
                </c:pt>
                <c:pt idx="884">
                  <c:v>107,35</c:v>
                </c:pt>
                <c:pt idx="888">
                  <c:v>6,6267</c:v>
                </c:pt>
                <c:pt idx="889">
                  <c:v>3,7358</c:v>
                </c:pt>
                <c:pt idx="890">
                  <c:v>10,6</c:v>
                </c:pt>
                <c:pt idx="891">
                  <c:v>8,2</c:v>
                </c:pt>
                <c:pt idx="892">
                  <c:v>15,0203</c:v>
                </c:pt>
                <c:pt idx="894">
                  <c:v>291,59</c:v>
                </c:pt>
                <c:pt idx="896">
                  <c:v>104,49</c:v>
                </c:pt>
                <c:pt idx="897">
                  <c:v>1,14</c:v>
                </c:pt>
                <c:pt idx="900">
                  <c:v>101,305</c:v>
                </c:pt>
                <c:pt idx="901">
                  <c:v>94</c:v>
                </c:pt>
                <c:pt idx="906">
                  <c:v>74,795</c:v>
                </c:pt>
                <c:pt idx="907">
                  <c:v>3,3596</c:v>
                </c:pt>
                <c:pt idx="908">
                  <c:v>3,3188</c:v>
                </c:pt>
                <c:pt idx="918">
                  <c:v>111,98</c:v>
                </c:pt>
                <c:pt idx="924">
                  <c:v>6,6267</c:v>
                </c:pt>
                <c:pt idx="932">
                  <c:v>104,49</c:v>
                </c:pt>
                <c:pt idx="934">
                  <c:v>10,6</c:v>
                </c:pt>
                <c:pt idx="935">
                  <c:v>0,8561</c:v>
                </c:pt>
                <c:pt idx="936">
                  <c:v>1,1122</c:v>
                </c:pt>
                <c:pt idx="946">
                  <c:v>14,34</c:v>
                </c:pt>
                <c:pt idx="947">
                  <c:v>9,3</c:v>
                </c:pt>
                <c:pt idx="948">
                  <c:v>3,7358</c:v>
                </c:pt>
                <c:pt idx="951">
                  <c:v>10,6</c:v>
                </c:pt>
                <c:pt idx="952">
                  <c:v>9,14</c:v>
                </c:pt>
                <c:pt idx="953">
                  <c:v>8,2</c:v>
                </c:pt>
                <c:pt idx="954">
                  <c:v>15,0203</c:v>
                </c:pt>
                <c:pt idx="956">
                  <c:v>110,68</c:v>
                </c:pt>
                <c:pt idx="957">
                  <c:v>6,86</c:v>
                </c:pt>
                <c:pt idx="958">
                  <c:v>1,14</c:v>
                </c:pt>
                <c:pt idx="959">
                  <c:v>10,6</c:v>
                </c:pt>
                <c:pt idx="960">
                  <c:v>8,2</c:v>
                </c:pt>
                <c:pt idx="962">
                  <c:v>1703,56</c:v>
                </c:pt>
                <c:pt idx="963">
                  <c:v>22,2</c:v>
                </c:pt>
                <c:pt idx="964">
                  <c:v>33,7289</c:v>
                </c:pt>
                <c:pt idx="966">
                  <c:v>11,99</c:v>
                </c:pt>
                <c:pt idx="967">
                  <c:v>15,9021</c:v>
                </c:pt>
                <c:pt idx="968">
                  <c:v>20,49</c:v>
                </c:pt>
                <c:pt idx="971">
                  <c:v>24,454</c:v>
                </c:pt>
                <c:pt idx="972">
                  <c:v>3,7556</c:v>
                </c:pt>
                <c:pt idx="974">
                  <c:v>0,8561</c:v>
                </c:pt>
                <c:pt idx="975">
                  <c:v>15,0203</c:v>
                </c:pt>
                <c:pt idx="976">
                  <c:v>117,453</c:v>
                </c:pt>
                <c:pt idx="977">
                  <c:v>1,14</c:v>
                </c:pt>
                <c:pt idx="979">
                  <c:v>489,3</c:v>
                </c:pt>
                <c:pt idx="980">
                  <c:v>119,33</c:v>
                </c:pt>
                <c:pt idx="981">
                  <c:v>1,14</c:v>
                </c:pt>
                <c:pt idx="994">
                  <c:v>3,7358</c:v>
                </c:pt>
                <c:pt idx="995">
                  <c:v>8,2</c:v>
                </c:pt>
                <c:pt idx="996">
                  <c:v>46,2</c:v>
                </c:pt>
                <c:pt idx="999">
                  <c:v>110,68</c:v>
                </c:pt>
                <c:pt idx="1003">
                  <c:v>5,2973</c:v>
                </c:pt>
                <c:pt idx="1004">
                  <c:v>15,0203</c:v>
                </c:pt>
                <c:pt idx="1006">
                  <c:v>15,0203</c:v>
                </c:pt>
                <c:pt idx="1007">
                  <c:v>6,6267</c:v>
                </c:pt>
                <c:pt idx="1011">
                  <c:v>117,453</c:v>
                </c:pt>
                <c:pt idx="1013">
                  <c:v>159,54</c:v>
                </c:pt>
                <c:pt idx="1018">
                  <c:v>15,0203</c:v>
                </c:pt>
                <c:pt idx="1021">
                  <c:v>8,2</c:v>
                </c:pt>
                <c:pt idx="1022">
                  <c:v>104,49</c:v>
                </c:pt>
                <c:pt idx="1023">
                  <c:v>1,14</c:v>
                </c:pt>
                <c:pt idx="1024">
                  <c:v>6,6267</c:v>
                </c:pt>
                <c:pt idx="1025">
                  <c:v>3,7358</c:v>
                </c:pt>
                <c:pt idx="1026">
                  <c:v>15,0203</c:v>
                </c:pt>
                <c:pt idx="1028">
                  <c:v>585,0034</c:v>
                </c:pt>
                <c:pt idx="1038">
                  <c:v>1,14</c:v>
                </c:pt>
                <c:pt idx="1041">
                  <c:v>8,2</c:v>
                </c:pt>
                <c:pt idx="1045">
                  <c:v>6468,73</c:v>
                </c:pt>
                <c:pt idx="1046">
                  <c:v>299,25</c:v>
                </c:pt>
                <c:pt idx="1047">
                  <c:v>1990</c:v>
                </c:pt>
                <c:pt idx="1048">
                  <c:v>417</c:v>
                </c:pt>
                <c:pt idx="1050">
                  <c:v>117,453</c:v>
                </c:pt>
                <c:pt idx="1054">
                  <c:v>10,6</c:v>
                </c:pt>
                <c:pt idx="1055">
                  <c:v>15,0203</c:v>
                </c:pt>
                <c:pt idx="1059">
                  <c:v>117,453</c:v>
                </c:pt>
                <c:pt idx="1061">
                  <c:v>3,3596</c:v>
                </c:pt>
                <c:pt idx="1070">
                  <c:v>110,68</c:v>
                </c:pt>
                <c:pt idx="1076">
                  <c:v>121,895</c:v>
                </c:pt>
                <c:pt idx="1080">
                  <c:v>122,446</c:v>
                </c:pt>
                <c:pt idx="1081">
                  <c:v>1,14</c:v>
                </c:pt>
                <c:pt idx="1084">
                  <c:v>117,453</c:v>
                </c:pt>
                <c:pt idx="1086">
                  <c:v>8,2</c:v>
                </c:pt>
                <c:pt idx="1095">
                  <c:v>6,6267</c:v>
                </c:pt>
                <c:pt idx="1096">
                  <c:v>10,6</c:v>
                </c:pt>
                <c:pt idx="1099">
                  <c:v>1,4114</c:v>
                </c:pt>
                <c:pt idx="1100">
                  <c:v>3,7358</c:v>
                </c:pt>
                <c:pt idx="1101">
                  <c:v>8,2</c:v>
                </c:pt>
                <c:pt idx="1104">
                  <c:v>6,6267</c:v>
                </c:pt>
                <c:pt idx="1108">
                  <c:v>117,453</c:v>
                </c:pt>
                <c:pt idx="1109">
                  <c:v>111,98</c:v>
                </c:pt>
                <c:pt idx="1113">
                  <c:v>8,2</c:v>
                </c:pt>
                <c:pt idx="1114">
                  <c:v>6,86</c:v>
                </c:pt>
                <c:pt idx="1123">
                  <c:v>152,85</c:v>
                </c:pt>
                <c:pt idx="1124">
                  <c:v>1,14</c:v>
                </c:pt>
                <c:pt idx="1131">
                  <c:v>10,6</c:v>
                </c:pt>
                <c:pt idx="1132">
                  <c:v>0,0914</c:v>
                </c:pt>
                <c:pt idx="1133">
                  <c:v>3345,125</c:v>
                </c:pt>
                <c:pt idx="1134">
                  <c:v>6,6267</c:v>
                </c:pt>
                <c:pt idx="1139">
                  <c:v>6,6267</c:v>
                </c:pt>
                <c:pt idx="1140">
                  <c:v>3,7358</c:v>
                </c:pt>
                <c:pt idx="1141">
                  <c:v>10,6</c:v>
                </c:pt>
                <c:pt idx="1142">
                  <c:v>9,14</c:v>
                </c:pt>
                <c:pt idx="1143">
                  <c:v>8,2</c:v>
                </c:pt>
                <c:pt idx="1144">
                  <c:v>15,0203</c:v>
                </c:pt>
                <c:pt idx="1146">
                  <c:v>122,446</c:v>
                </c:pt>
                <c:pt idx="1155">
                  <c:v>121,46</c:v>
                </c:pt>
                <c:pt idx="1156">
                  <c:v>1,14</c:v>
                </c:pt>
                <c:pt idx="1157">
                  <c:v>159,54</c:v>
                </c:pt>
                <c:pt idx="1165">
                  <c:v>6,6267</c:v>
                </c:pt>
                <c:pt idx="1166">
                  <c:v>10,6</c:v>
                </c:pt>
                <c:pt idx="1167">
                  <c:v>9,14</c:v>
                </c:pt>
                <c:pt idx="1168">
                  <c:v>8,2</c:v>
                </c:pt>
                <c:pt idx="1169">
                  <c:v>7,9612</c:v>
                </c:pt>
                <c:pt idx="1171">
                  <c:v>10,67</c:v>
                </c:pt>
                <c:pt idx="1172">
                  <c:v>9,3</c:v>
                </c:pt>
                <c:pt idx="1173">
                  <c:v>3,7358</c:v>
                </c:pt>
                <c:pt idx="1174">
                  <c:v>5,2973</c:v>
                </c:pt>
                <c:pt idx="1177">
                  <c:v>10,6</c:v>
                </c:pt>
                <c:pt idx="1178">
                  <c:v>15,0203</c:v>
                </c:pt>
                <c:pt idx="1180">
                  <c:v>343,38</c:v>
                </c:pt>
                <c:pt idx="1183">
                  <c:v>122,446</c:v>
                </c:pt>
                <c:pt idx="1185">
                  <c:v>6,6267</c:v>
                </c:pt>
                <c:pt idx="1186">
                  <c:v>3,7358</c:v>
                </c:pt>
                <c:pt idx="1190">
                  <c:v>6,6267</c:v>
                </c:pt>
                <c:pt idx="1191">
                  <c:v>8,2</c:v>
                </c:pt>
                <c:pt idx="1198">
                  <c:v>3,7358</c:v>
                </c:pt>
                <c:pt idx="1199">
                  <c:v>5,9067</c:v>
                </c:pt>
                <c:pt idx="1200">
                  <c:v>7,2217</c:v>
                </c:pt>
                <c:pt idx="1202">
                  <c:v>10,6</c:v>
                </c:pt>
                <c:pt idx="1203">
                  <c:v>8,2</c:v>
                </c:pt>
                <c:pt idx="1205">
                  <c:v>8,2</c:v>
                </c:pt>
                <c:pt idx="1206">
                  <c:v>7,2217</c:v>
                </c:pt>
                <c:pt idx="1212">
                  <c:v>10,6</c:v>
                </c:pt>
                <c:pt idx="1213">
                  <c:v>122,446</c:v>
                </c:pt>
                <c:pt idx="1222">
                  <c:v>117,453</c:v>
                </c:pt>
                <c:pt idx="1223">
                  <c:v>120,636</c:v>
                </c:pt>
                <c:pt idx="1227">
                  <c:v>3,7358</c:v>
                </c:pt>
                <c:pt idx="1228">
                  <c:v>10,6</c:v>
                </c:pt>
                <c:pt idx="1232">
                  <c:v>0,4617</c:v>
                </c:pt>
                <c:pt idx="1234">
                  <c:v>6,6267</c:v>
                </c:pt>
                <c:pt idx="1235">
                  <c:v>3,7358</c:v>
                </c:pt>
                <c:pt idx="1236">
                  <c:v>5,2973</c:v>
                </c:pt>
                <c:pt idx="1237">
                  <c:v>10,6</c:v>
                </c:pt>
                <c:pt idx="1238">
                  <c:v>8,2</c:v>
                </c:pt>
                <c:pt idx="1243">
                  <c:v>10,6</c:v>
                </c:pt>
                <c:pt idx="1244">
                  <c:v>8,2</c:v>
                </c:pt>
                <c:pt idx="1245">
                  <c:v>0,98</c:v>
                </c:pt>
                <c:pt idx="1246">
                  <c:v>7,9612</c:v>
                </c:pt>
                <c:pt idx="1248">
                  <c:v>1000</c:v>
                </c:pt>
                <c:pt idx="1255">
                  <c:v>2410,69</c:v>
                </c:pt>
                <c:pt idx="1266">
                  <c:v>2481</c:v>
                </c:pt>
                <c:pt idx="1267">
                  <c:v>2481</c:v>
                </c:pt>
                <c:pt idx="1268">
                  <c:v>386</c:v>
                </c:pt>
                <c:pt idx="1281">
                  <c:v>117,453</c:v>
                </c:pt>
                <c:pt idx="1282">
                  <c:v>1,14</c:v>
                </c:pt>
                <c:pt idx="1286">
                  <c:v>246,77</c:v>
                </c:pt>
                <c:pt idx="1294">
                  <c:v>9,3</c:v>
                </c:pt>
                <c:pt idx="1295">
                  <c:v>3,7358</c:v>
                </c:pt>
                <c:pt idx="1296">
                  <c:v>10,6</c:v>
                </c:pt>
                <c:pt idx="1297">
                  <c:v>8,2</c:v>
                </c:pt>
                <c:pt idx="1300">
                  <c:v>117,453</c:v>
                </c:pt>
                <c:pt idx="1305">
                  <c:v>122,446</c:v>
                </c:pt>
                <c:pt idx="1307">
                  <c:v>26,77</c:v>
                </c:pt>
                <c:pt idx="1309">
                  <c:v>1,14</c:v>
                </c:pt>
                <c:pt idx="1312">
                  <c:v>131,93</c:v>
                </c:pt>
                <c:pt idx="1316">
                  <c:v>117,453</c:v>
                </c:pt>
                <c:pt idx="1330">
                  <c:v>1389</c:v>
                </c:pt>
                <c:pt idx="1337">
                  <c:v>5064,23</c:v>
                </c:pt>
                <c:pt idx="1340">
                  <c:v>6,6267</c:v>
                </c:pt>
                <c:pt idx="1341">
                  <c:v>7,9612</c:v>
                </c:pt>
                <c:pt idx="1356">
                  <c:v>15,0203</c:v>
                </c:pt>
                <c:pt idx="1357">
                  <c:v>6,6267</c:v>
                </c:pt>
                <c:pt idx="1358">
                  <c:v>8,2</c:v>
                </c:pt>
                <c:pt idx="1364">
                  <c:v>10,6</c:v>
                </c:pt>
                <c:pt idx="1365">
                  <c:v>0,8561</c:v>
                </c:pt>
                <c:pt idx="1366">
                  <c:v>1,1122</c:v>
                </c:pt>
                <c:pt idx="1371">
                  <c:v>9,14</c:v>
                </c:pt>
                <c:pt idx="1372">
                  <c:v>8,2</c:v>
                </c:pt>
                <c:pt idx="1381">
                  <c:v>27,445</c:v>
                </c:pt>
                <c:pt idx="1384">
                  <c:v>10,15</c:v>
                </c:pt>
                <c:pt idx="1387">
                  <c:v>117,453</c:v>
                </c:pt>
                <c:pt idx="1388">
                  <c:v>159,54</c:v>
                </c:pt>
                <c:pt idx="1392">
                  <c:v>117,453</c:v>
                </c:pt>
                <c:pt idx="1394">
                  <c:v>37,96</c:v>
                </c:pt>
                <c:pt idx="1395">
                  <c:v>32,025</c:v>
                </c:pt>
                <c:pt idx="1396">
                  <c:v>291,59</c:v>
                </c:pt>
                <c:pt idx="1399">
                  <c:v>1,14</c:v>
                </c:pt>
                <c:pt idx="1403">
                  <c:v>117,453</c:v>
                </c:pt>
                <c:pt idx="1410">
                  <c:v>8,2</c:v>
                </c:pt>
                <c:pt idx="1411">
                  <c:v>117,453</c:v>
                </c:pt>
                <c:pt idx="1413">
                  <c:v>209,3</c:v>
                </c:pt>
                <c:pt idx="1414">
                  <c:v>136,95</c:v>
                </c:pt>
                <c:pt idx="1415">
                  <c:v>64,35</c:v>
                </c:pt>
                <c:pt idx="1418">
                  <c:v>6,6267</c:v>
                </c:pt>
                <c:pt idx="1421">
                  <c:v>10,6</c:v>
                </c:pt>
                <c:pt idx="1422">
                  <c:v>8,2</c:v>
                </c:pt>
                <c:pt idx="1423">
                  <c:v>3,7556</c:v>
                </c:pt>
                <c:pt idx="1424">
                  <c:v>1,4114</c:v>
                </c:pt>
                <c:pt idx="1425">
                  <c:v>15,0203</c:v>
                </c:pt>
                <c:pt idx="1426">
                  <c:v>9,14</c:v>
                </c:pt>
                <c:pt idx="1429">
                  <c:v>3,7358</c:v>
                </c:pt>
                <c:pt idx="1430">
                  <c:v>10,6</c:v>
                </c:pt>
                <c:pt idx="1431">
                  <c:v>8,2</c:v>
                </c:pt>
                <c:pt idx="1436">
                  <c:v>5,2342</c:v>
                </c:pt>
                <c:pt idx="1440">
                  <c:v>122,446</c:v>
                </c:pt>
                <c:pt idx="1448">
                  <c:v>0,8561</c:v>
                </c:pt>
                <c:pt idx="1452">
                  <c:v>565,755</c:v>
                </c:pt>
                <c:pt idx="1462">
                  <c:v>8,2</c:v>
                </c:pt>
                <c:pt idx="1466">
                  <c:v>117,453</c:v>
                </c:pt>
                <c:pt idx="1474">
                  <c:v>10,6</c:v>
                </c:pt>
                <c:pt idx="1475">
                  <c:v>9,14</c:v>
                </c:pt>
                <c:pt idx="1476">
                  <c:v>8,2</c:v>
                </c:pt>
                <c:pt idx="1483">
                  <c:v>5,2973</c:v>
                </c:pt>
                <c:pt idx="1484">
                  <c:v>10,6</c:v>
                </c:pt>
                <c:pt idx="1489">
                  <c:v>10,6</c:v>
                </c:pt>
                <c:pt idx="1490">
                  <c:v>8,2</c:v>
                </c:pt>
                <c:pt idx="1491">
                  <c:v>15,0203</c:v>
                </c:pt>
                <c:pt idx="1495">
                  <c:v>5,33</c:v>
                </c:pt>
                <c:pt idx="1515">
                  <c:v>117,453</c:v>
                </c:pt>
                <c:pt idx="1520">
                  <c:v>117,453</c:v>
                </c:pt>
                <c:pt idx="1523">
                  <c:v>117,453</c:v>
                </c:pt>
                <c:pt idx="1524">
                  <c:v>1,14</c:v>
                </c:pt>
                <c:pt idx="1534">
                  <c:v>75</c:v>
                </c:pt>
                <c:pt idx="1536">
                  <c:v>121,46</c:v>
                </c:pt>
                <c:pt idx="1538">
                  <c:v>796,8</c:v>
                </c:pt>
                <c:pt idx="1539">
                  <c:v>324,65</c:v>
                </c:pt>
                <c:pt idx="1540">
                  <c:v>319,5</c:v>
                </c:pt>
                <c:pt idx="1541">
                  <c:v>399,2</c:v>
                </c:pt>
                <c:pt idx="1542">
                  <c:v>8373,6</c:v>
                </c:pt>
                <c:pt idx="1543">
                  <c:v>2256,42</c:v>
                </c:pt>
                <c:pt idx="1550">
                  <c:v>111,98</c:v>
                </c:pt>
                <c:pt idx="1562">
                  <c:v>3,3596</c:v>
                </c:pt>
                <c:pt idx="1570">
                  <c:v>6468,73</c:v>
                </c:pt>
                <c:pt idx="1576">
                  <c:v>10,6</c:v>
                </c:pt>
                <c:pt idx="1586">
                  <c:v>6,6267</c:v>
                </c:pt>
                <c:pt idx="1587">
                  <c:v>10,6</c:v>
                </c:pt>
                <c:pt idx="1588">
                  <c:v>10,6</c:v>
                </c:pt>
                <c:pt idx="1596">
                  <c:v>117,453</c:v>
                </c:pt>
                <c:pt idx="1597">
                  <c:v>1,14</c:v>
                </c:pt>
                <c:pt idx="1600">
                  <c:v>117,453</c:v>
                </c:pt>
                <c:pt idx="1601">
                  <c:v>113,33</c:v>
                </c:pt>
                <c:pt idx="1608">
                  <c:v>119,33</c:v>
                </c:pt>
                <c:pt idx="1609">
                  <c:v>111,98</c:v>
                </c:pt>
                <c:pt idx="1610">
                  <c:v>141,16</c:v>
                </c:pt>
                <c:pt idx="1611">
                  <c:v>1,14</c:v>
                </c:pt>
                <c:pt idx="1612">
                  <c:v>5,9067</c:v>
                </c:pt>
                <c:pt idx="1613">
                  <c:v>10,6</c:v>
                </c:pt>
                <c:pt idx="1619">
                  <c:v>3,7358</c:v>
                </c:pt>
                <c:pt idx="1620">
                  <c:v>10,6</c:v>
                </c:pt>
                <c:pt idx="1636">
                  <c:v>10,6</c:v>
                </c:pt>
                <c:pt idx="1637">
                  <c:v>8,2</c:v>
                </c:pt>
                <c:pt idx="1642">
                  <c:v>113,33</c:v>
                </c:pt>
                <c:pt idx="1650">
                  <c:v>10,6</c:v>
                </c:pt>
                <c:pt idx="1651">
                  <c:v>0,8561</c:v>
                </c:pt>
                <c:pt idx="1652">
                  <c:v>40,3575</c:v>
                </c:pt>
                <c:pt idx="1655">
                  <c:v>3279,19</c:v>
                </c:pt>
                <c:pt idx="1656">
                  <c:v>10,6</c:v>
                </c:pt>
                <c:pt idx="1657">
                  <c:v>8,2</c:v>
                </c:pt>
                <c:pt idx="1669">
                  <c:v>117,453</c:v>
                </c:pt>
                <c:pt idx="1670">
                  <c:v>1,14</c:v>
                </c:pt>
                <c:pt idx="1674">
                  <c:v>122,446</c:v>
                </c:pt>
                <c:pt idx="1675">
                  <c:v>1,14</c:v>
                </c:pt>
                <c:pt idx="1685">
                  <c:v>37,5</c:v>
                </c:pt>
                <c:pt idx="1690">
                  <c:v>104,49</c:v>
                </c:pt>
                <c:pt idx="1699">
                  <c:v>6,6267</c:v>
                </c:pt>
                <c:pt idx="1700">
                  <c:v>3,7358</c:v>
                </c:pt>
                <c:pt idx="1701">
                  <c:v>6489,85</c:v>
                </c:pt>
                <c:pt idx="1702">
                  <c:v>10,6</c:v>
                </c:pt>
                <c:pt idx="1705">
                  <c:v>15,0203</c:v>
                </c:pt>
                <c:pt idx="1706">
                  <c:v>7,2217</c:v>
                </c:pt>
                <c:pt idx="1709">
                  <c:v>10,6</c:v>
                </c:pt>
                <c:pt idx="1710">
                  <c:v>8,2</c:v>
                </c:pt>
                <c:pt idx="1713">
                  <c:v>8,2</c:v>
                </c:pt>
                <c:pt idx="1714">
                  <c:v>15,0203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Sheet1!$AG$1717:$AG$4445</c:f>
              <c:numCache>
                <c:formatCode>General</c:formatCode>
                <c:ptCount val="7"/>
                <c:pt idx="5">
                  <c:v>1244.2444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45-41EE-B830-FF721DD5CBD2}"/>
            </c:ext>
          </c:extLst>
        </c:ser>
        <c:ser>
          <c:idx val="4"/>
          <c:order val="4"/>
          <c:tx>
            <c:strRef>
              <c:f>Sheet1!$AH$1:$AH$1716</c:f>
              <c:strCache>
                <c:ptCount val="1716"/>
                <c:pt idx="0">
                  <c:v>PVENDA</c:v>
                </c:pt>
                <c:pt idx="1">
                  <c:v>25,2</c:v>
                </c:pt>
                <c:pt idx="2">
                  <c:v>12</c:v>
                </c:pt>
                <c:pt idx="3">
                  <c:v>18</c:v>
                </c:pt>
                <c:pt idx="4">
                  <c:v>10,8</c:v>
                </c:pt>
                <c:pt idx="5">
                  <c:v>18</c:v>
                </c:pt>
                <c:pt idx="6">
                  <c:v>16</c:v>
                </c:pt>
                <c:pt idx="7">
                  <c:v>13</c:v>
                </c:pt>
                <c:pt idx="8">
                  <c:v>1,8</c:v>
                </c:pt>
                <c:pt idx="9">
                  <c:v>27,6</c:v>
                </c:pt>
                <c:pt idx="11">
                  <c:v>220</c:v>
                </c:pt>
                <c:pt idx="12">
                  <c:v>210</c:v>
                </c:pt>
                <c:pt idx="13">
                  <c:v>340</c:v>
                </c:pt>
                <c:pt idx="14">
                  <c:v>0,72</c:v>
                </c:pt>
                <c:pt idx="15">
                  <c:v>7,2</c:v>
                </c:pt>
                <c:pt idx="16">
                  <c:v>3,6</c:v>
                </c:pt>
                <c:pt idx="17">
                  <c:v>1,14</c:v>
                </c:pt>
                <c:pt idx="28">
                  <c:v>220</c:v>
                </c:pt>
                <c:pt idx="32">
                  <c:v>21</c:v>
                </c:pt>
                <c:pt idx="33">
                  <c:v>12</c:v>
                </c:pt>
                <c:pt idx="34">
                  <c:v>18</c:v>
                </c:pt>
                <c:pt idx="35">
                  <c:v>9</c:v>
                </c:pt>
                <c:pt idx="36">
                  <c:v>10,8</c:v>
                </c:pt>
                <c:pt idx="37">
                  <c:v>13</c:v>
                </c:pt>
                <c:pt idx="39">
                  <c:v>14,4</c:v>
                </c:pt>
                <c:pt idx="41">
                  <c:v>220</c:v>
                </c:pt>
                <c:pt idx="51">
                  <c:v>220</c:v>
                </c:pt>
                <c:pt idx="52">
                  <c:v>260</c:v>
                </c:pt>
                <c:pt idx="54">
                  <c:v>25,2</c:v>
                </c:pt>
                <c:pt idx="55">
                  <c:v>12</c:v>
                </c:pt>
                <c:pt idx="56">
                  <c:v>18</c:v>
                </c:pt>
                <c:pt idx="57">
                  <c:v>13</c:v>
                </c:pt>
                <c:pt idx="58">
                  <c:v>2,4</c:v>
                </c:pt>
                <c:pt idx="59">
                  <c:v>450</c:v>
                </c:pt>
                <c:pt idx="62">
                  <c:v>12</c:v>
                </c:pt>
                <c:pt idx="63">
                  <c:v>18</c:v>
                </c:pt>
                <c:pt idx="67">
                  <c:v>9</c:v>
                </c:pt>
                <c:pt idx="68">
                  <c:v>10,8</c:v>
                </c:pt>
                <c:pt idx="78">
                  <c:v>12,6</c:v>
                </c:pt>
                <c:pt idx="79">
                  <c:v>14,4</c:v>
                </c:pt>
                <c:pt idx="87">
                  <c:v>18</c:v>
                </c:pt>
                <c:pt idx="90">
                  <c:v>16</c:v>
                </c:pt>
                <c:pt idx="91">
                  <c:v>13</c:v>
                </c:pt>
                <c:pt idx="96">
                  <c:v>27,6</c:v>
                </c:pt>
                <c:pt idx="97">
                  <c:v>15</c:v>
                </c:pt>
                <c:pt idx="106">
                  <c:v>145</c:v>
                </c:pt>
                <c:pt idx="107">
                  <c:v>12,6</c:v>
                </c:pt>
                <c:pt idx="110">
                  <c:v>18</c:v>
                </c:pt>
                <c:pt idx="111">
                  <c:v>13</c:v>
                </c:pt>
                <c:pt idx="115">
                  <c:v>14,4</c:v>
                </c:pt>
                <c:pt idx="118">
                  <c:v>210</c:v>
                </c:pt>
                <c:pt idx="119">
                  <c:v>1,14</c:v>
                </c:pt>
                <c:pt idx="121">
                  <c:v>220</c:v>
                </c:pt>
                <c:pt idx="128">
                  <c:v>220</c:v>
                </c:pt>
                <c:pt idx="130">
                  <c:v>210</c:v>
                </c:pt>
                <c:pt idx="131">
                  <c:v>1,14</c:v>
                </c:pt>
                <c:pt idx="132">
                  <c:v>190</c:v>
                </c:pt>
                <c:pt idx="135">
                  <c:v>3</c:v>
                </c:pt>
                <c:pt idx="138">
                  <c:v>18</c:v>
                </c:pt>
                <c:pt idx="139">
                  <c:v>13</c:v>
                </c:pt>
                <c:pt idx="141">
                  <c:v>200</c:v>
                </c:pt>
                <c:pt idx="147">
                  <c:v>21</c:v>
                </c:pt>
                <c:pt idx="148">
                  <c:v>18</c:v>
                </c:pt>
                <c:pt idx="149">
                  <c:v>18</c:v>
                </c:pt>
                <c:pt idx="154">
                  <c:v>14,4</c:v>
                </c:pt>
                <c:pt idx="155">
                  <c:v>15</c:v>
                </c:pt>
                <c:pt idx="157">
                  <c:v>220</c:v>
                </c:pt>
                <c:pt idx="160">
                  <c:v>14,4</c:v>
                </c:pt>
                <c:pt idx="167">
                  <c:v>220</c:v>
                </c:pt>
                <c:pt idx="174">
                  <c:v>220</c:v>
                </c:pt>
                <c:pt idx="183">
                  <c:v>18</c:v>
                </c:pt>
                <c:pt idx="184">
                  <c:v>13</c:v>
                </c:pt>
                <c:pt idx="185">
                  <c:v>7,2</c:v>
                </c:pt>
                <c:pt idx="187">
                  <c:v>18</c:v>
                </c:pt>
                <c:pt idx="188">
                  <c:v>13</c:v>
                </c:pt>
                <c:pt idx="189">
                  <c:v>210</c:v>
                </c:pt>
                <c:pt idx="192">
                  <c:v>220</c:v>
                </c:pt>
                <c:pt idx="193">
                  <c:v>1,14</c:v>
                </c:pt>
                <c:pt idx="194">
                  <c:v>9</c:v>
                </c:pt>
                <c:pt idx="195">
                  <c:v>1,8</c:v>
                </c:pt>
                <c:pt idx="201">
                  <c:v>210</c:v>
                </c:pt>
                <c:pt idx="203">
                  <c:v>21</c:v>
                </c:pt>
                <c:pt idx="205">
                  <c:v>18</c:v>
                </c:pt>
                <c:pt idx="206">
                  <c:v>16</c:v>
                </c:pt>
                <c:pt idx="207">
                  <c:v>13</c:v>
                </c:pt>
                <c:pt idx="208">
                  <c:v>27,6</c:v>
                </c:pt>
                <c:pt idx="215">
                  <c:v>190</c:v>
                </c:pt>
                <c:pt idx="216">
                  <c:v>220</c:v>
                </c:pt>
                <c:pt idx="217">
                  <c:v>260</c:v>
                </c:pt>
                <c:pt idx="219">
                  <c:v>27,6</c:v>
                </c:pt>
                <c:pt idx="224">
                  <c:v>12</c:v>
                </c:pt>
                <c:pt idx="227">
                  <c:v>27,6</c:v>
                </c:pt>
                <c:pt idx="228">
                  <c:v>13</c:v>
                </c:pt>
                <c:pt idx="229">
                  <c:v>18</c:v>
                </c:pt>
                <c:pt idx="230">
                  <c:v>13</c:v>
                </c:pt>
                <c:pt idx="231">
                  <c:v>18</c:v>
                </c:pt>
                <c:pt idx="238">
                  <c:v>220</c:v>
                </c:pt>
                <c:pt idx="239">
                  <c:v>1,14</c:v>
                </c:pt>
                <c:pt idx="241">
                  <c:v>220</c:v>
                </c:pt>
                <c:pt idx="244">
                  <c:v>450</c:v>
                </c:pt>
                <c:pt idx="247">
                  <c:v>220</c:v>
                </c:pt>
                <c:pt idx="250">
                  <c:v>1,14</c:v>
                </c:pt>
                <c:pt idx="252">
                  <c:v>36</c:v>
                </c:pt>
                <c:pt idx="253">
                  <c:v>220</c:v>
                </c:pt>
                <c:pt idx="255">
                  <c:v>230</c:v>
                </c:pt>
                <c:pt idx="256">
                  <c:v>1,14</c:v>
                </c:pt>
                <c:pt idx="263">
                  <c:v>21</c:v>
                </c:pt>
                <c:pt idx="264">
                  <c:v>13</c:v>
                </c:pt>
                <c:pt idx="269">
                  <c:v>12</c:v>
                </c:pt>
                <c:pt idx="270">
                  <c:v>18</c:v>
                </c:pt>
                <c:pt idx="271">
                  <c:v>3</c:v>
                </c:pt>
                <c:pt idx="272">
                  <c:v>3</c:v>
                </c:pt>
                <c:pt idx="273">
                  <c:v>13</c:v>
                </c:pt>
                <c:pt idx="274">
                  <c:v>27,6</c:v>
                </c:pt>
                <c:pt idx="277">
                  <c:v>12</c:v>
                </c:pt>
                <c:pt idx="279">
                  <c:v>14,4</c:v>
                </c:pt>
                <c:pt idx="283">
                  <c:v>16</c:v>
                </c:pt>
                <c:pt idx="288">
                  <c:v>18</c:v>
                </c:pt>
                <c:pt idx="289">
                  <c:v>10,8</c:v>
                </c:pt>
                <c:pt idx="291">
                  <c:v>2,4</c:v>
                </c:pt>
                <c:pt idx="292">
                  <c:v>27,6</c:v>
                </c:pt>
                <c:pt idx="296">
                  <c:v>14,4</c:v>
                </c:pt>
                <c:pt idx="299">
                  <c:v>13</c:v>
                </c:pt>
                <c:pt idx="303">
                  <c:v>18</c:v>
                </c:pt>
                <c:pt idx="304">
                  <c:v>16</c:v>
                </c:pt>
                <c:pt idx="305">
                  <c:v>13</c:v>
                </c:pt>
                <c:pt idx="311">
                  <c:v>220</c:v>
                </c:pt>
                <c:pt idx="313">
                  <c:v>220</c:v>
                </c:pt>
                <c:pt idx="324">
                  <c:v>220</c:v>
                </c:pt>
                <c:pt idx="325">
                  <c:v>1,14</c:v>
                </c:pt>
                <c:pt idx="328">
                  <c:v>210</c:v>
                </c:pt>
                <c:pt idx="331">
                  <c:v>60</c:v>
                </c:pt>
                <c:pt idx="336">
                  <c:v>220</c:v>
                </c:pt>
                <c:pt idx="337">
                  <c:v>230</c:v>
                </c:pt>
                <c:pt idx="338">
                  <c:v>250</c:v>
                </c:pt>
                <c:pt idx="344">
                  <c:v>22,2</c:v>
                </c:pt>
                <c:pt idx="345">
                  <c:v>9</c:v>
                </c:pt>
                <c:pt idx="346">
                  <c:v>1,8</c:v>
                </c:pt>
                <c:pt idx="347">
                  <c:v>9</c:v>
                </c:pt>
                <c:pt idx="348">
                  <c:v>14,4</c:v>
                </c:pt>
                <c:pt idx="355">
                  <c:v>18</c:v>
                </c:pt>
                <c:pt idx="356">
                  <c:v>36</c:v>
                </c:pt>
                <c:pt idx="357">
                  <c:v>14,4</c:v>
                </c:pt>
                <c:pt idx="374">
                  <c:v>210</c:v>
                </c:pt>
                <c:pt idx="378">
                  <c:v>16</c:v>
                </c:pt>
                <c:pt idx="380">
                  <c:v>27,6</c:v>
                </c:pt>
                <c:pt idx="385">
                  <c:v>220</c:v>
                </c:pt>
                <c:pt idx="386">
                  <c:v>1,14</c:v>
                </c:pt>
                <c:pt idx="404">
                  <c:v>18</c:v>
                </c:pt>
                <c:pt idx="405">
                  <c:v>13</c:v>
                </c:pt>
                <c:pt idx="406">
                  <c:v>220</c:v>
                </c:pt>
                <c:pt idx="408">
                  <c:v>14,4</c:v>
                </c:pt>
                <c:pt idx="412">
                  <c:v>1,14</c:v>
                </c:pt>
                <c:pt idx="417">
                  <c:v>21</c:v>
                </c:pt>
                <c:pt idx="427">
                  <c:v>13</c:v>
                </c:pt>
                <c:pt idx="436">
                  <c:v>220</c:v>
                </c:pt>
                <c:pt idx="438">
                  <c:v>210</c:v>
                </c:pt>
                <c:pt idx="440">
                  <c:v>18</c:v>
                </c:pt>
                <c:pt idx="441">
                  <c:v>9</c:v>
                </c:pt>
                <c:pt idx="442">
                  <c:v>13</c:v>
                </c:pt>
                <c:pt idx="443">
                  <c:v>27,6</c:v>
                </c:pt>
                <c:pt idx="449">
                  <c:v>230</c:v>
                </c:pt>
                <c:pt idx="451">
                  <c:v>220</c:v>
                </c:pt>
                <c:pt idx="452">
                  <c:v>1,14</c:v>
                </c:pt>
                <c:pt idx="462">
                  <c:v>12</c:v>
                </c:pt>
                <c:pt idx="463">
                  <c:v>18</c:v>
                </c:pt>
                <c:pt idx="464">
                  <c:v>16</c:v>
                </c:pt>
                <c:pt idx="465">
                  <c:v>220</c:v>
                </c:pt>
                <c:pt idx="472">
                  <c:v>21</c:v>
                </c:pt>
                <c:pt idx="474">
                  <c:v>18</c:v>
                </c:pt>
                <c:pt idx="478">
                  <c:v>18</c:v>
                </c:pt>
                <c:pt idx="481">
                  <c:v>21</c:v>
                </c:pt>
                <c:pt idx="482">
                  <c:v>12</c:v>
                </c:pt>
                <c:pt idx="483">
                  <c:v>18</c:v>
                </c:pt>
                <c:pt idx="484">
                  <c:v>28,8</c:v>
                </c:pt>
                <c:pt idx="490">
                  <c:v>18</c:v>
                </c:pt>
                <c:pt idx="493">
                  <c:v>18</c:v>
                </c:pt>
                <c:pt idx="494">
                  <c:v>220</c:v>
                </c:pt>
                <c:pt idx="495">
                  <c:v>1,14</c:v>
                </c:pt>
                <c:pt idx="497">
                  <c:v>18</c:v>
                </c:pt>
                <c:pt idx="498">
                  <c:v>13</c:v>
                </c:pt>
                <c:pt idx="499">
                  <c:v>220</c:v>
                </c:pt>
                <c:pt idx="501">
                  <c:v>220</c:v>
                </c:pt>
                <c:pt idx="505">
                  <c:v>3</c:v>
                </c:pt>
                <c:pt idx="506">
                  <c:v>9</c:v>
                </c:pt>
                <c:pt idx="509">
                  <c:v>220</c:v>
                </c:pt>
                <c:pt idx="511">
                  <c:v>16</c:v>
                </c:pt>
                <c:pt idx="512">
                  <c:v>13</c:v>
                </c:pt>
                <c:pt idx="515">
                  <c:v>16</c:v>
                </c:pt>
                <c:pt idx="516">
                  <c:v>13</c:v>
                </c:pt>
                <c:pt idx="517">
                  <c:v>27,6</c:v>
                </c:pt>
                <c:pt idx="521">
                  <c:v>1,14</c:v>
                </c:pt>
                <c:pt idx="525">
                  <c:v>18</c:v>
                </c:pt>
                <c:pt idx="526">
                  <c:v>220</c:v>
                </c:pt>
                <c:pt idx="528">
                  <c:v>210</c:v>
                </c:pt>
                <c:pt idx="535">
                  <c:v>13</c:v>
                </c:pt>
                <c:pt idx="536">
                  <c:v>14,4</c:v>
                </c:pt>
                <c:pt idx="537">
                  <c:v>27,6</c:v>
                </c:pt>
                <c:pt idx="541">
                  <c:v>220</c:v>
                </c:pt>
                <c:pt idx="543">
                  <c:v>18</c:v>
                </c:pt>
                <c:pt idx="544">
                  <c:v>450</c:v>
                </c:pt>
                <c:pt idx="547">
                  <c:v>18</c:v>
                </c:pt>
                <c:pt idx="548">
                  <c:v>13</c:v>
                </c:pt>
                <c:pt idx="554">
                  <c:v>13</c:v>
                </c:pt>
                <c:pt idx="558">
                  <c:v>12</c:v>
                </c:pt>
                <c:pt idx="574">
                  <c:v>16</c:v>
                </c:pt>
                <c:pt idx="577">
                  <c:v>5</c:v>
                </c:pt>
                <c:pt idx="586">
                  <c:v>27,6</c:v>
                </c:pt>
                <c:pt idx="587">
                  <c:v>12</c:v>
                </c:pt>
                <c:pt idx="588">
                  <c:v>16</c:v>
                </c:pt>
                <c:pt idx="590">
                  <c:v>220</c:v>
                </c:pt>
                <c:pt idx="591">
                  <c:v>1,14</c:v>
                </c:pt>
                <c:pt idx="600">
                  <c:v>1,14</c:v>
                </c:pt>
                <c:pt idx="602">
                  <c:v>220</c:v>
                </c:pt>
                <c:pt idx="607">
                  <c:v>14,4</c:v>
                </c:pt>
                <c:pt idx="615">
                  <c:v>18</c:v>
                </c:pt>
                <c:pt idx="616">
                  <c:v>13</c:v>
                </c:pt>
                <c:pt idx="624">
                  <c:v>3</c:v>
                </c:pt>
                <c:pt idx="625">
                  <c:v>14,4</c:v>
                </c:pt>
                <c:pt idx="626">
                  <c:v>18</c:v>
                </c:pt>
                <c:pt idx="627">
                  <c:v>27,6</c:v>
                </c:pt>
                <c:pt idx="629">
                  <c:v>27,6</c:v>
                </c:pt>
                <c:pt idx="630">
                  <c:v>220</c:v>
                </c:pt>
                <c:pt idx="631">
                  <c:v>1,14</c:v>
                </c:pt>
                <c:pt idx="636">
                  <c:v>1,14</c:v>
                </c:pt>
                <c:pt idx="638">
                  <c:v>220</c:v>
                </c:pt>
                <c:pt idx="649">
                  <c:v>220</c:v>
                </c:pt>
                <c:pt idx="650">
                  <c:v>220</c:v>
                </c:pt>
                <c:pt idx="651">
                  <c:v>1,14</c:v>
                </c:pt>
                <c:pt idx="652">
                  <c:v>220</c:v>
                </c:pt>
                <c:pt idx="654">
                  <c:v>18</c:v>
                </c:pt>
                <c:pt idx="655">
                  <c:v>220</c:v>
                </c:pt>
                <c:pt idx="663">
                  <c:v>210</c:v>
                </c:pt>
                <c:pt idx="670">
                  <c:v>13</c:v>
                </c:pt>
                <c:pt idx="671">
                  <c:v>27,6</c:v>
                </c:pt>
                <c:pt idx="675">
                  <c:v>12</c:v>
                </c:pt>
                <c:pt idx="676">
                  <c:v>13</c:v>
                </c:pt>
                <c:pt idx="678">
                  <c:v>220</c:v>
                </c:pt>
                <c:pt idx="682">
                  <c:v>280</c:v>
                </c:pt>
                <c:pt idx="686">
                  <c:v>220</c:v>
                </c:pt>
                <c:pt idx="690">
                  <c:v>1,14</c:v>
                </c:pt>
                <c:pt idx="694">
                  <c:v>220</c:v>
                </c:pt>
                <c:pt idx="703">
                  <c:v>21</c:v>
                </c:pt>
                <c:pt idx="704">
                  <c:v>21</c:v>
                </c:pt>
                <c:pt idx="706">
                  <c:v>18</c:v>
                </c:pt>
                <c:pt idx="707">
                  <c:v>9</c:v>
                </c:pt>
                <c:pt idx="708">
                  <c:v>13</c:v>
                </c:pt>
                <c:pt idx="709">
                  <c:v>27,6</c:v>
                </c:pt>
                <c:pt idx="710">
                  <c:v>12</c:v>
                </c:pt>
                <c:pt idx="711">
                  <c:v>9</c:v>
                </c:pt>
                <c:pt idx="712">
                  <c:v>18</c:v>
                </c:pt>
                <c:pt idx="717">
                  <c:v>9</c:v>
                </c:pt>
                <c:pt idx="720">
                  <c:v>14,4</c:v>
                </c:pt>
                <c:pt idx="724">
                  <c:v>220</c:v>
                </c:pt>
                <c:pt idx="740">
                  <c:v>21</c:v>
                </c:pt>
                <c:pt idx="741">
                  <c:v>21</c:v>
                </c:pt>
                <c:pt idx="742">
                  <c:v>9</c:v>
                </c:pt>
                <c:pt idx="743">
                  <c:v>18</c:v>
                </c:pt>
                <c:pt idx="744">
                  <c:v>13</c:v>
                </c:pt>
                <c:pt idx="745">
                  <c:v>7,2</c:v>
                </c:pt>
                <c:pt idx="746">
                  <c:v>1,8</c:v>
                </c:pt>
                <c:pt idx="747">
                  <c:v>14,4</c:v>
                </c:pt>
                <c:pt idx="748">
                  <c:v>15</c:v>
                </c:pt>
                <c:pt idx="749">
                  <c:v>220</c:v>
                </c:pt>
                <c:pt idx="750">
                  <c:v>230</c:v>
                </c:pt>
                <c:pt idx="762">
                  <c:v>13</c:v>
                </c:pt>
                <c:pt idx="778">
                  <c:v>3</c:v>
                </c:pt>
                <c:pt idx="779">
                  <c:v>30,6</c:v>
                </c:pt>
                <c:pt idx="780">
                  <c:v>29</c:v>
                </c:pt>
                <c:pt idx="781">
                  <c:v>14,4</c:v>
                </c:pt>
                <c:pt idx="786">
                  <c:v>18</c:v>
                </c:pt>
                <c:pt idx="791">
                  <c:v>220</c:v>
                </c:pt>
                <c:pt idx="796">
                  <c:v>220</c:v>
                </c:pt>
                <c:pt idx="797">
                  <c:v>1,14</c:v>
                </c:pt>
                <c:pt idx="804">
                  <c:v>12</c:v>
                </c:pt>
                <c:pt idx="805">
                  <c:v>18</c:v>
                </c:pt>
                <c:pt idx="806">
                  <c:v>9</c:v>
                </c:pt>
                <c:pt idx="812">
                  <c:v>230</c:v>
                </c:pt>
                <c:pt idx="813">
                  <c:v>1,14</c:v>
                </c:pt>
                <c:pt idx="817">
                  <c:v>12</c:v>
                </c:pt>
                <c:pt idx="818">
                  <c:v>10,8</c:v>
                </c:pt>
                <c:pt idx="819">
                  <c:v>14,4</c:v>
                </c:pt>
                <c:pt idx="820">
                  <c:v>18</c:v>
                </c:pt>
                <c:pt idx="821">
                  <c:v>13</c:v>
                </c:pt>
                <c:pt idx="822">
                  <c:v>27,6</c:v>
                </c:pt>
                <c:pt idx="823">
                  <c:v>162,84</c:v>
                </c:pt>
                <c:pt idx="824">
                  <c:v>260</c:v>
                </c:pt>
                <c:pt idx="825">
                  <c:v>1,14</c:v>
                </c:pt>
                <c:pt idx="828">
                  <c:v>21</c:v>
                </c:pt>
                <c:pt idx="830">
                  <c:v>9</c:v>
                </c:pt>
                <c:pt idx="831">
                  <c:v>210</c:v>
                </c:pt>
                <c:pt idx="833">
                  <c:v>220</c:v>
                </c:pt>
                <c:pt idx="840">
                  <c:v>18</c:v>
                </c:pt>
                <c:pt idx="841">
                  <c:v>16</c:v>
                </c:pt>
                <c:pt idx="843">
                  <c:v>9</c:v>
                </c:pt>
                <c:pt idx="844">
                  <c:v>18</c:v>
                </c:pt>
                <c:pt idx="852">
                  <c:v>18</c:v>
                </c:pt>
                <c:pt idx="854">
                  <c:v>220</c:v>
                </c:pt>
                <c:pt idx="855">
                  <c:v>190</c:v>
                </c:pt>
                <c:pt idx="856">
                  <c:v>1,14</c:v>
                </c:pt>
                <c:pt idx="857">
                  <c:v>12</c:v>
                </c:pt>
                <c:pt idx="867">
                  <c:v>12</c:v>
                </c:pt>
                <c:pt idx="868">
                  <c:v>18</c:v>
                </c:pt>
                <c:pt idx="869">
                  <c:v>13</c:v>
                </c:pt>
                <c:pt idx="870">
                  <c:v>220</c:v>
                </c:pt>
                <c:pt idx="874">
                  <c:v>13</c:v>
                </c:pt>
                <c:pt idx="878">
                  <c:v>280</c:v>
                </c:pt>
                <c:pt idx="881">
                  <c:v>220</c:v>
                </c:pt>
                <c:pt idx="888">
                  <c:v>12</c:v>
                </c:pt>
                <c:pt idx="889">
                  <c:v>9</c:v>
                </c:pt>
                <c:pt idx="890">
                  <c:v>18</c:v>
                </c:pt>
                <c:pt idx="891">
                  <c:v>13</c:v>
                </c:pt>
                <c:pt idx="892">
                  <c:v>27,6</c:v>
                </c:pt>
                <c:pt idx="894">
                  <c:v>450</c:v>
                </c:pt>
                <c:pt idx="896">
                  <c:v>220</c:v>
                </c:pt>
                <c:pt idx="897">
                  <c:v>1,14</c:v>
                </c:pt>
                <c:pt idx="900">
                  <c:v>190</c:v>
                </c:pt>
                <c:pt idx="918">
                  <c:v>210</c:v>
                </c:pt>
                <c:pt idx="924">
                  <c:v>12</c:v>
                </c:pt>
                <c:pt idx="932">
                  <c:v>220</c:v>
                </c:pt>
                <c:pt idx="934">
                  <c:v>18</c:v>
                </c:pt>
                <c:pt idx="935">
                  <c:v>1,8</c:v>
                </c:pt>
                <c:pt idx="936">
                  <c:v>3</c:v>
                </c:pt>
                <c:pt idx="947">
                  <c:v>21</c:v>
                </c:pt>
                <c:pt idx="948">
                  <c:v>9</c:v>
                </c:pt>
                <c:pt idx="951">
                  <c:v>18</c:v>
                </c:pt>
                <c:pt idx="952">
                  <c:v>16</c:v>
                </c:pt>
                <c:pt idx="953">
                  <c:v>13</c:v>
                </c:pt>
                <c:pt idx="954">
                  <c:v>27,6</c:v>
                </c:pt>
                <c:pt idx="956">
                  <c:v>210</c:v>
                </c:pt>
                <c:pt idx="957">
                  <c:v>13,2</c:v>
                </c:pt>
                <c:pt idx="958">
                  <c:v>1,14</c:v>
                </c:pt>
                <c:pt idx="959">
                  <c:v>18</c:v>
                </c:pt>
                <c:pt idx="960">
                  <c:v>13</c:v>
                </c:pt>
                <c:pt idx="972">
                  <c:v>7,2</c:v>
                </c:pt>
                <c:pt idx="974">
                  <c:v>1,8</c:v>
                </c:pt>
                <c:pt idx="975">
                  <c:v>27,6</c:v>
                </c:pt>
                <c:pt idx="976">
                  <c:v>220</c:v>
                </c:pt>
                <c:pt idx="977">
                  <c:v>1,14</c:v>
                </c:pt>
                <c:pt idx="980">
                  <c:v>220</c:v>
                </c:pt>
                <c:pt idx="981">
                  <c:v>1,14</c:v>
                </c:pt>
                <c:pt idx="994">
                  <c:v>9</c:v>
                </c:pt>
                <c:pt idx="995">
                  <c:v>13</c:v>
                </c:pt>
                <c:pt idx="999">
                  <c:v>210</c:v>
                </c:pt>
                <c:pt idx="1003">
                  <c:v>10,8</c:v>
                </c:pt>
                <c:pt idx="1004">
                  <c:v>27,6</c:v>
                </c:pt>
                <c:pt idx="1006">
                  <c:v>27,6</c:v>
                </c:pt>
                <c:pt idx="1007">
                  <c:v>12</c:v>
                </c:pt>
                <c:pt idx="1011">
                  <c:v>220</c:v>
                </c:pt>
                <c:pt idx="1013">
                  <c:v>280</c:v>
                </c:pt>
                <c:pt idx="1018">
                  <c:v>27,6</c:v>
                </c:pt>
                <c:pt idx="1021">
                  <c:v>13</c:v>
                </c:pt>
                <c:pt idx="1022">
                  <c:v>220</c:v>
                </c:pt>
                <c:pt idx="1023">
                  <c:v>1,14</c:v>
                </c:pt>
                <c:pt idx="1024">
                  <c:v>12</c:v>
                </c:pt>
                <c:pt idx="1025">
                  <c:v>9</c:v>
                </c:pt>
                <c:pt idx="1026">
                  <c:v>27,6</c:v>
                </c:pt>
                <c:pt idx="1038">
                  <c:v>1,14</c:v>
                </c:pt>
                <c:pt idx="1041">
                  <c:v>13</c:v>
                </c:pt>
                <c:pt idx="1050">
                  <c:v>220</c:v>
                </c:pt>
                <c:pt idx="1054">
                  <c:v>18</c:v>
                </c:pt>
                <c:pt idx="1055">
                  <c:v>27,6</c:v>
                </c:pt>
                <c:pt idx="1059">
                  <c:v>220</c:v>
                </c:pt>
                <c:pt idx="1070">
                  <c:v>210</c:v>
                </c:pt>
                <c:pt idx="1080">
                  <c:v>230</c:v>
                </c:pt>
                <c:pt idx="1081">
                  <c:v>1,14</c:v>
                </c:pt>
                <c:pt idx="1084">
                  <c:v>220</c:v>
                </c:pt>
                <c:pt idx="1086">
                  <c:v>13</c:v>
                </c:pt>
                <c:pt idx="1095">
                  <c:v>12</c:v>
                </c:pt>
                <c:pt idx="1096">
                  <c:v>18</c:v>
                </c:pt>
                <c:pt idx="1099">
                  <c:v>3</c:v>
                </c:pt>
                <c:pt idx="1100">
                  <c:v>9</c:v>
                </c:pt>
                <c:pt idx="1101">
                  <c:v>13</c:v>
                </c:pt>
                <c:pt idx="1104">
                  <c:v>12</c:v>
                </c:pt>
                <c:pt idx="1108">
                  <c:v>220</c:v>
                </c:pt>
                <c:pt idx="1109">
                  <c:v>210</c:v>
                </c:pt>
                <c:pt idx="1113">
                  <c:v>13</c:v>
                </c:pt>
                <c:pt idx="1123">
                  <c:v>260</c:v>
                </c:pt>
                <c:pt idx="1124">
                  <c:v>1,14</c:v>
                </c:pt>
                <c:pt idx="1131">
                  <c:v>18</c:v>
                </c:pt>
                <c:pt idx="1134">
                  <c:v>12</c:v>
                </c:pt>
                <c:pt idx="1139">
                  <c:v>12</c:v>
                </c:pt>
                <c:pt idx="1140">
                  <c:v>9</c:v>
                </c:pt>
                <c:pt idx="1141">
                  <c:v>18</c:v>
                </c:pt>
                <c:pt idx="1142">
                  <c:v>16</c:v>
                </c:pt>
                <c:pt idx="1143">
                  <c:v>13</c:v>
                </c:pt>
                <c:pt idx="1144">
                  <c:v>27,6</c:v>
                </c:pt>
                <c:pt idx="1146">
                  <c:v>230</c:v>
                </c:pt>
                <c:pt idx="1155">
                  <c:v>210</c:v>
                </c:pt>
                <c:pt idx="1156">
                  <c:v>1,14</c:v>
                </c:pt>
                <c:pt idx="1157">
                  <c:v>280</c:v>
                </c:pt>
                <c:pt idx="1165">
                  <c:v>12</c:v>
                </c:pt>
                <c:pt idx="1166">
                  <c:v>18</c:v>
                </c:pt>
                <c:pt idx="1167">
                  <c:v>16</c:v>
                </c:pt>
                <c:pt idx="1168">
                  <c:v>13</c:v>
                </c:pt>
                <c:pt idx="1169">
                  <c:v>14,4</c:v>
                </c:pt>
                <c:pt idx="1171">
                  <c:v>21</c:v>
                </c:pt>
                <c:pt idx="1172">
                  <c:v>21</c:v>
                </c:pt>
                <c:pt idx="1173">
                  <c:v>9</c:v>
                </c:pt>
                <c:pt idx="1174">
                  <c:v>10,8</c:v>
                </c:pt>
                <c:pt idx="1177">
                  <c:v>18</c:v>
                </c:pt>
                <c:pt idx="1178">
                  <c:v>27,6</c:v>
                </c:pt>
                <c:pt idx="1183">
                  <c:v>230</c:v>
                </c:pt>
                <c:pt idx="1185">
                  <c:v>12</c:v>
                </c:pt>
                <c:pt idx="1186">
                  <c:v>9</c:v>
                </c:pt>
                <c:pt idx="1190">
                  <c:v>12</c:v>
                </c:pt>
                <c:pt idx="1191">
                  <c:v>13</c:v>
                </c:pt>
                <c:pt idx="1198">
                  <c:v>9</c:v>
                </c:pt>
                <c:pt idx="1199">
                  <c:v>12,6</c:v>
                </c:pt>
                <c:pt idx="1200">
                  <c:v>14,4</c:v>
                </c:pt>
                <c:pt idx="1202">
                  <c:v>18</c:v>
                </c:pt>
                <c:pt idx="1203">
                  <c:v>13</c:v>
                </c:pt>
                <c:pt idx="1205">
                  <c:v>13</c:v>
                </c:pt>
                <c:pt idx="1206">
                  <c:v>14,4</c:v>
                </c:pt>
                <c:pt idx="1212">
                  <c:v>18</c:v>
                </c:pt>
                <c:pt idx="1213">
                  <c:v>230</c:v>
                </c:pt>
                <c:pt idx="1222">
                  <c:v>220</c:v>
                </c:pt>
                <c:pt idx="1223">
                  <c:v>220</c:v>
                </c:pt>
                <c:pt idx="1227">
                  <c:v>9</c:v>
                </c:pt>
                <c:pt idx="1228">
                  <c:v>18</c:v>
                </c:pt>
                <c:pt idx="1234">
                  <c:v>12</c:v>
                </c:pt>
                <c:pt idx="1235">
                  <c:v>9</c:v>
                </c:pt>
                <c:pt idx="1236">
                  <c:v>10,8</c:v>
                </c:pt>
                <c:pt idx="1237">
                  <c:v>18</c:v>
                </c:pt>
                <c:pt idx="1238">
                  <c:v>13</c:v>
                </c:pt>
                <c:pt idx="1243">
                  <c:v>18</c:v>
                </c:pt>
                <c:pt idx="1244">
                  <c:v>13</c:v>
                </c:pt>
                <c:pt idx="1245">
                  <c:v>1,8</c:v>
                </c:pt>
                <c:pt idx="1246">
                  <c:v>14,4</c:v>
                </c:pt>
                <c:pt idx="1281">
                  <c:v>220</c:v>
                </c:pt>
                <c:pt idx="1282">
                  <c:v>1,14</c:v>
                </c:pt>
                <c:pt idx="1294">
                  <c:v>21</c:v>
                </c:pt>
                <c:pt idx="1295">
                  <c:v>9</c:v>
                </c:pt>
                <c:pt idx="1296">
                  <c:v>18</c:v>
                </c:pt>
                <c:pt idx="1297">
                  <c:v>13</c:v>
                </c:pt>
                <c:pt idx="1300">
                  <c:v>220</c:v>
                </c:pt>
                <c:pt idx="1305">
                  <c:v>230</c:v>
                </c:pt>
                <c:pt idx="1307">
                  <c:v>57,86</c:v>
                </c:pt>
                <c:pt idx="1309">
                  <c:v>1,14</c:v>
                </c:pt>
                <c:pt idx="1312">
                  <c:v>220</c:v>
                </c:pt>
                <c:pt idx="1316">
                  <c:v>220</c:v>
                </c:pt>
                <c:pt idx="1340">
                  <c:v>12</c:v>
                </c:pt>
                <c:pt idx="1341">
                  <c:v>14,4</c:v>
                </c:pt>
                <c:pt idx="1356">
                  <c:v>27,6</c:v>
                </c:pt>
                <c:pt idx="1357">
                  <c:v>12</c:v>
                </c:pt>
                <c:pt idx="1358">
                  <c:v>13</c:v>
                </c:pt>
                <c:pt idx="1364">
                  <c:v>18</c:v>
                </c:pt>
                <c:pt idx="1365">
                  <c:v>1,8</c:v>
                </c:pt>
                <c:pt idx="1366">
                  <c:v>3</c:v>
                </c:pt>
                <c:pt idx="1371">
                  <c:v>16</c:v>
                </c:pt>
                <c:pt idx="1372">
                  <c:v>13</c:v>
                </c:pt>
                <c:pt idx="1387">
                  <c:v>220</c:v>
                </c:pt>
                <c:pt idx="1388">
                  <c:v>280</c:v>
                </c:pt>
                <c:pt idx="1392">
                  <c:v>220</c:v>
                </c:pt>
                <c:pt idx="1396">
                  <c:v>450</c:v>
                </c:pt>
                <c:pt idx="1399">
                  <c:v>1,14</c:v>
                </c:pt>
                <c:pt idx="1403">
                  <c:v>220</c:v>
                </c:pt>
                <c:pt idx="1410">
                  <c:v>13</c:v>
                </c:pt>
                <c:pt idx="1411">
                  <c:v>220</c:v>
                </c:pt>
                <c:pt idx="1418">
                  <c:v>12</c:v>
                </c:pt>
                <c:pt idx="1421">
                  <c:v>18</c:v>
                </c:pt>
                <c:pt idx="1422">
                  <c:v>13</c:v>
                </c:pt>
                <c:pt idx="1423">
                  <c:v>7,2</c:v>
                </c:pt>
                <c:pt idx="1424">
                  <c:v>3</c:v>
                </c:pt>
                <c:pt idx="1425">
                  <c:v>27,6</c:v>
                </c:pt>
                <c:pt idx="1426">
                  <c:v>16</c:v>
                </c:pt>
                <c:pt idx="1429">
                  <c:v>9</c:v>
                </c:pt>
                <c:pt idx="1430">
                  <c:v>18</c:v>
                </c:pt>
                <c:pt idx="1431">
                  <c:v>13</c:v>
                </c:pt>
                <c:pt idx="1440">
                  <c:v>230</c:v>
                </c:pt>
                <c:pt idx="1448">
                  <c:v>1,8</c:v>
                </c:pt>
                <c:pt idx="1462">
                  <c:v>13</c:v>
                </c:pt>
                <c:pt idx="1466">
                  <c:v>220</c:v>
                </c:pt>
                <c:pt idx="1474">
                  <c:v>18</c:v>
                </c:pt>
                <c:pt idx="1475">
                  <c:v>16</c:v>
                </c:pt>
                <c:pt idx="1476">
                  <c:v>13</c:v>
                </c:pt>
                <c:pt idx="1483">
                  <c:v>10,8</c:v>
                </c:pt>
                <c:pt idx="1484">
                  <c:v>18</c:v>
                </c:pt>
                <c:pt idx="1489">
                  <c:v>18</c:v>
                </c:pt>
                <c:pt idx="1490">
                  <c:v>13</c:v>
                </c:pt>
                <c:pt idx="1491">
                  <c:v>27,6</c:v>
                </c:pt>
                <c:pt idx="1515">
                  <c:v>220</c:v>
                </c:pt>
                <c:pt idx="1520">
                  <c:v>220</c:v>
                </c:pt>
                <c:pt idx="1523">
                  <c:v>220</c:v>
                </c:pt>
                <c:pt idx="1524">
                  <c:v>1,14</c:v>
                </c:pt>
                <c:pt idx="1536">
                  <c:v>210</c:v>
                </c:pt>
                <c:pt idx="1550">
                  <c:v>210</c:v>
                </c:pt>
                <c:pt idx="1576">
                  <c:v>18</c:v>
                </c:pt>
                <c:pt idx="1586">
                  <c:v>12</c:v>
                </c:pt>
                <c:pt idx="1587">
                  <c:v>18</c:v>
                </c:pt>
                <c:pt idx="1588">
                  <c:v>18</c:v>
                </c:pt>
                <c:pt idx="1596">
                  <c:v>220</c:v>
                </c:pt>
                <c:pt idx="1597">
                  <c:v>1,14</c:v>
                </c:pt>
                <c:pt idx="1600">
                  <c:v>220</c:v>
                </c:pt>
                <c:pt idx="1601">
                  <c:v>220</c:v>
                </c:pt>
                <c:pt idx="1608">
                  <c:v>220</c:v>
                </c:pt>
                <c:pt idx="1609">
                  <c:v>210</c:v>
                </c:pt>
                <c:pt idx="1610">
                  <c:v>220</c:v>
                </c:pt>
                <c:pt idx="1611">
                  <c:v>1,14</c:v>
                </c:pt>
                <c:pt idx="1612">
                  <c:v>12,6</c:v>
                </c:pt>
                <c:pt idx="1613">
                  <c:v>18</c:v>
                </c:pt>
                <c:pt idx="1619">
                  <c:v>9</c:v>
                </c:pt>
                <c:pt idx="1620">
                  <c:v>18</c:v>
                </c:pt>
                <c:pt idx="1636">
                  <c:v>18</c:v>
                </c:pt>
                <c:pt idx="1637">
                  <c:v>13</c:v>
                </c:pt>
                <c:pt idx="1642">
                  <c:v>220</c:v>
                </c:pt>
                <c:pt idx="1650">
                  <c:v>18</c:v>
                </c:pt>
                <c:pt idx="1651">
                  <c:v>1,8</c:v>
                </c:pt>
                <c:pt idx="1656">
                  <c:v>18</c:v>
                </c:pt>
                <c:pt idx="1657">
                  <c:v>13</c:v>
                </c:pt>
                <c:pt idx="1669">
                  <c:v>220</c:v>
                </c:pt>
                <c:pt idx="1670">
                  <c:v>1,14</c:v>
                </c:pt>
                <c:pt idx="1674">
                  <c:v>230</c:v>
                </c:pt>
                <c:pt idx="1675">
                  <c:v>1,14</c:v>
                </c:pt>
                <c:pt idx="1690">
                  <c:v>220</c:v>
                </c:pt>
                <c:pt idx="1699">
                  <c:v>12</c:v>
                </c:pt>
                <c:pt idx="1700">
                  <c:v>9</c:v>
                </c:pt>
                <c:pt idx="1702">
                  <c:v>18</c:v>
                </c:pt>
                <c:pt idx="1705">
                  <c:v>27,6</c:v>
                </c:pt>
                <c:pt idx="1706">
                  <c:v>14,4</c:v>
                </c:pt>
                <c:pt idx="1709">
                  <c:v>18</c:v>
                </c:pt>
                <c:pt idx="1710">
                  <c:v>13</c:v>
                </c:pt>
                <c:pt idx="1713">
                  <c:v>13</c:v>
                </c:pt>
                <c:pt idx="1714">
                  <c:v>27,6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Sheet1!$AH$1717:$AH$4445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4-C945-41EE-B830-FF721DD5CBD2}"/>
            </c:ext>
          </c:extLst>
        </c:ser>
        <c:ser>
          <c:idx val="5"/>
          <c:order val="5"/>
          <c:tx>
            <c:strRef>
              <c:f>Sheet1!$AI$1:$AI$1716</c:f>
              <c:strCache>
                <c:ptCount val="1716"/>
                <c:pt idx="0">
                  <c:v>COMISSAO_PERCENT</c:v>
                </c:pt>
                <c:pt idx="1">
                  <c:v>0,00%</c:v>
                </c:pt>
                <c:pt idx="128">
                  <c:v>0,00%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Sheet1!$AI$1717:$AI$4445</c:f>
              <c:numCache>
                <c:formatCode>0.00%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5-C945-41EE-B830-FF721DD5CBD2}"/>
            </c:ext>
          </c:extLst>
        </c:ser>
        <c:ser>
          <c:idx val="6"/>
          <c:order val="6"/>
          <c:tx>
            <c:strRef>
              <c:f>Sheet1!$AJ$1:$AJ$1716</c:f>
              <c:strCache>
                <c:ptCount val="1716"/>
                <c:pt idx="0">
                  <c:v>VALOR_COMISSAO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Sheet1!$AJ$1717:$AJ$4445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945-41EE-B830-FF721DD5CBD2}"/>
            </c:ext>
          </c:extLst>
        </c:ser>
        <c:ser>
          <c:idx val="7"/>
          <c:order val="7"/>
          <c:tx>
            <c:strRef>
              <c:f>Sheet1!$AK$1:$AK$1716</c:f>
              <c:strCache>
                <c:ptCount val="1716"/>
                <c:pt idx="0">
                  <c:v>MARGEM</c:v>
                </c:pt>
                <c:pt idx="1">
                  <c:v>10,665</c:v>
                </c:pt>
                <c:pt idx="2">
                  <c:v>27,2398</c:v>
                </c:pt>
                <c:pt idx="3">
                  <c:v>1,56</c:v>
                </c:pt>
                <c:pt idx="4">
                  <c:v>3,8227</c:v>
                </c:pt>
                <c:pt idx="5">
                  <c:v>105,2</c:v>
                </c:pt>
                <c:pt idx="6">
                  <c:v>3,86</c:v>
                </c:pt>
                <c:pt idx="7">
                  <c:v>98,4</c:v>
                </c:pt>
                <c:pt idx="8">
                  <c:v>18,878</c:v>
                </c:pt>
                <c:pt idx="9">
                  <c:v>7,9797</c:v>
                </c:pt>
                <c:pt idx="10">
                  <c:v>2,736</c:v>
                </c:pt>
                <c:pt idx="11">
                  <c:v>184,794</c:v>
                </c:pt>
                <c:pt idx="12">
                  <c:v>90,02</c:v>
                </c:pt>
                <c:pt idx="13">
                  <c:v>17,86</c:v>
                </c:pt>
                <c:pt idx="14">
                  <c:v>8,0125</c:v>
                </c:pt>
                <c:pt idx="15">
                  <c:v>3,8133</c:v>
                </c:pt>
                <c:pt idx="16">
                  <c:v>6,9</c:v>
                </c:pt>
                <c:pt idx="17">
                  <c:v>0</c:v>
                </c:pt>
                <c:pt idx="18">
                  <c:v>435,92</c:v>
                </c:pt>
                <c:pt idx="19">
                  <c:v>4,04</c:v>
                </c:pt>
                <c:pt idx="20">
                  <c:v>8,03</c:v>
                </c:pt>
                <c:pt idx="21">
                  <c:v>52,86</c:v>
                </c:pt>
                <c:pt idx="22">
                  <c:v>9,47</c:v>
                </c:pt>
                <c:pt idx="23">
                  <c:v>3,7504</c:v>
                </c:pt>
                <c:pt idx="24">
                  <c:v>11,07</c:v>
                </c:pt>
                <c:pt idx="25">
                  <c:v>0</c:v>
                </c:pt>
                <c:pt idx="26">
                  <c:v>2728,7121</c:v>
                </c:pt>
                <c:pt idx="28">
                  <c:v>82,547</c:v>
                </c:pt>
                <c:pt idx="29">
                  <c:v>0</c:v>
                </c:pt>
                <c:pt idx="30">
                  <c:v>202,03</c:v>
                </c:pt>
                <c:pt idx="31">
                  <c:v>2,56</c:v>
                </c:pt>
                <c:pt idx="32">
                  <c:v>19,85</c:v>
                </c:pt>
                <c:pt idx="33">
                  <c:v>10,7466</c:v>
                </c:pt>
                <c:pt idx="34">
                  <c:v>2,2</c:v>
                </c:pt>
                <c:pt idx="35">
                  <c:v>8,1284</c:v>
                </c:pt>
                <c:pt idx="36">
                  <c:v>11,9081</c:v>
                </c:pt>
                <c:pt idx="37">
                  <c:v>36,6</c:v>
                </c:pt>
                <c:pt idx="38">
                  <c:v>40,5</c:v>
                </c:pt>
                <c:pt idx="39">
                  <c:v>16,4676</c:v>
                </c:pt>
                <c:pt idx="40">
                  <c:v>8,25</c:v>
                </c:pt>
                <c:pt idx="41">
                  <c:v>168,794</c:v>
                </c:pt>
                <c:pt idx="42">
                  <c:v>8</c:v>
                </c:pt>
                <c:pt idx="43">
                  <c:v>0</c:v>
                </c:pt>
                <c:pt idx="44">
                  <c:v>272,55</c:v>
                </c:pt>
                <c:pt idx="45">
                  <c:v>352,73</c:v>
                </c:pt>
                <c:pt idx="46">
                  <c:v>352,73</c:v>
                </c:pt>
                <c:pt idx="47">
                  <c:v>61,8</c:v>
                </c:pt>
                <c:pt idx="48">
                  <c:v>50</c:v>
                </c:pt>
                <c:pt idx="49">
                  <c:v>157,01</c:v>
                </c:pt>
                <c:pt idx="50">
                  <c:v>0</c:v>
                </c:pt>
                <c:pt idx="51">
                  <c:v>67,547</c:v>
                </c:pt>
                <c:pt idx="52">
                  <c:v>107,15</c:v>
                </c:pt>
                <c:pt idx="53">
                  <c:v>0</c:v>
                </c:pt>
                <c:pt idx="54">
                  <c:v>10,665</c:v>
                </c:pt>
                <c:pt idx="55">
                  <c:v>10,1199</c:v>
                </c:pt>
                <c:pt idx="56">
                  <c:v>23,6</c:v>
                </c:pt>
                <c:pt idx="57">
                  <c:v>36,4</c:v>
                </c:pt>
                <c:pt idx="58">
                  <c:v>1,136</c:v>
                </c:pt>
                <c:pt idx="59">
                  <c:v>268,41</c:v>
                </c:pt>
                <c:pt idx="60">
                  <c:v>0</c:v>
                </c:pt>
                <c:pt idx="61">
                  <c:v>178,43</c:v>
                </c:pt>
                <c:pt idx="62">
                  <c:v>7,1466</c:v>
                </c:pt>
                <c:pt idx="63">
                  <c:v>-0,12</c:v>
                </c:pt>
                <c:pt idx="64">
                  <c:v>7,5092</c:v>
                </c:pt>
                <c:pt idx="65">
                  <c:v>6,77</c:v>
                </c:pt>
                <c:pt idx="66">
                  <c:v>12,14</c:v>
                </c:pt>
                <c:pt idx="67">
                  <c:v>5,7884</c:v>
                </c:pt>
                <c:pt idx="68">
                  <c:v>5,7254</c:v>
                </c:pt>
                <c:pt idx="69">
                  <c:v>3,815</c:v>
                </c:pt>
                <c:pt idx="70">
                  <c:v>4,755</c:v>
                </c:pt>
                <c:pt idx="71">
                  <c:v>5,4066</c:v>
                </c:pt>
                <c:pt idx="72">
                  <c:v>6,055</c:v>
                </c:pt>
                <c:pt idx="73">
                  <c:v>22,95</c:v>
                </c:pt>
                <c:pt idx="74">
                  <c:v>4,2</c:v>
                </c:pt>
                <c:pt idx="75">
                  <c:v>4,33</c:v>
                </c:pt>
                <c:pt idx="76">
                  <c:v>16,32</c:v>
                </c:pt>
                <c:pt idx="77">
                  <c:v>10,2</c:v>
                </c:pt>
                <c:pt idx="78">
                  <c:v>4,2933</c:v>
                </c:pt>
                <c:pt idx="79">
                  <c:v>3,9983</c:v>
                </c:pt>
                <c:pt idx="80">
                  <c:v>4,695</c:v>
                </c:pt>
                <c:pt idx="81">
                  <c:v>16,83</c:v>
                </c:pt>
                <c:pt idx="82">
                  <c:v>20,4</c:v>
                </c:pt>
                <c:pt idx="83">
                  <c:v>24,48</c:v>
                </c:pt>
                <c:pt idx="84">
                  <c:v>14,28</c:v>
                </c:pt>
                <c:pt idx="85">
                  <c:v>16,32</c:v>
                </c:pt>
                <c:pt idx="86">
                  <c:v>7,18</c:v>
                </c:pt>
                <c:pt idx="87">
                  <c:v>6</c:v>
                </c:pt>
                <c:pt idx="88">
                  <c:v>30,1542</c:v>
                </c:pt>
                <c:pt idx="89">
                  <c:v>6,858</c:v>
                </c:pt>
                <c:pt idx="90">
                  <c:v>4,46</c:v>
                </c:pt>
                <c:pt idx="91">
                  <c:v>2,85</c:v>
                </c:pt>
                <c:pt idx="92">
                  <c:v>4,46</c:v>
                </c:pt>
                <c:pt idx="93">
                  <c:v>3,14</c:v>
                </c:pt>
                <c:pt idx="94">
                  <c:v>17,85</c:v>
                </c:pt>
                <c:pt idx="95">
                  <c:v>9,4</c:v>
                </c:pt>
                <c:pt idx="96">
                  <c:v>5,6594</c:v>
                </c:pt>
                <c:pt idx="97">
                  <c:v>8,871</c:v>
                </c:pt>
                <c:pt idx="98">
                  <c:v>20000</c:v>
                </c:pt>
                <c:pt idx="99">
                  <c:v>7,26</c:v>
                </c:pt>
                <c:pt idx="100">
                  <c:v>1,6646</c:v>
                </c:pt>
                <c:pt idx="101">
                  <c:v>1,81</c:v>
                </c:pt>
                <c:pt idx="102">
                  <c:v>2,0133</c:v>
                </c:pt>
                <c:pt idx="103">
                  <c:v>14,7</c:v>
                </c:pt>
                <c:pt idx="104">
                  <c:v>2,16</c:v>
                </c:pt>
                <c:pt idx="105">
                  <c:v>5,1</c:v>
                </c:pt>
                <c:pt idx="106">
                  <c:v>43,5</c:v>
                </c:pt>
                <c:pt idx="107">
                  <c:v>6,0933</c:v>
                </c:pt>
                <c:pt idx="108">
                  <c:v>24</c:v>
                </c:pt>
                <c:pt idx="109">
                  <c:v>22,2</c:v>
                </c:pt>
                <c:pt idx="110">
                  <c:v>29,6</c:v>
                </c:pt>
                <c:pt idx="111">
                  <c:v>4,8</c:v>
                </c:pt>
                <c:pt idx="112">
                  <c:v>36</c:v>
                </c:pt>
                <c:pt idx="113">
                  <c:v>50</c:v>
                </c:pt>
                <c:pt idx="114">
                  <c:v>724,02</c:v>
                </c:pt>
                <c:pt idx="115">
                  <c:v>7,0388</c:v>
                </c:pt>
                <c:pt idx="116">
                  <c:v>274,67</c:v>
                </c:pt>
                <c:pt idx="117">
                  <c:v>42</c:v>
                </c:pt>
                <c:pt idx="118">
                  <c:v>68,54</c:v>
                </c:pt>
                <c:pt idx="119">
                  <c:v>0</c:v>
                </c:pt>
                <c:pt idx="120">
                  <c:v>1121,52</c:v>
                </c:pt>
                <c:pt idx="121">
                  <c:v>92,27</c:v>
                </c:pt>
                <c:pt idx="122">
                  <c:v>0</c:v>
                </c:pt>
                <c:pt idx="123">
                  <c:v>642,62</c:v>
                </c:pt>
                <c:pt idx="124">
                  <c:v>103,2</c:v>
                </c:pt>
                <c:pt idx="125">
                  <c:v>50</c:v>
                </c:pt>
                <c:pt idx="126">
                  <c:v>23,25</c:v>
                </c:pt>
                <c:pt idx="127">
                  <c:v>291</c:v>
                </c:pt>
                <c:pt idx="128">
                  <c:v>66,547</c:v>
                </c:pt>
                <c:pt idx="129">
                  <c:v>0</c:v>
                </c:pt>
                <c:pt idx="130">
                  <c:v>77,92</c:v>
                </c:pt>
                <c:pt idx="131">
                  <c:v>0</c:v>
                </c:pt>
                <c:pt idx="132">
                  <c:v>75,89</c:v>
                </c:pt>
                <c:pt idx="133">
                  <c:v>0</c:v>
                </c:pt>
                <c:pt idx="134">
                  <c:v>28,8</c:v>
                </c:pt>
                <c:pt idx="135">
                  <c:v>37,756</c:v>
                </c:pt>
                <c:pt idx="136">
                  <c:v>9,745</c:v>
                </c:pt>
                <c:pt idx="137">
                  <c:v>12</c:v>
                </c:pt>
                <c:pt idx="138">
                  <c:v>74</c:v>
                </c:pt>
                <c:pt idx="139">
                  <c:v>28</c:v>
                </c:pt>
                <c:pt idx="140">
                  <c:v>100</c:v>
                </c:pt>
                <c:pt idx="141">
                  <c:v>78</c:v>
                </c:pt>
                <c:pt idx="142">
                  <c:v>0</c:v>
                </c:pt>
                <c:pt idx="143">
                  <c:v>25</c:v>
                </c:pt>
                <c:pt idx="144">
                  <c:v>0</c:v>
                </c:pt>
                <c:pt idx="145">
                  <c:v>0</c:v>
                </c:pt>
                <c:pt idx="146">
                  <c:v>22,5</c:v>
                </c:pt>
                <c:pt idx="147">
                  <c:v>7,33</c:v>
                </c:pt>
                <c:pt idx="148">
                  <c:v>2,4</c:v>
                </c:pt>
                <c:pt idx="149">
                  <c:v>54</c:v>
                </c:pt>
                <c:pt idx="150">
                  <c:v>-310,96</c:v>
                </c:pt>
                <c:pt idx="151">
                  <c:v>-979,98</c:v>
                </c:pt>
                <c:pt idx="152">
                  <c:v>-50</c:v>
                </c:pt>
                <c:pt idx="153">
                  <c:v>-100</c:v>
                </c:pt>
                <c:pt idx="154">
                  <c:v>-92,4268</c:v>
                </c:pt>
                <c:pt idx="155">
                  <c:v>-53,484</c:v>
                </c:pt>
                <c:pt idx="156">
                  <c:v>212,5</c:v>
                </c:pt>
                <c:pt idx="157">
                  <c:v>92,547</c:v>
                </c:pt>
                <c:pt idx="158">
                  <c:v>0</c:v>
                </c:pt>
                <c:pt idx="159">
                  <c:v>22,028</c:v>
                </c:pt>
                <c:pt idx="160">
                  <c:v>5,9783</c:v>
                </c:pt>
                <c:pt idx="161">
                  <c:v>7,125</c:v>
                </c:pt>
                <c:pt idx="162">
                  <c:v>24</c:v>
                </c:pt>
                <c:pt idx="163">
                  <c:v>110,54</c:v>
                </c:pt>
                <c:pt idx="164">
                  <c:v>0</c:v>
                </c:pt>
                <c:pt idx="165">
                  <c:v>115</c:v>
                </c:pt>
                <c:pt idx="166">
                  <c:v>20</c:v>
                </c:pt>
                <c:pt idx="167">
                  <c:v>76,527</c:v>
                </c:pt>
                <c:pt idx="168">
                  <c:v>0</c:v>
                </c:pt>
                <c:pt idx="169">
                  <c:v>44,4</c:v>
                </c:pt>
                <c:pt idx="170">
                  <c:v>25</c:v>
                </c:pt>
                <c:pt idx="171">
                  <c:v>267,18</c:v>
                </c:pt>
                <c:pt idx="172">
                  <c:v>69,6</c:v>
                </c:pt>
                <c:pt idx="173">
                  <c:v>46,4</c:v>
                </c:pt>
                <c:pt idx="174">
                  <c:v>83,07</c:v>
                </c:pt>
                <c:pt idx="175">
                  <c:v>0</c:v>
                </c:pt>
                <c:pt idx="176">
                  <c:v>930</c:v>
                </c:pt>
                <c:pt idx="177">
                  <c:v>82,8</c:v>
                </c:pt>
                <c:pt idx="178">
                  <c:v>25</c:v>
                </c:pt>
                <c:pt idx="179">
                  <c:v>0</c:v>
                </c:pt>
                <c:pt idx="180">
                  <c:v>975</c:v>
                </c:pt>
                <c:pt idx="181">
                  <c:v>0</c:v>
                </c:pt>
                <c:pt idx="182">
                  <c:v>3920,6</c:v>
                </c:pt>
                <c:pt idx="183">
                  <c:v>22,2</c:v>
                </c:pt>
                <c:pt idx="184">
                  <c:v>19,2</c:v>
                </c:pt>
                <c:pt idx="185">
                  <c:v>11,3776</c:v>
                </c:pt>
                <c:pt idx="186">
                  <c:v>4,5</c:v>
                </c:pt>
                <c:pt idx="187">
                  <c:v>7,4</c:v>
                </c:pt>
                <c:pt idx="188">
                  <c:v>4,8</c:v>
                </c:pt>
                <c:pt idx="189">
                  <c:v>83,015</c:v>
                </c:pt>
                <c:pt idx="190">
                  <c:v>0</c:v>
                </c:pt>
                <c:pt idx="191">
                  <c:v>178</c:v>
                </c:pt>
                <c:pt idx="192">
                  <c:v>284,588</c:v>
                </c:pt>
                <c:pt idx="193">
                  <c:v>0</c:v>
                </c:pt>
                <c:pt idx="194">
                  <c:v>4,0642</c:v>
                </c:pt>
                <c:pt idx="195">
                  <c:v>7,5512</c:v>
                </c:pt>
                <c:pt idx="196">
                  <c:v>20,9875</c:v>
                </c:pt>
                <c:pt idx="197">
                  <c:v>57,74</c:v>
                </c:pt>
                <c:pt idx="198">
                  <c:v>493,47</c:v>
                </c:pt>
                <c:pt idx="199">
                  <c:v>103,2</c:v>
                </c:pt>
                <c:pt idx="200">
                  <c:v>75</c:v>
                </c:pt>
                <c:pt idx="201">
                  <c:v>73,32</c:v>
                </c:pt>
                <c:pt idx="202">
                  <c:v>0</c:v>
                </c:pt>
                <c:pt idx="203">
                  <c:v>7,33</c:v>
                </c:pt>
                <c:pt idx="204">
                  <c:v>19,8</c:v>
                </c:pt>
                <c:pt idx="205">
                  <c:v>37</c:v>
                </c:pt>
                <c:pt idx="206">
                  <c:v>4,86</c:v>
                </c:pt>
                <c:pt idx="207">
                  <c:v>9,6</c:v>
                </c:pt>
                <c:pt idx="208">
                  <c:v>10,1797</c:v>
                </c:pt>
                <c:pt idx="209">
                  <c:v>84,6</c:v>
                </c:pt>
                <c:pt idx="210">
                  <c:v>25</c:v>
                </c:pt>
                <c:pt idx="211">
                  <c:v>242,57</c:v>
                </c:pt>
                <c:pt idx="212">
                  <c:v>-163,63</c:v>
                </c:pt>
                <c:pt idx="213">
                  <c:v>-486,33</c:v>
                </c:pt>
                <c:pt idx="214">
                  <c:v>6000</c:v>
                </c:pt>
                <c:pt idx="215">
                  <c:v>69,87</c:v>
                </c:pt>
                <c:pt idx="216">
                  <c:v>61,27</c:v>
                </c:pt>
                <c:pt idx="217">
                  <c:v>107,15</c:v>
                </c:pt>
                <c:pt idx="218">
                  <c:v>0</c:v>
                </c:pt>
                <c:pt idx="219">
                  <c:v>17,9391</c:v>
                </c:pt>
                <c:pt idx="220">
                  <c:v>650</c:v>
                </c:pt>
                <c:pt idx="221">
                  <c:v>54,75</c:v>
                </c:pt>
                <c:pt idx="222">
                  <c:v>17,8</c:v>
                </c:pt>
                <c:pt idx="223">
                  <c:v>19,47</c:v>
                </c:pt>
                <c:pt idx="224">
                  <c:v>16,1199</c:v>
                </c:pt>
                <c:pt idx="225">
                  <c:v>8,41</c:v>
                </c:pt>
                <c:pt idx="226">
                  <c:v>24</c:v>
                </c:pt>
                <c:pt idx="227">
                  <c:v>5,9797</c:v>
                </c:pt>
                <c:pt idx="228">
                  <c:v>23</c:v>
                </c:pt>
                <c:pt idx="229">
                  <c:v>29,6</c:v>
                </c:pt>
                <c:pt idx="230">
                  <c:v>9,6</c:v>
                </c:pt>
                <c:pt idx="231">
                  <c:v>14,8</c:v>
                </c:pt>
                <c:pt idx="232">
                  <c:v>300,59</c:v>
                </c:pt>
                <c:pt idx="233">
                  <c:v>30</c:v>
                </c:pt>
                <c:pt idx="234">
                  <c:v>18,75</c:v>
                </c:pt>
                <c:pt idx="235">
                  <c:v>80,35</c:v>
                </c:pt>
                <c:pt idx="236">
                  <c:v>81,07</c:v>
                </c:pt>
                <c:pt idx="237">
                  <c:v>8,5</c:v>
                </c:pt>
                <c:pt idx="238">
                  <c:v>56,67</c:v>
                </c:pt>
                <c:pt idx="239">
                  <c:v>0</c:v>
                </c:pt>
                <c:pt idx="240">
                  <c:v>99,75</c:v>
                </c:pt>
                <c:pt idx="241">
                  <c:v>66,547</c:v>
                </c:pt>
                <c:pt idx="242">
                  <c:v>0</c:v>
                </c:pt>
                <c:pt idx="243">
                  <c:v>0</c:v>
                </c:pt>
                <c:pt idx="244">
                  <c:v>131,61</c:v>
                </c:pt>
                <c:pt idx="245">
                  <c:v>0</c:v>
                </c:pt>
                <c:pt idx="246">
                  <c:v>49,81</c:v>
                </c:pt>
                <c:pt idx="247">
                  <c:v>66,547</c:v>
                </c:pt>
                <c:pt idx="248">
                  <c:v>0</c:v>
                </c:pt>
                <c:pt idx="249">
                  <c:v>110,99</c:v>
                </c:pt>
                <c:pt idx="250">
                  <c:v>0</c:v>
                </c:pt>
                <c:pt idx="251">
                  <c:v>1007</c:v>
                </c:pt>
                <c:pt idx="252">
                  <c:v>17,505</c:v>
                </c:pt>
                <c:pt idx="253">
                  <c:v>133,094</c:v>
                </c:pt>
                <c:pt idx="254">
                  <c:v>67,68</c:v>
                </c:pt>
                <c:pt idx="255">
                  <c:v>89,154</c:v>
                </c:pt>
                <c:pt idx="256">
                  <c:v>0</c:v>
                </c:pt>
                <c:pt idx="257">
                  <c:v>17,91</c:v>
                </c:pt>
                <c:pt idx="258">
                  <c:v>64,2</c:v>
                </c:pt>
                <c:pt idx="259">
                  <c:v>25</c:v>
                </c:pt>
                <c:pt idx="260">
                  <c:v>267,18</c:v>
                </c:pt>
                <c:pt idx="261">
                  <c:v>0</c:v>
                </c:pt>
                <c:pt idx="262">
                  <c:v>0</c:v>
                </c:pt>
                <c:pt idx="263">
                  <c:v>8,16</c:v>
                </c:pt>
                <c:pt idx="264">
                  <c:v>4,8</c:v>
                </c:pt>
                <c:pt idx="265">
                  <c:v>5,5</c:v>
                </c:pt>
                <c:pt idx="266">
                  <c:v>5,46</c:v>
                </c:pt>
                <c:pt idx="267">
                  <c:v>8,4</c:v>
                </c:pt>
                <c:pt idx="268">
                  <c:v>54,27</c:v>
                </c:pt>
                <c:pt idx="269">
                  <c:v>5,3733</c:v>
                </c:pt>
                <c:pt idx="270">
                  <c:v>54</c:v>
                </c:pt>
                <c:pt idx="271">
                  <c:v>37,756</c:v>
                </c:pt>
                <c:pt idx="272">
                  <c:v>3,9544</c:v>
                </c:pt>
                <c:pt idx="273">
                  <c:v>28</c:v>
                </c:pt>
                <c:pt idx="274">
                  <c:v>39,8376</c:v>
                </c:pt>
                <c:pt idx="275">
                  <c:v>35,52</c:v>
                </c:pt>
                <c:pt idx="276">
                  <c:v>6,64</c:v>
                </c:pt>
                <c:pt idx="277">
                  <c:v>4,3733</c:v>
                </c:pt>
                <c:pt idx="278">
                  <c:v>17,505</c:v>
                </c:pt>
                <c:pt idx="279">
                  <c:v>5,3183</c:v>
                </c:pt>
                <c:pt idx="280">
                  <c:v>7,125</c:v>
                </c:pt>
                <c:pt idx="281">
                  <c:v>18,81</c:v>
                </c:pt>
                <c:pt idx="282">
                  <c:v>22,8</c:v>
                </c:pt>
                <c:pt idx="283">
                  <c:v>3,86</c:v>
                </c:pt>
                <c:pt idx="284">
                  <c:v>19,95</c:v>
                </c:pt>
                <c:pt idx="285">
                  <c:v>3,99</c:v>
                </c:pt>
                <c:pt idx="286">
                  <c:v>22,028</c:v>
                </c:pt>
                <c:pt idx="287">
                  <c:v>15,12</c:v>
                </c:pt>
                <c:pt idx="288">
                  <c:v>-14,4</c:v>
                </c:pt>
                <c:pt idx="289">
                  <c:v>-5,2973</c:v>
                </c:pt>
                <c:pt idx="290">
                  <c:v>0</c:v>
                </c:pt>
                <c:pt idx="291">
                  <c:v>-10,992</c:v>
                </c:pt>
                <c:pt idx="292">
                  <c:v>-45,0609</c:v>
                </c:pt>
                <c:pt idx="293">
                  <c:v>0</c:v>
                </c:pt>
                <c:pt idx="294">
                  <c:v>899</c:v>
                </c:pt>
                <c:pt idx="295">
                  <c:v>0</c:v>
                </c:pt>
                <c:pt idx="296">
                  <c:v>5,9783</c:v>
                </c:pt>
                <c:pt idx="297">
                  <c:v>19,8</c:v>
                </c:pt>
                <c:pt idx="298">
                  <c:v>19,2</c:v>
                </c:pt>
                <c:pt idx="299">
                  <c:v>4,8</c:v>
                </c:pt>
                <c:pt idx="300">
                  <c:v>1792,6</c:v>
                </c:pt>
                <c:pt idx="301">
                  <c:v>46,4</c:v>
                </c:pt>
                <c:pt idx="302">
                  <c:v>17,505</c:v>
                </c:pt>
                <c:pt idx="303">
                  <c:v>54</c:v>
                </c:pt>
                <c:pt idx="304">
                  <c:v>11,58</c:v>
                </c:pt>
                <c:pt idx="305">
                  <c:v>9,6</c:v>
                </c:pt>
                <c:pt idx="306">
                  <c:v>8,7</c:v>
                </c:pt>
                <c:pt idx="307">
                  <c:v>27</c:v>
                </c:pt>
                <c:pt idx="308">
                  <c:v>13,9114</c:v>
                </c:pt>
                <c:pt idx="309">
                  <c:v>13,93</c:v>
                </c:pt>
                <c:pt idx="310">
                  <c:v>17,9</c:v>
                </c:pt>
                <c:pt idx="311">
                  <c:v>66,547</c:v>
                </c:pt>
                <c:pt idx="312">
                  <c:v>0</c:v>
                </c:pt>
                <c:pt idx="313">
                  <c:v>75,747</c:v>
                </c:pt>
                <c:pt idx="314">
                  <c:v>0</c:v>
                </c:pt>
                <c:pt idx="315">
                  <c:v>-77,89</c:v>
                </c:pt>
                <c:pt idx="316">
                  <c:v>624,5966</c:v>
                </c:pt>
                <c:pt idx="317">
                  <c:v>43,97</c:v>
                </c:pt>
                <c:pt idx="318">
                  <c:v>93,6</c:v>
                </c:pt>
                <c:pt idx="319">
                  <c:v>25</c:v>
                </c:pt>
                <c:pt idx="320">
                  <c:v>62,6</c:v>
                </c:pt>
                <c:pt idx="321">
                  <c:v>60,3</c:v>
                </c:pt>
                <c:pt idx="322">
                  <c:v>22,5</c:v>
                </c:pt>
                <c:pt idx="323">
                  <c:v>217</c:v>
                </c:pt>
                <c:pt idx="324">
                  <c:v>92,27</c:v>
                </c:pt>
                <c:pt idx="325">
                  <c:v>0</c:v>
                </c:pt>
                <c:pt idx="326">
                  <c:v>-93,9</c:v>
                </c:pt>
                <c:pt idx="327">
                  <c:v>0</c:v>
                </c:pt>
                <c:pt idx="328">
                  <c:v>90,14</c:v>
                </c:pt>
                <c:pt idx="329">
                  <c:v>77,245</c:v>
                </c:pt>
                <c:pt idx="330">
                  <c:v>0</c:v>
                </c:pt>
                <c:pt idx="331">
                  <c:v>30,73</c:v>
                </c:pt>
                <c:pt idx="332">
                  <c:v>8,5</c:v>
                </c:pt>
                <c:pt idx="333">
                  <c:v>14,95</c:v>
                </c:pt>
                <c:pt idx="334">
                  <c:v>24,995</c:v>
                </c:pt>
                <c:pt idx="335">
                  <c:v>7626,62</c:v>
                </c:pt>
                <c:pt idx="336">
                  <c:v>79,51</c:v>
                </c:pt>
                <c:pt idx="337">
                  <c:v>92,554</c:v>
                </c:pt>
                <c:pt idx="338">
                  <c:v>82,14</c:v>
                </c:pt>
                <c:pt idx="339">
                  <c:v>0</c:v>
                </c:pt>
                <c:pt idx="340">
                  <c:v>400</c:v>
                </c:pt>
                <c:pt idx="341">
                  <c:v>271,52</c:v>
                </c:pt>
                <c:pt idx="342">
                  <c:v>30</c:v>
                </c:pt>
                <c:pt idx="343">
                  <c:v>25</c:v>
                </c:pt>
                <c:pt idx="344">
                  <c:v>20,2</c:v>
                </c:pt>
                <c:pt idx="345">
                  <c:v>16,2568</c:v>
                </c:pt>
                <c:pt idx="346">
                  <c:v>18,878</c:v>
                </c:pt>
                <c:pt idx="347">
                  <c:v>4,0642</c:v>
                </c:pt>
                <c:pt idx="348">
                  <c:v>5,9783</c:v>
                </c:pt>
                <c:pt idx="349">
                  <c:v>19,8</c:v>
                </c:pt>
                <c:pt idx="350">
                  <c:v>24</c:v>
                </c:pt>
                <c:pt idx="351">
                  <c:v>28,8</c:v>
                </c:pt>
                <c:pt idx="352">
                  <c:v>16,8</c:v>
                </c:pt>
                <c:pt idx="353">
                  <c:v>19,2</c:v>
                </c:pt>
                <c:pt idx="354">
                  <c:v>22,2</c:v>
                </c:pt>
                <c:pt idx="355">
                  <c:v>8,4</c:v>
                </c:pt>
                <c:pt idx="356">
                  <c:v>17,505</c:v>
                </c:pt>
                <c:pt idx="357">
                  <c:v>7,0388</c:v>
                </c:pt>
                <c:pt idx="358">
                  <c:v>0</c:v>
                </c:pt>
                <c:pt idx="359">
                  <c:v>1036,8</c:v>
                </c:pt>
                <c:pt idx="360">
                  <c:v>1023,16</c:v>
                </c:pt>
                <c:pt idx="361">
                  <c:v>355,7555</c:v>
                </c:pt>
                <c:pt idx="362">
                  <c:v>5500</c:v>
                </c:pt>
                <c:pt idx="363">
                  <c:v>3400</c:v>
                </c:pt>
                <c:pt idx="364">
                  <c:v>257,65</c:v>
                </c:pt>
                <c:pt idx="365">
                  <c:v>18,75</c:v>
                </c:pt>
                <c:pt idx="366">
                  <c:v>309,86</c:v>
                </c:pt>
                <c:pt idx="367">
                  <c:v>58,95</c:v>
                </c:pt>
                <c:pt idx="368">
                  <c:v>45</c:v>
                </c:pt>
                <c:pt idx="369">
                  <c:v>26,7</c:v>
                </c:pt>
                <c:pt idx="370">
                  <c:v>5,2333</c:v>
                </c:pt>
                <c:pt idx="371">
                  <c:v>178</c:v>
                </c:pt>
                <c:pt idx="372">
                  <c:v>109,14</c:v>
                </c:pt>
                <c:pt idx="373">
                  <c:v>0</c:v>
                </c:pt>
                <c:pt idx="374">
                  <c:v>73,32</c:v>
                </c:pt>
                <c:pt idx="375">
                  <c:v>0</c:v>
                </c:pt>
                <c:pt idx="376">
                  <c:v>44,98</c:v>
                </c:pt>
                <c:pt idx="377">
                  <c:v>28,8</c:v>
                </c:pt>
                <c:pt idx="378">
                  <c:v>14,3</c:v>
                </c:pt>
                <c:pt idx="379">
                  <c:v>19,3</c:v>
                </c:pt>
                <c:pt idx="380">
                  <c:v>19,4391</c:v>
                </c:pt>
                <c:pt idx="381">
                  <c:v>30</c:v>
                </c:pt>
                <c:pt idx="382">
                  <c:v>18,75</c:v>
                </c:pt>
                <c:pt idx="383">
                  <c:v>14,65</c:v>
                </c:pt>
                <c:pt idx="384">
                  <c:v>9,89</c:v>
                </c:pt>
                <c:pt idx="385">
                  <c:v>97,547</c:v>
                </c:pt>
                <c:pt idx="386">
                  <c:v>0</c:v>
                </c:pt>
                <c:pt idx="387">
                  <c:v>705,46</c:v>
                </c:pt>
                <c:pt idx="388">
                  <c:v>166,8</c:v>
                </c:pt>
                <c:pt idx="389">
                  <c:v>25</c:v>
                </c:pt>
                <c:pt idx="390">
                  <c:v>22,028</c:v>
                </c:pt>
                <c:pt idx="391">
                  <c:v>5</c:v>
                </c:pt>
                <c:pt idx="392">
                  <c:v>127,01</c:v>
                </c:pt>
                <c:pt idx="393">
                  <c:v>0</c:v>
                </c:pt>
                <c:pt idx="394">
                  <c:v>129,6</c:v>
                </c:pt>
                <c:pt idx="395">
                  <c:v>31,05</c:v>
                </c:pt>
                <c:pt idx="396">
                  <c:v>45</c:v>
                </c:pt>
                <c:pt idx="397">
                  <c:v>135</c:v>
                </c:pt>
                <c:pt idx="398">
                  <c:v>837,98</c:v>
                </c:pt>
                <c:pt idx="399">
                  <c:v>0</c:v>
                </c:pt>
                <c:pt idx="400">
                  <c:v>45</c:v>
                </c:pt>
                <c:pt idx="401">
                  <c:v>1,22</c:v>
                </c:pt>
                <c:pt idx="402">
                  <c:v>1,47</c:v>
                </c:pt>
                <c:pt idx="403">
                  <c:v>1,47</c:v>
                </c:pt>
                <c:pt idx="404">
                  <c:v>14,8</c:v>
                </c:pt>
                <c:pt idx="405">
                  <c:v>4,8</c:v>
                </c:pt>
                <c:pt idx="406">
                  <c:v>92,547</c:v>
                </c:pt>
                <c:pt idx="407">
                  <c:v>0</c:v>
                </c:pt>
                <c:pt idx="408">
                  <c:v>5,9783</c:v>
                </c:pt>
                <c:pt idx="409">
                  <c:v>21,375</c:v>
                </c:pt>
                <c:pt idx="410">
                  <c:v>25,1502</c:v>
                </c:pt>
                <c:pt idx="411">
                  <c:v>75,14</c:v>
                </c:pt>
                <c:pt idx="412">
                  <c:v>0</c:v>
                </c:pt>
                <c:pt idx="413">
                  <c:v>75,14</c:v>
                </c:pt>
                <c:pt idx="414">
                  <c:v>0</c:v>
                </c:pt>
                <c:pt idx="415">
                  <c:v>145,07</c:v>
                </c:pt>
                <c:pt idx="416">
                  <c:v>3,34</c:v>
                </c:pt>
                <c:pt idx="417">
                  <c:v>7,33</c:v>
                </c:pt>
                <c:pt idx="418">
                  <c:v>22,028</c:v>
                </c:pt>
                <c:pt idx="419">
                  <c:v>34,9042</c:v>
                </c:pt>
                <c:pt idx="420">
                  <c:v>322,14</c:v>
                </c:pt>
                <c:pt idx="421">
                  <c:v>903,76</c:v>
                </c:pt>
                <c:pt idx="422">
                  <c:v>46,76</c:v>
                </c:pt>
                <c:pt idx="423">
                  <c:v>50</c:v>
                </c:pt>
                <c:pt idx="424">
                  <c:v>9,76</c:v>
                </c:pt>
                <c:pt idx="425">
                  <c:v>25,73</c:v>
                </c:pt>
                <c:pt idx="426">
                  <c:v>14,29</c:v>
                </c:pt>
                <c:pt idx="427">
                  <c:v>4,8</c:v>
                </c:pt>
                <c:pt idx="428">
                  <c:v>144,855</c:v>
                </c:pt>
                <c:pt idx="429">
                  <c:v>0</c:v>
                </c:pt>
                <c:pt idx="430">
                  <c:v>49,81</c:v>
                </c:pt>
                <c:pt idx="431">
                  <c:v>30</c:v>
                </c:pt>
                <c:pt idx="432">
                  <c:v>25</c:v>
                </c:pt>
                <c:pt idx="433">
                  <c:v>83,79</c:v>
                </c:pt>
                <c:pt idx="434">
                  <c:v>45,6</c:v>
                </c:pt>
                <c:pt idx="435">
                  <c:v>18,75</c:v>
                </c:pt>
                <c:pt idx="436">
                  <c:v>92,547</c:v>
                </c:pt>
                <c:pt idx="437">
                  <c:v>0</c:v>
                </c:pt>
                <c:pt idx="438">
                  <c:v>98,54</c:v>
                </c:pt>
                <c:pt idx="439">
                  <c:v>0</c:v>
                </c:pt>
                <c:pt idx="440">
                  <c:v>2,4</c:v>
                </c:pt>
                <c:pt idx="441">
                  <c:v>4,0642</c:v>
                </c:pt>
                <c:pt idx="442">
                  <c:v>9,6</c:v>
                </c:pt>
                <c:pt idx="443">
                  <c:v>5,9797</c:v>
                </c:pt>
                <c:pt idx="444">
                  <c:v>16,29</c:v>
                </c:pt>
                <c:pt idx="445">
                  <c:v>63,9</c:v>
                </c:pt>
                <c:pt idx="446">
                  <c:v>22,5</c:v>
                </c:pt>
                <c:pt idx="447">
                  <c:v>3252,03</c:v>
                </c:pt>
                <c:pt idx="448">
                  <c:v>218,59</c:v>
                </c:pt>
                <c:pt idx="449">
                  <c:v>97,554</c:v>
                </c:pt>
                <c:pt idx="450">
                  <c:v>0</c:v>
                </c:pt>
                <c:pt idx="451">
                  <c:v>79,364</c:v>
                </c:pt>
                <c:pt idx="452">
                  <c:v>0</c:v>
                </c:pt>
                <c:pt idx="453">
                  <c:v>22,028</c:v>
                </c:pt>
                <c:pt idx="454">
                  <c:v>0</c:v>
                </c:pt>
                <c:pt idx="455">
                  <c:v>255,7555</c:v>
                </c:pt>
                <c:pt idx="456">
                  <c:v>6660,12</c:v>
                </c:pt>
                <c:pt idx="457">
                  <c:v>5320,6</c:v>
                </c:pt>
                <c:pt idx="458">
                  <c:v>1157,37</c:v>
                </c:pt>
                <c:pt idx="459">
                  <c:v>60</c:v>
                </c:pt>
                <c:pt idx="460">
                  <c:v>68,75</c:v>
                </c:pt>
                <c:pt idx="461">
                  <c:v>105,73</c:v>
                </c:pt>
                <c:pt idx="462">
                  <c:v>5,3733</c:v>
                </c:pt>
                <c:pt idx="463">
                  <c:v>14,8</c:v>
                </c:pt>
                <c:pt idx="464">
                  <c:v>3,86</c:v>
                </c:pt>
                <c:pt idx="465">
                  <c:v>82,547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17,47</c:v>
                </c:pt>
                <c:pt idx="470">
                  <c:v>650</c:v>
                </c:pt>
                <c:pt idx="471">
                  <c:v>193,4</c:v>
                </c:pt>
                <c:pt idx="472">
                  <c:v>8,7</c:v>
                </c:pt>
                <c:pt idx="473">
                  <c:v>9,265</c:v>
                </c:pt>
                <c:pt idx="474">
                  <c:v>2,4</c:v>
                </c:pt>
                <c:pt idx="475">
                  <c:v>8,8</c:v>
                </c:pt>
                <c:pt idx="476">
                  <c:v>99,75</c:v>
                </c:pt>
                <c:pt idx="477">
                  <c:v>-80,35</c:v>
                </c:pt>
                <c:pt idx="478">
                  <c:v>14,8</c:v>
                </c:pt>
                <c:pt idx="479">
                  <c:v>4,04</c:v>
                </c:pt>
                <c:pt idx="480">
                  <c:v>28,71</c:v>
                </c:pt>
                <c:pt idx="481">
                  <c:v>7,33</c:v>
                </c:pt>
                <c:pt idx="482">
                  <c:v>43,733</c:v>
                </c:pt>
                <c:pt idx="483">
                  <c:v>2,4</c:v>
                </c:pt>
                <c:pt idx="484">
                  <c:v>12,28</c:v>
                </c:pt>
                <c:pt idx="485">
                  <c:v>30</c:v>
                </c:pt>
                <c:pt idx="486">
                  <c:v>25</c:v>
                </c:pt>
                <c:pt idx="487">
                  <c:v>0</c:v>
                </c:pt>
                <c:pt idx="488">
                  <c:v>4750</c:v>
                </c:pt>
                <c:pt idx="490">
                  <c:v>2,4</c:v>
                </c:pt>
                <c:pt idx="491">
                  <c:v>8,8</c:v>
                </c:pt>
                <c:pt idx="492">
                  <c:v>10,5692</c:v>
                </c:pt>
                <c:pt idx="493">
                  <c:v>14,8</c:v>
                </c:pt>
                <c:pt idx="494">
                  <c:v>72,467</c:v>
                </c:pt>
                <c:pt idx="495">
                  <c:v>0</c:v>
                </c:pt>
                <c:pt idx="496">
                  <c:v>2459,43</c:v>
                </c:pt>
                <c:pt idx="497">
                  <c:v>108</c:v>
                </c:pt>
                <c:pt idx="498">
                  <c:v>46</c:v>
                </c:pt>
                <c:pt idx="499">
                  <c:v>72,547</c:v>
                </c:pt>
                <c:pt idx="500">
                  <c:v>0</c:v>
                </c:pt>
                <c:pt idx="501">
                  <c:v>97,547</c:v>
                </c:pt>
                <c:pt idx="502">
                  <c:v>0</c:v>
                </c:pt>
                <c:pt idx="503">
                  <c:v>106,83</c:v>
                </c:pt>
                <c:pt idx="504">
                  <c:v>0</c:v>
                </c:pt>
                <c:pt idx="505">
                  <c:v>19,772</c:v>
                </c:pt>
                <c:pt idx="506">
                  <c:v>4,0642</c:v>
                </c:pt>
                <c:pt idx="507">
                  <c:v>59,8084</c:v>
                </c:pt>
                <c:pt idx="508">
                  <c:v>-15,12</c:v>
                </c:pt>
                <c:pt idx="509">
                  <c:v>69,364</c:v>
                </c:pt>
                <c:pt idx="510">
                  <c:v>0</c:v>
                </c:pt>
                <c:pt idx="511">
                  <c:v>13,6</c:v>
                </c:pt>
                <c:pt idx="512">
                  <c:v>23</c:v>
                </c:pt>
                <c:pt idx="513">
                  <c:v>38,34</c:v>
                </c:pt>
                <c:pt idx="514">
                  <c:v>135</c:v>
                </c:pt>
                <c:pt idx="515">
                  <c:v>11,58</c:v>
                </c:pt>
                <c:pt idx="516">
                  <c:v>11,4</c:v>
                </c:pt>
                <c:pt idx="517">
                  <c:v>5,9797</c:v>
                </c:pt>
                <c:pt idx="518">
                  <c:v>88,9532</c:v>
                </c:pt>
                <c:pt idx="519">
                  <c:v>900</c:v>
                </c:pt>
                <c:pt idx="520">
                  <c:v>138,02</c:v>
                </c:pt>
                <c:pt idx="521">
                  <c:v>0</c:v>
                </c:pt>
                <c:pt idx="522">
                  <c:v>354,0966</c:v>
                </c:pt>
                <c:pt idx="523">
                  <c:v>70,2</c:v>
                </c:pt>
                <c:pt idx="524">
                  <c:v>50</c:v>
                </c:pt>
                <c:pt idx="525">
                  <c:v>7,4</c:v>
                </c:pt>
                <c:pt idx="526">
                  <c:v>87,547</c:v>
                </c:pt>
                <c:pt idx="527">
                  <c:v>0</c:v>
                </c:pt>
                <c:pt idx="528">
                  <c:v>-90,14</c:v>
                </c:pt>
                <c:pt idx="529">
                  <c:v>0</c:v>
                </c:pt>
                <c:pt idx="530">
                  <c:v>483,6966</c:v>
                </c:pt>
                <c:pt idx="531">
                  <c:v>374</c:v>
                </c:pt>
                <c:pt idx="532">
                  <c:v>773</c:v>
                </c:pt>
                <c:pt idx="533">
                  <c:v>16,8</c:v>
                </c:pt>
                <c:pt idx="534">
                  <c:v>19,2</c:v>
                </c:pt>
                <c:pt idx="535">
                  <c:v>28</c:v>
                </c:pt>
                <c:pt idx="536">
                  <c:v>13,0388</c:v>
                </c:pt>
                <c:pt idx="537">
                  <c:v>5,9797</c:v>
                </c:pt>
                <c:pt idx="538">
                  <c:v>3,6</c:v>
                </c:pt>
                <c:pt idx="539">
                  <c:v>3,06</c:v>
                </c:pt>
                <c:pt idx="540">
                  <c:v>129,95</c:v>
                </c:pt>
                <c:pt idx="541">
                  <c:v>185,094</c:v>
                </c:pt>
                <c:pt idx="542">
                  <c:v>0</c:v>
                </c:pt>
                <c:pt idx="543">
                  <c:v>7,4</c:v>
                </c:pt>
                <c:pt idx="544">
                  <c:v>328,82</c:v>
                </c:pt>
                <c:pt idx="545">
                  <c:v>0</c:v>
                </c:pt>
                <c:pt idx="546">
                  <c:v>7,365</c:v>
                </c:pt>
                <c:pt idx="547">
                  <c:v>14,8</c:v>
                </c:pt>
                <c:pt idx="548">
                  <c:v>9,6</c:v>
                </c:pt>
                <c:pt idx="549">
                  <c:v>7,2</c:v>
                </c:pt>
                <c:pt idx="550">
                  <c:v>11,77</c:v>
                </c:pt>
                <c:pt idx="551">
                  <c:v>7,365</c:v>
                </c:pt>
                <c:pt idx="552">
                  <c:v>7,125</c:v>
                </c:pt>
                <c:pt idx="553">
                  <c:v>39,6</c:v>
                </c:pt>
                <c:pt idx="554">
                  <c:v>4,8</c:v>
                </c:pt>
                <c:pt idx="555">
                  <c:v>13,72</c:v>
                </c:pt>
                <c:pt idx="556">
                  <c:v>30</c:v>
                </c:pt>
                <c:pt idx="557">
                  <c:v>37,5</c:v>
                </c:pt>
                <c:pt idx="558">
                  <c:v>5,3733</c:v>
                </c:pt>
                <c:pt idx="559">
                  <c:v>3,06</c:v>
                </c:pt>
                <c:pt idx="560">
                  <c:v>3,4949</c:v>
                </c:pt>
                <c:pt idx="561">
                  <c:v>-157,01</c:v>
                </c:pt>
                <c:pt idx="562">
                  <c:v>0</c:v>
                </c:pt>
                <c:pt idx="563">
                  <c:v>6,99</c:v>
                </c:pt>
                <c:pt idx="564">
                  <c:v>16,92</c:v>
                </c:pt>
                <c:pt idx="565">
                  <c:v>711,511</c:v>
                </c:pt>
                <c:pt idx="566">
                  <c:v>4230,6</c:v>
                </c:pt>
                <c:pt idx="567">
                  <c:v>5500</c:v>
                </c:pt>
                <c:pt idx="568">
                  <c:v>3431,27</c:v>
                </c:pt>
                <c:pt idx="569">
                  <c:v>3400</c:v>
                </c:pt>
                <c:pt idx="570">
                  <c:v>3600</c:v>
                </c:pt>
                <c:pt idx="571">
                  <c:v>354,0966</c:v>
                </c:pt>
                <c:pt idx="572">
                  <c:v>45</c:v>
                </c:pt>
                <c:pt idx="573">
                  <c:v>25</c:v>
                </c:pt>
                <c:pt idx="574">
                  <c:v>28,6</c:v>
                </c:pt>
                <c:pt idx="575">
                  <c:v>217,33</c:v>
                </c:pt>
                <c:pt idx="576">
                  <c:v>0</c:v>
                </c:pt>
                <c:pt idx="577">
                  <c:v>22,3</c:v>
                </c:pt>
                <c:pt idx="578">
                  <c:v>150</c:v>
                </c:pt>
                <c:pt idx="579">
                  <c:v>348</c:v>
                </c:pt>
                <c:pt idx="580">
                  <c:v>580</c:v>
                </c:pt>
                <c:pt idx="581">
                  <c:v>30</c:v>
                </c:pt>
                <c:pt idx="582">
                  <c:v>25</c:v>
                </c:pt>
                <c:pt idx="583">
                  <c:v>38,92</c:v>
                </c:pt>
                <c:pt idx="584">
                  <c:v>117</c:v>
                </c:pt>
                <c:pt idx="585">
                  <c:v>50</c:v>
                </c:pt>
                <c:pt idx="586">
                  <c:v>23,9188</c:v>
                </c:pt>
                <c:pt idx="587">
                  <c:v>10,7466</c:v>
                </c:pt>
                <c:pt idx="588">
                  <c:v>3,86</c:v>
                </c:pt>
                <c:pt idx="589">
                  <c:v>5,04</c:v>
                </c:pt>
                <c:pt idx="590">
                  <c:v>92,547</c:v>
                </c:pt>
                <c:pt idx="591">
                  <c:v>0</c:v>
                </c:pt>
                <c:pt idx="592">
                  <c:v>28,8</c:v>
                </c:pt>
                <c:pt idx="593">
                  <c:v>5,5</c:v>
                </c:pt>
                <c:pt idx="594">
                  <c:v>4898</c:v>
                </c:pt>
                <c:pt idx="595">
                  <c:v>363,6</c:v>
                </c:pt>
                <c:pt idx="596">
                  <c:v>78,6</c:v>
                </c:pt>
                <c:pt idx="597">
                  <c:v>100</c:v>
                </c:pt>
                <c:pt idx="598">
                  <c:v>194,29</c:v>
                </c:pt>
                <c:pt idx="599">
                  <c:v>86,39</c:v>
                </c:pt>
                <c:pt idx="600">
                  <c:v>0</c:v>
                </c:pt>
                <c:pt idx="601">
                  <c:v>99</c:v>
                </c:pt>
                <c:pt idx="602">
                  <c:v>92,547</c:v>
                </c:pt>
                <c:pt idx="603">
                  <c:v>0</c:v>
                </c:pt>
                <c:pt idx="604">
                  <c:v>30</c:v>
                </c:pt>
                <c:pt idx="605">
                  <c:v>50</c:v>
                </c:pt>
                <c:pt idx="606">
                  <c:v>141,47</c:v>
                </c:pt>
                <c:pt idx="607">
                  <c:v>17,9349</c:v>
                </c:pt>
                <c:pt idx="608">
                  <c:v>7,125</c:v>
                </c:pt>
                <c:pt idx="609">
                  <c:v>37,7253</c:v>
                </c:pt>
                <c:pt idx="610">
                  <c:v>178</c:v>
                </c:pt>
                <c:pt idx="611">
                  <c:v>46,4</c:v>
                </c:pt>
                <c:pt idx="612">
                  <c:v>271,52</c:v>
                </c:pt>
                <c:pt idx="613">
                  <c:v>30</c:v>
                </c:pt>
                <c:pt idx="614">
                  <c:v>50</c:v>
                </c:pt>
                <c:pt idx="615">
                  <c:v>22,2</c:v>
                </c:pt>
                <c:pt idx="616">
                  <c:v>3,8</c:v>
                </c:pt>
                <c:pt idx="617">
                  <c:v>8</c:v>
                </c:pt>
                <c:pt idx="618">
                  <c:v>24,75</c:v>
                </c:pt>
                <c:pt idx="619">
                  <c:v>22,5</c:v>
                </c:pt>
                <c:pt idx="620">
                  <c:v>10,8</c:v>
                </c:pt>
                <c:pt idx="621">
                  <c:v>30</c:v>
                </c:pt>
                <c:pt idx="622">
                  <c:v>25</c:v>
                </c:pt>
                <c:pt idx="623">
                  <c:v>83,75</c:v>
                </c:pt>
                <c:pt idx="624">
                  <c:v>15,1024</c:v>
                </c:pt>
                <c:pt idx="625">
                  <c:v>14,0776</c:v>
                </c:pt>
                <c:pt idx="626">
                  <c:v>7,4</c:v>
                </c:pt>
                <c:pt idx="627">
                  <c:v>6,9797</c:v>
                </c:pt>
                <c:pt idx="628">
                  <c:v>8,8</c:v>
                </c:pt>
                <c:pt idx="629">
                  <c:v>6,4797</c:v>
                </c:pt>
                <c:pt idx="630">
                  <c:v>185,094</c:v>
                </c:pt>
                <c:pt idx="631">
                  <c:v>0</c:v>
                </c:pt>
                <c:pt idx="632">
                  <c:v>344,04</c:v>
                </c:pt>
                <c:pt idx="633">
                  <c:v>44,4</c:v>
                </c:pt>
                <c:pt idx="634">
                  <c:v>0</c:v>
                </c:pt>
                <c:pt idx="635">
                  <c:v>76,7</c:v>
                </c:pt>
                <c:pt idx="636">
                  <c:v>0</c:v>
                </c:pt>
                <c:pt idx="637">
                  <c:v>276,45</c:v>
                </c:pt>
                <c:pt idx="638">
                  <c:v>87,547</c:v>
                </c:pt>
                <c:pt idx="639">
                  <c:v>86,85</c:v>
                </c:pt>
                <c:pt idx="640">
                  <c:v>112,5</c:v>
                </c:pt>
                <c:pt idx="641">
                  <c:v>0</c:v>
                </c:pt>
                <c:pt idx="642">
                  <c:v>92,15</c:v>
                </c:pt>
                <c:pt idx="643">
                  <c:v>0</c:v>
                </c:pt>
                <c:pt idx="644">
                  <c:v>2852,95</c:v>
                </c:pt>
                <c:pt idx="645">
                  <c:v>30</c:v>
                </c:pt>
                <c:pt idx="646">
                  <c:v>50</c:v>
                </c:pt>
                <c:pt idx="647">
                  <c:v>42,6</c:v>
                </c:pt>
                <c:pt idx="648">
                  <c:v>37,5</c:v>
                </c:pt>
                <c:pt idx="649">
                  <c:v>90,67</c:v>
                </c:pt>
                <c:pt idx="650">
                  <c:v>96,67</c:v>
                </c:pt>
                <c:pt idx="651">
                  <c:v>0</c:v>
                </c:pt>
                <c:pt idx="652">
                  <c:v>105,67</c:v>
                </c:pt>
                <c:pt idx="653">
                  <c:v>0</c:v>
                </c:pt>
                <c:pt idx="654">
                  <c:v>14,8</c:v>
                </c:pt>
                <c:pt idx="655">
                  <c:v>82,547</c:v>
                </c:pt>
                <c:pt idx="656">
                  <c:v>211,53</c:v>
                </c:pt>
                <c:pt idx="657">
                  <c:v>0</c:v>
                </c:pt>
                <c:pt idx="658">
                  <c:v>0,96</c:v>
                </c:pt>
                <c:pt idx="659">
                  <c:v>1,6</c:v>
                </c:pt>
                <c:pt idx="660">
                  <c:v>0,22</c:v>
                </c:pt>
                <c:pt idx="661">
                  <c:v>30</c:v>
                </c:pt>
                <c:pt idx="662">
                  <c:v>50</c:v>
                </c:pt>
                <c:pt idx="663">
                  <c:v>89,32</c:v>
                </c:pt>
                <c:pt idx="664">
                  <c:v>0</c:v>
                </c:pt>
                <c:pt idx="665">
                  <c:v>4,61</c:v>
                </c:pt>
                <c:pt idx="666">
                  <c:v>3,74</c:v>
                </c:pt>
                <c:pt idx="667">
                  <c:v>99,75</c:v>
                </c:pt>
                <c:pt idx="668">
                  <c:v>7,51</c:v>
                </c:pt>
                <c:pt idx="669">
                  <c:v>8,67</c:v>
                </c:pt>
                <c:pt idx="670">
                  <c:v>23</c:v>
                </c:pt>
                <c:pt idx="671">
                  <c:v>11,9594</c:v>
                </c:pt>
                <c:pt idx="672">
                  <c:v>396,06</c:v>
                </c:pt>
                <c:pt idx="673">
                  <c:v>3,0316</c:v>
                </c:pt>
                <c:pt idx="674">
                  <c:v>39,9042</c:v>
                </c:pt>
                <c:pt idx="675">
                  <c:v>42,9864</c:v>
                </c:pt>
                <c:pt idx="676">
                  <c:v>4,8</c:v>
                </c:pt>
                <c:pt idx="677">
                  <c:v>21,6</c:v>
                </c:pt>
                <c:pt idx="678">
                  <c:v>92,547</c:v>
                </c:pt>
                <c:pt idx="679">
                  <c:v>83,17</c:v>
                </c:pt>
                <c:pt idx="680">
                  <c:v>0</c:v>
                </c:pt>
                <c:pt idx="681">
                  <c:v>95,57</c:v>
                </c:pt>
                <c:pt idx="682">
                  <c:v>90,46</c:v>
                </c:pt>
                <c:pt idx="683">
                  <c:v>0</c:v>
                </c:pt>
                <c:pt idx="684">
                  <c:v>61,435</c:v>
                </c:pt>
                <c:pt idx="685">
                  <c:v>28,45</c:v>
                </c:pt>
                <c:pt idx="686">
                  <c:v>92,547</c:v>
                </c:pt>
                <c:pt idx="687">
                  <c:v>84,845</c:v>
                </c:pt>
                <c:pt idx="688">
                  <c:v>0</c:v>
                </c:pt>
                <c:pt idx="689">
                  <c:v>18,75</c:v>
                </c:pt>
                <c:pt idx="690">
                  <c:v>0</c:v>
                </c:pt>
                <c:pt idx="691">
                  <c:v>795,04</c:v>
                </c:pt>
                <c:pt idx="692">
                  <c:v>700</c:v>
                </c:pt>
                <c:pt idx="693">
                  <c:v>76,93</c:v>
                </c:pt>
                <c:pt idx="694">
                  <c:v>99,364</c:v>
                </c:pt>
                <c:pt idx="695">
                  <c:v>0</c:v>
                </c:pt>
                <c:pt idx="696">
                  <c:v>49,81</c:v>
                </c:pt>
                <c:pt idx="697">
                  <c:v>30</c:v>
                </c:pt>
                <c:pt idx="698">
                  <c:v>25</c:v>
                </c:pt>
                <c:pt idx="699">
                  <c:v>6416,58</c:v>
                </c:pt>
                <c:pt idx="700">
                  <c:v>1255,54</c:v>
                </c:pt>
                <c:pt idx="701">
                  <c:v>184,34</c:v>
                </c:pt>
                <c:pt idx="702">
                  <c:v>100</c:v>
                </c:pt>
                <c:pt idx="703">
                  <c:v>8</c:v>
                </c:pt>
                <c:pt idx="704">
                  <c:v>7,33</c:v>
                </c:pt>
                <c:pt idx="705">
                  <c:v>17,505</c:v>
                </c:pt>
                <c:pt idx="706">
                  <c:v>2,4</c:v>
                </c:pt>
                <c:pt idx="707">
                  <c:v>4,0642</c:v>
                </c:pt>
                <c:pt idx="708">
                  <c:v>23</c:v>
                </c:pt>
                <c:pt idx="709">
                  <c:v>79,6752</c:v>
                </c:pt>
                <c:pt idx="710">
                  <c:v>10,7466</c:v>
                </c:pt>
                <c:pt idx="711">
                  <c:v>4,0642</c:v>
                </c:pt>
                <c:pt idx="712">
                  <c:v>44</c:v>
                </c:pt>
                <c:pt idx="713">
                  <c:v>4,5</c:v>
                </c:pt>
                <c:pt idx="714">
                  <c:v>207,69</c:v>
                </c:pt>
                <c:pt idx="715">
                  <c:v>39,9042</c:v>
                </c:pt>
                <c:pt idx="716">
                  <c:v>354,0966</c:v>
                </c:pt>
                <c:pt idx="717">
                  <c:v>21,0568</c:v>
                </c:pt>
                <c:pt idx="718">
                  <c:v>30</c:v>
                </c:pt>
                <c:pt idx="719">
                  <c:v>50</c:v>
                </c:pt>
                <c:pt idx="720">
                  <c:v>7,0388</c:v>
                </c:pt>
                <c:pt idx="721">
                  <c:v>30</c:v>
                </c:pt>
                <c:pt idx="722">
                  <c:v>25</c:v>
                </c:pt>
                <c:pt idx="723">
                  <c:v>122,56</c:v>
                </c:pt>
                <c:pt idx="724">
                  <c:v>92,547</c:v>
                </c:pt>
                <c:pt idx="725">
                  <c:v>0</c:v>
                </c:pt>
                <c:pt idx="726">
                  <c:v>118,2</c:v>
                </c:pt>
                <c:pt idx="727">
                  <c:v>18,75</c:v>
                </c:pt>
                <c:pt idx="728">
                  <c:v>1,23</c:v>
                </c:pt>
                <c:pt idx="729">
                  <c:v>8,8</c:v>
                </c:pt>
                <c:pt idx="730">
                  <c:v>71,5</c:v>
                </c:pt>
                <c:pt idx="731">
                  <c:v>0</c:v>
                </c:pt>
                <c:pt idx="732">
                  <c:v>40,2</c:v>
                </c:pt>
                <c:pt idx="733">
                  <c:v>25</c:v>
                </c:pt>
                <c:pt idx="734">
                  <c:v>178</c:v>
                </c:pt>
                <c:pt idx="735">
                  <c:v>11,9532</c:v>
                </c:pt>
                <c:pt idx="736">
                  <c:v>5</c:v>
                </c:pt>
                <c:pt idx="737">
                  <c:v>99,75</c:v>
                </c:pt>
                <c:pt idx="738">
                  <c:v>7,51</c:v>
                </c:pt>
                <c:pt idx="739">
                  <c:v>-6,4</c:v>
                </c:pt>
                <c:pt idx="740">
                  <c:v>9,99</c:v>
                </c:pt>
                <c:pt idx="741">
                  <c:v>4,7</c:v>
                </c:pt>
                <c:pt idx="742">
                  <c:v>4,0642</c:v>
                </c:pt>
                <c:pt idx="743">
                  <c:v>36,4</c:v>
                </c:pt>
                <c:pt idx="744">
                  <c:v>9,6</c:v>
                </c:pt>
                <c:pt idx="745">
                  <c:v>11,3776</c:v>
                </c:pt>
                <c:pt idx="746">
                  <c:v>15,4829</c:v>
                </c:pt>
                <c:pt idx="747">
                  <c:v>6,5388</c:v>
                </c:pt>
                <c:pt idx="748">
                  <c:v>3,6855</c:v>
                </c:pt>
                <c:pt idx="749">
                  <c:v>343,401</c:v>
                </c:pt>
                <c:pt idx="750">
                  <c:v>159,328</c:v>
                </c:pt>
                <c:pt idx="751">
                  <c:v>23,105</c:v>
                </c:pt>
                <c:pt idx="752">
                  <c:v>161,16</c:v>
                </c:pt>
                <c:pt idx="753">
                  <c:v>0</c:v>
                </c:pt>
                <c:pt idx="754">
                  <c:v>-20000</c:v>
                </c:pt>
                <c:pt idx="755">
                  <c:v>7,26</c:v>
                </c:pt>
                <c:pt idx="756">
                  <c:v>61,95</c:v>
                </c:pt>
                <c:pt idx="757">
                  <c:v>0</c:v>
                </c:pt>
                <c:pt idx="758">
                  <c:v>2394</c:v>
                </c:pt>
                <c:pt idx="759">
                  <c:v>37,8</c:v>
                </c:pt>
                <c:pt idx="760">
                  <c:v>12,5</c:v>
                </c:pt>
                <c:pt idx="761">
                  <c:v>12,22</c:v>
                </c:pt>
                <c:pt idx="762">
                  <c:v>23</c:v>
                </c:pt>
                <c:pt idx="763">
                  <c:v>28,57</c:v>
                </c:pt>
                <c:pt idx="764">
                  <c:v>136,8</c:v>
                </c:pt>
                <c:pt idx="765">
                  <c:v>50</c:v>
                </c:pt>
                <c:pt idx="766">
                  <c:v>1250</c:v>
                </c:pt>
                <c:pt idx="767">
                  <c:v>252,66</c:v>
                </c:pt>
                <c:pt idx="768">
                  <c:v>800</c:v>
                </c:pt>
                <c:pt idx="769">
                  <c:v>103,5</c:v>
                </c:pt>
                <c:pt idx="770">
                  <c:v>0</c:v>
                </c:pt>
                <c:pt idx="771">
                  <c:v>22,6</c:v>
                </c:pt>
                <c:pt idx="772">
                  <c:v>352,73</c:v>
                </c:pt>
                <c:pt idx="773">
                  <c:v>43,8</c:v>
                </c:pt>
                <c:pt idx="774">
                  <c:v>0</c:v>
                </c:pt>
                <c:pt idx="775">
                  <c:v>14,4</c:v>
                </c:pt>
                <c:pt idx="776">
                  <c:v>0</c:v>
                </c:pt>
                <c:pt idx="777">
                  <c:v>25</c:v>
                </c:pt>
                <c:pt idx="778">
                  <c:v>3,1893</c:v>
                </c:pt>
                <c:pt idx="779">
                  <c:v>4,7</c:v>
                </c:pt>
                <c:pt idx="780">
                  <c:v>44,2632</c:v>
                </c:pt>
                <c:pt idx="781">
                  <c:v>5,9783</c:v>
                </c:pt>
                <c:pt idx="782">
                  <c:v>7,125</c:v>
                </c:pt>
                <c:pt idx="783">
                  <c:v>19,8</c:v>
                </c:pt>
                <c:pt idx="784">
                  <c:v>24</c:v>
                </c:pt>
                <c:pt idx="785">
                  <c:v>16,8</c:v>
                </c:pt>
                <c:pt idx="786">
                  <c:v>22,2</c:v>
                </c:pt>
                <c:pt idx="787">
                  <c:v>0</c:v>
                </c:pt>
                <c:pt idx="788">
                  <c:v>4222,405</c:v>
                </c:pt>
                <c:pt idx="789">
                  <c:v>45,2</c:v>
                </c:pt>
                <c:pt idx="790">
                  <c:v>10</c:v>
                </c:pt>
                <c:pt idx="791">
                  <c:v>100,917</c:v>
                </c:pt>
                <c:pt idx="792">
                  <c:v>0</c:v>
                </c:pt>
                <c:pt idx="794">
                  <c:v>96,77</c:v>
                </c:pt>
                <c:pt idx="795">
                  <c:v>0</c:v>
                </c:pt>
                <c:pt idx="796">
                  <c:v>165,094</c:v>
                </c:pt>
                <c:pt idx="797">
                  <c:v>0</c:v>
                </c:pt>
                <c:pt idx="798">
                  <c:v>448</c:v>
                </c:pt>
                <c:pt idx="799">
                  <c:v>530</c:v>
                </c:pt>
                <c:pt idx="800">
                  <c:v>100</c:v>
                </c:pt>
                <c:pt idx="801">
                  <c:v>0</c:v>
                </c:pt>
                <c:pt idx="802">
                  <c:v>356,81</c:v>
                </c:pt>
                <c:pt idx="803">
                  <c:v>9,56</c:v>
                </c:pt>
                <c:pt idx="804">
                  <c:v>10,7466</c:v>
                </c:pt>
                <c:pt idx="805">
                  <c:v>2,4</c:v>
                </c:pt>
                <c:pt idx="806">
                  <c:v>4,0642</c:v>
                </c:pt>
                <c:pt idx="807">
                  <c:v>42</c:v>
                </c:pt>
                <c:pt idx="808">
                  <c:v>49,5</c:v>
                </c:pt>
                <c:pt idx="809">
                  <c:v>44,1</c:v>
                </c:pt>
                <c:pt idx="810">
                  <c:v>12</c:v>
                </c:pt>
                <c:pt idx="811">
                  <c:v>3,34</c:v>
                </c:pt>
                <c:pt idx="812">
                  <c:v>95,924</c:v>
                </c:pt>
                <c:pt idx="813">
                  <c:v>0</c:v>
                </c:pt>
                <c:pt idx="814">
                  <c:v>49,71</c:v>
                </c:pt>
                <c:pt idx="815">
                  <c:v>110,4</c:v>
                </c:pt>
                <c:pt idx="816">
                  <c:v>25</c:v>
                </c:pt>
                <c:pt idx="817">
                  <c:v>16,1199</c:v>
                </c:pt>
                <c:pt idx="818">
                  <c:v>4,3027</c:v>
                </c:pt>
                <c:pt idx="819">
                  <c:v>5,9783</c:v>
                </c:pt>
                <c:pt idx="820">
                  <c:v>22,2</c:v>
                </c:pt>
                <c:pt idx="821">
                  <c:v>14,4</c:v>
                </c:pt>
                <c:pt idx="822">
                  <c:v>12,9594</c:v>
                </c:pt>
                <c:pt idx="823">
                  <c:v>91,28</c:v>
                </c:pt>
                <c:pt idx="824">
                  <c:v>122,9</c:v>
                </c:pt>
                <c:pt idx="825">
                  <c:v>0</c:v>
                </c:pt>
                <c:pt idx="826">
                  <c:v>11500</c:v>
                </c:pt>
                <c:pt idx="828">
                  <c:v>7,33</c:v>
                </c:pt>
                <c:pt idx="829">
                  <c:v>9,265</c:v>
                </c:pt>
                <c:pt idx="830">
                  <c:v>4,0642</c:v>
                </c:pt>
                <c:pt idx="831">
                  <c:v>71,74</c:v>
                </c:pt>
                <c:pt idx="832">
                  <c:v>0</c:v>
                </c:pt>
                <c:pt idx="833">
                  <c:v>82,547</c:v>
                </c:pt>
                <c:pt idx="834">
                  <c:v>0</c:v>
                </c:pt>
                <c:pt idx="835">
                  <c:v>33</c:v>
                </c:pt>
                <c:pt idx="836">
                  <c:v>12,5</c:v>
                </c:pt>
                <c:pt idx="837">
                  <c:v>743,15</c:v>
                </c:pt>
                <c:pt idx="838">
                  <c:v>800</c:v>
                </c:pt>
                <c:pt idx="839">
                  <c:v>0</c:v>
                </c:pt>
                <c:pt idx="840">
                  <c:v>14,8</c:v>
                </c:pt>
                <c:pt idx="841">
                  <c:v>7,72</c:v>
                </c:pt>
                <c:pt idx="842">
                  <c:v>20</c:v>
                </c:pt>
                <c:pt idx="843">
                  <c:v>4,0642</c:v>
                </c:pt>
                <c:pt idx="844">
                  <c:v>7,4</c:v>
                </c:pt>
                <c:pt idx="845">
                  <c:v>22,6</c:v>
                </c:pt>
                <c:pt idx="846">
                  <c:v>5</c:v>
                </c:pt>
                <c:pt idx="847">
                  <c:v>30</c:v>
                </c:pt>
                <c:pt idx="848">
                  <c:v>12,5</c:v>
                </c:pt>
                <c:pt idx="849">
                  <c:v>30</c:v>
                </c:pt>
                <c:pt idx="850">
                  <c:v>25</c:v>
                </c:pt>
                <c:pt idx="851">
                  <c:v>3,0316</c:v>
                </c:pt>
                <c:pt idx="852">
                  <c:v>37</c:v>
                </c:pt>
                <c:pt idx="853">
                  <c:v>4,84</c:v>
                </c:pt>
                <c:pt idx="854">
                  <c:v>97,547</c:v>
                </c:pt>
                <c:pt idx="855">
                  <c:v>78,89</c:v>
                </c:pt>
                <c:pt idx="856">
                  <c:v>0</c:v>
                </c:pt>
                <c:pt idx="857">
                  <c:v>10,7466</c:v>
                </c:pt>
                <c:pt idx="858">
                  <c:v>71,82</c:v>
                </c:pt>
                <c:pt idx="859">
                  <c:v>206,55</c:v>
                </c:pt>
                <c:pt idx="860">
                  <c:v>140,625</c:v>
                </c:pt>
                <c:pt idx="861">
                  <c:v>64,46</c:v>
                </c:pt>
                <c:pt idx="862">
                  <c:v>0</c:v>
                </c:pt>
                <c:pt idx="863">
                  <c:v>1250</c:v>
                </c:pt>
                <c:pt idx="864">
                  <c:v>382,35</c:v>
                </c:pt>
                <c:pt idx="865">
                  <c:v>4330,6</c:v>
                </c:pt>
                <c:pt idx="866">
                  <c:v>1111</c:v>
                </c:pt>
                <c:pt idx="867">
                  <c:v>5,3733</c:v>
                </c:pt>
                <c:pt idx="868">
                  <c:v>7,4</c:v>
                </c:pt>
                <c:pt idx="869">
                  <c:v>4,8</c:v>
                </c:pt>
                <c:pt idx="870">
                  <c:v>92,547</c:v>
                </c:pt>
                <c:pt idx="871">
                  <c:v>0</c:v>
                </c:pt>
                <c:pt idx="872">
                  <c:v>6,54</c:v>
                </c:pt>
                <c:pt idx="873">
                  <c:v>6,94</c:v>
                </c:pt>
                <c:pt idx="874">
                  <c:v>46</c:v>
                </c:pt>
                <c:pt idx="875">
                  <c:v>76,2</c:v>
                </c:pt>
                <c:pt idx="876">
                  <c:v>25</c:v>
                </c:pt>
                <c:pt idx="877">
                  <c:v>101,5</c:v>
                </c:pt>
                <c:pt idx="878">
                  <c:v>100,46</c:v>
                </c:pt>
                <c:pt idx="879">
                  <c:v>0</c:v>
                </c:pt>
                <c:pt idx="880">
                  <c:v>1328,08</c:v>
                </c:pt>
                <c:pt idx="881">
                  <c:v>92,547</c:v>
                </c:pt>
                <c:pt idx="882">
                  <c:v>0</c:v>
                </c:pt>
                <c:pt idx="883">
                  <c:v>7400</c:v>
                </c:pt>
                <c:pt idx="884">
                  <c:v>112,65</c:v>
                </c:pt>
                <c:pt idx="885">
                  <c:v>12</c:v>
                </c:pt>
                <c:pt idx="886">
                  <c:v>0</c:v>
                </c:pt>
                <c:pt idx="887">
                  <c:v>361,2</c:v>
                </c:pt>
                <c:pt idx="888">
                  <c:v>10,7466</c:v>
                </c:pt>
                <c:pt idx="889">
                  <c:v>4,0642</c:v>
                </c:pt>
                <c:pt idx="890">
                  <c:v>14,8</c:v>
                </c:pt>
                <c:pt idx="891">
                  <c:v>4,8</c:v>
                </c:pt>
                <c:pt idx="892">
                  <c:v>6,4797</c:v>
                </c:pt>
                <c:pt idx="893">
                  <c:v>6,0632</c:v>
                </c:pt>
                <c:pt idx="894">
                  <c:v>148,41</c:v>
                </c:pt>
                <c:pt idx="895">
                  <c:v>0</c:v>
                </c:pt>
                <c:pt idx="896">
                  <c:v>105,51</c:v>
                </c:pt>
                <c:pt idx="897">
                  <c:v>0</c:v>
                </c:pt>
                <c:pt idx="898">
                  <c:v>12,1853</c:v>
                </c:pt>
                <c:pt idx="899">
                  <c:v>21,43</c:v>
                </c:pt>
                <c:pt idx="900">
                  <c:v>12,585</c:v>
                </c:pt>
                <c:pt idx="901">
                  <c:v>131,6</c:v>
                </c:pt>
                <c:pt idx="902">
                  <c:v>82,8</c:v>
                </c:pt>
                <c:pt idx="903">
                  <c:v>25</c:v>
                </c:pt>
                <c:pt idx="904">
                  <c:v>105</c:v>
                </c:pt>
                <c:pt idx="905">
                  <c:v>0</c:v>
                </c:pt>
                <c:pt idx="906">
                  <c:v>84,135</c:v>
                </c:pt>
                <c:pt idx="907">
                  <c:v>3,7504</c:v>
                </c:pt>
                <c:pt idx="908">
                  <c:v>3,7812</c:v>
                </c:pt>
                <c:pt idx="909">
                  <c:v>45</c:v>
                </c:pt>
                <c:pt idx="910">
                  <c:v>49,995</c:v>
                </c:pt>
                <c:pt idx="911">
                  <c:v>331</c:v>
                </c:pt>
                <c:pt idx="912">
                  <c:v>0</c:v>
                </c:pt>
                <c:pt idx="913">
                  <c:v>380</c:v>
                </c:pt>
                <c:pt idx="914">
                  <c:v>0</c:v>
                </c:pt>
                <c:pt idx="915">
                  <c:v>0</c:v>
                </c:pt>
                <c:pt idx="916">
                  <c:v>314,835</c:v>
                </c:pt>
                <c:pt idx="917">
                  <c:v>298,61</c:v>
                </c:pt>
                <c:pt idx="918">
                  <c:v>86,87</c:v>
                </c:pt>
                <c:pt idx="919">
                  <c:v>0</c:v>
                </c:pt>
                <c:pt idx="920">
                  <c:v>344,04</c:v>
                </c:pt>
                <c:pt idx="921">
                  <c:v>79,8</c:v>
                </c:pt>
                <c:pt idx="922">
                  <c:v>0</c:v>
                </c:pt>
                <c:pt idx="923">
                  <c:v>120,4966</c:v>
                </c:pt>
                <c:pt idx="924">
                  <c:v>16,1199</c:v>
                </c:pt>
                <c:pt idx="925">
                  <c:v>18,59</c:v>
                </c:pt>
                <c:pt idx="926">
                  <c:v>580</c:v>
                </c:pt>
                <c:pt idx="927">
                  <c:v>600</c:v>
                </c:pt>
                <c:pt idx="928">
                  <c:v>7660</c:v>
                </c:pt>
                <c:pt idx="929">
                  <c:v>94,845</c:v>
                </c:pt>
                <c:pt idx="930">
                  <c:v>0</c:v>
                </c:pt>
                <c:pt idx="931">
                  <c:v>-1415</c:v>
                </c:pt>
                <c:pt idx="932">
                  <c:v>105,51</c:v>
                </c:pt>
                <c:pt idx="933">
                  <c:v>0</c:v>
                </c:pt>
                <c:pt idx="934">
                  <c:v>12,8</c:v>
                </c:pt>
                <c:pt idx="935">
                  <c:v>3,7756</c:v>
                </c:pt>
                <c:pt idx="936">
                  <c:v>7,5512</c:v>
                </c:pt>
                <c:pt idx="937">
                  <c:v>199,97</c:v>
                </c:pt>
                <c:pt idx="938">
                  <c:v>7,125</c:v>
                </c:pt>
                <c:pt idx="939">
                  <c:v>8,755</c:v>
                </c:pt>
                <c:pt idx="940">
                  <c:v>10,5933</c:v>
                </c:pt>
                <c:pt idx="941">
                  <c:v>7,5654</c:v>
                </c:pt>
                <c:pt idx="942">
                  <c:v>8,6733</c:v>
                </c:pt>
                <c:pt idx="943">
                  <c:v>9,9396</c:v>
                </c:pt>
                <c:pt idx="944">
                  <c:v>39,9042</c:v>
                </c:pt>
                <c:pt idx="945">
                  <c:v>3,96</c:v>
                </c:pt>
                <c:pt idx="946">
                  <c:v>15,66</c:v>
                </c:pt>
                <c:pt idx="947">
                  <c:v>8,7</c:v>
                </c:pt>
                <c:pt idx="948">
                  <c:v>4,0642</c:v>
                </c:pt>
                <c:pt idx="949">
                  <c:v>24</c:v>
                </c:pt>
                <c:pt idx="950">
                  <c:v>10,69</c:v>
                </c:pt>
                <c:pt idx="951">
                  <c:v>31</c:v>
                </c:pt>
                <c:pt idx="952">
                  <c:v>25,74</c:v>
                </c:pt>
                <c:pt idx="953">
                  <c:v>37,4</c:v>
                </c:pt>
                <c:pt idx="954">
                  <c:v>10,4594</c:v>
                </c:pt>
                <c:pt idx="955">
                  <c:v>100,46</c:v>
                </c:pt>
                <c:pt idx="956">
                  <c:v>95,5</c:v>
                </c:pt>
                <c:pt idx="957">
                  <c:v>3,94</c:v>
                </c:pt>
                <c:pt idx="958">
                  <c:v>0</c:v>
                </c:pt>
                <c:pt idx="959">
                  <c:v>14,8</c:v>
                </c:pt>
                <c:pt idx="960">
                  <c:v>4,8</c:v>
                </c:pt>
                <c:pt idx="961">
                  <c:v>-25,9</c:v>
                </c:pt>
                <c:pt idx="962">
                  <c:v>596,44</c:v>
                </c:pt>
                <c:pt idx="963">
                  <c:v>22,028</c:v>
                </c:pt>
                <c:pt idx="964">
                  <c:v>31,7811</c:v>
                </c:pt>
                <c:pt idx="965">
                  <c:v>21,6</c:v>
                </c:pt>
                <c:pt idx="966">
                  <c:v>10,9</c:v>
                </c:pt>
                <c:pt idx="967">
                  <c:v>18,6479</c:v>
                </c:pt>
                <c:pt idx="968">
                  <c:v>22,31</c:v>
                </c:pt>
                <c:pt idx="969">
                  <c:v>113,85</c:v>
                </c:pt>
                <c:pt idx="970">
                  <c:v>0</c:v>
                </c:pt>
                <c:pt idx="971">
                  <c:v>50,712</c:v>
                </c:pt>
                <c:pt idx="972">
                  <c:v>28,444</c:v>
                </c:pt>
                <c:pt idx="973">
                  <c:v>177,6</c:v>
                </c:pt>
                <c:pt idx="974">
                  <c:v>18,878</c:v>
                </c:pt>
                <c:pt idx="975">
                  <c:v>17,9391</c:v>
                </c:pt>
                <c:pt idx="976">
                  <c:v>92,547</c:v>
                </c:pt>
                <c:pt idx="977">
                  <c:v>0</c:v>
                </c:pt>
                <c:pt idx="978">
                  <c:v>26,7</c:v>
                </c:pt>
                <c:pt idx="979">
                  <c:v>209,7</c:v>
                </c:pt>
                <c:pt idx="980">
                  <c:v>100,67</c:v>
                </c:pt>
                <c:pt idx="981">
                  <c:v>0</c:v>
                </c:pt>
                <c:pt idx="982">
                  <c:v>40,53</c:v>
                </c:pt>
                <c:pt idx="983">
                  <c:v>0</c:v>
                </c:pt>
                <c:pt idx="984">
                  <c:v>703,15</c:v>
                </c:pt>
                <c:pt idx="985">
                  <c:v>1145</c:v>
                </c:pt>
                <c:pt idx="986">
                  <c:v>0</c:v>
                </c:pt>
                <c:pt idx="987">
                  <c:v>141,87</c:v>
                </c:pt>
                <c:pt idx="988">
                  <c:v>135,25</c:v>
                </c:pt>
                <c:pt idx="989">
                  <c:v>352,73</c:v>
                </c:pt>
                <c:pt idx="990">
                  <c:v>30</c:v>
                </c:pt>
                <c:pt idx="991">
                  <c:v>25</c:v>
                </c:pt>
                <c:pt idx="992">
                  <c:v>58</c:v>
                </c:pt>
                <c:pt idx="993">
                  <c:v>26,5</c:v>
                </c:pt>
                <c:pt idx="994">
                  <c:v>3,2642</c:v>
                </c:pt>
                <c:pt idx="995">
                  <c:v>28</c:v>
                </c:pt>
                <c:pt idx="996">
                  <c:v>19,8</c:v>
                </c:pt>
                <c:pt idx="997">
                  <c:v>5</c:v>
                </c:pt>
                <c:pt idx="998">
                  <c:v>141,87</c:v>
                </c:pt>
                <c:pt idx="999">
                  <c:v>109,32</c:v>
                </c:pt>
                <c:pt idx="1000">
                  <c:v>0</c:v>
                </c:pt>
                <c:pt idx="1001">
                  <c:v>125</c:v>
                </c:pt>
                <c:pt idx="1002">
                  <c:v>34,9042</c:v>
                </c:pt>
                <c:pt idx="1003">
                  <c:v>8,6054</c:v>
                </c:pt>
                <c:pt idx="1004">
                  <c:v>20,3594</c:v>
                </c:pt>
                <c:pt idx="1005">
                  <c:v>32,49</c:v>
                </c:pt>
                <c:pt idx="1006">
                  <c:v>10,1797</c:v>
                </c:pt>
                <c:pt idx="1007">
                  <c:v>5,3733</c:v>
                </c:pt>
                <c:pt idx="1008">
                  <c:v>50,35</c:v>
                </c:pt>
                <c:pt idx="1009">
                  <c:v>32,4</c:v>
                </c:pt>
                <c:pt idx="1010">
                  <c:v>11,25</c:v>
                </c:pt>
                <c:pt idx="1011">
                  <c:v>92,547</c:v>
                </c:pt>
                <c:pt idx="1012">
                  <c:v>0</c:v>
                </c:pt>
                <c:pt idx="1013">
                  <c:v>100,46</c:v>
                </c:pt>
                <c:pt idx="1014">
                  <c:v>0</c:v>
                </c:pt>
                <c:pt idx="1015">
                  <c:v>340</c:v>
                </c:pt>
                <c:pt idx="1016">
                  <c:v>10,1</c:v>
                </c:pt>
                <c:pt idx="1017">
                  <c:v>27</c:v>
                </c:pt>
                <c:pt idx="1018">
                  <c:v>6,4797</c:v>
                </c:pt>
                <c:pt idx="1019">
                  <c:v>7,125</c:v>
                </c:pt>
                <c:pt idx="1020">
                  <c:v>19,8</c:v>
                </c:pt>
                <c:pt idx="1021">
                  <c:v>4,8</c:v>
                </c:pt>
                <c:pt idx="1022">
                  <c:v>105,51</c:v>
                </c:pt>
                <c:pt idx="1023">
                  <c:v>0</c:v>
                </c:pt>
                <c:pt idx="1024">
                  <c:v>16,1199</c:v>
                </c:pt>
                <c:pt idx="1025">
                  <c:v>4,0642</c:v>
                </c:pt>
                <c:pt idx="1026">
                  <c:v>5,9797</c:v>
                </c:pt>
                <c:pt idx="1027">
                  <c:v>5320,6</c:v>
                </c:pt>
                <c:pt idx="1028">
                  <c:v>637,1166</c:v>
                </c:pt>
                <c:pt idx="1029">
                  <c:v>72,6</c:v>
                </c:pt>
                <c:pt idx="1030">
                  <c:v>25</c:v>
                </c:pt>
                <c:pt idx="1031">
                  <c:v>128,09</c:v>
                </c:pt>
                <c:pt idx="1032">
                  <c:v>81,16</c:v>
                </c:pt>
                <c:pt idx="1033">
                  <c:v>399,92</c:v>
                </c:pt>
                <c:pt idx="1034">
                  <c:v>53,55</c:v>
                </c:pt>
                <c:pt idx="1035">
                  <c:v>45</c:v>
                </c:pt>
                <c:pt idx="1036">
                  <c:v>62,6</c:v>
                </c:pt>
                <c:pt idx="1037">
                  <c:v>100,74</c:v>
                </c:pt>
                <c:pt idx="1038">
                  <c:v>0</c:v>
                </c:pt>
                <c:pt idx="1039">
                  <c:v>7,125</c:v>
                </c:pt>
                <c:pt idx="1040">
                  <c:v>16,8</c:v>
                </c:pt>
                <c:pt idx="1041">
                  <c:v>23</c:v>
                </c:pt>
                <c:pt idx="1042">
                  <c:v>7,72</c:v>
                </c:pt>
                <c:pt idx="1043">
                  <c:v>110,74</c:v>
                </c:pt>
                <c:pt idx="1044">
                  <c:v>0</c:v>
                </c:pt>
                <c:pt idx="1045">
                  <c:v>4251,27</c:v>
                </c:pt>
                <c:pt idx="1046">
                  <c:v>3,75</c:v>
                </c:pt>
                <c:pt idx="1047">
                  <c:v>409</c:v>
                </c:pt>
                <c:pt idx="1048">
                  <c:v>145,75</c:v>
                </c:pt>
                <c:pt idx="1049">
                  <c:v>17,505</c:v>
                </c:pt>
                <c:pt idx="1050">
                  <c:v>82,547</c:v>
                </c:pt>
                <c:pt idx="1051">
                  <c:v>0</c:v>
                </c:pt>
                <c:pt idx="1052">
                  <c:v>664,04</c:v>
                </c:pt>
                <c:pt idx="1053">
                  <c:v>791</c:v>
                </c:pt>
                <c:pt idx="1054">
                  <c:v>22,2</c:v>
                </c:pt>
                <c:pt idx="1055">
                  <c:v>10,1797</c:v>
                </c:pt>
                <c:pt idx="1056">
                  <c:v>0</c:v>
                </c:pt>
                <c:pt idx="1057">
                  <c:v>0</c:v>
                </c:pt>
                <c:pt idx="1058">
                  <c:v>142,51</c:v>
                </c:pt>
                <c:pt idx="1059">
                  <c:v>185,094</c:v>
                </c:pt>
                <c:pt idx="1060">
                  <c:v>0</c:v>
                </c:pt>
                <c:pt idx="1061">
                  <c:v>7,4908</c:v>
                </c:pt>
                <c:pt idx="1062">
                  <c:v>28,14</c:v>
                </c:pt>
                <c:pt idx="1063">
                  <c:v>62,6</c:v>
                </c:pt>
                <c:pt idx="1064">
                  <c:v>65,21</c:v>
                </c:pt>
                <c:pt idx="1065">
                  <c:v>41,56</c:v>
                </c:pt>
                <c:pt idx="1066">
                  <c:v>172,63</c:v>
                </c:pt>
                <c:pt idx="1067">
                  <c:v>76,93</c:v>
                </c:pt>
                <c:pt idx="1068">
                  <c:v>36</c:v>
                </c:pt>
                <c:pt idx="1069">
                  <c:v>50</c:v>
                </c:pt>
                <c:pt idx="1070">
                  <c:v>99,32</c:v>
                </c:pt>
                <c:pt idx="1071">
                  <c:v>0</c:v>
                </c:pt>
                <c:pt idx="1072">
                  <c:v>32,675</c:v>
                </c:pt>
                <c:pt idx="1073">
                  <c:v>34,9042</c:v>
                </c:pt>
                <c:pt idx="1074">
                  <c:v>215,94</c:v>
                </c:pt>
                <c:pt idx="1075">
                  <c:v>108</c:v>
                </c:pt>
                <c:pt idx="1076">
                  <c:v>88,105</c:v>
                </c:pt>
                <c:pt idx="1077">
                  <c:v>7</c:v>
                </c:pt>
                <c:pt idx="1079">
                  <c:v>0</c:v>
                </c:pt>
                <c:pt idx="1080">
                  <c:v>97,554</c:v>
                </c:pt>
                <c:pt idx="1081">
                  <c:v>0</c:v>
                </c:pt>
                <c:pt idx="1082">
                  <c:v>74,845</c:v>
                </c:pt>
                <c:pt idx="1083">
                  <c:v>0</c:v>
                </c:pt>
                <c:pt idx="1084">
                  <c:v>92,547</c:v>
                </c:pt>
                <c:pt idx="1085">
                  <c:v>0</c:v>
                </c:pt>
                <c:pt idx="1086">
                  <c:v>23</c:v>
                </c:pt>
                <c:pt idx="1087">
                  <c:v>27</c:v>
                </c:pt>
                <c:pt idx="1088">
                  <c:v>12,12</c:v>
                </c:pt>
                <c:pt idx="1089">
                  <c:v>2515,37</c:v>
                </c:pt>
                <c:pt idx="1090">
                  <c:v>200,25</c:v>
                </c:pt>
                <c:pt idx="1091">
                  <c:v>43,8</c:v>
                </c:pt>
                <c:pt idx="1092">
                  <c:v>50</c:v>
                </c:pt>
                <c:pt idx="1094">
                  <c:v>120,92</c:v>
                </c:pt>
                <c:pt idx="1095">
                  <c:v>10,7466</c:v>
                </c:pt>
                <c:pt idx="1096">
                  <c:v>136</c:v>
                </c:pt>
                <c:pt idx="1097">
                  <c:v>-164,4</c:v>
                </c:pt>
                <c:pt idx="1098">
                  <c:v>-50</c:v>
                </c:pt>
                <c:pt idx="1099">
                  <c:v>19,772</c:v>
                </c:pt>
                <c:pt idx="1100">
                  <c:v>-4,0462</c:v>
                </c:pt>
                <c:pt idx="1101">
                  <c:v>23</c:v>
                </c:pt>
                <c:pt idx="1102">
                  <c:v>16,8</c:v>
                </c:pt>
                <c:pt idx="1103">
                  <c:v>22,028</c:v>
                </c:pt>
                <c:pt idx="1104">
                  <c:v>10,7466</c:v>
                </c:pt>
                <c:pt idx="1105">
                  <c:v>42,6</c:v>
                </c:pt>
                <c:pt idx="1106">
                  <c:v>30</c:v>
                </c:pt>
                <c:pt idx="1107">
                  <c:v>18,75</c:v>
                </c:pt>
                <c:pt idx="1108">
                  <c:v>86,247</c:v>
                </c:pt>
                <c:pt idx="1109">
                  <c:v>91,72</c:v>
                </c:pt>
                <c:pt idx="1110">
                  <c:v>0</c:v>
                </c:pt>
                <c:pt idx="1111">
                  <c:v>27,65</c:v>
                </c:pt>
                <c:pt idx="1112">
                  <c:v>23,2</c:v>
                </c:pt>
                <c:pt idx="1113">
                  <c:v>11,4</c:v>
                </c:pt>
                <c:pt idx="1114">
                  <c:v>3,34</c:v>
                </c:pt>
                <c:pt idx="1115">
                  <c:v>120,4966</c:v>
                </c:pt>
                <c:pt idx="1116">
                  <c:v>83,79</c:v>
                </c:pt>
                <c:pt idx="1117">
                  <c:v>205</c:v>
                </c:pt>
                <c:pt idx="1118">
                  <c:v>27,65</c:v>
                </c:pt>
                <c:pt idx="1119">
                  <c:v>255,02</c:v>
                </c:pt>
                <c:pt idx="1120">
                  <c:v>1235</c:v>
                </c:pt>
                <c:pt idx="1121">
                  <c:v>1805</c:v>
                </c:pt>
                <c:pt idx="1122">
                  <c:v>127,4525</c:v>
                </c:pt>
                <c:pt idx="1123">
                  <c:v>107,15</c:v>
                </c:pt>
                <c:pt idx="1124">
                  <c:v>0</c:v>
                </c:pt>
                <c:pt idx="1125">
                  <c:v>35,74</c:v>
                </c:pt>
                <c:pt idx="1126">
                  <c:v>99,75</c:v>
                </c:pt>
                <c:pt idx="1127">
                  <c:v>512,94</c:v>
                </c:pt>
                <c:pt idx="1128">
                  <c:v>30</c:v>
                </c:pt>
                <c:pt idx="1129">
                  <c:v>50</c:v>
                </c:pt>
                <c:pt idx="1131">
                  <c:v>10,8</c:v>
                </c:pt>
                <c:pt idx="1132">
                  <c:v>4,86</c:v>
                </c:pt>
                <c:pt idx="1133">
                  <c:v>1154,875</c:v>
                </c:pt>
                <c:pt idx="1134">
                  <c:v>26,8665</c:v>
                </c:pt>
                <c:pt idx="1135">
                  <c:v>2,765</c:v>
                </c:pt>
                <c:pt idx="1136">
                  <c:v>8,06</c:v>
                </c:pt>
                <c:pt idx="1137">
                  <c:v>25,56</c:v>
                </c:pt>
                <c:pt idx="1138">
                  <c:v>371</c:v>
                </c:pt>
                <c:pt idx="1139">
                  <c:v>25,8665</c:v>
                </c:pt>
                <c:pt idx="1140">
                  <c:v>4,0642</c:v>
                </c:pt>
                <c:pt idx="1141">
                  <c:v>16,2</c:v>
                </c:pt>
                <c:pt idx="1142">
                  <c:v>4,86</c:v>
                </c:pt>
                <c:pt idx="1143">
                  <c:v>4,8</c:v>
                </c:pt>
                <c:pt idx="1144">
                  <c:v>12,9594</c:v>
                </c:pt>
                <c:pt idx="1145">
                  <c:v>66,0833</c:v>
                </c:pt>
                <c:pt idx="1146">
                  <c:v>169,094</c:v>
                </c:pt>
                <c:pt idx="1147">
                  <c:v>12</c:v>
                </c:pt>
                <c:pt idx="1148">
                  <c:v>11,56</c:v>
                </c:pt>
                <c:pt idx="1149">
                  <c:v>5</c:v>
                </c:pt>
                <c:pt idx="1150">
                  <c:v>0</c:v>
                </c:pt>
                <c:pt idx="1151">
                  <c:v>28588,61</c:v>
                </c:pt>
                <c:pt idx="1152">
                  <c:v>79,82</c:v>
                </c:pt>
                <c:pt idx="1153">
                  <c:v>60,6</c:v>
                </c:pt>
                <c:pt idx="1154">
                  <c:v>50</c:v>
                </c:pt>
                <c:pt idx="1155">
                  <c:v>98,54</c:v>
                </c:pt>
                <c:pt idx="1156">
                  <c:v>0</c:v>
                </c:pt>
                <c:pt idx="1157">
                  <c:v>100,46</c:v>
                </c:pt>
                <c:pt idx="1158">
                  <c:v>0</c:v>
                </c:pt>
                <c:pt idx="1159">
                  <c:v>94,2</c:v>
                </c:pt>
                <c:pt idx="1160">
                  <c:v>25</c:v>
                </c:pt>
                <c:pt idx="1161">
                  <c:v>0</c:v>
                </c:pt>
                <c:pt idx="1162">
                  <c:v>0</c:v>
                </c:pt>
                <c:pt idx="1163">
                  <c:v>174</c:v>
                </c:pt>
                <c:pt idx="1164">
                  <c:v>174</c:v>
                </c:pt>
                <c:pt idx="1165">
                  <c:v>16,1199</c:v>
                </c:pt>
                <c:pt idx="1166">
                  <c:v>7,4</c:v>
                </c:pt>
                <c:pt idx="1167">
                  <c:v>11,72</c:v>
                </c:pt>
                <c:pt idx="1168">
                  <c:v>9,6</c:v>
                </c:pt>
                <c:pt idx="1169">
                  <c:v>14,0776</c:v>
                </c:pt>
                <c:pt idx="1170">
                  <c:v>10</c:v>
                </c:pt>
                <c:pt idx="1171">
                  <c:v>7,93</c:v>
                </c:pt>
                <c:pt idx="1172">
                  <c:v>9,3</c:v>
                </c:pt>
                <c:pt idx="1173">
                  <c:v>8,1284</c:v>
                </c:pt>
                <c:pt idx="1174">
                  <c:v>8,6054</c:v>
                </c:pt>
                <c:pt idx="1175">
                  <c:v>8</c:v>
                </c:pt>
                <c:pt idx="1176">
                  <c:v>800</c:v>
                </c:pt>
                <c:pt idx="1177">
                  <c:v>22,2</c:v>
                </c:pt>
                <c:pt idx="1178">
                  <c:v>10,1797</c:v>
                </c:pt>
                <c:pt idx="1179">
                  <c:v>45</c:v>
                </c:pt>
                <c:pt idx="1180">
                  <c:v>347,23</c:v>
                </c:pt>
                <c:pt idx="1181">
                  <c:v>108</c:v>
                </c:pt>
                <c:pt idx="1182">
                  <c:v>25</c:v>
                </c:pt>
                <c:pt idx="1183">
                  <c:v>97,554</c:v>
                </c:pt>
                <c:pt idx="1184">
                  <c:v>0</c:v>
                </c:pt>
                <c:pt idx="1185">
                  <c:v>32,2398</c:v>
                </c:pt>
                <c:pt idx="1186">
                  <c:v>4,0642</c:v>
                </c:pt>
                <c:pt idx="1187">
                  <c:v>111,6</c:v>
                </c:pt>
                <c:pt idx="1188">
                  <c:v>18,75</c:v>
                </c:pt>
                <c:pt idx="1189">
                  <c:v>5997,27</c:v>
                </c:pt>
                <c:pt idx="1190">
                  <c:v>5,3733</c:v>
                </c:pt>
                <c:pt idx="1191">
                  <c:v>46</c:v>
                </c:pt>
                <c:pt idx="1192">
                  <c:v>3,06</c:v>
                </c:pt>
                <c:pt idx="1193">
                  <c:v>6</c:v>
                </c:pt>
                <c:pt idx="1195">
                  <c:v>99,75</c:v>
                </c:pt>
                <c:pt idx="1196">
                  <c:v>98,02</c:v>
                </c:pt>
                <c:pt idx="1197">
                  <c:v>0</c:v>
                </c:pt>
                <c:pt idx="1198">
                  <c:v>4,0642</c:v>
                </c:pt>
                <c:pt idx="1199">
                  <c:v>6,0933</c:v>
                </c:pt>
                <c:pt idx="1200">
                  <c:v>5,9783</c:v>
                </c:pt>
                <c:pt idx="1201">
                  <c:v>7,125</c:v>
                </c:pt>
                <c:pt idx="1202">
                  <c:v>14,8</c:v>
                </c:pt>
                <c:pt idx="1203">
                  <c:v>9,6</c:v>
                </c:pt>
                <c:pt idx="1204">
                  <c:v>22,028</c:v>
                </c:pt>
                <c:pt idx="1205">
                  <c:v>9,6</c:v>
                </c:pt>
                <c:pt idx="1206">
                  <c:v>5,9783</c:v>
                </c:pt>
                <c:pt idx="1207">
                  <c:v>24</c:v>
                </c:pt>
                <c:pt idx="1208">
                  <c:v>28,8</c:v>
                </c:pt>
                <c:pt idx="1209">
                  <c:v>16,8</c:v>
                </c:pt>
                <c:pt idx="1210">
                  <c:v>19,2</c:v>
                </c:pt>
                <c:pt idx="1211">
                  <c:v>22,2</c:v>
                </c:pt>
                <c:pt idx="1212">
                  <c:v>14,8</c:v>
                </c:pt>
                <c:pt idx="1213">
                  <c:v>97,554</c:v>
                </c:pt>
                <c:pt idx="1214">
                  <c:v>0</c:v>
                </c:pt>
                <c:pt idx="1215">
                  <c:v>401</c:v>
                </c:pt>
                <c:pt idx="1216">
                  <c:v>0</c:v>
                </c:pt>
                <c:pt idx="1217">
                  <c:v>7240</c:v>
                </c:pt>
                <c:pt idx="1218">
                  <c:v>0</c:v>
                </c:pt>
                <c:pt idx="1219">
                  <c:v>47,4</c:v>
                </c:pt>
                <c:pt idx="1220">
                  <c:v>25</c:v>
                </c:pt>
                <c:pt idx="1221">
                  <c:v>176,32</c:v>
                </c:pt>
                <c:pt idx="1222">
                  <c:v>102,547</c:v>
                </c:pt>
                <c:pt idx="1223">
                  <c:v>99,364</c:v>
                </c:pt>
                <c:pt idx="1224">
                  <c:v>0</c:v>
                </c:pt>
                <c:pt idx="1225">
                  <c:v>98,02</c:v>
                </c:pt>
                <c:pt idx="1226">
                  <c:v>0</c:v>
                </c:pt>
                <c:pt idx="1227">
                  <c:v>4,0642</c:v>
                </c:pt>
                <c:pt idx="1228">
                  <c:v>34</c:v>
                </c:pt>
                <c:pt idx="1229">
                  <c:v>12</c:v>
                </c:pt>
                <c:pt idx="1230">
                  <c:v>8,21</c:v>
                </c:pt>
                <c:pt idx="1231">
                  <c:v>9</c:v>
                </c:pt>
                <c:pt idx="1232">
                  <c:v>0,766</c:v>
                </c:pt>
                <c:pt idx="1233">
                  <c:v>691,03</c:v>
                </c:pt>
                <c:pt idx="1234">
                  <c:v>26,8665</c:v>
                </c:pt>
                <c:pt idx="1235">
                  <c:v>8,1284</c:v>
                </c:pt>
                <c:pt idx="1236">
                  <c:v>8,6054</c:v>
                </c:pt>
                <c:pt idx="1237">
                  <c:v>32</c:v>
                </c:pt>
                <c:pt idx="1238">
                  <c:v>9,6</c:v>
                </c:pt>
                <c:pt idx="1239">
                  <c:v>9,72</c:v>
                </c:pt>
                <c:pt idx="1240">
                  <c:v>153,34</c:v>
                </c:pt>
                <c:pt idx="1241">
                  <c:v>70</c:v>
                </c:pt>
                <c:pt idx="1242">
                  <c:v>55,3</c:v>
                </c:pt>
                <c:pt idx="1243">
                  <c:v>7,4</c:v>
                </c:pt>
                <c:pt idx="1244">
                  <c:v>4,8</c:v>
                </c:pt>
                <c:pt idx="1245">
                  <c:v>2,02</c:v>
                </c:pt>
                <c:pt idx="1246">
                  <c:v>7,0388</c:v>
                </c:pt>
                <c:pt idx="1247">
                  <c:v>1500</c:v>
                </c:pt>
                <c:pt idx="1248">
                  <c:v>500</c:v>
                </c:pt>
                <c:pt idx="1249">
                  <c:v>17,555</c:v>
                </c:pt>
                <c:pt idx="1250">
                  <c:v>99,9</c:v>
                </c:pt>
                <c:pt idx="1251">
                  <c:v>23,33</c:v>
                </c:pt>
                <c:pt idx="1252">
                  <c:v>30</c:v>
                </c:pt>
                <c:pt idx="1253">
                  <c:v>50</c:v>
                </c:pt>
                <c:pt idx="1254">
                  <c:v>370</c:v>
                </c:pt>
                <c:pt idx="1255">
                  <c:v>3789,31</c:v>
                </c:pt>
                <c:pt idx="1256">
                  <c:v>110,4</c:v>
                </c:pt>
                <c:pt idx="1257">
                  <c:v>50</c:v>
                </c:pt>
                <c:pt idx="1258">
                  <c:v>-1244,2445</c:v>
                </c:pt>
                <c:pt idx="1259">
                  <c:v>0</c:v>
                </c:pt>
                <c:pt idx="1260">
                  <c:v>6580</c:v>
                </c:pt>
                <c:pt idx="1261">
                  <c:v>72,6</c:v>
                </c:pt>
                <c:pt idx="1262">
                  <c:v>46,7</c:v>
                </c:pt>
                <c:pt idx="1263">
                  <c:v>27</c:v>
                </c:pt>
                <c:pt idx="1264">
                  <c:v>27</c:v>
                </c:pt>
                <c:pt idx="1265">
                  <c:v>53</c:v>
                </c:pt>
                <c:pt idx="1266">
                  <c:v>1109</c:v>
                </c:pt>
                <c:pt idx="1267">
                  <c:v>1109</c:v>
                </c:pt>
                <c:pt idx="1268">
                  <c:v>415,61</c:v>
                </c:pt>
                <c:pt idx="1269">
                  <c:v>108,6</c:v>
                </c:pt>
                <c:pt idx="1270">
                  <c:v>50</c:v>
                </c:pt>
                <c:pt idx="1271">
                  <c:v>14,95</c:v>
                </c:pt>
                <c:pt idx="1272">
                  <c:v>525,22</c:v>
                </c:pt>
                <c:pt idx="1273">
                  <c:v>30</c:v>
                </c:pt>
                <c:pt idx="1274">
                  <c:v>25</c:v>
                </c:pt>
                <c:pt idx="1275">
                  <c:v>525,28</c:v>
                </c:pt>
                <c:pt idx="1276">
                  <c:v>46,4</c:v>
                </c:pt>
                <c:pt idx="1277">
                  <c:v>92,8</c:v>
                </c:pt>
                <c:pt idx="1278">
                  <c:v>0</c:v>
                </c:pt>
                <c:pt idx="1279">
                  <c:v>232</c:v>
                </c:pt>
                <c:pt idx="1280">
                  <c:v>232</c:v>
                </c:pt>
                <c:pt idx="1281">
                  <c:v>102,547</c:v>
                </c:pt>
                <c:pt idx="1282">
                  <c:v>0</c:v>
                </c:pt>
                <c:pt idx="1283">
                  <c:v>102,6</c:v>
                </c:pt>
                <c:pt idx="1284">
                  <c:v>25</c:v>
                </c:pt>
                <c:pt idx="1285">
                  <c:v>200,03</c:v>
                </c:pt>
                <c:pt idx="1286">
                  <c:v>271,52</c:v>
                </c:pt>
                <c:pt idx="1287">
                  <c:v>60</c:v>
                </c:pt>
                <c:pt idx="1288">
                  <c:v>150</c:v>
                </c:pt>
                <c:pt idx="1289">
                  <c:v>267,18</c:v>
                </c:pt>
                <c:pt idx="1290">
                  <c:v>44,4</c:v>
                </c:pt>
                <c:pt idx="1291">
                  <c:v>175</c:v>
                </c:pt>
                <c:pt idx="1292">
                  <c:v>630</c:v>
                </c:pt>
                <c:pt idx="1293">
                  <c:v>273,13</c:v>
                </c:pt>
                <c:pt idx="1294">
                  <c:v>39,6</c:v>
                </c:pt>
                <c:pt idx="1295">
                  <c:v>18,6568</c:v>
                </c:pt>
                <c:pt idx="1296">
                  <c:v>7,4</c:v>
                </c:pt>
                <c:pt idx="1297">
                  <c:v>4,8</c:v>
                </c:pt>
                <c:pt idx="1298">
                  <c:v>44,4</c:v>
                </c:pt>
                <c:pt idx="1299">
                  <c:v>50</c:v>
                </c:pt>
                <c:pt idx="1300">
                  <c:v>205,094</c:v>
                </c:pt>
                <c:pt idx="1301">
                  <c:v>0</c:v>
                </c:pt>
                <c:pt idx="1302">
                  <c:v>172,63</c:v>
                </c:pt>
                <c:pt idx="1303">
                  <c:v>60</c:v>
                </c:pt>
                <c:pt idx="1304">
                  <c:v>62,5</c:v>
                </c:pt>
                <c:pt idx="1305">
                  <c:v>107,554</c:v>
                </c:pt>
                <c:pt idx="1306">
                  <c:v>0</c:v>
                </c:pt>
                <c:pt idx="1307">
                  <c:v>31,09</c:v>
                </c:pt>
                <c:pt idx="1308">
                  <c:v>84,845</c:v>
                </c:pt>
                <c:pt idx="1309">
                  <c:v>0</c:v>
                </c:pt>
                <c:pt idx="1310">
                  <c:v>33</c:v>
                </c:pt>
                <c:pt idx="1311">
                  <c:v>37,5</c:v>
                </c:pt>
                <c:pt idx="1312">
                  <c:v>78,07</c:v>
                </c:pt>
                <c:pt idx="1313">
                  <c:v>0</c:v>
                </c:pt>
                <c:pt idx="1314">
                  <c:v>71,82</c:v>
                </c:pt>
                <c:pt idx="1315">
                  <c:v>12,81</c:v>
                </c:pt>
                <c:pt idx="1316">
                  <c:v>92,547</c:v>
                </c:pt>
                <c:pt idx="1317">
                  <c:v>98,55</c:v>
                </c:pt>
                <c:pt idx="1318">
                  <c:v>22,5</c:v>
                </c:pt>
                <c:pt idx="1319">
                  <c:v>0</c:v>
                </c:pt>
                <c:pt idx="1320">
                  <c:v>1993,35</c:v>
                </c:pt>
                <c:pt idx="1321">
                  <c:v>61,2</c:v>
                </c:pt>
                <c:pt idx="1322">
                  <c:v>75</c:v>
                </c:pt>
                <c:pt idx="1324">
                  <c:v>120,935</c:v>
                </c:pt>
                <c:pt idx="1325">
                  <c:v>120,94</c:v>
                </c:pt>
                <c:pt idx="1326">
                  <c:v>0</c:v>
                </c:pt>
                <c:pt idx="1327">
                  <c:v>298</c:v>
                </c:pt>
                <c:pt idx="1328">
                  <c:v>-34,8</c:v>
                </c:pt>
                <c:pt idx="1329">
                  <c:v>-69,6</c:v>
                </c:pt>
                <c:pt idx="1330">
                  <c:v>111</c:v>
                </c:pt>
                <c:pt idx="1331">
                  <c:v>0</c:v>
                </c:pt>
                <c:pt idx="1332">
                  <c:v>800</c:v>
                </c:pt>
                <c:pt idx="1333">
                  <c:v>108,5</c:v>
                </c:pt>
                <c:pt idx="1334">
                  <c:v>0</c:v>
                </c:pt>
                <c:pt idx="1335">
                  <c:v>40,75</c:v>
                </c:pt>
                <c:pt idx="1336">
                  <c:v>5</c:v>
                </c:pt>
                <c:pt idx="1337">
                  <c:v>2435,77</c:v>
                </c:pt>
                <c:pt idx="1338">
                  <c:v>30</c:v>
                </c:pt>
                <c:pt idx="1339">
                  <c:v>25</c:v>
                </c:pt>
                <c:pt idx="1340">
                  <c:v>5,3733</c:v>
                </c:pt>
                <c:pt idx="1341">
                  <c:v>7,0388</c:v>
                </c:pt>
                <c:pt idx="1342">
                  <c:v>8,5</c:v>
                </c:pt>
                <c:pt idx="1343">
                  <c:v>664,04</c:v>
                </c:pt>
                <c:pt idx="1344">
                  <c:v>56,64</c:v>
                </c:pt>
                <c:pt idx="1345">
                  <c:v>132</c:v>
                </c:pt>
                <c:pt idx="1346">
                  <c:v>94,845</c:v>
                </c:pt>
                <c:pt idx="1347">
                  <c:v>2</c:v>
                </c:pt>
                <c:pt idx="1348">
                  <c:v>0</c:v>
                </c:pt>
                <c:pt idx="1349">
                  <c:v>57,67</c:v>
                </c:pt>
                <c:pt idx="1350">
                  <c:v>0</c:v>
                </c:pt>
                <c:pt idx="1351">
                  <c:v>25</c:v>
                </c:pt>
                <c:pt idx="1352">
                  <c:v>30</c:v>
                </c:pt>
                <c:pt idx="1353">
                  <c:v>75</c:v>
                </c:pt>
                <c:pt idx="1354">
                  <c:v>30</c:v>
                </c:pt>
                <c:pt idx="1355">
                  <c:v>25</c:v>
                </c:pt>
                <c:pt idx="1356">
                  <c:v>23,9188</c:v>
                </c:pt>
                <c:pt idx="1357">
                  <c:v>21,4932</c:v>
                </c:pt>
                <c:pt idx="1358">
                  <c:v>23</c:v>
                </c:pt>
                <c:pt idx="1359">
                  <c:v>1219,51</c:v>
                </c:pt>
                <c:pt idx="1360">
                  <c:v>7,125</c:v>
                </c:pt>
                <c:pt idx="1361">
                  <c:v>19,8</c:v>
                </c:pt>
                <c:pt idx="1362">
                  <c:v>24</c:v>
                </c:pt>
                <c:pt idx="1363">
                  <c:v>28,8</c:v>
                </c:pt>
                <c:pt idx="1364">
                  <c:v>7,4</c:v>
                </c:pt>
                <c:pt idx="1365">
                  <c:v>6,6073</c:v>
                </c:pt>
                <c:pt idx="1366">
                  <c:v>56,634</c:v>
                </c:pt>
                <c:pt idx="1367">
                  <c:v>40</c:v>
                </c:pt>
                <c:pt idx="1368">
                  <c:v>38</c:v>
                </c:pt>
                <c:pt idx="1369">
                  <c:v>17,65</c:v>
                </c:pt>
                <c:pt idx="1370">
                  <c:v>17,65</c:v>
                </c:pt>
                <c:pt idx="1371">
                  <c:v>38,6</c:v>
                </c:pt>
                <c:pt idx="1372">
                  <c:v>36</c:v>
                </c:pt>
                <c:pt idx="1373">
                  <c:v>-65,24</c:v>
                </c:pt>
                <c:pt idx="1374">
                  <c:v>0</c:v>
                </c:pt>
                <c:pt idx="1375">
                  <c:v>232</c:v>
                </c:pt>
                <c:pt idx="1376">
                  <c:v>232</c:v>
                </c:pt>
                <c:pt idx="1377">
                  <c:v>141,4</c:v>
                </c:pt>
                <c:pt idx="1378">
                  <c:v>0</c:v>
                </c:pt>
                <c:pt idx="1379">
                  <c:v>30</c:v>
                </c:pt>
                <c:pt idx="1380">
                  <c:v>25</c:v>
                </c:pt>
                <c:pt idx="1381">
                  <c:v>44,91</c:v>
                </c:pt>
                <c:pt idx="1382">
                  <c:v>3,76</c:v>
                </c:pt>
                <c:pt idx="1383">
                  <c:v>5,5548</c:v>
                </c:pt>
                <c:pt idx="1384">
                  <c:v>74,89</c:v>
                </c:pt>
                <c:pt idx="1385">
                  <c:v>82,8</c:v>
                </c:pt>
                <c:pt idx="1386">
                  <c:v>106,25</c:v>
                </c:pt>
                <c:pt idx="1387">
                  <c:v>195,094</c:v>
                </c:pt>
                <c:pt idx="1388">
                  <c:v>80,45</c:v>
                </c:pt>
                <c:pt idx="1389">
                  <c:v>217,96</c:v>
                </c:pt>
                <c:pt idx="1391">
                  <c:v>0</c:v>
                </c:pt>
                <c:pt idx="1392">
                  <c:v>92,547</c:v>
                </c:pt>
                <c:pt idx="1393">
                  <c:v>0</c:v>
                </c:pt>
                <c:pt idx="1394">
                  <c:v>28,45</c:v>
                </c:pt>
                <c:pt idx="1395">
                  <c:v>89,035</c:v>
                </c:pt>
                <c:pt idx="1396">
                  <c:v>316,82</c:v>
                </c:pt>
                <c:pt idx="1397">
                  <c:v>0</c:v>
                </c:pt>
                <c:pt idx="1398">
                  <c:v>67,5</c:v>
                </c:pt>
                <c:pt idx="1399">
                  <c:v>0</c:v>
                </c:pt>
                <c:pt idx="1400">
                  <c:v>42,77</c:v>
                </c:pt>
                <c:pt idx="1401">
                  <c:v>88,93</c:v>
                </c:pt>
                <c:pt idx="1402">
                  <c:v>0</c:v>
                </c:pt>
                <c:pt idx="1403">
                  <c:v>102,547</c:v>
                </c:pt>
                <c:pt idx="1404">
                  <c:v>153,48</c:v>
                </c:pt>
                <c:pt idx="1405">
                  <c:v>0</c:v>
                </c:pt>
                <c:pt idx="1406">
                  <c:v>786,75</c:v>
                </c:pt>
                <c:pt idx="1407">
                  <c:v>14,95</c:v>
                </c:pt>
                <c:pt idx="1408">
                  <c:v>70,22</c:v>
                </c:pt>
                <c:pt idx="1409">
                  <c:v>32,1</c:v>
                </c:pt>
                <c:pt idx="1410">
                  <c:v>69</c:v>
                </c:pt>
                <c:pt idx="1411">
                  <c:v>102,547</c:v>
                </c:pt>
                <c:pt idx="1412">
                  <c:v>0</c:v>
                </c:pt>
                <c:pt idx="1413">
                  <c:v>159,7</c:v>
                </c:pt>
                <c:pt idx="1414">
                  <c:v>112,05</c:v>
                </c:pt>
                <c:pt idx="1415">
                  <c:v>69,3</c:v>
                </c:pt>
                <c:pt idx="1416">
                  <c:v>45</c:v>
                </c:pt>
                <c:pt idx="1417">
                  <c:v>50</c:v>
                </c:pt>
                <c:pt idx="1418">
                  <c:v>43,733</c:v>
                </c:pt>
                <c:pt idx="1419">
                  <c:v>461</c:v>
                </c:pt>
                <c:pt idx="1420">
                  <c:v>6,17</c:v>
                </c:pt>
                <c:pt idx="1421">
                  <c:v>54</c:v>
                </c:pt>
                <c:pt idx="1422">
                  <c:v>23</c:v>
                </c:pt>
                <c:pt idx="1423">
                  <c:v>56,888</c:v>
                </c:pt>
                <c:pt idx="1424">
                  <c:v>19,772</c:v>
                </c:pt>
                <c:pt idx="1425">
                  <c:v>12,9594</c:v>
                </c:pt>
                <c:pt idx="1426">
                  <c:v>4,86</c:v>
                </c:pt>
                <c:pt idx="1427">
                  <c:v>42,7</c:v>
                </c:pt>
                <c:pt idx="1428">
                  <c:v>18,8</c:v>
                </c:pt>
                <c:pt idx="1429">
                  <c:v>8,1284</c:v>
                </c:pt>
                <c:pt idx="1430">
                  <c:v>27</c:v>
                </c:pt>
                <c:pt idx="1431">
                  <c:v>24</c:v>
                </c:pt>
                <c:pt idx="1432">
                  <c:v>64,8</c:v>
                </c:pt>
                <c:pt idx="1433">
                  <c:v>67,5</c:v>
                </c:pt>
                <c:pt idx="1434">
                  <c:v>11,4</c:v>
                </c:pt>
                <c:pt idx="1435">
                  <c:v>20,86</c:v>
                </c:pt>
                <c:pt idx="1436">
                  <c:v>19,4216</c:v>
                </c:pt>
                <c:pt idx="1437">
                  <c:v>100</c:v>
                </c:pt>
                <c:pt idx="1438">
                  <c:v>59,8084</c:v>
                </c:pt>
                <c:pt idx="1439">
                  <c:v>89,1833</c:v>
                </c:pt>
                <c:pt idx="1440">
                  <c:v>90,954</c:v>
                </c:pt>
                <c:pt idx="1441">
                  <c:v>125,74</c:v>
                </c:pt>
                <c:pt idx="1442">
                  <c:v>157,98</c:v>
                </c:pt>
                <c:pt idx="1443">
                  <c:v>84,64</c:v>
                </c:pt>
                <c:pt idx="1444">
                  <c:v>7</c:v>
                </c:pt>
                <c:pt idx="1445">
                  <c:v>0</c:v>
                </c:pt>
                <c:pt idx="1446">
                  <c:v>23,2</c:v>
                </c:pt>
                <c:pt idx="1447">
                  <c:v>11,6</c:v>
                </c:pt>
                <c:pt idx="1448">
                  <c:v>9,439</c:v>
                </c:pt>
                <c:pt idx="1449">
                  <c:v>30,13</c:v>
                </c:pt>
                <c:pt idx="1450">
                  <c:v>39,5</c:v>
                </c:pt>
                <c:pt idx="1452">
                  <c:v>2069,815</c:v>
                </c:pt>
                <c:pt idx="1453">
                  <c:v>145,2</c:v>
                </c:pt>
                <c:pt idx="1454">
                  <c:v>100</c:v>
                </c:pt>
                <c:pt idx="1455">
                  <c:v>-580</c:v>
                </c:pt>
                <c:pt idx="1456">
                  <c:v>25,11</c:v>
                </c:pt>
                <c:pt idx="1457">
                  <c:v>5,295</c:v>
                </c:pt>
                <c:pt idx="1458">
                  <c:v>8,5</c:v>
                </c:pt>
                <c:pt idx="1459">
                  <c:v>22,028</c:v>
                </c:pt>
                <c:pt idx="1460">
                  <c:v>70,12</c:v>
                </c:pt>
                <c:pt idx="1461">
                  <c:v>120,75</c:v>
                </c:pt>
                <c:pt idx="1462">
                  <c:v>36</c:v>
                </c:pt>
                <c:pt idx="1463">
                  <c:v>25,356</c:v>
                </c:pt>
                <c:pt idx="1464">
                  <c:v>118,2</c:v>
                </c:pt>
                <c:pt idx="1465">
                  <c:v>25</c:v>
                </c:pt>
                <c:pt idx="1466">
                  <c:v>102,547</c:v>
                </c:pt>
                <c:pt idx="1467">
                  <c:v>0</c:v>
                </c:pt>
                <c:pt idx="1468">
                  <c:v>1900</c:v>
                </c:pt>
                <c:pt idx="1470">
                  <c:v>2252,5</c:v>
                </c:pt>
                <c:pt idx="1471">
                  <c:v>30</c:v>
                </c:pt>
                <c:pt idx="1472">
                  <c:v>50</c:v>
                </c:pt>
                <c:pt idx="1473">
                  <c:v>2,765</c:v>
                </c:pt>
                <c:pt idx="1474">
                  <c:v>7,8</c:v>
                </c:pt>
                <c:pt idx="1475">
                  <c:v>2,86</c:v>
                </c:pt>
                <c:pt idx="1476">
                  <c:v>5,4</c:v>
                </c:pt>
                <c:pt idx="1477">
                  <c:v>100,46</c:v>
                </c:pt>
                <c:pt idx="1478">
                  <c:v>118,02</c:v>
                </c:pt>
                <c:pt idx="1479">
                  <c:v>117,71</c:v>
                </c:pt>
                <c:pt idx="1480">
                  <c:v>108,14</c:v>
                </c:pt>
                <c:pt idx="1481">
                  <c:v>4</c:v>
                </c:pt>
                <c:pt idx="1482">
                  <c:v>0</c:v>
                </c:pt>
                <c:pt idx="1483">
                  <c:v>8,6054</c:v>
                </c:pt>
                <c:pt idx="1484">
                  <c:v>22,2</c:v>
                </c:pt>
                <c:pt idx="1485">
                  <c:v>9,72</c:v>
                </c:pt>
                <c:pt idx="1486">
                  <c:v>13</c:v>
                </c:pt>
                <c:pt idx="1487">
                  <c:v>80,4</c:v>
                </c:pt>
                <c:pt idx="1488">
                  <c:v>50</c:v>
                </c:pt>
                <c:pt idx="1489">
                  <c:v>64</c:v>
                </c:pt>
                <c:pt idx="1490">
                  <c:v>14</c:v>
                </c:pt>
                <c:pt idx="1491">
                  <c:v>24,8985</c:v>
                </c:pt>
                <c:pt idx="1492">
                  <c:v>390,29</c:v>
                </c:pt>
                <c:pt idx="1493">
                  <c:v>22,028</c:v>
                </c:pt>
                <c:pt idx="1494">
                  <c:v>152,41</c:v>
                </c:pt>
                <c:pt idx="1495">
                  <c:v>35,83</c:v>
                </c:pt>
                <c:pt idx="1496">
                  <c:v>7</c:v>
                </c:pt>
                <c:pt idx="1497">
                  <c:v>800</c:v>
                </c:pt>
                <c:pt idx="1498">
                  <c:v>21,6</c:v>
                </c:pt>
                <c:pt idx="1499">
                  <c:v>3350</c:v>
                </c:pt>
                <c:pt idx="1500">
                  <c:v>960</c:v>
                </c:pt>
                <c:pt idx="1501">
                  <c:v>445,7555</c:v>
                </c:pt>
                <c:pt idx="1502">
                  <c:v>4320,6</c:v>
                </c:pt>
                <c:pt idx="1503">
                  <c:v>1300,81</c:v>
                </c:pt>
                <c:pt idx="1504">
                  <c:v>1347,37</c:v>
                </c:pt>
                <c:pt idx="1505">
                  <c:v>5351,66</c:v>
                </c:pt>
                <c:pt idx="1506">
                  <c:v>80,7</c:v>
                </c:pt>
                <c:pt idx="1507">
                  <c:v>17,65</c:v>
                </c:pt>
                <c:pt idx="1508">
                  <c:v>1160,8866</c:v>
                </c:pt>
                <c:pt idx="1509">
                  <c:v>1120,44</c:v>
                </c:pt>
                <c:pt idx="1510">
                  <c:v>22,5</c:v>
                </c:pt>
                <c:pt idx="1511">
                  <c:v>135</c:v>
                </c:pt>
                <c:pt idx="1513">
                  <c:v>106,281</c:v>
                </c:pt>
                <c:pt idx="1514">
                  <c:v>100,658</c:v>
                </c:pt>
                <c:pt idx="1515">
                  <c:v>0</c:v>
                </c:pt>
                <c:pt idx="1516">
                  <c:v>0</c:v>
                </c:pt>
                <c:pt idx="1517">
                  <c:v>30</c:v>
                </c:pt>
                <c:pt idx="1518">
                  <c:v>25</c:v>
                </c:pt>
                <c:pt idx="1519">
                  <c:v>303</c:v>
                </c:pt>
                <c:pt idx="1520">
                  <c:v>92,547</c:v>
                </c:pt>
                <c:pt idx="1521">
                  <c:v>0</c:v>
                </c:pt>
                <c:pt idx="1522">
                  <c:v>23,35</c:v>
                </c:pt>
                <c:pt idx="1523">
                  <c:v>82,547</c:v>
                </c:pt>
                <c:pt idx="1524">
                  <c:v>0</c:v>
                </c:pt>
                <c:pt idx="1525">
                  <c:v>73,69</c:v>
                </c:pt>
                <c:pt idx="1526">
                  <c:v>128,4</c:v>
                </c:pt>
                <c:pt idx="1527">
                  <c:v>45</c:v>
                </c:pt>
                <c:pt idx="1528">
                  <c:v>35</c:v>
                </c:pt>
                <c:pt idx="1529">
                  <c:v>22,028</c:v>
                </c:pt>
                <c:pt idx="1530">
                  <c:v>22,028</c:v>
                </c:pt>
                <c:pt idx="1531">
                  <c:v>30</c:v>
                </c:pt>
                <c:pt idx="1532">
                  <c:v>25</c:v>
                </c:pt>
                <c:pt idx="1533">
                  <c:v>119,4</c:v>
                </c:pt>
                <c:pt idx="1534">
                  <c:v>75</c:v>
                </c:pt>
                <c:pt idx="1535">
                  <c:v>278</c:v>
                </c:pt>
                <c:pt idx="1536">
                  <c:v>88,54</c:v>
                </c:pt>
                <c:pt idx="1537">
                  <c:v>0</c:v>
                </c:pt>
                <c:pt idx="1538">
                  <c:v>179,2</c:v>
                </c:pt>
                <c:pt idx="1539">
                  <c:v>25,35</c:v>
                </c:pt>
                <c:pt idx="1540">
                  <c:v>74,5</c:v>
                </c:pt>
                <c:pt idx="1541">
                  <c:v>350,8</c:v>
                </c:pt>
                <c:pt idx="1542">
                  <c:v>3376,4</c:v>
                </c:pt>
                <c:pt idx="1543">
                  <c:v>3343,58</c:v>
                </c:pt>
                <c:pt idx="1544">
                  <c:v>20</c:v>
                </c:pt>
                <c:pt idx="1545">
                  <c:v>108,89</c:v>
                </c:pt>
                <c:pt idx="1546">
                  <c:v>60,75</c:v>
                </c:pt>
                <c:pt idx="1547">
                  <c:v>33,3</c:v>
                </c:pt>
                <c:pt idx="1548">
                  <c:v>16,875</c:v>
                </c:pt>
                <c:pt idx="1549">
                  <c:v>9320,6</c:v>
                </c:pt>
                <c:pt idx="1550">
                  <c:v>98,02</c:v>
                </c:pt>
                <c:pt idx="1551">
                  <c:v>0</c:v>
                </c:pt>
                <c:pt idx="1552">
                  <c:v>-76,7</c:v>
                </c:pt>
                <c:pt idx="1553">
                  <c:v>0</c:v>
                </c:pt>
                <c:pt idx="1554">
                  <c:v>103,2</c:v>
                </c:pt>
                <c:pt idx="1555">
                  <c:v>25</c:v>
                </c:pt>
                <c:pt idx="1556">
                  <c:v>132,75</c:v>
                </c:pt>
                <c:pt idx="1557">
                  <c:v>135</c:v>
                </c:pt>
                <c:pt idx="1558">
                  <c:v>59,4</c:v>
                </c:pt>
                <c:pt idx="1559">
                  <c:v>12,5</c:v>
                </c:pt>
                <c:pt idx="1560">
                  <c:v>11,06</c:v>
                </c:pt>
                <c:pt idx="1561">
                  <c:v>16,59</c:v>
                </c:pt>
                <c:pt idx="1562">
                  <c:v>2,7304</c:v>
                </c:pt>
                <c:pt idx="1563">
                  <c:v>363,6</c:v>
                </c:pt>
                <c:pt idx="1564">
                  <c:v>42,6</c:v>
                </c:pt>
                <c:pt idx="1565">
                  <c:v>25</c:v>
                </c:pt>
                <c:pt idx="1566">
                  <c:v>-64,46</c:v>
                </c:pt>
                <c:pt idx="1567">
                  <c:v>0</c:v>
                </c:pt>
                <c:pt idx="1568">
                  <c:v>355,7555</c:v>
                </c:pt>
                <c:pt idx="1569">
                  <c:v>4330,6</c:v>
                </c:pt>
                <c:pt idx="1570">
                  <c:v>3530,27</c:v>
                </c:pt>
                <c:pt idx="1571">
                  <c:v>4600</c:v>
                </c:pt>
                <c:pt idx="1572">
                  <c:v>2650</c:v>
                </c:pt>
                <c:pt idx="1573">
                  <c:v>1000</c:v>
                </c:pt>
                <c:pt idx="1574">
                  <c:v>60</c:v>
                </c:pt>
                <c:pt idx="1575">
                  <c:v>100</c:v>
                </c:pt>
                <c:pt idx="1576">
                  <c:v>14,8</c:v>
                </c:pt>
                <c:pt idx="1577">
                  <c:v>59,4</c:v>
                </c:pt>
                <c:pt idx="1578">
                  <c:v>25</c:v>
                </c:pt>
                <c:pt idx="1579">
                  <c:v>2,765</c:v>
                </c:pt>
                <c:pt idx="1580">
                  <c:v>664,04</c:v>
                </c:pt>
                <c:pt idx="1581">
                  <c:v>351,26</c:v>
                </c:pt>
                <c:pt idx="1582">
                  <c:v>354,0966</c:v>
                </c:pt>
                <c:pt idx="1583">
                  <c:v>30</c:v>
                </c:pt>
                <c:pt idx="1584">
                  <c:v>25</c:v>
                </c:pt>
                <c:pt idx="1585">
                  <c:v>22,028</c:v>
                </c:pt>
                <c:pt idx="1586">
                  <c:v>10,7466</c:v>
                </c:pt>
                <c:pt idx="1587">
                  <c:v>14,8</c:v>
                </c:pt>
                <c:pt idx="1588">
                  <c:v>34</c:v>
                </c:pt>
                <c:pt idx="1589">
                  <c:v>-1244,2445</c:v>
                </c:pt>
                <c:pt idx="1590">
                  <c:v>5500</c:v>
                </c:pt>
                <c:pt idx="1591">
                  <c:v>57,86</c:v>
                </c:pt>
                <c:pt idx="1592">
                  <c:v>65,24</c:v>
                </c:pt>
                <c:pt idx="1593">
                  <c:v>8</c:v>
                </c:pt>
                <c:pt idx="1594">
                  <c:v>27,65</c:v>
                </c:pt>
                <c:pt idx="1595">
                  <c:v>119,9</c:v>
                </c:pt>
                <c:pt idx="1596">
                  <c:v>102,547</c:v>
                </c:pt>
                <c:pt idx="1597">
                  <c:v>0</c:v>
                </c:pt>
                <c:pt idx="1598">
                  <c:v>44,91</c:v>
                </c:pt>
                <c:pt idx="1599">
                  <c:v>59,8084</c:v>
                </c:pt>
                <c:pt idx="1600">
                  <c:v>92,547</c:v>
                </c:pt>
                <c:pt idx="1601">
                  <c:v>96,67</c:v>
                </c:pt>
                <c:pt idx="1603">
                  <c:v>0</c:v>
                </c:pt>
                <c:pt idx="1604">
                  <c:v>302,68</c:v>
                </c:pt>
                <c:pt idx="1605">
                  <c:v>344,58</c:v>
                </c:pt>
                <c:pt idx="1606">
                  <c:v>90,94</c:v>
                </c:pt>
                <c:pt idx="1607">
                  <c:v>0</c:v>
                </c:pt>
                <c:pt idx="1608">
                  <c:v>100,67</c:v>
                </c:pt>
                <c:pt idx="1609">
                  <c:v>98,02</c:v>
                </c:pt>
                <c:pt idx="1610">
                  <c:v>38,84</c:v>
                </c:pt>
                <c:pt idx="1611">
                  <c:v>0</c:v>
                </c:pt>
                <c:pt idx="1612">
                  <c:v>6,0933</c:v>
                </c:pt>
                <c:pt idx="1613">
                  <c:v>40,8</c:v>
                </c:pt>
                <c:pt idx="1614">
                  <c:v>8,4</c:v>
                </c:pt>
                <c:pt idx="1615">
                  <c:v>9,6</c:v>
                </c:pt>
                <c:pt idx="1616">
                  <c:v>101,32</c:v>
                </c:pt>
                <c:pt idx="1617">
                  <c:v>50</c:v>
                </c:pt>
                <c:pt idx="1618">
                  <c:v>700</c:v>
                </c:pt>
                <c:pt idx="1619">
                  <c:v>4,0642</c:v>
                </c:pt>
                <c:pt idx="1620">
                  <c:v>34</c:v>
                </c:pt>
                <c:pt idx="1621">
                  <c:v>36,6</c:v>
                </c:pt>
                <c:pt idx="1622">
                  <c:v>37,5</c:v>
                </c:pt>
                <c:pt idx="1623">
                  <c:v>104,4</c:v>
                </c:pt>
                <c:pt idx="1624">
                  <c:v>37,5</c:v>
                </c:pt>
                <c:pt idx="1625">
                  <c:v>354,0966</c:v>
                </c:pt>
                <c:pt idx="1626">
                  <c:v>61,2</c:v>
                </c:pt>
                <c:pt idx="1627">
                  <c:v>0</c:v>
                </c:pt>
                <c:pt idx="1628">
                  <c:v>229,42</c:v>
                </c:pt>
                <c:pt idx="1629">
                  <c:v>22,455</c:v>
                </c:pt>
                <c:pt idx="1630">
                  <c:v>17,65</c:v>
                </c:pt>
                <c:pt idx="1631">
                  <c:v>62,6</c:v>
                </c:pt>
                <c:pt idx="1632">
                  <c:v>39,6</c:v>
                </c:pt>
                <c:pt idx="1633">
                  <c:v>25</c:v>
                </c:pt>
                <c:pt idx="1634">
                  <c:v>150</c:v>
                </c:pt>
                <c:pt idx="1635">
                  <c:v>4,7</c:v>
                </c:pt>
                <c:pt idx="1636">
                  <c:v>21</c:v>
                </c:pt>
                <c:pt idx="1637">
                  <c:v>20,2</c:v>
                </c:pt>
                <c:pt idx="1638">
                  <c:v>29</c:v>
                </c:pt>
                <c:pt idx="1639">
                  <c:v>28,25</c:v>
                </c:pt>
                <c:pt idx="1640">
                  <c:v>42,99</c:v>
                </c:pt>
                <c:pt idx="1641">
                  <c:v>8,5</c:v>
                </c:pt>
                <c:pt idx="1642">
                  <c:v>106,67</c:v>
                </c:pt>
                <c:pt idx="1643">
                  <c:v>0</c:v>
                </c:pt>
                <c:pt idx="1644">
                  <c:v>81,7</c:v>
                </c:pt>
                <c:pt idx="1645">
                  <c:v>0</c:v>
                </c:pt>
                <c:pt idx="1646">
                  <c:v>30</c:v>
                </c:pt>
                <c:pt idx="1647">
                  <c:v>12,5</c:v>
                </c:pt>
                <c:pt idx="1648">
                  <c:v>100,7133</c:v>
                </c:pt>
                <c:pt idx="1649">
                  <c:v>0</c:v>
                </c:pt>
                <c:pt idx="1650">
                  <c:v>34</c:v>
                </c:pt>
                <c:pt idx="1651">
                  <c:v>18,878</c:v>
                </c:pt>
                <c:pt idx="1652">
                  <c:v>43,4325</c:v>
                </c:pt>
                <c:pt idx="1653">
                  <c:v>0</c:v>
                </c:pt>
                <c:pt idx="1654">
                  <c:v>18,75</c:v>
                </c:pt>
                <c:pt idx="1655">
                  <c:v>1220,81</c:v>
                </c:pt>
                <c:pt idx="1656">
                  <c:v>36,6</c:v>
                </c:pt>
                <c:pt idx="1657">
                  <c:v>4,8</c:v>
                </c:pt>
                <c:pt idx="1658">
                  <c:v>4,86</c:v>
                </c:pt>
                <c:pt idx="1659">
                  <c:v>8</c:v>
                </c:pt>
                <c:pt idx="1660">
                  <c:v>169</c:v>
                </c:pt>
                <c:pt idx="1661">
                  <c:v>10</c:v>
                </c:pt>
                <c:pt idx="1662">
                  <c:v>0</c:v>
                </c:pt>
                <c:pt idx="1663">
                  <c:v>5750</c:v>
                </c:pt>
                <c:pt idx="1664">
                  <c:v>6095</c:v>
                </c:pt>
                <c:pt idx="1665">
                  <c:v>47,4</c:v>
                </c:pt>
                <c:pt idx="1666">
                  <c:v>50</c:v>
                </c:pt>
                <c:pt idx="1667">
                  <c:v>42</c:v>
                </c:pt>
                <c:pt idx="1668">
                  <c:v>25</c:v>
                </c:pt>
                <c:pt idx="1669">
                  <c:v>92,547</c:v>
                </c:pt>
                <c:pt idx="1670">
                  <c:v>0</c:v>
                </c:pt>
                <c:pt idx="1671">
                  <c:v>68,86</c:v>
                </c:pt>
                <c:pt idx="1672">
                  <c:v>69</c:v>
                </c:pt>
                <c:pt idx="1673">
                  <c:v>37,5</c:v>
                </c:pt>
                <c:pt idx="1674">
                  <c:v>107,554</c:v>
                </c:pt>
                <c:pt idx="1675">
                  <c:v>0</c:v>
                </c:pt>
                <c:pt idx="1676">
                  <c:v>30</c:v>
                </c:pt>
                <c:pt idx="1677">
                  <c:v>31,25</c:v>
                </c:pt>
                <c:pt idx="1678">
                  <c:v>180</c:v>
                </c:pt>
                <c:pt idx="1679">
                  <c:v>541,59</c:v>
                </c:pt>
                <c:pt idx="1680">
                  <c:v>79,65</c:v>
                </c:pt>
                <c:pt idx="1681">
                  <c:v>66,25</c:v>
                </c:pt>
                <c:pt idx="1682">
                  <c:v>99,75</c:v>
                </c:pt>
                <c:pt idx="1683">
                  <c:v>3600</c:v>
                </c:pt>
                <c:pt idx="1684">
                  <c:v>119,4</c:v>
                </c:pt>
                <c:pt idx="1685">
                  <c:v>37,5</c:v>
                </c:pt>
                <c:pt idx="1686">
                  <c:v>2190</c:v>
                </c:pt>
                <c:pt idx="1687">
                  <c:v>39</c:v>
                </c:pt>
                <c:pt idx="1688">
                  <c:v>39</c:v>
                </c:pt>
                <c:pt idx="1689">
                  <c:v>8,5</c:v>
                </c:pt>
                <c:pt idx="1690">
                  <c:v>85,51</c:v>
                </c:pt>
                <c:pt idx="1691">
                  <c:v>0</c:v>
                </c:pt>
                <c:pt idx="1692">
                  <c:v>748,04</c:v>
                </c:pt>
                <c:pt idx="1693">
                  <c:v>5320,6</c:v>
                </c:pt>
                <c:pt idx="1694">
                  <c:v>102,6</c:v>
                </c:pt>
                <c:pt idx="1695">
                  <c:v>25</c:v>
                </c:pt>
                <c:pt idx="1696">
                  <c:v>267,18</c:v>
                </c:pt>
                <c:pt idx="1697">
                  <c:v>33</c:v>
                </c:pt>
                <c:pt idx="1698">
                  <c:v>37,5</c:v>
                </c:pt>
                <c:pt idx="1699">
                  <c:v>10,7466</c:v>
                </c:pt>
                <c:pt idx="1700">
                  <c:v>4,0642</c:v>
                </c:pt>
                <c:pt idx="1701">
                  <c:v>1010,15</c:v>
                </c:pt>
                <c:pt idx="1702">
                  <c:v>29,6</c:v>
                </c:pt>
                <c:pt idx="1703">
                  <c:v>90</c:v>
                </c:pt>
                <c:pt idx="1704">
                  <c:v>27</c:v>
                </c:pt>
                <c:pt idx="1705">
                  <c:v>17,9594</c:v>
                </c:pt>
                <c:pt idx="1706">
                  <c:v>5,9783</c:v>
                </c:pt>
                <c:pt idx="1707">
                  <c:v>7,125</c:v>
                </c:pt>
                <c:pt idx="1708">
                  <c:v>19,8</c:v>
                </c:pt>
                <c:pt idx="1709">
                  <c:v>12,2</c:v>
                </c:pt>
                <c:pt idx="1710">
                  <c:v>4,8</c:v>
                </c:pt>
                <c:pt idx="1711">
                  <c:v>3</c:v>
                </c:pt>
                <c:pt idx="1712">
                  <c:v>2,3846</c:v>
                </c:pt>
                <c:pt idx="1713">
                  <c:v>4,8</c:v>
                </c:pt>
                <c:pt idx="1714">
                  <c:v>11,9594</c:v>
                </c:pt>
                <c:pt idx="1715">
                  <c:v>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Sheet1!$AK$1717:$AK$4445</c:f>
              <c:numCache>
                <c:formatCode>General</c:formatCode>
                <c:ptCount val="7"/>
                <c:pt idx="0">
                  <c:v>445.75549999999998</c:v>
                </c:pt>
                <c:pt idx="1">
                  <c:v>207.75549999999998</c:v>
                </c:pt>
                <c:pt idx="2">
                  <c:v>625.75549999999998</c:v>
                </c:pt>
                <c:pt idx="3">
                  <c:v>545.75549999999998</c:v>
                </c:pt>
                <c:pt idx="4">
                  <c:v>545.75549999999998</c:v>
                </c:pt>
                <c:pt idx="5">
                  <c:v>445.75559999999996</c:v>
                </c:pt>
                <c:pt idx="6">
                  <c:v>355.75549999999998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945-41EE-B830-FF721DD5CBD2}"/>
            </c:ext>
          </c:extLst>
        </c:ser>
        <c:ser>
          <c:idx val="8"/>
          <c:order val="8"/>
          <c:tx>
            <c:strRef>
              <c:f>Sheet1!$AL$1:$AL$1716</c:f>
              <c:strCache>
                <c:ptCount val="1716"/>
                <c:pt idx="0">
                  <c:v>MARGEM_PERCENT</c:v>
                </c:pt>
                <c:pt idx="1">
                  <c:v>42,32%</c:v>
                </c:pt>
                <c:pt idx="2">
                  <c:v>40,66%</c:v>
                </c:pt>
                <c:pt idx="3">
                  <c:v>9,77%</c:v>
                </c:pt>
                <c:pt idx="4">
                  <c:v>41,92%</c:v>
                </c:pt>
                <c:pt idx="5">
                  <c:v>35,54%</c:v>
                </c:pt>
                <c:pt idx="6">
                  <c:v>29,69%</c:v>
                </c:pt>
                <c:pt idx="7">
                  <c:v>26,67%</c:v>
                </c:pt>
                <c:pt idx="8">
                  <c:v>52,44%</c:v>
                </c:pt>
                <c:pt idx="9">
                  <c:v>34,69%</c:v>
                </c:pt>
                <c:pt idx="10">
                  <c:v>20,00%</c:v>
                </c:pt>
                <c:pt idx="11">
                  <c:v>44,03%</c:v>
                </c:pt>
                <c:pt idx="12">
                  <c:v>44,56%</c:v>
                </c:pt>
                <c:pt idx="13">
                  <c:v>7,88%</c:v>
                </c:pt>
                <c:pt idx="14">
                  <c:v>44,51%</c:v>
                </c:pt>
                <c:pt idx="15">
                  <c:v>51,46%</c:v>
                </c:pt>
                <c:pt idx="16">
                  <c:v>41,07%</c:v>
                </c:pt>
                <c:pt idx="17">
                  <c:v>0,00%</c:v>
                </c:pt>
                <c:pt idx="18">
                  <c:v>9,89%</c:v>
                </c:pt>
                <c:pt idx="19">
                  <c:v>54,67%</c:v>
                </c:pt>
                <c:pt idx="20">
                  <c:v>54,66%</c:v>
                </c:pt>
                <c:pt idx="21">
                  <c:v>54,64%</c:v>
                </c:pt>
                <c:pt idx="22">
                  <c:v>58,57%</c:v>
                </c:pt>
                <c:pt idx="23">
                  <c:v>52,75%</c:v>
                </c:pt>
                <c:pt idx="24">
                  <c:v>100,00%</c:v>
                </c:pt>
                <c:pt idx="25">
                  <c:v>#DIV/0!</c:v>
                </c:pt>
                <c:pt idx="26">
                  <c:v>66,95%</c:v>
                </c:pt>
                <c:pt idx="28">
                  <c:v>41,27%</c:v>
                </c:pt>
                <c:pt idx="29">
                  <c:v>0,00%</c:v>
                </c:pt>
                <c:pt idx="30">
                  <c:v>6,31%</c:v>
                </c:pt>
                <c:pt idx="31">
                  <c:v>31,37%</c:v>
                </c:pt>
                <c:pt idx="32">
                  <c:v>51,63%</c:v>
                </c:pt>
                <c:pt idx="33">
                  <c:v>44,78%</c:v>
                </c:pt>
                <c:pt idx="34">
                  <c:v>7,10%</c:v>
                </c:pt>
                <c:pt idx="35">
                  <c:v>52,11%</c:v>
                </c:pt>
                <c:pt idx="36">
                  <c:v>42,83%</c:v>
                </c:pt>
                <c:pt idx="37">
                  <c:v>25,56%</c:v>
                </c:pt>
                <c:pt idx="38">
                  <c:v>100,00%</c:v>
                </c:pt>
                <c:pt idx="39">
                  <c:v>50,84%</c:v>
                </c:pt>
                <c:pt idx="40">
                  <c:v>31,91%</c:v>
                </c:pt>
                <c:pt idx="41">
                  <c:v>41,81%</c:v>
                </c:pt>
                <c:pt idx="42">
                  <c:v>100,00%</c:v>
                </c:pt>
                <c:pt idx="43">
                  <c:v>0,00%</c:v>
                </c:pt>
                <c:pt idx="44">
                  <c:v>93,59%</c:v>
                </c:pt>
                <c:pt idx="45">
                  <c:v>50,44%</c:v>
                </c:pt>
                <c:pt idx="46">
                  <c:v>50,44%</c:v>
                </c:pt>
                <c:pt idx="47">
                  <c:v>60,00%</c:v>
                </c:pt>
                <c:pt idx="48">
                  <c:v>50,00%</c:v>
                </c:pt>
                <c:pt idx="49">
                  <c:v>45,51%</c:v>
                </c:pt>
                <c:pt idx="50">
                  <c:v>0,00%</c:v>
                </c:pt>
                <c:pt idx="51">
                  <c:v>36,51%</c:v>
                </c:pt>
                <c:pt idx="52">
                  <c:v>41,21%</c:v>
                </c:pt>
                <c:pt idx="53">
                  <c:v>0,00%</c:v>
                </c:pt>
                <c:pt idx="54">
                  <c:v>42,32%</c:v>
                </c:pt>
                <c:pt idx="55">
                  <c:v>33,73%</c:v>
                </c:pt>
                <c:pt idx="56">
                  <c:v>35,76%</c:v>
                </c:pt>
                <c:pt idx="57">
                  <c:v>25,45%</c:v>
                </c:pt>
                <c:pt idx="58">
                  <c:v>23,67%</c:v>
                </c:pt>
                <c:pt idx="59">
                  <c:v>47,93%</c:v>
                </c:pt>
                <c:pt idx="60">
                  <c:v>0,00%</c:v>
                </c:pt>
                <c:pt idx="61">
                  <c:v>33,99%</c:v>
                </c:pt>
                <c:pt idx="62">
                  <c:v>35,03%</c:v>
                </c:pt>
                <c:pt idx="63">
                  <c:v>-0,84%</c:v>
                </c:pt>
                <c:pt idx="64">
                  <c:v>43,31%</c:v>
                </c:pt>
                <c:pt idx="65">
                  <c:v>35,88%</c:v>
                </c:pt>
                <c:pt idx="66">
                  <c:v>32,17%</c:v>
                </c:pt>
                <c:pt idx="67">
                  <c:v>43,65%</c:v>
                </c:pt>
                <c:pt idx="68">
                  <c:v>35,08%</c:v>
                </c:pt>
                <c:pt idx="69">
                  <c:v>32,52%</c:v>
                </c:pt>
                <c:pt idx="70">
                  <c:v>32,15%</c:v>
                </c:pt>
                <c:pt idx="71">
                  <c:v>30,29%</c:v>
                </c:pt>
                <c:pt idx="72">
                  <c:v>28,96%</c:v>
                </c:pt>
                <c:pt idx="73">
                  <c:v>100,00%</c:v>
                </c:pt>
                <c:pt idx="74">
                  <c:v>31,67%</c:v>
                </c:pt>
                <c:pt idx="75">
                  <c:v>29,28%</c:v>
                </c:pt>
                <c:pt idx="76">
                  <c:v>100,00%</c:v>
                </c:pt>
                <c:pt idx="77">
                  <c:v>100,00%</c:v>
                </c:pt>
                <c:pt idx="78">
                  <c:v>42,09%</c:v>
                </c:pt>
                <c:pt idx="79">
                  <c:v>35,64%</c:v>
                </c:pt>
                <c:pt idx="80">
                  <c:v>34,10%</c:v>
                </c:pt>
                <c:pt idx="81">
                  <c:v>100,00%</c:v>
                </c:pt>
                <c:pt idx="82">
                  <c:v>100,00%</c:v>
                </c:pt>
                <c:pt idx="83">
                  <c:v>100,00%</c:v>
                </c:pt>
                <c:pt idx="84">
                  <c:v>100,00%</c:v>
                </c:pt>
                <c:pt idx="85">
                  <c:v>100,00%</c:v>
                </c:pt>
                <c:pt idx="86">
                  <c:v>36,10%</c:v>
                </c:pt>
                <c:pt idx="87">
                  <c:v>22,06%</c:v>
                </c:pt>
                <c:pt idx="88">
                  <c:v>54,58%</c:v>
                </c:pt>
                <c:pt idx="89">
                  <c:v>67,24%</c:v>
                </c:pt>
                <c:pt idx="90">
                  <c:v>32,79%</c:v>
                </c:pt>
                <c:pt idx="91">
                  <c:v>25,79%</c:v>
                </c:pt>
                <c:pt idx="92">
                  <c:v>32,79%</c:v>
                </c:pt>
                <c:pt idx="93">
                  <c:v>61,57%</c:v>
                </c:pt>
                <c:pt idx="94">
                  <c:v>100,00%</c:v>
                </c:pt>
                <c:pt idx="95">
                  <c:v>46,08%</c:v>
                </c:pt>
                <c:pt idx="96">
                  <c:v>15,85%</c:v>
                </c:pt>
                <c:pt idx="97">
                  <c:v>34,79%</c:v>
                </c:pt>
                <c:pt idx="98">
                  <c:v>100,00%</c:v>
                </c:pt>
                <c:pt idx="99">
                  <c:v>37,81%</c:v>
                </c:pt>
                <c:pt idx="100">
                  <c:v>40,80%</c:v>
                </c:pt>
                <c:pt idx="101">
                  <c:v>20,88%</c:v>
                </c:pt>
                <c:pt idx="102">
                  <c:v>35,89%</c:v>
                </c:pt>
                <c:pt idx="103">
                  <c:v>100,00%</c:v>
                </c:pt>
                <c:pt idx="104">
                  <c:v>42,35%</c:v>
                </c:pt>
                <c:pt idx="105">
                  <c:v>100,00%</c:v>
                </c:pt>
                <c:pt idx="106">
                  <c:v>30,00%</c:v>
                </c:pt>
                <c:pt idx="107">
                  <c:v>50,78%</c:v>
                </c:pt>
                <c:pt idx="108">
                  <c:v>100,00%</c:v>
                </c:pt>
                <c:pt idx="109">
                  <c:v>100,00%</c:v>
                </c:pt>
                <c:pt idx="110">
                  <c:v>41,11%</c:v>
                </c:pt>
                <c:pt idx="111">
                  <c:v>36,92%</c:v>
                </c:pt>
                <c:pt idx="112">
                  <c:v>60,00%</c:v>
                </c:pt>
                <c:pt idx="113">
                  <c:v>50,00%</c:v>
                </c:pt>
                <c:pt idx="114">
                  <c:v>14,48%</c:v>
                </c:pt>
                <c:pt idx="115">
                  <c:v>46,93%</c:v>
                </c:pt>
                <c:pt idx="116">
                  <c:v>41,57%</c:v>
                </c:pt>
                <c:pt idx="117">
                  <c:v>60,00%</c:v>
                </c:pt>
                <c:pt idx="118">
                  <c:v>36,07%</c:v>
                </c:pt>
                <c:pt idx="119">
                  <c:v>0,00%</c:v>
                </c:pt>
                <c:pt idx="120">
                  <c:v>33,15%</c:v>
                </c:pt>
                <c:pt idx="121">
                  <c:v>43,61%</c:v>
                </c:pt>
                <c:pt idx="122">
                  <c:v>0,00%</c:v>
                </c:pt>
                <c:pt idx="123">
                  <c:v>51,67%</c:v>
                </c:pt>
                <c:pt idx="124">
                  <c:v>60,00%</c:v>
                </c:pt>
                <c:pt idx="125">
                  <c:v>50,00%</c:v>
                </c:pt>
                <c:pt idx="126">
                  <c:v>25,00%</c:v>
                </c:pt>
                <c:pt idx="127">
                  <c:v>100,00%</c:v>
                </c:pt>
                <c:pt idx="128">
                  <c:v>36,17%</c:v>
                </c:pt>
                <c:pt idx="129">
                  <c:v>0,00%</c:v>
                </c:pt>
                <c:pt idx="130">
                  <c:v>41,31%</c:v>
                </c:pt>
                <c:pt idx="131">
                  <c:v>0,00%</c:v>
                </c:pt>
                <c:pt idx="132">
                  <c:v>40,58%</c:v>
                </c:pt>
                <c:pt idx="133">
                  <c:v>0,00%</c:v>
                </c:pt>
                <c:pt idx="134">
                  <c:v>100,00%</c:v>
                </c:pt>
                <c:pt idx="135">
                  <c:v>62,93%</c:v>
                </c:pt>
                <c:pt idx="136">
                  <c:v>39,61%</c:v>
                </c:pt>
                <c:pt idx="137">
                  <c:v>100,00%</c:v>
                </c:pt>
                <c:pt idx="138">
                  <c:v>41,11%</c:v>
                </c:pt>
                <c:pt idx="139">
                  <c:v>25,45%</c:v>
                </c:pt>
                <c:pt idx="140">
                  <c:v>50,00%</c:v>
                </c:pt>
                <c:pt idx="141">
                  <c:v>38,54%</c:v>
                </c:pt>
                <c:pt idx="142">
                  <c:v>0,00%</c:v>
                </c:pt>
                <c:pt idx="143">
                  <c:v>50,00%</c:v>
                </c:pt>
                <c:pt idx="144">
                  <c:v>0,00%</c:v>
                </c:pt>
                <c:pt idx="145">
                  <c:v>0,00%</c:v>
                </c:pt>
                <c:pt idx="146">
                  <c:v>50,00%</c:v>
                </c:pt>
                <c:pt idx="147">
                  <c:v>40,72%</c:v>
                </c:pt>
                <c:pt idx="148">
                  <c:v>14,29%</c:v>
                </c:pt>
                <c:pt idx="149">
                  <c:v>33,75%</c:v>
                </c:pt>
                <c:pt idx="150">
                  <c:v>100,00%</c:v>
                </c:pt>
                <c:pt idx="151">
                  <c:v>100,00%</c:v>
                </c:pt>
                <c:pt idx="154">
                  <c:v>-51,35%</c:v>
                </c:pt>
                <c:pt idx="155">
                  <c:v>-44,57%</c:v>
                </c:pt>
                <c:pt idx="156">
                  <c:v>100,00%</c:v>
                </c:pt>
                <c:pt idx="157">
                  <c:v>44,07%</c:v>
                </c:pt>
                <c:pt idx="158">
                  <c:v>0,00%</c:v>
                </c:pt>
                <c:pt idx="159">
                  <c:v>48,88%</c:v>
                </c:pt>
                <c:pt idx="160">
                  <c:v>45,29%</c:v>
                </c:pt>
                <c:pt idx="161">
                  <c:v>43,98%</c:v>
                </c:pt>
                <c:pt idx="162">
                  <c:v>100,00%</c:v>
                </c:pt>
                <c:pt idx="163">
                  <c:v>44,22%</c:v>
                </c:pt>
                <c:pt idx="164">
                  <c:v>0,00%</c:v>
                </c:pt>
                <c:pt idx="165">
                  <c:v>33,82%</c:v>
                </c:pt>
                <c:pt idx="166">
                  <c:v>100,00%</c:v>
                </c:pt>
                <c:pt idx="167">
                  <c:v>39,45%</c:v>
                </c:pt>
                <c:pt idx="168">
                  <c:v>0,00%</c:v>
                </c:pt>
                <c:pt idx="169">
                  <c:v>60,00%</c:v>
                </c:pt>
                <c:pt idx="170">
                  <c:v>50,00%</c:v>
                </c:pt>
                <c:pt idx="171">
                  <c:v>100,00%</c:v>
                </c:pt>
                <c:pt idx="172">
                  <c:v>40,00%</c:v>
                </c:pt>
                <c:pt idx="173">
                  <c:v>40,00%</c:v>
                </c:pt>
                <c:pt idx="174">
                  <c:v>41,04%</c:v>
                </c:pt>
                <c:pt idx="175">
                  <c:v>0,00%</c:v>
                </c:pt>
                <c:pt idx="176">
                  <c:v>100,00%</c:v>
                </c:pt>
                <c:pt idx="177">
                  <c:v>60,00%</c:v>
                </c:pt>
                <c:pt idx="178">
                  <c:v>50,00%</c:v>
                </c:pt>
                <c:pt idx="179">
                  <c:v>#DIV/0!</c:v>
                </c:pt>
                <c:pt idx="180">
                  <c:v>100,00%</c:v>
                </c:pt>
                <c:pt idx="181">
                  <c:v>#DIV/0!</c:v>
                </c:pt>
                <c:pt idx="182">
                  <c:v>26,87%</c:v>
                </c:pt>
                <c:pt idx="183">
                  <c:v>41,11%</c:v>
                </c:pt>
                <c:pt idx="184">
                  <c:v>36,92%</c:v>
                </c:pt>
                <c:pt idx="185">
                  <c:v>43,10%</c:v>
                </c:pt>
                <c:pt idx="186">
                  <c:v>100,00%</c:v>
                </c:pt>
                <c:pt idx="187">
                  <c:v>41,11%</c:v>
                </c:pt>
                <c:pt idx="188">
                  <c:v>36,92%</c:v>
                </c:pt>
                <c:pt idx="189">
                  <c:v>43,44%</c:v>
                </c:pt>
                <c:pt idx="190">
                  <c:v>0,00%</c:v>
                </c:pt>
                <c:pt idx="191">
                  <c:v>29,92%</c:v>
                </c:pt>
                <c:pt idx="192">
                  <c:v>37,72%</c:v>
                </c:pt>
                <c:pt idx="193">
                  <c:v>0,00%</c:v>
                </c:pt>
                <c:pt idx="194">
                  <c:v>52,11%</c:v>
                </c:pt>
                <c:pt idx="195">
                  <c:v>52,44%</c:v>
                </c:pt>
                <c:pt idx="196">
                  <c:v>56,31%</c:v>
                </c:pt>
                <c:pt idx="197">
                  <c:v>52,38%</c:v>
                </c:pt>
                <c:pt idx="198">
                  <c:v>66,51%</c:v>
                </c:pt>
                <c:pt idx="199">
                  <c:v>60,00%</c:v>
                </c:pt>
                <c:pt idx="200">
                  <c:v>50,00%</c:v>
                </c:pt>
                <c:pt idx="201">
                  <c:v>39,85%</c:v>
                </c:pt>
                <c:pt idx="202">
                  <c:v>0,00%</c:v>
                </c:pt>
                <c:pt idx="203">
                  <c:v>40,72%</c:v>
                </c:pt>
                <c:pt idx="204">
                  <c:v>100,00%</c:v>
                </c:pt>
                <c:pt idx="205">
                  <c:v>41,11%</c:v>
                </c:pt>
                <c:pt idx="206">
                  <c:v>34,71%</c:v>
                </c:pt>
                <c:pt idx="207">
                  <c:v>36,92%</c:v>
                </c:pt>
                <c:pt idx="208">
                  <c:v>40,40%</c:v>
                </c:pt>
                <c:pt idx="209">
                  <c:v>60,00%</c:v>
                </c:pt>
                <c:pt idx="210">
                  <c:v>50,00%</c:v>
                </c:pt>
                <c:pt idx="211">
                  <c:v>100,00%</c:v>
                </c:pt>
                <c:pt idx="212">
                  <c:v>100,00%</c:v>
                </c:pt>
                <c:pt idx="213">
                  <c:v>100,00%</c:v>
                </c:pt>
                <c:pt idx="214">
                  <c:v>100,00%</c:v>
                </c:pt>
                <c:pt idx="215">
                  <c:v>40,61%</c:v>
                </c:pt>
                <c:pt idx="216">
                  <c:v>31,71%</c:v>
                </c:pt>
                <c:pt idx="217">
                  <c:v>41,21%</c:v>
                </c:pt>
                <c:pt idx="218">
                  <c:v>0,00%</c:v>
                </c:pt>
                <c:pt idx="219">
                  <c:v>28,47%</c:v>
                </c:pt>
                <c:pt idx="220">
                  <c:v>100,00%</c:v>
                </c:pt>
                <c:pt idx="221">
                  <c:v>25,00%</c:v>
                </c:pt>
                <c:pt idx="222">
                  <c:v>22,22%</c:v>
                </c:pt>
                <c:pt idx="223">
                  <c:v>30,00%</c:v>
                </c:pt>
                <c:pt idx="224">
                  <c:v>44,78%</c:v>
                </c:pt>
                <c:pt idx="225">
                  <c:v>46,72%</c:v>
                </c:pt>
                <c:pt idx="226">
                  <c:v>100,00%</c:v>
                </c:pt>
                <c:pt idx="227">
                  <c:v>28,47%</c:v>
                </c:pt>
                <c:pt idx="228">
                  <c:v>21,90%</c:v>
                </c:pt>
                <c:pt idx="229">
                  <c:v>41,11%</c:v>
                </c:pt>
                <c:pt idx="230">
                  <c:v>36,92%</c:v>
                </c:pt>
                <c:pt idx="231">
                  <c:v>41,11%</c:v>
                </c:pt>
                <c:pt idx="232">
                  <c:v>100,00%</c:v>
                </c:pt>
                <c:pt idx="233">
                  <c:v>60,00%</c:v>
                </c:pt>
                <c:pt idx="234">
                  <c:v>50,00%</c:v>
                </c:pt>
                <c:pt idx="235">
                  <c:v>100,00%</c:v>
                </c:pt>
                <c:pt idx="236">
                  <c:v>100,00%</c:v>
                </c:pt>
                <c:pt idx="237">
                  <c:v>100,00%</c:v>
                </c:pt>
                <c:pt idx="238">
                  <c:v>30,05%</c:v>
                </c:pt>
                <c:pt idx="239">
                  <c:v>0,00%</c:v>
                </c:pt>
                <c:pt idx="240">
                  <c:v>25,00%</c:v>
                </c:pt>
                <c:pt idx="241">
                  <c:v>36,17%</c:v>
                </c:pt>
                <c:pt idx="242">
                  <c:v>0,00%</c:v>
                </c:pt>
                <c:pt idx="243">
                  <c:v>0,00%</c:v>
                </c:pt>
                <c:pt idx="244">
                  <c:v>31,10%</c:v>
                </c:pt>
                <c:pt idx="245">
                  <c:v>0,00%</c:v>
                </c:pt>
                <c:pt idx="246">
                  <c:v>100,00%</c:v>
                </c:pt>
                <c:pt idx="247">
                  <c:v>36,17%</c:v>
                </c:pt>
                <c:pt idx="248">
                  <c:v>0,00%</c:v>
                </c:pt>
                <c:pt idx="249">
                  <c:v>54,84%</c:v>
                </c:pt>
                <c:pt idx="250">
                  <c:v>0,00%</c:v>
                </c:pt>
                <c:pt idx="251">
                  <c:v>100,00%</c:v>
                </c:pt>
                <c:pt idx="252">
                  <c:v>53,05%</c:v>
                </c:pt>
                <c:pt idx="253">
                  <c:v>36,17%</c:v>
                </c:pt>
                <c:pt idx="254">
                  <c:v>31,98%</c:v>
                </c:pt>
                <c:pt idx="255">
                  <c:v>42,13%</c:v>
                </c:pt>
                <c:pt idx="256">
                  <c:v>0,00%</c:v>
                </c:pt>
                <c:pt idx="257">
                  <c:v>62,69%</c:v>
                </c:pt>
                <c:pt idx="258">
                  <c:v>60,00%</c:v>
                </c:pt>
                <c:pt idx="259">
                  <c:v>50,00%</c:v>
                </c:pt>
                <c:pt idx="260">
                  <c:v>100,00%</c:v>
                </c:pt>
                <c:pt idx="261">
                  <c:v>#DIV/0!</c:v>
                </c:pt>
                <c:pt idx="262">
                  <c:v>0,00%</c:v>
                </c:pt>
                <c:pt idx="263">
                  <c:v>46,74%</c:v>
                </c:pt>
                <c:pt idx="264">
                  <c:v>36,92%</c:v>
                </c:pt>
                <c:pt idx="265">
                  <c:v>100,00%</c:v>
                </c:pt>
                <c:pt idx="266">
                  <c:v>65,00%</c:v>
                </c:pt>
                <c:pt idx="267">
                  <c:v>100,00%</c:v>
                </c:pt>
                <c:pt idx="268">
                  <c:v>68,29%</c:v>
                </c:pt>
                <c:pt idx="269">
                  <c:v>44,78%</c:v>
                </c:pt>
                <c:pt idx="270">
                  <c:v>33,75%</c:v>
                </c:pt>
                <c:pt idx="271">
                  <c:v>62,93%</c:v>
                </c:pt>
                <c:pt idx="272">
                  <c:v>41,19%</c:v>
                </c:pt>
                <c:pt idx="273">
                  <c:v>25,45%</c:v>
                </c:pt>
                <c:pt idx="274">
                  <c:v>24,90%</c:v>
                </c:pt>
                <c:pt idx="275">
                  <c:v>24,50%</c:v>
                </c:pt>
                <c:pt idx="276">
                  <c:v>4,46%</c:v>
                </c:pt>
                <c:pt idx="277">
                  <c:v>39,76%</c:v>
                </c:pt>
                <c:pt idx="278">
                  <c:v>60,78%</c:v>
                </c:pt>
                <c:pt idx="279">
                  <c:v>42,41%</c:v>
                </c:pt>
                <c:pt idx="280">
                  <c:v>43,98%</c:v>
                </c:pt>
                <c:pt idx="281">
                  <c:v>100,00%</c:v>
                </c:pt>
                <c:pt idx="282">
                  <c:v>100,00%</c:v>
                </c:pt>
                <c:pt idx="283">
                  <c:v>29,69%</c:v>
                </c:pt>
                <c:pt idx="284">
                  <c:v>100,00%</c:v>
                </c:pt>
                <c:pt idx="285">
                  <c:v>100,00%</c:v>
                </c:pt>
                <c:pt idx="286">
                  <c:v>48,88%</c:v>
                </c:pt>
                <c:pt idx="287">
                  <c:v>100,00%</c:v>
                </c:pt>
                <c:pt idx="288">
                  <c:v>-100,00%</c:v>
                </c:pt>
                <c:pt idx="289">
                  <c:v>-100,00%</c:v>
                </c:pt>
                <c:pt idx="290">
                  <c:v>-100,00%</c:v>
                </c:pt>
                <c:pt idx="291">
                  <c:v>-100,00%</c:v>
                </c:pt>
                <c:pt idx="292">
                  <c:v>-100,00%</c:v>
                </c:pt>
                <c:pt idx="293">
                  <c:v>#DIV/0!</c:v>
                </c:pt>
                <c:pt idx="294">
                  <c:v>100,00%</c:v>
                </c:pt>
                <c:pt idx="295">
                  <c:v>#DIV/0!</c:v>
                </c:pt>
                <c:pt idx="296">
                  <c:v>45,29%</c:v>
                </c:pt>
                <c:pt idx="297">
                  <c:v>100,00%</c:v>
                </c:pt>
                <c:pt idx="298">
                  <c:v>100,00%</c:v>
                </c:pt>
                <c:pt idx="299">
                  <c:v>36,92%</c:v>
                </c:pt>
                <c:pt idx="300">
                  <c:v>30,13%</c:v>
                </c:pt>
                <c:pt idx="301">
                  <c:v>40,00%</c:v>
                </c:pt>
                <c:pt idx="302">
                  <c:v>60,78%</c:v>
                </c:pt>
                <c:pt idx="303">
                  <c:v>33,75%</c:v>
                </c:pt>
                <c:pt idx="304">
                  <c:v>29,69%</c:v>
                </c:pt>
                <c:pt idx="305">
                  <c:v>36,92%</c:v>
                </c:pt>
                <c:pt idx="306">
                  <c:v>100,00%</c:v>
                </c:pt>
                <c:pt idx="307">
                  <c:v>100,00%</c:v>
                </c:pt>
                <c:pt idx="308">
                  <c:v>51,81%</c:v>
                </c:pt>
                <c:pt idx="309">
                  <c:v>35,27%</c:v>
                </c:pt>
                <c:pt idx="310">
                  <c:v>62,68%</c:v>
                </c:pt>
                <c:pt idx="311">
                  <c:v>36,17%</c:v>
                </c:pt>
                <c:pt idx="312">
                  <c:v>0,00%</c:v>
                </c:pt>
                <c:pt idx="313">
                  <c:v>39,21%</c:v>
                </c:pt>
                <c:pt idx="314">
                  <c:v>0,00%</c:v>
                </c:pt>
                <c:pt idx="315">
                  <c:v>-54,65%</c:v>
                </c:pt>
                <c:pt idx="316">
                  <c:v>51,64%</c:v>
                </c:pt>
                <c:pt idx="317">
                  <c:v>50,94%</c:v>
                </c:pt>
                <c:pt idx="318">
                  <c:v>60,00%</c:v>
                </c:pt>
                <c:pt idx="319">
                  <c:v>50,00%</c:v>
                </c:pt>
                <c:pt idx="320">
                  <c:v>100,00%</c:v>
                </c:pt>
                <c:pt idx="321">
                  <c:v>60,00%</c:v>
                </c:pt>
                <c:pt idx="322">
                  <c:v>50,00%</c:v>
                </c:pt>
                <c:pt idx="323">
                  <c:v>58,49%</c:v>
                </c:pt>
                <c:pt idx="324">
                  <c:v>43,61%</c:v>
                </c:pt>
                <c:pt idx="325">
                  <c:v>0,00%</c:v>
                </c:pt>
                <c:pt idx="326">
                  <c:v>-42,53%</c:v>
                </c:pt>
                <c:pt idx="327">
                  <c:v>0,00%</c:v>
                </c:pt>
                <c:pt idx="328">
                  <c:v>42,60%</c:v>
                </c:pt>
                <c:pt idx="329">
                  <c:v>38,16%</c:v>
                </c:pt>
                <c:pt idx="330">
                  <c:v>0,00%</c:v>
                </c:pt>
                <c:pt idx="331">
                  <c:v>51,22%</c:v>
                </c:pt>
                <c:pt idx="332">
                  <c:v>100,00%</c:v>
                </c:pt>
                <c:pt idx="333">
                  <c:v>100,00%</c:v>
                </c:pt>
                <c:pt idx="334">
                  <c:v>50,00%</c:v>
                </c:pt>
                <c:pt idx="335">
                  <c:v>24,85%</c:v>
                </c:pt>
                <c:pt idx="336">
                  <c:v>43,21%</c:v>
                </c:pt>
                <c:pt idx="337">
                  <c:v>43,05%</c:v>
                </c:pt>
                <c:pt idx="338">
                  <c:v>35,71%</c:v>
                </c:pt>
                <c:pt idx="339">
                  <c:v>0,00%</c:v>
                </c:pt>
                <c:pt idx="340">
                  <c:v>30,77%</c:v>
                </c:pt>
                <c:pt idx="341">
                  <c:v>52,39%</c:v>
                </c:pt>
                <c:pt idx="342">
                  <c:v>60,00%</c:v>
                </c:pt>
                <c:pt idx="343">
                  <c:v>50,00%</c:v>
                </c:pt>
                <c:pt idx="344">
                  <c:v>45,50%</c:v>
                </c:pt>
                <c:pt idx="345">
                  <c:v>52,11%</c:v>
                </c:pt>
                <c:pt idx="346">
                  <c:v>52,44%</c:v>
                </c:pt>
                <c:pt idx="347">
                  <c:v>52,11%</c:v>
                </c:pt>
                <c:pt idx="348">
                  <c:v>45,29%</c:v>
                </c:pt>
                <c:pt idx="349">
                  <c:v>100,00%</c:v>
                </c:pt>
                <c:pt idx="350">
                  <c:v>100,00%</c:v>
                </c:pt>
                <c:pt idx="351">
                  <c:v>100,00%</c:v>
                </c:pt>
                <c:pt idx="352">
                  <c:v>100,00%</c:v>
                </c:pt>
                <c:pt idx="353">
                  <c:v>100,00%</c:v>
                </c:pt>
                <c:pt idx="354">
                  <c:v>100,00%</c:v>
                </c:pt>
                <c:pt idx="355">
                  <c:v>44,21%</c:v>
                </c:pt>
                <c:pt idx="356">
                  <c:v>53,05%</c:v>
                </c:pt>
                <c:pt idx="357">
                  <c:v>46,93%</c:v>
                </c:pt>
                <c:pt idx="358">
                  <c:v>#DIV/0!</c:v>
                </c:pt>
                <c:pt idx="359">
                  <c:v>33,88%</c:v>
                </c:pt>
                <c:pt idx="360">
                  <c:v>45,42%</c:v>
                </c:pt>
                <c:pt idx="361">
                  <c:v>22,23%</c:v>
                </c:pt>
                <c:pt idx="362">
                  <c:v>100,00%</c:v>
                </c:pt>
                <c:pt idx="363">
                  <c:v>100,00%</c:v>
                </c:pt>
                <c:pt idx="364">
                  <c:v>100,00%</c:v>
                </c:pt>
                <c:pt idx="365">
                  <c:v>50,00%</c:v>
                </c:pt>
                <c:pt idx="366">
                  <c:v>100,00%</c:v>
                </c:pt>
                <c:pt idx="367">
                  <c:v>60,00%</c:v>
                </c:pt>
                <c:pt idx="368">
                  <c:v>50,00%</c:v>
                </c:pt>
                <c:pt idx="369">
                  <c:v>30,00%</c:v>
                </c:pt>
                <c:pt idx="370">
                  <c:v>70,82%</c:v>
                </c:pt>
                <c:pt idx="371">
                  <c:v>29,92%</c:v>
                </c:pt>
                <c:pt idx="372">
                  <c:v>43,66%</c:v>
                </c:pt>
                <c:pt idx="373">
                  <c:v>0,00%</c:v>
                </c:pt>
                <c:pt idx="374">
                  <c:v>39,85%</c:v>
                </c:pt>
                <c:pt idx="375">
                  <c:v>0,00%</c:v>
                </c:pt>
                <c:pt idx="376">
                  <c:v>100,00%</c:v>
                </c:pt>
                <c:pt idx="377">
                  <c:v>100,00%</c:v>
                </c:pt>
                <c:pt idx="378">
                  <c:v>23,83%</c:v>
                </c:pt>
                <c:pt idx="379">
                  <c:v>29,69%</c:v>
                </c:pt>
                <c:pt idx="380">
                  <c:v>30,14%</c:v>
                </c:pt>
                <c:pt idx="381">
                  <c:v>60,00%</c:v>
                </c:pt>
                <c:pt idx="382">
                  <c:v>50,00%</c:v>
                </c:pt>
                <c:pt idx="383">
                  <c:v>51,88%</c:v>
                </c:pt>
                <c:pt idx="384">
                  <c:v>48,79%</c:v>
                </c:pt>
                <c:pt idx="385">
                  <c:v>45,37%</c:v>
                </c:pt>
                <c:pt idx="386">
                  <c:v>0,00%</c:v>
                </c:pt>
                <c:pt idx="387">
                  <c:v>50,44%</c:v>
                </c:pt>
                <c:pt idx="388">
                  <c:v>60,00%</c:v>
                </c:pt>
                <c:pt idx="389">
                  <c:v>50,00%</c:v>
                </c:pt>
                <c:pt idx="390">
                  <c:v>48,88%</c:v>
                </c:pt>
                <c:pt idx="391">
                  <c:v>100,00%</c:v>
                </c:pt>
                <c:pt idx="392">
                  <c:v>49,31%</c:v>
                </c:pt>
                <c:pt idx="393">
                  <c:v>0,00%</c:v>
                </c:pt>
                <c:pt idx="394">
                  <c:v>100,00%</c:v>
                </c:pt>
                <c:pt idx="395">
                  <c:v>60,00%</c:v>
                </c:pt>
                <c:pt idx="396">
                  <c:v>50,00%</c:v>
                </c:pt>
                <c:pt idx="397">
                  <c:v>100,00%</c:v>
                </c:pt>
                <c:pt idx="398">
                  <c:v>100,00%</c:v>
                </c:pt>
                <c:pt idx="399">
                  <c:v>#DIV/0!</c:v>
                </c:pt>
                <c:pt idx="400">
                  <c:v>50,00%</c:v>
                </c:pt>
                <c:pt idx="401">
                  <c:v>24,90%</c:v>
                </c:pt>
                <c:pt idx="402">
                  <c:v>24,92%</c:v>
                </c:pt>
                <c:pt idx="403">
                  <c:v>24,92%</c:v>
                </c:pt>
                <c:pt idx="404">
                  <c:v>41,11%</c:v>
                </c:pt>
                <c:pt idx="405">
                  <c:v>36,92%</c:v>
                </c:pt>
                <c:pt idx="406">
                  <c:v>44,07%</c:v>
                </c:pt>
                <c:pt idx="407">
                  <c:v>0,00%</c:v>
                </c:pt>
                <c:pt idx="408">
                  <c:v>45,29%</c:v>
                </c:pt>
                <c:pt idx="409">
                  <c:v>43,98%</c:v>
                </c:pt>
                <c:pt idx="410">
                  <c:v>43,66%</c:v>
                </c:pt>
                <c:pt idx="411">
                  <c:v>41,46%</c:v>
                </c:pt>
                <c:pt idx="412">
                  <c:v>0,00%</c:v>
                </c:pt>
                <c:pt idx="413">
                  <c:v>41,46%</c:v>
                </c:pt>
                <c:pt idx="414">
                  <c:v>0,00%</c:v>
                </c:pt>
                <c:pt idx="415">
                  <c:v>100,00%</c:v>
                </c:pt>
                <c:pt idx="416">
                  <c:v>32,75%</c:v>
                </c:pt>
                <c:pt idx="417">
                  <c:v>40,72%</c:v>
                </c:pt>
                <c:pt idx="418">
                  <c:v>48,88%</c:v>
                </c:pt>
                <c:pt idx="419">
                  <c:v>58,17%</c:v>
                </c:pt>
                <c:pt idx="420">
                  <c:v>100,00%</c:v>
                </c:pt>
                <c:pt idx="421">
                  <c:v>100,00%</c:v>
                </c:pt>
                <c:pt idx="422">
                  <c:v>100,00%</c:v>
                </c:pt>
                <c:pt idx="423">
                  <c:v>50,00%</c:v>
                </c:pt>
                <c:pt idx="424">
                  <c:v>34,98%</c:v>
                </c:pt>
                <c:pt idx="425">
                  <c:v>25,99%</c:v>
                </c:pt>
                <c:pt idx="426">
                  <c:v>100,00%</c:v>
                </c:pt>
                <c:pt idx="427">
                  <c:v>36,92%</c:v>
                </c:pt>
                <c:pt idx="428">
                  <c:v>54,30%</c:v>
                </c:pt>
                <c:pt idx="429">
                  <c:v>0,00%</c:v>
                </c:pt>
                <c:pt idx="430">
                  <c:v>100,00%</c:v>
                </c:pt>
                <c:pt idx="431">
                  <c:v>60,00%</c:v>
                </c:pt>
                <c:pt idx="432">
                  <c:v>50,00%</c:v>
                </c:pt>
                <c:pt idx="433">
                  <c:v>100,00%</c:v>
                </c:pt>
                <c:pt idx="434">
                  <c:v>60,00%</c:v>
                </c:pt>
                <c:pt idx="435">
                  <c:v>50,00%</c:v>
                </c:pt>
                <c:pt idx="436">
                  <c:v>44,07%</c:v>
                </c:pt>
                <c:pt idx="437">
                  <c:v>0,00%</c:v>
                </c:pt>
                <c:pt idx="438">
                  <c:v>44,79%</c:v>
                </c:pt>
                <c:pt idx="439">
                  <c:v>0,00%</c:v>
                </c:pt>
                <c:pt idx="440">
                  <c:v>14,29%</c:v>
                </c:pt>
                <c:pt idx="441">
                  <c:v>52,11%</c:v>
                </c:pt>
                <c:pt idx="442">
                  <c:v>36,92%</c:v>
                </c:pt>
                <c:pt idx="443">
                  <c:v>28,47%</c:v>
                </c:pt>
                <c:pt idx="444">
                  <c:v>100,00%</c:v>
                </c:pt>
                <c:pt idx="445">
                  <c:v>60,00%</c:v>
                </c:pt>
                <c:pt idx="446">
                  <c:v>50,00%</c:v>
                </c:pt>
                <c:pt idx="447">
                  <c:v>100,00%</c:v>
                </c:pt>
                <c:pt idx="448">
                  <c:v>100,00%</c:v>
                </c:pt>
                <c:pt idx="449">
                  <c:v>44,34%</c:v>
                </c:pt>
                <c:pt idx="450">
                  <c:v>0,00%</c:v>
                </c:pt>
                <c:pt idx="451">
                  <c:v>39,68%</c:v>
                </c:pt>
                <c:pt idx="452">
                  <c:v>0,00%</c:v>
                </c:pt>
                <c:pt idx="453">
                  <c:v>48,88%</c:v>
                </c:pt>
                <c:pt idx="454">
                  <c:v>0,00%</c:v>
                </c:pt>
                <c:pt idx="455">
                  <c:v>17,05%</c:v>
                </c:pt>
                <c:pt idx="456">
                  <c:v>40,99%</c:v>
                </c:pt>
                <c:pt idx="457">
                  <c:v>33,27%</c:v>
                </c:pt>
                <c:pt idx="458">
                  <c:v>25,72%</c:v>
                </c:pt>
                <c:pt idx="459">
                  <c:v>60,00%</c:v>
                </c:pt>
                <c:pt idx="460">
                  <c:v>50,00%</c:v>
                </c:pt>
                <c:pt idx="461">
                  <c:v>100,00%</c:v>
                </c:pt>
                <c:pt idx="462">
                  <c:v>44,78%</c:v>
                </c:pt>
                <c:pt idx="463">
                  <c:v>41,11%</c:v>
                </c:pt>
                <c:pt idx="464">
                  <c:v>29,69%</c:v>
                </c:pt>
                <c:pt idx="465">
                  <c:v>41,27%</c:v>
                </c:pt>
                <c:pt idx="466">
                  <c:v>0,00%</c:v>
                </c:pt>
                <c:pt idx="467">
                  <c:v>#DIV/0!</c:v>
                </c:pt>
                <c:pt idx="468">
                  <c:v>#DIV/0!</c:v>
                </c:pt>
                <c:pt idx="469">
                  <c:v>100,00%</c:v>
                </c:pt>
                <c:pt idx="470">
                  <c:v>100,00%</c:v>
                </c:pt>
                <c:pt idx="471">
                  <c:v>85,96%</c:v>
                </c:pt>
                <c:pt idx="472">
                  <c:v>48,33%</c:v>
                </c:pt>
                <c:pt idx="473">
                  <c:v>51,47%</c:v>
                </c:pt>
                <c:pt idx="474">
                  <c:v>14,29%</c:v>
                </c:pt>
                <c:pt idx="475">
                  <c:v>52,38%</c:v>
                </c:pt>
                <c:pt idx="476">
                  <c:v>25,00%</c:v>
                </c:pt>
                <c:pt idx="477">
                  <c:v>100,00%</c:v>
                </c:pt>
                <c:pt idx="478">
                  <c:v>41,11%</c:v>
                </c:pt>
                <c:pt idx="479">
                  <c:v>67,33%</c:v>
                </c:pt>
                <c:pt idx="480">
                  <c:v>29,00%</c:v>
                </c:pt>
                <c:pt idx="481">
                  <c:v>40,72%</c:v>
                </c:pt>
                <c:pt idx="482">
                  <c:v>39,76%</c:v>
                </c:pt>
                <c:pt idx="483">
                  <c:v>14,29%</c:v>
                </c:pt>
                <c:pt idx="484">
                  <c:v>46,52%</c:v>
                </c:pt>
                <c:pt idx="485">
                  <c:v>60,00%</c:v>
                </c:pt>
                <c:pt idx="486">
                  <c:v>50,00%</c:v>
                </c:pt>
                <c:pt idx="487">
                  <c:v>#DIV/0!</c:v>
                </c:pt>
                <c:pt idx="488">
                  <c:v>100,00%</c:v>
                </c:pt>
                <c:pt idx="490">
                  <c:v>14,29%</c:v>
                </c:pt>
                <c:pt idx="491">
                  <c:v>52,38%</c:v>
                </c:pt>
                <c:pt idx="492">
                  <c:v>51,81%</c:v>
                </c:pt>
                <c:pt idx="493">
                  <c:v>41,11%</c:v>
                </c:pt>
                <c:pt idx="494">
                  <c:v>38,16%</c:v>
                </c:pt>
                <c:pt idx="495">
                  <c:v>0,00%</c:v>
                </c:pt>
                <c:pt idx="496">
                  <c:v>12,94%</c:v>
                </c:pt>
                <c:pt idx="497">
                  <c:v>33,75%</c:v>
                </c:pt>
                <c:pt idx="498">
                  <c:v>21,90%</c:v>
                </c:pt>
                <c:pt idx="499">
                  <c:v>38,18%</c:v>
                </c:pt>
                <c:pt idx="500">
                  <c:v>0,00%</c:v>
                </c:pt>
                <c:pt idx="501">
                  <c:v>45,37%</c:v>
                </c:pt>
                <c:pt idx="502">
                  <c:v>0,00%</c:v>
                </c:pt>
                <c:pt idx="503">
                  <c:v>48,56%</c:v>
                </c:pt>
                <c:pt idx="504">
                  <c:v>0,00%</c:v>
                </c:pt>
                <c:pt idx="505">
                  <c:v>41,19%</c:v>
                </c:pt>
                <c:pt idx="506">
                  <c:v>52,11%</c:v>
                </c:pt>
                <c:pt idx="507">
                  <c:v>54,37%</c:v>
                </c:pt>
                <c:pt idx="508">
                  <c:v>100,00%</c:v>
                </c:pt>
                <c:pt idx="509">
                  <c:v>36,51%</c:v>
                </c:pt>
                <c:pt idx="510">
                  <c:v>0,00%</c:v>
                </c:pt>
                <c:pt idx="511">
                  <c:v>12,95%</c:v>
                </c:pt>
                <c:pt idx="512">
                  <c:v>21,90%</c:v>
                </c:pt>
                <c:pt idx="513">
                  <c:v>47,51%</c:v>
                </c:pt>
                <c:pt idx="514">
                  <c:v>100,00%</c:v>
                </c:pt>
                <c:pt idx="515">
                  <c:v>29,69%</c:v>
                </c:pt>
                <c:pt idx="516">
                  <c:v>31,67%</c:v>
                </c:pt>
                <c:pt idx="517">
                  <c:v>28,47%</c:v>
                </c:pt>
                <c:pt idx="518">
                  <c:v>11,41%</c:v>
                </c:pt>
                <c:pt idx="519">
                  <c:v>100,00%</c:v>
                </c:pt>
                <c:pt idx="520">
                  <c:v>53,08%</c:v>
                </c:pt>
                <c:pt idx="521">
                  <c:v>0,00%</c:v>
                </c:pt>
                <c:pt idx="522">
                  <c:v>50,64%</c:v>
                </c:pt>
                <c:pt idx="523">
                  <c:v>60,00%</c:v>
                </c:pt>
                <c:pt idx="524">
                  <c:v>50,00%</c:v>
                </c:pt>
                <c:pt idx="525">
                  <c:v>41,11%</c:v>
                </c:pt>
                <c:pt idx="526">
                  <c:v>42,71%</c:v>
                </c:pt>
                <c:pt idx="527">
                  <c:v>0,00%</c:v>
                </c:pt>
                <c:pt idx="528">
                  <c:v>-42,60%</c:v>
                </c:pt>
                <c:pt idx="529">
                  <c:v>0,00%</c:v>
                </c:pt>
                <c:pt idx="530">
                  <c:v>58,35%</c:v>
                </c:pt>
                <c:pt idx="531">
                  <c:v>100,00%</c:v>
                </c:pt>
                <c:pt idx="532">
                  <c:v>100,00%</c:v>
                </c:pt>
                <c:pt idx="533">
                  <c:v>100,00%</c:v>
                </c:pt>
                <c:pt idx="534">
                  <c:v>100,00%</c:v>
                </c:pt>
                <c:pt idx="535">
                  <c:v>25,45%</c:v>
                </c:pt>
                <c:pt idx="536">
                  <c:v>62,09%</c:v>
                </c:pt>
                <c:pt idx="537">
                  <c:v>28,47%</c:v>
                </c:pt>
                <c:pt idx="538">
                  <c:v>100,00%</c:v>
                </c:pt>
                <c:pt idx="539">
                  <c:v>51,00%</c:v>
                </c:pt>
                <c:pt idx="540">
                  <c:v>100,00%</c:v>
                </c:pt>
                <c:pt idx="541">
                  <c:v>44,07%</c:v>
                </c:pt>
                <c:pt idx="542">
                  <c:v>0,00%</c:v>
                </c:pt>
                <c:pt idx="543">
                  <c:v>41,11%</c:v>
                </c:pt>
                <c:pt idx="544">
                  <c:v>36,05%</c:v>
                </c:pt>
                <c:pt idx="545">
                  <c:v>0,00%</c:v>
                </c:pt>
                <c:pt idx="546">
                  <c:v>42,33%</c:v>
                </c:pt>
                <c:pt idx="547">
                  <c:v>41,11%</c:v>
                </c:pt>
                <c:pt idx="548">
                  <c:v>36,92%</c:v>
                </c:pt>
                <c:pt idx="549">
                  <c:v>100,00%</c:v>
                </c:pt>
                <c:pt idx="550">
                  <c:v>42,64%</c:v>
                </c:pt>
                <c:pt idx="551">
                  <c:v>42,33%</c:v>
                </c:pt>
                <c:pt idx="552">
                  <c:v>43,98%</c:v>
                </c:pt>
                <c:pt idx="553">
                  <c:v>100,00%</c:v>
                </c:pt>
                <c:pt idx="554">
                  <c:v>36,92%</c:v>
                </c:pt>
                <c:pt idx="555">
                  <c:v>42,88%</c:v>
                </c:pt>
                <c:pt idx="556">
                  <c:v>60,00%</c:v>
                </c:pt>
                <c:pt idx="557">
                  <c:v>50,00%</c:v>
                </c:pt>
                <c:pt idx="558">
                  <c:v>44,78%</c:v>
                </c:pt>
                <c:pt idx="559">
                  <c:v>51,00%</c:v>
                </c:pt>
                <c:pt idx="560">
                  <c:v>58,25%</c:v>
                </c:pt>
                <c:pt idx="561">
                  <c:v>-45,51%</c:v>
                </c:pt>
                <c:pt idx="562">
                  <c:v>0,00%</c:v>
                </c:pt>
                <c:pt idx="563">
                  <c:v>40,24%</c:v>
                </c:pt>
                <c:pt idx="564">
                  <c:v>54,02%</c:v>
                </c:pt>
                <c:pt idx="565">
                  <c:v>22,23%</c:v>
                </c:pt>
                <c:pt idx="566">
                  <c:v>28,39%</c:v>
                </c:pt>
                <c:pt idx="567">
                  <c:v>100,00%</c:v>
                </c:pt>
                <c:pt idx="568">
                  <c:v>34,66%</c:v>
                </c:pt>
                <c:pt idx="569">
                  <c:v>100,00%</c:v>
                </c:pt>
                <c:pt idx="570">
                  <c:v>100,00%</c:v>
                </c:pt>
                <c:pt idx="571">
                  <c:v>50,64%</c:v>
                </c:pt>
                <c:pt idx="572">
                  <c:v>60,00%</c:v>
                </c:pt>
                <c:pt idx="573">
                  <c:v>50,00%</c:v>
                </c:pt>
                <c:pt idx="574">
                  <c:v>23,83%</c:v>
                </c:pt>
                <c:pt idx="575">
                  <c:v>48,84%</c:v>
                </c:pt>
                <c:pt idx="576">
                  <c:v>0,00%</c:v>
                </c:pt>
                <c:pt idx="577">
                  <c:v>55,75%</c:v>
                </c:pt>
                <c:pt idx="578">
                  <c:v>100,00%</c:v>
                </c:pt>
                <c:pt idx="579">
                  <c:v>100,00%</c:v>
                </c:pt>
                <c:pt idx="580">
                  <c:v>100,00%</c:v>
                </c:pt>
                <c:pt idx="581">
                  <c:v>60,00%</c:v>
                </c:pt>
                <c:pt idx="582">
                  <c:v>50,00%</c:v>
                </c:pt>
                <c:pt idx="583">
                  <c:v>50,59%</c:v>
                </c:pt>
                <c:pt idx="584">
                  <c:v>60,00%</c:v>
                </c:pt>
                <c:pt idx="585">
                  <c:v>50,00%</c:v>
                </c:pt>
                <c:pt idx="586">
                  <c:v>28,47%</c:v>
                </c:pt>
                <c:pt idx="587">
                  <c:v>44,78%</c:v>
                </c:pt>
                <c:pt idx="588">
                  <c:v>29,69%</c:v>
                </c:pt>
                <c:pt idx="589">
                  <c:v>42,35%</c:v>
                </c:pt>
                <c:pt idx="590">
                  <c:v>44,07%</c:v>
                </c:pt>
                <c:pt idx="591">
                  <c:v>0,00%</c:v>
                </c:pt>
                <c:pt idx="592">
                  <c:v>72,00%</c:v>
                </c:pt>
                <c:pt idx="593">
                  <c:v>100,00%</c:v>
                </c:pt>
                <c:pt idx="594">
                  <c:v>100,00%</c:v>
                </c:pt>
                <c:pt idx="595">
                  <c:v>100,00%</c:v>
                </c:pt>
                <c:pt idx="596">
                  <c:v>60,00%</c:v>
                </c:pt>
                <c:pt idx="597">
                  <c:v>50,00%</c:v>
                </c:pt>
                <c:pt idx="598">
                  <c:v>100,00%</c:v>
                </c:pt>
                <c:pt idx="599">
                  <c:v>37,56%</c:v>
                </c:pt>
                <c:pt idx="600">
                  <c:v>0,00%</c:v>
                </c:pt>
                <c:pt idx="601">
                  <c:v>100,00%</c:v>
                </c:pt>
                <c:pt idx="602">
                  <c:v>44,07%</c:v>
                </c:pt>
                <c:pt idx="603">
                  <c:v>0,00%</c:v>
                </c:pt>
                <c:pt idx="604">
                  <c:v>60,00%</c:v>
                </c:pt>
                <c:pt idx="605">
                  <c:v>50,00%</c:v>
                </c:pt>
                <c:pt idx="606">
                  <c:v>100,00%</c:v>
                </c:pt>
                <c:pt idx="607">
                  <c:v>45,29%</c:v>
                </c:pt>
                <c:pt idx="608">
                  <c:v>43,98%</c:v>
                </c:pt>
                <c:pt idx="609">
                  <c:v>43,66%</c:v>
                </c:pt>
                <c:pt idx="610">
                  <c:v>29,92%</c:v>
                </c:pt>
                <c:pt idx="611">
                  <c:v>40,00%</c:v>
                </c:pt>
                <c:pt idx="612">
                  <c:v>52,39%</c:v>
                </c:pt>
                <c:pt idx="613">
                  <c:v>60,00%</c:v>
                </c:pt>
                <c:pt idx="614">
                  <c:v>50,00%</c:v>
                </c:pt>
                <c:pt idx="615">
                  <c:v>41,11%</c:v>
                </c:pt>
                <c:pt idx="616">
                  <c:v>31,67%</c:v>
                </c:pt>
                <c:pt idx="617">
                  <c:v>100,00%</c:v>
                </c:pt>
                <c:pt idx="618">
                  <c:v>60,00%</c:v>
                </c:pt>
                <c:pt idx="619">
                  <c:v>50,00%</c:v>
                </c:pt>
                <c:pt idx="620">
                  <c:v>100,00%</c:v>
                </c:pt>
                <c:pt idx="621">
                  <c:v>60,00%</c:v>
                </c:pt>
                <c:pt idx="622">
                  <c:v>50,00%</c:v>
                </c:pt>
                <c:pt idx="623">
                  <c:v>100,00%</c:v>
                </c:pt>
                <c:pt idx="624">
                  <c:v>62,93%</c:v>
                </c:pt>
                <c:pt idx="625">
                  <c:v>46,93%</c:v>
                </c:pt>
                <c:pt idx="626">
                  <c:v>41,11%</c:v>
                </c:pt>
                <c:pt idx="627">
                  <c:v>31,73%</c:v>
                </c:pt>
                <c:pt idx="628">
                  <c:v>52,38%</c:v>
                </c:pt>
                <c:pt idx="629">
                  <c:v>30,14%</c:v>
                </c:pt>
                <c:pt idx="630">
                  <c:v>44,07%</c:v>
                </c:pt>
                <c:pt idx="631">
                  <c:v>0,00%</c:v>
                </c:pt>
                <c:pt idx="632">
                  <c:v>49,82%</c:v>
                </c:pt>
                <c:pt idx="633">
                  <c:v>60,00%</c:v>
                </c:pt>
                <c:pt idx="634">
                  <c:v>0,00%</c:v>
                </c:pt>
                <c:pt idx="635">
                  <c:v>37,41%</c:v>
                </c:pt>
                <c:pt idx="636">
                  <c:v>0,00%</c:v>
                </c:pt>
                <c:pt idx="637">
                  <c:v>100,00%</c:v>
                </c:pt>
                <c:pt idx="638">
                  <c:v>42,71%</c:v>
                </c:pt>
                <c:pt idx="639">
                  <c:v>60,00%</c:v>
                </c:pt>
                <c:pt idx="640">
                  <c:v>50,00%</c:v>
                </c:pt>
                <c:pt idx="641">
                  <c:v>0,00%</c:v>
                </c:pt>
                <c:pt idx="642">
                  <c:v>37,61%</c:v>
                </c:pt>
                <c:pt idx="643">
                  <c:v>0,00%</c:v>
                </c:pt>
                <c:pt idx="644">
                  <c:v>100,00%</c:v>
                </c:pt>
                <c:pt idx="645">
                  <c:v>60,00%</c:v>
                </c:pt>
                <c:pt idx="646">
                  <c:v>50,00%</c:v>
                </c:pt>
                <c:pt idx="647">
                  <c:v>60,00%</c:v>
                </c:pt>
                <c:pt idx="648">
                  <c:v>50,00%</c:v>
                </c:pt>
                <c:pt idx="649">
                  <c:v>43,18%</c:v>
                </c:pt>
                <c:pt idx="650">
                  <c:v>46,03%</c:v>
                </c:pt>
                <c:pt idx="651">
                  <c:v>0,00%</c:v>
                </c:pt>
                <c:pt idx="652">
                  <c:v>46,96%</c:v>
                </c:pt>
                <c:pt idx="653">
                  <c:v>0,00%</c:v>
                </c:pt>
                <c:pt idx="654">
                  <c:v>41,11%</c:v>
                </c:pt>
                <c:pt idx="655">
                  <c:v>41,27%</c:v>
                </c:pt>
                <c:pt idx="656">
                  <c:v>26,02%</c:v>
                </c:pt>
                <c:pt idx="657">
                  <c:v>0,00%</c:v>
                </c:pt>
                <c:pt idx="658">
                  <c:v>8,00%</c:v>
                </c:pt>
                <c:pt idx="659">
                  <c:v>19,05%</c:v>
                </c:pt>
                <c:pt idx="660">
                  <c:v>10,48%</c:v>
                </c:pt>
                <c:pt idx="661">
                  <c:v>60,00%</c:v>
                </c:pt>
                <c:pt idx="662">
                  <c:v>50,00%</c:v>
                </c:pt>
                <c:pt idx="663">
                  <c:v>44,66%</c:v>
                </c:pt>
                <c:pt idx="664">
                  <c:v>0,00%</c:v>
                </c:pt>
                <c:pt idx="665">
                  <c:v>28,99%</c:v>
                </c:pt>
                <c:pt idx="666">
                  <c:v>28,99%</c:v>
                </c:pt>
                <c:pt idx="667">
                  <c:v>25,00%</c:v>
                </c:pt>
                <c:pt idx="668">
                  <c:v>29,00%</c:v>
                </c:pt>
                <c:pt idx="669">
                  <c:v>30,00%</c:v>
                </c:pt>
                <c:pt idx="670">
                  <c:v>21,90%</c:v>
                </c:pt>
                <c:pt idx="671">
                  <c:v>28,47%</c:v>
                </c:pt>
                <c:pt idx="672">
                  <c:v>58,24%</c:v>
                </c:pt>
                <c:pt idx="673">
                  <c:v>33,39%</c:v>
                </c:pt>
                <c:pt idx="674">
                  <c:v>61,39%</c:v>
                </c:pt>
                <c:pt idx="675">
                  <c:v>44,78%</c:v>
                </c:pt>
                <c:pt idx="676">
                  <c:v>36,92%</c:v>
                </c:pt>
                <c:pt idx="677">
                  <c:v>21,82%</c:v>
                </c:pt>
                <c:pt idx="678">
                  <c:v>44,07%</c:v>
                </c:pt>
                <c:pt idx="679">
                  <c:v>37,80%</c:v>
                </c:pt>
                <c:pt idx="680">
                  <c:v>0,00%</c:v>
                </c:pt>
                <c:pt idx="681">
                  <c:v>44,45%</c:v>
                </c:pt>
                <c:pt idx="682">
                  <c:v>36,18%</c:v>
                </c:pt>
                <c:pt idx="683">
                  <c:v>0,00%</c:v>
                </c:pt>
                <c:pt idx="684">
                  <c:v>45,10%</c:v>
                </c:pt>
                <c:pt idx="685">
                  <c:v>42,84%</c:v>
                </c:pt>
                <c:pt idx="686">
                  <c:v>44,07%</c:v>
                </c:pt>
                <c:pt idx="687">
                  <c:v>40,40%</c:v>
                </c:pt>
                <c:pt idx="688">
                  <c:v>#DIV/0!</c:v>
                </c:pt>
                <c:pt idx="689">
                  <c:v>50,00%</c:v>
                </c:pt>
                <c:pt idx="690">
                  <c:v>0,00%</c:v>
                </c:pt>
                <c:pt idx="691">
                  <c:v>26,87%</c:v>
                </c:pt>
                <c:pt idx="692">
                  <c:v>100,00%</c:v>
                </c:pt>
                <c:pt idx="693">
                  <c:v>100,00%</c:v>
                </c:pt>
                <c:pt idx="694">
                  <c:v>45,17%</c:v>
                </c:pt>
                <c:pt idx="695">
                  <c:v>0,00%</c:v>
                </c:pt>
                <c:pt idx="696">
                  <c:v>100,00%</c:v>
                </c:pt>
                <c:pt idx="697">
                  <c:v>60,00%</c:v>
                </c:pt>
                <c:pt idx="698">
                  <c:v>50,00%</c:v>
                </c:pt>
                <c:pt idx="699">
                  <c:v>73,98%</c:v>
                </c:pt>
                <c:pt idx="700">
                  <c:v>38,82%</c:v>
                </c:pt>
                <c:pt idx="701">
                  <c:v>100,00%</c:v>
                </c:pt>
                <c:pt idx="702">
                  <c:v>50,00%</c:v>
                </c:pt>
                <c:pt idx="703">
                  <c:v>44,44%</c:v>
                </c:pt>
                <c:pt idx="704">
                  <c:v>40,72%</c:v>
                </c:pt>
                <c:pt idx="705">
                  <c:v>60,78%</c:v>
                </c:pt>
                <c:pt idx="706">
                  <c:v>14,29%</c:v>
                </c:pt>
                <c:pt idx="707">
                  <c:v>52,11%</c:v>
                </c:pt>
                <c:pt idx="708">
                  <c:v>21,90%</c:v>
                </c:pt>
                <c:pt idx="709">
                  <c:v>24,90%</c:v>
                </c:pt>
                <c:pt idx="710">
                  <c:v>44,78%</c:v>
                </c:pt>
                <c:pt idx="711">
                  <c:v>52,11%</c:v>
                </c:pt>
                <c:pt idx="712">
                  <c:v>29,33%</c:v>
                </c:pt>
                <c:pt idx="713">
                  <c:v>31,25%</c:v>
                </c:pt>
                <c:pt idx="714">
                  <c:v>8,48%</c:v>
                </c:pt>
                <c:pt idx="715">
                  <c:v>61,39%</c:v>
                </c:pt>
                <c:pt idx="716">
                  <c:v>50,64%</c:v>
                </c:pt>
                <c:pt idx="717">
                  <c:v>58,49%</c:v>
                </c:pt>
                <c:pt idx="718">
                  <c:v>60,00%</c:v>
                </c:pt>
                <c:pt idx="719">
                  <c:v>50,00%</c:v>
                </c:pt>
                <c:pt idx="720">
                  <c:v>46,93%</c:v>
                </c:pt>
                <c:pt idx="721">
                  <c:v>60,00%</c:v>
                </c:pt>
                <c:pt idx="722">
                  <c:v>50,00%</c:v>
                </c:pt>
                <c:pt idx="723">
                  <c:v>100,00%</c:v>
                </c:pt>
                <c:pt idx="724">
                  <c:v>44,07%</c:v>
                </c:pt>
                <c:pt idx="725">
                  <c:v>0,00%</c:v>
                </c:pt>
                <c:pt idx="726">
                  <c:v>60,00%</c:v>
                </c:pt>
                <c:pt idx="727">
                  <c:v>50,00%</c:v>
                </c:pt>
                <c:pt idx="728">
                  <c:v>41,00%</c:v>
                </c:pt>
                <c:pt idx="729">
                  <c:v>32,59%</c:v>
                </c:pt>
                <c:pt idx="730">
                  <c:v>39,45%</c:v>
                </c:pt>
                <c:pt idx="731">
                  <c:v>0,00%</c:v>
                </c:pt>
                <c:pt idx="732">
                  <c:v>60,00%</c:v>
                </c:pt>
                <c:pt idx="733">
                  <c:v>50,00%</c:v>
                </c:pt>
                <c:pt idx="734">
                  <c:v>29,92%</c:v>
                </c:pt>
                <c:pt idx="735">
                  <c:v>52,15%</c:v>
                </c:pt>
                <c:pt idx="736">
                  <c:v>100,00%</c:v>
                </c:pt>
                <c:pt idx="737">
                  <c:v>25,00%</c:v>
                </c:pt>
                <c:pt idx="738">
                  <c:v>29,00%</c:v>
                </c:pt>
                <c:pt idx="739">
                  <c:v>-22,54%</c:v>
                </c:pt>
                <c:pt idx="740">
                  <c:v>23,79%</c:v>
                </c:pt>
                <c:pt idx="741">
                  <c:v>33,57%</c:v>
                </c:pt>
                <c:pt idx="742">
                  <c:v>52,11%</c:v>
                </c:pt>
                <c:pt idx="743">
                  <c:v>36,40%</c:v>
                </c:pt>
                <c:pt idx="744">
                  <c:v>36,92%</c:v>
                </c:pt>
                <c:pt idx="745">
                  <c:v>43,10%</c:v>
                </c:pt>
                <c:pt idx="746">
                  <c:v>62,18%</c:v>
                </c:pt>
                <c:pt idx="747">
                  <c:v>45,10%</c:v>
                </c:pt>
                <c:pt idx="748">
                  <c:v>30,71%</c:v>
                </c:pt>
                <c:pt idx="749">
                  <c:v>49,36%</c:v>
                </c:pt>
                <c:pt idx="750">
                  <c:v>39,42%</c:v>
                </c:pt>
                <c:pt idx="751">
                  <c:v>15,93%</c:v>
                </c:pt>
                <c:pt idx="752">
                  <c:v>56,86%</c:v>
                </c:pt>
                <c:pt idx="753">
                  <c:v>0,00%</c:v>
                </c:pt>
                <c:pt idx="754">
                  <c:v>100,00%</c:v>
                </c:pt>
                <c:pt idx="755">
                  <c:v>37,81%</c:v>
                </c:pt>
                <c:pt idx="756">
                  <c:v>26,67%</c:v>
                </c:pt>
                <c:pt idx="757">
                  <c:v>#DIV/0!</c:v>
                </c:pt>
                <c:pt idx="758">
                  <c:v>100,00%</c:v>
                </c:pt>
                <c:pt idx="759">
                  <c:v>60,00%</c:v>
                </c:pt>
                <c:pt idx="760">
                  <c:v>50,00%</c:v>
                </c:pt>
                <c:pt idx="761">
                  <c:v>100,00%</c:v>
                </c:pt>
                <c:pt idx="762">
                  <c:v>21,90%</c:v>
                </c:pt>
                <c:pt idx="763">
                  <c:v>100,00%</c:v>
                </c:pt>
                <c:pt idx="764">
                  <c:v>60,00%</c:v>
                </c:pt>
                <c:pt idx="765">
                  <c:v>50,00%</c:v>
                </c:pt>
                <c:pt idx="766">
                  <c:v>100,00%</c:v>
                </c:pt>
                <c:pt idx="767">
                  <c:v>100,00%</c:v>
                </c:pt>
                <c:pt idx="768">
                  <c:v>26,76%</c:v>
                </c:pt>
                <c:pt idx="769">
                  <c:v>30,00%</c:v>
                </c:pt>
                <c:pt idx="770">
                  <c:v>#DIV/0!</c:v>
                </c:pt>
                <c:pt idx="771">
                  <c:v>32,29%</c:v>
                </c:pt>
                <c:pt idx="772">
                  <c:v>50,44%</c:v>
                </c:pt>
                <c:pt idx="773">
                  <c:v>60,00%</c:v>
                </c:pt>
                <c:pt idx="774">
                  <c:v>0,00%</c:v>
                </c:pt>
                <c:pt idx="775">
                  <c:v>43,64%</c:v>
                </c:pt>
                <c:pt idx="776">
                  <c:v>#DIV/0!</c:v>
                </c:pt>
                <c:pt idx="777">
                  <c:v>50,00%</c:v>
                </c:pt>
                <c:pt idx="778">
                  <c:v>63,79%</c:v>
                </c:pt>
                <c:pt idx="779">
                  <c:v>18,80%</c:v>
                </c:pt>
                <c:pt idx="780">
                  <c:v>36,89%</c:v>
                </c:pt>
                <c:pt idx="781">
                  <c:v>45,29%</c:v>
                </c:pt>
                <c:pt idx="782">
                  <c:v>43,98%</c:v>
                </c:pt>
                <c:pt idx="783">
                  <c:v>100,00%</c:v>
                </c:pt>
                <c:pt idx="784">
                  <c:v>100,00%</c:v>
                </c:pt>
                <c:pt idx="785">
                  <c:v>100,00%</c:v>
                </c:pt>
                <c:pt idx="786">
                  <c:v>41,11%</c:v>
                </c:pt>
                <c:pt idx="787">
                  <c:v>#DIV/0!</c:v>
                </c:pt>
                <c:pt idx="788">
                  <c:v>36,21%</c:v>
                </c:pt>
                <c:pt idx="789">
                  <c:v>32,29%</c:v>
                </c:pt>
                <c:pt idx="790">
                  <c:v>100,00%</c:v>
                </c:pt>
                <c:pt idx="791">
                  <c:v>46,21%</c:v>
                </c:pt>
                <c:pt idx="792">
                  <c:v>0,00%</c:v>
                </c:pt>
                <c:pt idx="794">
                  <c:v>39,50%</c:v>
                </c:pt>
                <c:pt idx="795">
                  <c:v>0,00%</c:v>
                </c:pt>
                <c:pt idx="796">
                  <c:v>41,27%</c:v>
                </c:pt>
                <c:pt idx="797">
                  <c:v>0,00%</c:v>
                </c:pt>
                <c:pt idx="798">
                  <c:v>52,71%</c:v>
                </c:pt>
                <c:pt idx="799">
                  <c:v>100,00%</c:v>
                </c:pt>
                <c:pt idx="800">
                  <c:v>50,00%</c:v>
                </c:pt>
                <c:pt idx="801">
                  <c:v>#DIV/0!</c:v>
                </c:pt>
                <c:pt idx="802">
                  <c:v>100,00%</c:v>
                </c:pt>
                <c:pt idx="803">
                  <c:v>40,00%</c:v>
                </c:pt>
                <c:pt idx="804">
                  <c:v>44,78%</c:v>
                </c:pt>
                <c:pt idx="805">
                  <c:v>14,29%</c:v>
                </c:pt>
                <c:pt idx="806">
                  <c:v>52,11%</c:v>
                </c:pt>
                <c:pt idx="807">
                  <c:v>100,00%</c:v>
                </c:pt>
                <c:pt idx="808">
                  <c:v>100,00%</c:v>
                </c:pt>
                <c:pt idx="809">
                  <c:v>100,00%</c:v>
                </c:pt>
                <c:pt idx="810">
                  <c:v>100,00%</c:v>
                </c:pt>
                <c:pt idx="811">
                  <c:v>32,75%</c:v>
                </c:pt>
                <c:pt idx="812">
                  <c:v>43,93%</c:v>
                </c:pt>
                <c:pt idx="813">
                  <c:v>0,00%</c:v>
                </c:pt>
                <c:pt idx="814">
                  <c:v>100,00%</c:v>
                </c:pt>
                <c:pt idx="815">
                  <c:v>60,00%</c:v>
                </c:pt>
                <c:pt idx="816">
                  <c:v>50,00%</c:v>
                </c:pt>
                <c:pt idx="817">
                  <c:v>44,78%</c:v>
                </c:pt>
                <c:pt idx="818">
                  <c:v>44,82%</c:v>
                </c:pt>
                <c:pt idx="819">
                  <c:v>45,29%</c:v>
                </c:pt>
                <c:pt idx="820">
                  <c:v>41,11%</c:v>
                </c:pt>
                <c:pt idx="821">
                  <c:v>36,92%</c:v>
                </c:pt>
                <c:pt idx="822">
                  <c:v>30,14%</c:v>
                </c:pt>
                <c:pt idx="823">
                  <c:v>46,81%</c:v>
                </c:pt>
                <c:pt idx="824">
                  <c:v>47,27%</c:v>
                </c:pt>
                <c:pt idx="825">
                  <c:v>0,00%</c:v>
                </c:pt>
                <c:pt idx="826">
                  <c:v>100,00%</c:v>
                </c:pt>
                <c:pt idx="828">
                  <c:v>40,72%</c:v>
                </c:pt>
                <c:pt idx="829">
                  <c:v>51,47%</c:v>
                </c:pt>
                <c:pt idx="830">
                  <c:v>52,11%</c:v>
                </c:pt>
                <c:pt idx="831">
                  <c:v>37,13%</c:v>
                </c:pt>
                <c:pt idx="832">
                  <c:v>0,00%</c:v>
                </c:pt>
                <c:pt idx="833">
                  <c:v>41,27%</c:v>
                </c:pt>
                <c:pt idx="834">
                  <c:v>0,00%</c:v>
                </c:pt>
                <c:pt idx="835">
                  <c:v>60,00%</c:v>
                </c:pt>
                <c:pt idx="836">
                  <c:v>50,00%</c:v>
                </c:pt>
                <c:pt idx="837">
                  <c:v>18,63%</c:v>
                </c:pt>
                <c:pt idx="838">
                  <c:v>26,76%</c:v>
                </c:pt>
                <c:pt idx="839">
                  <c:v>0,00%</c:v>
                </c:pt>
                <c:pt idx="840">
                  <c:v>41,11%</c:v>
                </c:pt>
                <c:pt idx="841">
                  <c:v>29,69%</c:v>
                </c:pt>
                <c:pt idx="842">
                  <c:v>28,57%</c:v>
                </c:pt>
                <c:pt idx="843">
                  <c:v>52,11%</c:v>
                </c:pt>
                <c:pt idx="844">
                  <c:v>41,11%</c:v>
                </c:pt>
                <c:pt idx="845">
                  <c:v>32,29%</c:v>
                </c:pt>
                <c:pt idx="846">
                  <c:v>100,00%</c:v>
                </c:pt>
                <c:pt idx="847">
                  <c:v>60,00%</c:v>
                </c:pt>
                <c:pt idx="848">
                  <c:v>50,00%</c:v>
                </c:pt>
                <c:pt idx="849">
                  <c:v>60,00%</c:v>
                </c:pt>
                <c:pt idx="850">
                  <c:v>50,00%</c:v>
                </c:pt>
                <c:pt idx="851">
                  <c:v>33,39%</c:v>
                </c:pt>
                <c:pt idx="852">
                  <c:v>41,11%</c:v>
                </c:pt>
                <c:pt idx="853">
                  <c:v>53,78%</c:v>
                </c:pt>
                <c:pt idx="854">
                  <c:v>45,37%</c:v>
                </c:pt>
                <c:pt idx="855">
                  <c:v>41,52%</c:v>
                </c:pt>
                <c:pt idx="856">
                  <c:v>0,00%</c:v>
                </c:pt>
                <c:pt idx="857">
                  <c:v>44,78%</c:v>
                </c:pt>
                <c:pt idx="858">
                  <c:v>100,00%</c:v>
                </c:pt>
                <c:pt idx="859">
                  <c:v>60,00%</c:v>
                </c:pt>
                <c:pt idx="860">
                  <c:v>50,00%</c:v>
                </c:pt>
                <c:pt idx="861">
                  <c:v>29,30%</c:v>
                </c:pt>
                <c:pt idx="862">
                  <c:v>0,00%</c:v>
                </c:pt>
                <c:pt idx="863">
                  <c:v>100,00%</c:v>
                </c:pt>
                <c:pt idx="864">
                  <c:v>100,00%</c:v>
                </c:pt>
                <c:pt idx="865">
                  <c:v>28,87%</c:v>
                </c:pt>
                <c:pt idx="866">
                  <c:v>47,28%</c:v>
                </c:pt>
                <c:pt idx="867">
                  <c:v>44,78%</c:v>
                </c:pt>
                <c:pt idx="868">
                  <c:v>41,11%</c:v>
                </c:pt>
                <c:pt idx="869">
                  <c:v>36,92%</c:v>
                </c:pt>
                <c:pt idx="870">
                  <c:v>44,07%</c:v>
                </c:pt>
                <c:pt idx="871">
                  <c:v>0,00%</c:v>
                </c:pt>
                <c:pt idx="872">
                  <c:v>41,92%</c:v>
                </c:pt>
                <c:pt idx="873">
                  <c:v>39,89%</c:v>
                </c:pt>
                <c:pt idx="874">
                  <c:v>21,90%</c:v>
                </c:pt>
                <c:pt idx="875">
                  <c:v>60,00%</c:v>
                </c:pt>
                <c:pt idx="876">
                  <c:v>50,00%</c:v>
                </c:pt>
                <c:pt idx="877">
                  <c:v>100,00%</c:v>
                </c:pt>
                <c:pt idx="878">
                  <c:v>38,64%</c:v>
                </c:pt>
                <c:pt idx="879">
                  <c:v>0,00%</c:v>
                </c:pt>
                <c:pt idx="880">
                  <c:v>100,00%</c:v>
                </c:pt>
                <c:pt idx="881">
                  <c:v>44,07%</c:v>
                </c:pt>
                <c:pt idx="882">
                  <c:v>0,00%</c:v>
                </c:pt>
                <c:pt idx="883">
                  <c:v>100,00%</c:v>
                </c:pt>
                <c:pt idx="884">
                  <c:v>51,20%</c:v>
                </c:pt>
                <c:pt idx="885">
                  <c:v>34,29%</c:v>
                </c:pt>
                <c:pt idx="886">
                  <c:v>0,00%</c:v>
                </c:pt>
                <c:pt idx="887">
                  <c:v>100,00%</c:v>
                </c:pt>
                <c:pt idx="888">
                  <c:v>44,78%</c:v>
                </c:pt>
                <c:pt idx="889">
                  <c:v>52,11%</c:v>
                </c:pt>
                <c:pt idx="890">
                  <c:v>41,11%</c:v>
                </c:pt>
                <c:pt idx="891">
                  <c:v>36,92%</c:v>
                </c:pt>
                <c:pt idx="892">
                  <c:v>30,14%</c:v>
                </c:pt>
                <c:pt idx="893">
                  <c:v>33,39%</c:v>
                </c:pt>
                <c:pt idx="894">
                  <c:v>33,73%</c:v>
                </c:pt>
                <c:pt idx="895">
                  <c:v>0,00%</c:v>
                </c:pt>
                <c:pt idx="896">
                  <c:v>50,24%</c:v>
                </c:pt>
                <c:pt idx="897">
                  <c:v>0,00%</c:v>
                </c:pt>
                <c:pt idx="898">
                  <c:v>78,87%</c:v>
                </c:pt>
                <c:pt idx="899">
                  <c:v>43,35%</c:v>
                </c:pt>
                <c:pt idx="900">
                  <c:v>3,98%</c:v>
                </c:pt>
                <c:pt idx="901">
                  <c:v>14,89%</c:v>
                </c:pt>
                <c:pt idx="902">
                  <c:v>60,00%</c:v>
                </c:pt>
                <c:pt idx="903">
                  <c:v>50,00%</c:v>
                </c:pt>
                <c:pt idx="904">
                  <c:v>100,00%</c:v>
                </c:pt>
                <c:pt idx="905">
                  <c:v>0,00%</c:v>
                </c:pt>
                <c:pt idx="906">
                  <c:v>52,94%</c:v>
                </c:pt>
                <c:pt idx="907">
                  <c:v>52,75%</c:v>
                </c:pt>
                <c:pt idx="908">
                  <c:v>53,26%</c:v>
                </c:pt>
                <c:pt idx="909">
                  <c:v>60,00%</c:v>
                </c:pt>
                <c:pt idx="910">
                  <c:v>50,00%</c:v>
                </c:pt>
                <c:pt idx="911">
                  <c:v>19,24%</c:v>
                </c:pt>
                <c:pt idx="912">
                  <c:v>#DIV/0!</c:v>
                </c:pt>
                <c:pt idx="913">
                  <c:v>24,84%</c:v>
                </c:pt>
                <c:pt idx="914">
                  <c:v>#DIV/0!</c:v>
                </c:pt>
                <c:pt idx="915">
                  <c:v>#DIV/0!</c:v>
                </c:pt>
                <c:pt idx="916">
                  <c:v>43,31%</c:v>
                </c:pt>
                <c:pt idx="917">
                  <c:v>51,06%</c:v>
                </c:pt>
                <c:pt idx="918">
                  <c:v>43,69%</c:v>
                </c:pt>
                <c:pt idx="919">
                  <c:v>0,00%</c:v>
                </c:pt>
                <c:pt idx="920">
                  <c:v>49,82%</c:v>
                </c:pt>
                <c:pt idx="921">
                  <c:v>60,00%</c:v>
                </c:pt>
                <c:pt idx="922">
                  <c:v>0,00%</c:v>
                </c:pt>
                <c:pt idx="923">
                  <c:v>25,87%</c:v>
                </c:pt>
                <c:pt idx="924">
                  <c:v>44,78%</c:v>
                </c:pt>
                <c:pt idx="925">
                  <c:v>100,00%</c:v>
                </c:pt>
                <c:pt idx="926">
                  <c:v>100,00%</c:v>
                </c:pt>
                <c:pt idx="927">
                  <c:v>100,00%</c:v>
                </c:pt>
                <c:pt idx="928">
                  <c:v>100,00%</c:v>
                </c:pt>
                <c:pt idx="929">
                  <c:v>43,11%</c:v>
                </c:pt>
                <c:pt idx="930">
                  <c:v>0,00%</c:v>
                </c:pt>
                <c:pt idx="931">
                  <c:v>-11,92%</c:v>
                </c:pt>
                <c:pt idx="932">
                  <c:v>50,24%</c:v>
                </c:pt>
                <c:pt idx="933">
                  <c:v>0,00%</c:v>
                </c:pt>
                <c:pt idx="934">
                  <c:v>37,65%</c:v>
                </c:pt>
                <c:pt idx="935">
                  <c:v>52,44%</c:v>
                </c:pt>
                <c:pt idx="936">
                  <c:v>62,93%</c:v>
                </c:pt>
                <c:pt idx="937">
                  <c:v>40,99%</c:v>
                </c:pt>
                <c:pt idx="938">
                  <c:v>43,98%</c:v>
                </c:pt>
                <c:pt idx="939">
                  <c:v>44,22%</c:v>
                </c:pt>
                <c:pt idx="940">
                  <c:v>44,14%</c:v>
                </c:pt>
                <c:pt idx="941">
                  <c:v>45,03%</c:v>
                </c:pt>
                <c:pt idx="942">
                  <c:v>45,17%</c:v>
                </c:pt>
                <c:pt idx="943">
                  <c:v>44,77%</c:v>
                </c:pt>
                <c:pt idx="944">
                  <c:v>61,39%</c:v>
                </c:pt>
                <c:pt idx="945">
                  <c:v>44,00%</c:v>
                </c:pt>
                <c:pt idx="946">
                  <c:v>52,20%</c:v>
                </c:pt>
                <c:pt idx="947">
                  <c:v>48,33%</c:v>
                </c:pt>
                <c:pt idx="948">
                  <c:v>52,11%</c:v>
                </c:pt>
                <c:pt idx="949">
                  <c:v>100,00%</c:v>
                </c:pt>
                <c:pt idx="950">
                  <c:v>45,68%</c:v>
                </c:pt>
                <c:pt idx="951">
                  <c:v>16,32%</c:v>
                </c:pt>
                <c:pt idx="952">
                  <c:v>23,83%</c:v>
                </c:pt>
                <c:pt idx="953">
                  <c:v>20,22%</c:v>
                </c:pt>
                <c:pt idx="954">
                  <c:v>25,83%</c:v>
                </c:pt>
                <c:pt idx="955">
                  <c:v>45,16%</c:v>
                </c:pt>
                <c:pt idx="956">
                  <c:v>46,32%</c:v>
                </c:pt>
                <c:pt idx="957">
                  <c:v>36,48%</c:v>
                </c:pt>
                <c:pt idx="958">
                  <c:v>0,00%</c:v>
                </c:pt>
                <c:pt idx="959">
                  <c:v>41,11%</c:v>
                </c:pt>
                <c:pt idx="960">
                  <c:v>36,92%</c:v>
                </c:pt>
                <c:pt idx="961">
                  <c:v>0,00%</c:v>
                </c:pt>
                <c:pt idx="962">
                  <c:v>25,93%</c:v>
                </c:pt>
                <c:pt idx="963">
                  <c:v>48,88%</c:v>
                </c:pt>
                <c:pt idx="964">
                  <c:v>48,51%</c:v>
                </c:pt>
                <c:pt idx="965">
                  <c:v>100,00%</c:v>
                </c:pt>
                <c:pt idx="966">
                  <c:v>47,62%</c:v>
                </c:pt>
                <c:pt idx="967">
                  <c:v>53,97%</c:v>
                </c:pt>
                <c:pt idx="968">
                  <c:v>52,13%</c:v>
                </c:pt>
                <c:pt idx="969">
                  <c:v>54,21%</c:v>
                </c:pt>
                <c:pt idx="970">
                  <c:v>0,00%</c:v>
                </c:pt>
                <c:pt idx="971">
                  <c:v>50,91%</c:v>
                </c:pt>
                <c:pt idx="972">
                  <c:v>43,10%</c:v>
                </c:pt>
                <c:pt idx="973">
                  <c:v>29,02%</c:v>
                </c:pt>
                <c:pt idx="974">
                  <c:v>52,44%</c:v>
                </c:pt>
                <c:pt idx="975">
                  <c:v>28,47%</c:v>
                </c:pt>
                <c:pt idx="976">
                  <c:v>44,07%</c:v>
                </c:pt>
                <c:pt idx="977">
                  <c:v>0,00%</c:v>
                </c:pt>
                <c:pt idx="978">
                  <c:v>30,00%</c:v>
                </c:pt>
                <c:pt idx="979">
                  <c:v>30,00%</c:v>
                </c:pt>
                <c:pt idx="980">
                  <c:v>45,76%</c:v>
                </c:pt>
                <c:pt idx="981">
                  <c:v>0,00%</c:v>
                </c:pt>
                <c:pt idx="982">
                  <c:v>100,00%</c:v>
                </c:pt>
                <c:pt idx="983">
                  <c:v>0,00%</c:v>
                </c:pt>
                <c:pt idx="984">
                  <c:v>17,80%</c:v>
                </c:pt>
                <c:pt idx="985">
                  <c:v>34,33%</c:v>
                </c:pt>
                <c:pt idx="986">
                  <c:v>0,00%</c:v>
                </c:pt>
                <c:pt idx="987">
                  <c:v>56,15%</c:v>
                </c:pt>
                <c:pt idx="988">
                  <c:v>54,10%</c:v>
                </c:pt>
                <c:pt idx="989">
                  <c:v>50,44%</c:v>
                </c:pt>
                <c:pt idx="990">
                  <c:v>60,00%</c:v>
                </c:pt>
                <c:pt idx="991">
                  <c:v>50,00%</c:v>
                </c:pt>
                <c:pt idx="992">
                  <c:v>40,00%</c:v>
                </c:pt>
                <c:pt idx="993">
                  <c:v>57,61%</c:v>
                </c:pt>
                <c:pt idx="994">
                  <c:v>46,63%</c:v>
                </c:pt>
                <c:pt idx="995">
                  <c:v>25,45%</c:v>
                </c:pt>
                <c:pt idx="996">
                  <c:v>30,00%</c:v>
                </c:pt>
                <c:pt idx="997">
                  <c:v>100,00%</c:v>
                </c:pt>
                <c:pt idx="998">
                  <c:v>56,15%</c:v>
                </c:pt>
                <c:pt idx="999">
                  <c:v>49,69%</c:v>
                </c:pt>
                <c:pt idx="1000">
                  <c:v>0,00%</c:v>
                </c:pt>
                <c:pt idx="1001">
                  <c:v>100,00%</c:v>
                </c:pt>
                <c:pt idx="1002">
                  <c:v>58,17%</c:v>
                </c:pt>
                <c:pt idx="1003">
                  <c:v>44,82%</c:v>
                </c:pt>
                <c:pt idx="1004">
                  <c:v>40,40%</c:v>
                </c:pt>
                <c:pt idx="1005">
                  <c:v>100,00%</c:v>
                </c:pt>
                <c:pt idx="1006">
                  <c:v>40,40%</c:v>
                </c:pt>
                <c:pt idx="1007">
                  <c:v>44,78%</c:v>
                </c:pt>
                <c:pt idx="1008">
                  <c:v>100,00%</c:v>
                </c:pt>
                <c:pt idx="1009">
                  <c:v>60,00%</c:v>
                </c:pt>
                <c:pt idx="1010">
                  <c:v>50,00%</c:v>
                </c:pt>
                <c:pt idx="1011">
                  <c:v>44,07%</c:v>
                </c:pt>
                <c:pt idx="1012">
                  <c:v>0,00%</c:v>
                </c:pt>
                <c:pt idx="1013">
                  <c:v>38,64%</c:v>
                </c:pt>
                <c:pt idx="1014">
                  <c:v>0,00%</c:v>
                </c:pt>
                <c:pt idx="1015">
                  <c:v>100,00%</c:v>
                </c:pt>
                <c:pt idx="1016">
                  <c:v>45,50%</c:v>
                </c:pt>
                <c:pt idx="1017">
                  <c:v>100,00%</c:v>
                </c:pt>
                <c:pt idx="1018">
                  <c:v>30,14%</c:v>
                </c:pt>
                <c:pt idx="1019">
                  <c:v>43,98%</c:v>
                </c:pt>
                <c:pt idx="1020">
                  <c:v>100,00%</c:v>
                </c:pt>
                <c:pt idx="1021">
                  <c:v>36,92%</c:v>
                </c:pt>
                <c:pt idx="1022">
                  <c:v>50,24%</c:v>
                </c:pt>
                <c:pt idx="1023">
                  <c:v>0,00%</c:v>
                </c:pt>
                <c:pt idx="1024">
                  <c:v>44,78%</c:v>
                </c:pt>
                <c:pt idx="1025">
                  <c:v>52,11%</c:v>
                </c:pt>
                <c:pt idx="1026">
                  <c:v>28,47%</c:v>
                </c:pt>
                <c:pt idx="1027">
                  <c:v>33,27%</c:v>
                </c:pt>
                <c:pt idx="1028">
                  <c:v>52,13%</c:v>
                </c:pt>
                <c:pt idx="1029">
                  <c:v>60,00%</c:v>
                </c:pt>
                <c:pt idx="1030">
                  <c:v>50,00%</c:v>
                </c:pt>
                <c:pt idx="1031">
                  <c:v>100,00%</c:v>
                </c:pt>
                <c:pt idx="1032">
                  <c:v>100,00%</c:v>
                </c:pt>
                <c:pt idx="1033">
                  <c:v>100,00%</c:v>
                </c:pt>
                <c:pt idx="1034">
                  <c:v>60,00%</c:v>
                </c:pt>
                <c:pt idx="1035">
                  <c:v>50,00%</c:v>
                </c:pt>
                <c:pt idx="1036">
                  <c:v>100,00%</c:v>
                </c:pt>
                <c:pt idx="1037">
                  <c:v>47,97%</c:v>
                </c:pt>
                <c:pt idx="1038">
                  <c:v>0,00%</c:v>
                </c:pt>
                <c:pt idx="1039">
                  <c:v>43,98%</c:v>
                </c:pt>
                <c:pt idx="1040">
                  <c:v>100,00%</c:v>
                </c:pt>
                <c:pt idx="1041">
                  <c:v>21,90%</c:v>
                </c:pt>
                <c:pt idx="1042">
                  <c:v>29,69%</c:v>
                </c:pt>
                <c:pt idx="1043">
                  <c:v>50,34%</c:v>
                </c:pt>
                <c:pt idx="1044">
                  <c:v>0,00%</c:v>
                </c:pt>
                <c:pt idx="1045">
                  <c:v>39,66%</c:v>
                </c:pt>
                <c:pt idx="1046">
                  <c:v>1,24%</c:v>
                </c:pt>
                <c:pt idx="1047">
                  <c:v>17,05%</c:v>
                </c:pt>
                <c:pt idx="1048">
                  <c:v>25,90%</c:v>
                </c:pt>
                <c:pt idx="1049">
                  <c:v>60,78%</c:v>
                </c:pt>
                <c:pt idx="1050">
                  <c:v>41,27%</c:v>
                </c:pt>
                <c:pt idx="1051">
                  <c:v>0,00%</c:v>
                </c:pt>
                <c:pt idx="1052">
                  <c:v>100,00%</c:v>
                </c:pt>
                <c:pt idx="1053">
                  <c:v>36,12%</c:v>
                </c:pt>
                <c:pt idx="1054">
                  <c:v>41,11%</c:v>
                </c:pt>
                <c:pt idx="1055">
                  <c:v>40,40%</c:v>
                </c:pt>
                <c:pt idx="1056">
                  <c:v>#DIV/0!</c:v>
                </c:pt>
                <c:pt idx="1057">
                  <c:v>0,00%</c:v>
                </c:pt>
                <c:pt idx="1058">
                  <c:v>100,00%</c:v>
                </c:pt>
                <c:pt idx="1059">
                  <c:v>44,07%</c:v>
                </c:pt>
                <c:pt idx="1060">
                  <c:v>0,00%</c:v>
                </c:pt>
                <c:pt idx="1061">
                  <c:v>52,71%</c:v>
                </c:pt>
                <c:pt idx="1062">
                  <c:v>100,00%</c:v>
                </c:pt>
                <c:pt idx="1063">
                  <c:v>100,00%</c:v>
                </c:pt>
                <c:pt idx="1064">
                  <c:v>100,00%</c:v>
                </c:pt>
                <c:pt idx="1065">
                  <c:v>100,00%</c:v>
                </c:pt>
                <c:pt idx="1066">
                  <c:v>100,00%</c:v>
                </c:pt>
                <c:pt idx="1067">
                  <c:v>100,00%</c:v>
                </c:pt>
                <c:pt idx="1068">
                  <c:v>60,00%</c:v>
                </c:pt>
                <c:pt idx="1069">
                  <c:v>50,00%</c:v>
                </c:pt>
                <c:pt idx="1070">
                  <c:v>47,30%</c:v>
                </c:pt>
                <c:pt idx="1071">
                  <c:v>0,00%</c:v>
                </c:pt>
                <c:pt idx="1072">
                  <c:v>26,14%</c:v>
                </c:pt>
                <c:pt idx="1073">
                  <c:v>58,17%</c:v>
                </c:pt>
                <c:pt idx="1074">
                  <c:v>100,00%</c:v>
                </c:pt>
                <c:pt idx="1075">
                  <c:v>45,96%</c:v>
                </c:pt>
                <c:pt idx="1076">
                  <c:v>41,95%</c:v>
                </c:pt>
                <c:pt idx="1077">
                  <c:v>23,33%</c:v>
                </c:pt>
                <c:pt idx="1079">
                  <c:v>0,00%</c:v>
                </c:pt>
                <c:pt idx="1080">
                  <c:v>44,34%</c:v>
                </c:pt>
                <c:pt idx="1081">
                  <c:v>0,00%</c:v>
                </c:pt>
                <c:pt idx="1082">
                  <c:v>37,42%</c:v>
                </c:pt>
                <c:pt idx="1083">
                  <c:v>0,00%</c:v>
                </c:pt>
                <c:pt idx="1084">
                  <c:v>44,07%</c:v>
                </c:pt>
                <c:pt idx="1085">
                  <c:v>0,00%</c:v>
                </c:pt>
                <c:pt idx="1086">
                  <c:v>21,90%</c:v>
                </c:pt>
                <c:pt idx="1087">
                  <c:v>100,00%</c:v>
                </c:pt>
                <c:pt idx="1088">
                  <c:v>100,00%</c:v>
                </c:pt>
                <c:pt idx="1089">
                  <c:v>100,00%</c:v>
                </c:pt>
                <c:pt idx="1090">
                  <c:v>100,00%</c:v>
                </c:pt>
                <c:pt idx="1091">
                  <c:v>60,00%</c:v>
                </c:pt>
                <c:pt idx="1092">
                  <c:v>50,00%</c:v>
                </c:pt>
                <c:pt idx="1094">
                  <c:v>100,00%</c:v>
                </c:pt>
                <c:pt idx="1095">
                  <c:v>44,78%</c:v>
                </c:pt>
                <c:pt idx="1096">
                  <c:v>24,29%</c:v>
                </c:pt>
                <c:pt idx="1098">
                  <c:v>100,00%</c:v>
                </c:pt>
                <c:pt idx="1099">
                  <c:v>41,19%</c:v>
                </c:pt>
                <c:pt idx="1100">
                  <c:v>-51,87%</c:v>
                </c:pt>
                <c:pt idx="1101">
                  <c:v>21,90%</c:v>
                </c:pt>
                <c:pt idx="1102">
                  <c:v>100,00%</c:v>
                </c:pt>
                <c:pt idx="1103">
                  <c:v>48,88%</c:v>
                </c:pt>
                <c:pt idx="1104">
                  <c:v>44,78%</c:v>
                </c:pt>
                <c:pt idx="1105">
                  <c:v>100,00%</c:v>
                </c:pt>
                <c:pt idx="1106">
                  <c:v>60,00%</c:v>
                </c:pt>
                <c:pt idx="1107">
                  <c:v>50,00%</c:v>
                </c:pt>
                <c:pt idx="1108">
                  <c:v>42,34%</c:v>
                </c:pt>
                <c:pt idx="1109">
                  <c:v>45,03%</c:v>
                </c:pt>
                <c:pt idx="1110">
                  <c:v>0,00%</c:v>
                </c:pt>
                <c:pt idx="1111">
                  <c:v>35,00%</c:v>
                </c:pt>
                <c:pt idx="1112">
                  <c:v>40,00%</c:v>
                </c:pt>
                <c:pt idx="1113">
                  <c:v>31,67%</c:v>
                </c:pt>
                <c:pt idx="1114">
                  <c:v>32,75%</c:v>
                </c:pt>
                <c:pt idx="1115">
                  <c:v>25,87%</c:v>
                </c:pt>
                <c:pt idx="1116">
                  <c:v>100,00%</c:v>
                </c:pt>
                <c:pt idx="1117">
                  <c:v>100,00%</c:v>
                </c:pt>
                <c:pt idx="1118">
                  <c:v>35,00%</c:v>
                </c:pt>
                <c:pt idx="1119">
                  <c:v>100,00%</c:v>
                </c:pt>
                <c:pt idx="1120">
                  <c:v>100,00%</c:v>
                </c:pt>
                <c:pt idx="1121">
                  <c:v>100,00%</c:v>
                </c:pt>
                <c:pt idx="1122">
                  <c:v>49,98%</c:v>
                </c:pt>
                <c:pt idx="1123">
                  <c:v>41,21%</c:v>
                </c:pt>
                <c:pt idx="1124">
                  <c:v>0,00%</c:v>
                </c:pt>
                <c:pt idx="1125">
                  <c:v>100,00%</c:v>
                </c:pt>
                <c:pt idx="1126">
                  <c:v>100,00%</c:v>
                </c:pt>
                <c:pt idx="1127">
                  <c:v>66,59%</c:v>
                </c:pt>
                <c:pt idx="1128">
                  <c:v>60,00%</c:v>
                </c:pt>
                <c:pt idx="1129">
                  <c:v>50,00%</c:v>
                </c:pt>
                <c:pt idx="1131">
                  <c:v>33,75%</c:v>
                </c:pt>
                <c:pt idx="1132">
                  <c:v>34,71%</c:v>
                </c:pt>
                <c:pt idx="1133">
                  <c:v>25,66%</c:v>
                </c:pt>
                <c:pt idx="1134">
                  <c:v>44,78%</c:v>
                </c:pt>
                <c:pt idx="1135">
                  <c:v>35,00%</c:v>
                </c:pt>
                <c:pt idx="1136">
                  <c:v>10,08%</c:v>
                </c:pt>
                <c:pt idx="1137">
                  <c:v>8,98%</c:v>
                </c:pt>
                <c:pt idx="1138">
                  <c:v>100,00%</c:v>
                </c:pt>
                <c:pt idx="1139">
                  <c:v>43,84%</c:v>
                </c:pt>
                <c:pt idx="1140">
                  <c:v>52,11%</c:v>
                </c:pt>
                <c:pt idx="1141">
                  <c:v>33,75%</c:v>
                </c:pt>
                <c:pt idx="1142">
                  <c:v>34,71%</c:v>
                </c:pt>
                <c:pt idx="1143">
                  <c:v>36,92%</c:v>
                </c:pt>
                <c:pt idx="1144">
                  <c:v>30,14%</c:v>
                </c:pt>
                <c:pt idx="1145">
                  <c:v>33,04%</c:v>
                </c:pt>
                <c:pt idx="1146">
                  <c:v>58,00%</c:v>
                </c:pt>
                <c:pt idx="1147">
                  <c:v>100,00%</c:v>
                </c:pt>
                <c:pt idx="1148">
                  <c:v>79,72%</c:v>
                </c:pt>
                <c:pt idx="1149">
                  <c:v>100,00%</c:v>
                </c:pt>
                <c:pt idx="1150">
                  <c:v>0,00%</c:v>
                </c:pt>
                <c:pt idx="1151">
                  <c:v>100,00%</c:v>
                </c:pt>
                <c:pt idx="1152">
                  <c:v>100,00%</c:v>
                </c:pt>
                <c:pt idx="1153">
                  <c:v>60,00%</c:v>
                </c:pt>
                <c:pt idx="1154">
                  <c:v>50,00%</c:v>
                </c:pt>
                <c:pt idx="1155">
                  <c:v>44,79%</c:v>
                </c:pt>
                <c:pt idx="1156">
                  <c:v>0,00%</c:v>
                </c:pt>
                <c:pt idx="1157">
                  <c:v>38,64%</c:v>
                </c:pt>
                <c:pt idx="1158">
                  <c:v>0,00%</c:v>
                </c:pt>
                <c:pt idx="1159">
                  <c:v>60,00%</c:v>
                </c:pt>
                <c:pt idx="1160">
                  <c:v>50,00%</c:v>
                </c:pt>
                <c:pt idx="1161">
                  <c:v>#DIV/0!</c:v>
                </c:pt>
                <c:pt idx="1162">
                  <c:v>0,00%</c:v>
                </c:pt>
                <c:pt idx="1163">
                  <c:v>100,00%</c:v>
                </c:pt>
                <c:pt idx="1164">
                  <c:v>100,00%</c:v>
                </c:pt>
                <c:pt idx="1165">
                  <c:v>44,78%</c:v>
                </c:pt>
                <c:pt idx="1166">
                  <c:v>41,11%</c:v>
                </c:pt>
                <c:pt idx="1167">
                  <c:v>39,07%</c:v>
                </c:pt>
                <c:pt idx="1168">
                  <c:v>36,92%</c:v>
                </c:pt>
                <c:pt idx="1169">
                  <c:v>46,93%</c:v>
                </c:pt>
                <c:pt idx="1170">
                  <c:v>25,00%</c:v>
                </c:pt>
                <c:pt idx="1171">
                  <c:v>42,63%</c:v>
                </c:pt>
                <c:pt idx="1172">
                  <c:v>50,00%</c:v>
                </c:pt>
                <c:pt idx="1173">
                  <c:v>52,11%</c:v>
                </c:pt>
                <c:pt idx="1174">
                  <c:v>44,82%</c:v>
                </c:pt>
                <c:pt idx="1175">
                  <c:v>100,00%</c:v>
                </c:pt>
                <c:pt idx="1176">
                  <c:v>100,00%</c:v>
                </c:pt>
                <c:pt idx="1177">
                  <c:v>41,11%</c:v>
                </c:pt>
                <c:pt idx="1178">
                  <c:v>40,40%</c:v>
                </c:pt>
                <c:pt idx="1179">
                  <c:v>100,00%</c:v>
                </c:pt>
                <c:pt idx="1180">
                  <c:v>50,28%</c:v>
                </c:pt>
                <c:pt idx="1181">
                  <c:v>60,00%</c:v>
                </c:pt>
                <c:pt idx="1182">
                  <c:v>50,00%</c:v>
                </c:pt>
                <c:pt idx="1183">
                  <c:v>44,34%</c:v>
                </c:pt>
                <c:pt idx="1184">
                  <c:v>0,00%</c:v>
                </c:pt>
                <c:pt idx="1185">
                  <c:v>44,78%</c:v>
                </c:pt>
                <c:pt idx="1186">
                  <c:v>52,11%</c:v>
                </c:pt>
                <c:pt idx="1187">
                  <c:v>60,00%</c:v>
                </c:pt>
                <c:pt idx="1188">
                  <c:v>50,00%</c:v>
                </c:pt>
                <c:pt idx="1189">
                  <c:v>35,98%</c:v>
                </c:pt>
                <c:pt idx="1190">
                  <c:v>44,78%</c:v>
                </c:pt>
                <c:pt idx="1191">
                  <c:v>21,90%</c:v>
                </c:pt>
                <c:pt idx="1192">
                  <c:v>51,00%</c:v>
                </c:pt>
                <c:pt idx="1193">
                  <c:v>100,00%</c:v>
                </c:pt>
                <c:pt idx="1195">
                  <c:v>25,00%</c:v>
                </c:pt>
                <c:pt idx="1196">
                  <c:v>44,55%</c:v>
                </c:pt>
                <c:pt idx="1197">
                  <c:v>0,00%</c:v>
                </c:pt>
                <c:pt idx="1198">
                  <c:v>52,11%</c:v>
                </c:pt>
                <c:pt idx="1199">
                  <c:v>50,78%</c:v>
                </c:pt>
                <c:pt idx="1200">
                  <c:v>45,29%</c:v>
                </c:pt>
                <c:pt idx="1201">
                  <c:v>43,98%</c:v>
                </c:pt>
                <c:pt idx="1202">
                  <c:v>41,11%</c:v>
                </c:pt>
                <c:pt idx="1203">
                  <c:v>36,92%</c:v>
                </c:pt>
                <c:pt idx="1204">
                  <c:v>48,88%</c:v>
                </c:pt>
                <c:pt idx="1205">
                  <c:v>36,92%</c:v>
                </c:pt>
                <c:pt idx="1206">
                  <c:v>45,29%</c:v>
                </c:pt>
                <c:pt idx="1207">
                  <c:v>100,00%</c:v>
                </c:pt>
                <c:pt idx="1208">
                  <c:v>100,00%</c:v>
                </c:pt>
                <c:pt idx="1209">
                  <c:v>100,00%</c:v>
                </c:pt>
                <c:pt idx="1210">
                  <c:v>100,00%</c:v>
                </c:pt>
                <c:pt idx="1211">
                  <c:v>100,00%</c:v>
                </c:pt>
                <c:pt idx="1212">
                  <c:v>41,11%</c:v>
                </c:pt>
                <c:pt idx="1213">
                  <c:v>44,34%</c:v>
                </c:pt>
                <c:pt idx="1214">
                  <c:v>0,00%</c:v>
                </c:pt>
                <c:pt idx="1215">
                  <c:v>22,28%</c:v>
                </c:pt>
                <c:pt idx="1216">
                  <c:v>0,00%</c:v>
                </c:pt>
                <c:pt idx="1217">
                  <c:v>100,00%</c:v>
                </c:pt>
                <c:pt idx="1218">
                  <c:v>#DIV/0!</c:v>
                </c:pt>
                <c:pt idx="1219">
                  <c:v>60,00%</c:v>
                </c:pt>
                <c:pt idx="1220">
                  <c:v>50,00%</c:v>
                </c:pt>
                <c:pt idx="1221">
                  <c:v>100,00%</c:v>
                </c:pt>
                <c:pt idx="1222">
                  <c:v>46,61%</c:v>
                </c:pt>
                <c:pt idx="1223">
                  <c:v>45,17%</c:v>
                </c:pt>
                <c:pt idx="1224">
                  <c:v>0,00%</c:v>
                </c:pt>
                <c:pt idx="1225">
                  <c:v>44,55%</c:v>
                </c:pt>
                <c:pt idx="1226">
                  <c:v>0,00%</c:v>
                </c:pt>
                <c:pt idx="1227">
                  <c:v>52,11%</c:v>
                </c:pt>
                <c:pt idx="1228">
                  <c:v>24,29%</c:v>
                </c:pt>
                <c:pt idx="1229">
                  <c:v>100,00%</c:v>
                </c:pt>
                <c:pt idx="1230">
                  <c:v>100,00%</c:v>
                </c:pt>
                <c:pt idx="1231">
                  <c:v>100,00%</c:v>
                </c:pt>
                <c:pt idx="1232">
                  <c:v>7,66%</c:v>
                </c:pt>
                <c:pt idx="1233">
                  <c:v>100,00%</c:v>
                </c:pt>
                <c:pt idx="1234">
                  <c:v>44,78%</c:v>
                </c:pt>
                <c:pt idx="1235">
                  <c:v>52,11%</c:v>
                </c:pt>
                <c:pt idx="1236">
                  <c:v>44,82%</c:v>
                </c:pt>
                <c:pt idx="1237">
                  <c:v>37,65%</c:v>
                </c:pt>
                <c:pt idx="1238">
                  <c:v>36,92%</c:v>
                </c:pt>
                <c:pt idx="1239">
                  <c:v>34,71%</c:v>
                </c:pt>
                <c:pt idx="1240">
                  <c:v>100,00%</c:v>
                </c:pt>
                <c:pt idx="1241">
                  <c:v>100,00%</c:v>
                </c:pt>
                <c:pt idx="1242">
                  <c:v>35,00%</c:v>
                </c:pt>
                <c:pt idx="1243">
                  <c:v>41,11%</c:v>
                </c:pt>
                <c:pt idx="1244">
                  <c:v>36,92%</c:v>
                </c:pt>
                <c:pt idx="1245">
                  <c:v>67,33%</c:v>
                </c:pt>
                <c:pt idx="1246">
                  <c:v>46,93%</c:v>
                </c:pt>
                <c:pt idx="1247">
                  <c:v>100,00%</c:v>
                </c:pt>
                <c:pt idx="1248">
                  <c:v>33,33%</c:v>
                </c:pt>
                <c:pt idx="1249">
                  <c:v>39,01%</c:v>
                </c:pt>
                <c:pt idx="1250">
                  <c:v>100,00%</c:v>
                </c:pt>
                <c:pt idx="1251">
                  <c:v>100,00%</c:v>
                </c:pt>
                <c:pt idx="1252">
                  <c:v>60,00%</c:v>
                </c:pt>
                <c:pt idx="1253">
                  <c:v>50,00%</c:v>
                </c:pt>
                <c:pt idx="1254">
                  <c:v>100,00%</c:v>
                </c:pt>
                <c:pt idx="1255">
                  <c:v>61,12%</c:v>
                </c:pt>
                <c:pt idx="1256">
                  <c:v>60,00%</c:v>
                </c:pt>
                <c:pt idx="1257">
                  <c:v>50,00%</c:v>
                </c:pt>
                <c:pt idx="1258">
                  <c:v>-100,00%</c:v>
                </c:pt>
                <c:pt idx="1259">
                  <c:v>#DIV/0!</c:v>
                </c:pt>
                <c:pt idx="1260">
                  <c:v>100,00%</c:v>
                </c:pt>
                <c:pt idx="1261">
                  <c:v>30,00%</c:v>
                </c:pt>
                <c:pt idx="1262">
                  <c:v>88,11%</c:v>
                </c:pt>
                <c:pt idx="1263">
                  <c:v>100,00%</c:v>
                </c:pt>
                <c:pt idx="1264">
                  <c:v>100,00%</c:v>
                </c:pt>
                <c:pt idx="1265">
                  <c:v>100,00%</c:v>
                </c:pt>
                <c:pt idx="1266">
                  <c:v>30,89%</c:v>
                </c:pt>
                <c:pt idx="1267">
                  <c:v>30,89%</c:v>
                </c:pt>
                <c:pt idx="1268">
                  <c:v>51,85%</c:v>
                </c:pt>
                <c:pt idx="1269">
                  <c:v>60,00%</c:v>
                </c:pt>
                <c:pt idx="1270">
                  <c:v>50,00%</c:v>
                </c:pt>
                <c:pt idx="1271">
                  <c:v>100,00%</c:v>
                </c:pt>
                <c:pt idx="1272">
                  <c:v>100,00%</c:v>
                </c:pt>
                <c:pt idx="1273">
                  <c:v>60,00%</c:v>
                </c:pt>
                <c:pt idx="1274">
                  <c:v>50,00%</c:v>
                </c:pt>
                <c:pt idx="1275">
                  <c:v>100,00%</c:v>
                </c:pt>
                <c:pt idx="1276">
                  <c:v>40,00%</c:v>
                </c:pt>
                <c:pt idx="1277">
                  <c:v>40,00%</c:v>
                </c:pt>
                <c:pt idx="1279">
                  <c:v>40,00%</c:v>
                </c:pt>
                <c:pt idx="1280">
                  <c:v>40,00%</c:v>
                </c:pt>
                <c:pt idx="1281">
                  <c:v>46,61%</c:v>
                </c:pt>
                <c:pt idx="1282">
                  <c:v>0,00%</c:v>
                </c:pt>
                <c:pt idx="1283">
                  <c:v>60,00%</c:v>
                </c:pt>
                <c:pt idx="1284">
                  <c:v>50,00%</c:v>
                </c:pt>
                <c:pt idx="1285">
                  <c:v>100,00%</c:v>
                </c:pt>
                <c:pt idx="1286">
                  <c:v>52,39%</c:v>
                </c:pt>
                <c:pt idx="1287">
                  <c:v>60,00%</c:v>
                </c:pt>
                <c:pt idx="1288">
                  <c:v>50,00%</c:v>
                </c:pt>
                <c:pt idx="1289">
                  <c:v>100,00%</c:v>
                </c:pt>
                <c:pt idx="1290">
                  <c:v>60,00%</c:v>
                </c:pt>
                <c:pt idx="1291">
                  <c:v>50,00%</c:v>
                </c:pt>
                <c:pt idx="1292">
                  <c:v>100,00%</c:v>
                </c:pt>
                <c:pt idx="1293">
                  <c:v>100,00%</c:v>
                </c:pt>
                <c:pt idx="1294">
                  <c:v>51,56%</c:v>
                </c:pt>
                <c:pt idx="1295">
                  <c:v>55,53%</c:v>
                </c:pt>
                <c:pt idx="1296">
                  <c:v>41,11%</c:v>
                </c:pt>
                <c:pt idx="1297">
                  <c:v>36,92%</c:v>
                </c:pt>
                <c:pt idx="1298">
                  <c:v>60,00%</c:v>
                </c:pt>
                <c:pt idx="1299">
                  <c:v>50,00%</c:v>
                </c:pt>
                <c:pt idx="1300">
                  <c:v>46,61%</c:v>
                </c:pt>
                <c:pt idx="1301">
                  <c:v>0,00%</c:v>
                </c:pt>
                <c:pt idx="1302">
                  <c:v>100,00%</c:v>
                </c:pt>
                <c:pt idx="1303">
                  <c:v>60,00%</c:v>
                </c:pt>
                <c:pt idx="1304">
                  <c:v>50,00%</c:v>
                </c:pt>
                <c:pt idx="1305">
                  <c:v>46,76%</c:v>
                </c:pt>
                <c:pt idx="1306">
                  <c:v>0,00%</c:v>
                </c:pt>
                <c:pt idx="1307">
                  <c:v>53,73%</c:v>
                </c:pt>
                <c:pt idx="1308">
                  <c:v>40,40%</c:v>
                </c:pt>
                <c:pt idx="1309">
                  <c:v>0,00%</c:v>
                </c:pt>
                <c:pt idx="1310">
                  <c:v>60,00%</c:v>
                </c:pt>
                <c:pt idx="1311">
                  <c:v>50,00%</c:v>
                </c:pt>
                <c:pt idx="1312">
                  <c:v>37,18%</c:v>
                </c:pt>
                <c:pt idx="1313">
                  <c:v>0,00%</c:v>
                </c:pt>
                <c:pt idx="1314">
                  <c:v>100,00%</c:v>
                </c:pt>
                <c:pt idx="1315">
                  <c:v>100,00%</c:v>
                </c:pt>
                <c:pt idx="1316">
                  <c:v>44,07%</c:v>
                </c:pt>
                <c:pt idx="1317">
                  <c:v>60,00%</c:v>
                </c:pt>
                <c:pt idx="1318">
                  <c:v>50,00%</c:v>
                </c:pt>
                <c:pt idx="1319">
                  <c:v>0,00%</c:v>
                </c:pt>
                <c:pt idx="1320">
                  <c:v>100,00%</c:v>
                </c:pt>
                <c:pt idx="1321">
                  <c:v>60,00%</c:v>
                </c:pt>
                <c:pt idx="1322">
                  <c:v>50,00%</c:v>
                </c:pt>
                <c:pt idx="1324">
                  <c:v>50,39%</c:v>
                </c:pt>
                <c:pt idx="1325">
                  <c:v>50,39%</c:v>
                </c:pt>
                <c:pt idx="1326">
                  <c:v>0,00%</c:v>
                </c:pt>
                <c:pt idx="1327">
                  <c:v>50,08%</c:v>
                </c:pt>
                <c:pt idx="1328">
                  <c:v>-100,00%</c:v>
                </c:pt>
                <c:pt idx="1329">
                  <c:v>-100,00%</c:v>
                </c:pt>
                <c:pt idx="1330">
                  <c:v>7,40%</c:v>
                </c:pt>
                <c:pt idx="1331">
                  <c:v>#DIV/0!</c:v>
                </c:pt>
                <c:pt idx="1332">
                  <c:v>26,76%</c:v>
                </c:pt>
                <c:pt idx="1333">
                  <c:v>31,00%</c:v>
                </c:pt>
                <c:pt idx="1334">
                  <c:v>#DIV/0!</c:v>
                </c:pt>
                <c:pt idx="1335">
                  <c:v>100,00%</c:v>
                </c:pt>
                <c:pt idx="1336">
                  <c:v>100,00%</c:v>
                </c:pt>
                <c:pt idx="1337">
                  <c:v>32,48%</c:v>
                </c:pt>
                <c:pt idx="1338">
                  <c:v>60,00%</c:v>
                </c:pt>
                <c:pt idx="1339">
                  <c:v>50,00%</c:v>
                </c:pt>
                <c:pt idx="1340">
                  <c:v>44,78%</c:v>
                </c:pt>
                <c:pt idx="1341">
                  <c:v>46,93%</c:v>
                </c:pt>
                <c:pt idx="1342">
                  <c:v>100,00%</c:v>
                </c:pt>
                <c:pt idx="1343">
                  <c:v>100,00%</c:v>
                </c:pt>
                <c:pt idx="1344">
                  <c:v>28,46%</c:v>
                </c:pt>
                <c:pt idx="1345">
                  <c:v>100,00%</c:v>
                </c:pt>
                <c:pt idx="1346">
                  <c:v>43,11%</c:v>
                </c:pt>
                <c:pt idx="1347">
                  <c:v>8,00%</c:v>
                </c:pt>
                <c:pt idx="1348">
                  <c:v>0,00%</c:v>
                </c:pt>
                <c:pt idx="1349">
                  <c:v>100,00%</c:v>
                </c:pt>
                <c:pt idx="1350">
                  <c:v>#DIV/0!</c:v>
                </c:pt>
                <c:pt idx="1351">
                  <c:v>50,00%</c:v>
                </c:pt>
                <c:pt idx="1352">
                  <c:v>60,00%</c:v>
                </c:pt>
                <c:pt idx="1353">
                  <c:v>50,00%</c:v>
                </c:pt>
                <c:pt idx="1354">
                  <c:v>60,00%</c:v>
                </c:pt>
                <c:pt idx="1355">
                  <c:v>50,00%</c:v>
                </c:pt>
                <c:pt idx="1356">
                  <c:v>28,47%</c:v>
                </c:pt>
                <c:pt idx="1357">
                  <c:v>44,78%</c:v>
                </c:pt>
                <c:pt idx="1358">
                  <c:v>21,90%</c:v>
                </c:pt>
                <c:pt idx="1359">
                  <c:v>100,00%</c:v>
                </c:pt>
                <c:pt idx="1360">
                  <c:v>43,98%</c:v>
                </c:pt>
                <c:pt idx="1361">
                  <c:v>100,00%</c:v>
                </c:pt>
                <c:pt idx="1362">
                  <c:v>100,00%</c:v>
                </c:pt>
                <c:pt idx="1363">
                  <c:v>100,00%</c:v>
                </c:pt>
                <c:pt idx="1364">
                  <c:v>41,11%</c:v>
                </c:pt>
                <c:pt idx="1365">
                  <c:v>52,44%</c:v>
                </c:pt>
                <c:pt idx="1366">
                  <c:v>62,93%</c:v>
                </c:pt>
                <c:pt idx="1367">
                  <c:v>30,30%</c:v>
                </c:pt>
                <c:pt idx="1368">
                  <c:v>30,89%</c:v>
                </c:pt>
                <c:pt idx="1369">
                  <c:v>25,58%</c:v>
                </c:pt>
                <c:pt idx="1370">
                  <c:v>25,58%</c:v>
                </c:pt>
                <c:pt idx="1371">
                  <c:v>29,69%</c:v>
                </c:pt>
                <c:pt idx="1372">
                  <c:v>18,00%</c:v>
                </c:pt>
                <c:pt idx="1373">
                  <c:v>100,00%</c:v>
                </c:pt>
                <c:pt idx="1375">
                  <c:v>40,00%</c:v>
                </c:pt>
                <c:pt idx="1376">
                  <c:v>40,00%</c:v>
                </c:pt>
                <c:pt idx="1377">
                  <c:v>50,50%</c:v>
                </c:pt>
                <c:pt idx="1378">
                  <c:v>0,00%</c:v>
                </c:pt>
                <c:pt idx="1379">
                  <c:v>60,00%</c:v>
                </c:pt>
                <c:pt idx="1380">
                  <c:v>50,00%</c:v>
                </c:pt>
                <c:pt idx="1381">
                  <c:v>45,00%</c:v>
                </c:pt>
                <c:pt idx="1382">
                  <c:v>17,17%</c:v>
                </c:pt>
                <c:pt idx="1383">
                  <c:v>23,44%</c:v>
                </c:pt>
                <c:pt idx="1384">
                  <c:v>88,06%</c:v>
                </c:pt>
                <c:pt idx="1385">
                  <c:v>60,00%</c:v>
                </c:pt>
                <c:pt idx="1386">
                  <c:v>50,00%</c:v>
                </c:pt>
                <c:pt idx="1387">
                  <c:v>45,37%</c:v>
                </c:pt>
                <c:pt idx="1388">
                  <c:v>33,52%</c:v>
                </c:pt>
                <c:pt idx="1389">
                  <c:v>45,89%</c:v>
                </c:pt>
                <c:pt idx="1391">
                  <c:v>0,00%</c:v>
                </c:pt>
                <c:pt idx="1392">
                  <c:v>44,07%</c:v>
                </c:pt>
                <c:pt idx="1393">
                  <c:v>0,00%</c:v>
                </c:pt>
                <c:pt idx="1394">
                  <c:v>42,84%</c:v>
                </c:pt>
                <c:pt idx="1395">
                  <c:v>73,55%</c:v>
                </c:pt>
                <c:pt idx="1396">
                  <c:v>35,20%</c:v>
                </c:pt>
                <c:pt idx="1397">
                  <c:v>0,00%</c:v>
                </c:pt>
                <c:pt idx="1398">
                  <c:v>50,00%</c:v>
                </c:pt>
                <c:pt idx="1399">
                  <c:v>0,00%</c:v>
                </c:pt>
                <c:pt idx="1400">
                  <c:v>100,00%</c:v>
                </c:pt>
                <c:pt idx="1401">
                  <c:v>25,41%</c:v>
                </c:pt>
                <c:pt idx="1402">
                  <c:v>0,00%</c:v>
                </c:pt>
                <c:pt idx="1403">
                  <c:v>46,61%</c:v>
                </c:pt>
                <c:pt idx="1404">
                  <c:v>44,49%</c:v>
                </c:pt>
                <c:pt idx="1405">
                  <c:v>0,00%</c:v>
                </c:pt>
                <c:pt idx="1406">
                  <c:v>34,66%</c:v>
                </c:pt>
                <c:pt idx="1407">
                  <c:v>100,00%</c:v>
                </c:pt>
                <c:pt idx="1408">
                  <c:v>39,01%</c:v>
                </c:pt>
                <c:pt idx="1409">
                  <c:v>62,21%</c:v>
                </c:pt>
                <c:pt idx="1410">
                  <c:v>21,90%</c:v>
                </c:pt>
                <c:pt idx="1411">
                  <c:v>46,61%</c:v>
                </c:pt>
                <c:pt idx="1412">
                  <c:v>0,00%</c:v>
                </c:pt>
                <c:pt idx="1413">
                  <c:v>43,28%</c:v>
                </c:pt>
                <c:pt idx="1414">
                  <c:v>45,00%</c:v>
                </c:pt>
                <c:pt idx="1415">
                  <c:v>35,00%</c:v>
                </c:pt>
                <c:pt idx="1416">
                  <c:v>60,00%</c:v>
                </c:pt>
                <c:pt idx="1417">
                  <c:v>50,00%</c:v>
                </c:pt>
                <c:pt idx="1418">
                  <c:v>39,76%</c:v>
                </c:pt>
                <c:pt idx="1419">
                  <c:v>100,00%</c:v>
                </c:pt>
                <c:pt idx="1420">
                  <c:v>36,51%</c:v>
                </c:pt>
                <c:pt idx="1421">
                  <c:v>33,75%</c:v>
                </c:pt>
                <c:pt idx="1422">
                  <c:v>21,90%</c:v>
                </c:pt>
                <c:pt idx="1423">
                  <c:v>43,10%</c:v>
                </c:pt>
                <c:pt idx="1424">
                  <c:v>41,19%</c:v>
                </c:pt>
                <c:pt idx="1425">
                  <c:v>30,14%</c:v>
                </c:pt>
                <c:pt idx="1426">
                  <c:v>34,71%</c:v>
                </c:pt>
                <c:pt idx="1427">
                  <c:v>100,00%</c:v>
                </c:pt>
                <c:pt idx="1428">
                  <c:v>42,34%</c:v>
                </c:pt>
                <c:pt idx="1429">
                  <c:v>52,11%</c:v>
                </c:pt>
                <c:pt idx="1430">
                  <c:v>33,75%</c:v>
                </c:pt>
                <c:pt idx="1431">
                  <c:v>36,92%</c:v>
                </c:pt>
                <c:pt idx="1432">
                  <c:v>60,00%</c:v>
                </c:pt>
                <c:pt idx="1433">
                  <c:v>50,00%</c:v>
                </c:pt>
                <c:pt idx="1434">
                  <c:v>100,00%</c:v>
                </c:pt>
                <c:pt idx="1435">
                  <c:v>31,18%</c:v>
                </c:pt>
                <c:pt idx="1436">
                  <c:v>64,98%</c:v>
                </c:pt>
                <c:pt idx="1437">
                  <c:v>29,85%</c:v>
                </c:pt>
                <c:pt idx="1438">
                  <c:v>54,37%</c:v>
                </c:pt>
                <c:pt idx="1439">
                  <c:v>39,97%</c:v>
                </c:pt>
                <c:pt idx="1440">
                  <c:v>42,62%</c:v>
                </c:pt>
                <c:pt idx="1441">
                  <c:v>46,30%</c:v>
                </c:pt>
                <c:pt idx="1442">
                  <c:v>42,86%</c:v>
                </c:pt>
                <c:pt idx="1443">
                  <c:v>41,55%</c:v>
                </c:pt>
                <c:pt idx="1444">
                  <c:v>23,33%</c:v>
                </c:pt>
                <c:pt idx="1445">
                  <c:v>0,00%</c:v>
                </c:pt>
                <c:pt idx="1446">
                  <c:v>40,00%</c:v>
                </c:pt>
                <c:pt idx="1447">
                  <c:v>40,00%</c:v>
                </c:pt>
                <c:pt idx="1448">
                  <c:v>52,44%</c:v>
                </c:pt>
                <c:pt idx="1449">
                  <c:v>100,00%</c:v>
                </c:pt>
                <c:pt idx="1450">
                  <c:v>100,00%</c:v>
                </c:pt>
                <c:pt idx="1452">
                  <c:v>78,53%</c:v>
                </c:pt>
                <c:pt idx="1453">
                  <c:v>60,00%</c:v>
                </c:pt>
                <c:pt idx="1454">
                  <c:v>50,00%</c:v>
                </c:pt>
                <c:pt idx="1455">
                  <c:v>100,00%</c:v>
                </c:pt>
                <c:pt idx="1456">
                  <c:v>31,39%</c:v>
                </c:pt>
                <c:pt idx="1457">
                  <c:v>25,58%</c:v>
                </c:pt>
                <c:pt idx="1458">
                  <c:v>100,00%</c:v>
                </c:pt>
                <c:pt idx="1459">
                  <c:v>48,88%</c:v>
                </c:pt>
                <c:pt idx="1460">
                  <c:v>100,00%</c:v>
                </c:pt>
                <c:pt idx="1461">
                  <c:v>100,00%</c:v>
                </c:pt>
                <c:pt idx="1462">
                  <c:v>18,00%</c:v>
                </c:pt>
                <c:pt idx="1463">
                  <c:v>50,91%</c:v>
                </c:pt>
                <c:pt idx="1464">
                  <c:v>60,00%</c:v>
                </c:pt>
                <c:pt idx="1465">
                  <c:v>50,00%</c:v>
                </c:pt>
                <c:pt idx="1466">
                  <c:v>46,61%</c:v>
                </c:pt>
                <c:pt idx="1467">
                  <c:v>0,00%</c:v>
                </c:pt>
                <c:pt idx="1468">
                  <c:v>36,61%</c:v>
                </c:pt>
                <c:pt idx="1470">
                  <c:v>100,00%</c:v>
                </c:pt>
                <c:pt idx="1471">
                  <c:v>60,00%</c:v>
                </c:pt>
                <c:pt idx="1472">
                  <c:v>50,00%</c:v>
                </c:pt>
                <c:pt idx="1473">
                  <c:v>35,00%</c:v>
                </c:pt>
                <c:pt idx="1474">
                  <c:v>26,90%</c:v>
                </c:pt>
                <c:pt idx="1475">
                  <c:v>23,83%</c:v>
                </c:pt>
                <c:pt idx="1476">
                  <c:v>18,00%</c:v>
                </c:pt>
                <c:pt idx="1477">
                  <c:v>45,16%</c:v>
                </c:pt>
                <c:pt idx="1478">
                  <c:v>48,62%</c:v>
                </c:pt>
                <c:pt idx="1479">
                  <c:v>28,96%</c:v>
                </c:pt>
                <c:pt idx="1480">
                  <c:v>26,60%</c:v>
                </c:pt>
                <c:pt idx="1481">
                  <c:v>8,00%</c:v>
                </c:pt>
                <c:pt idx="1482">
                  <c:v>0,00%</c:v>
                </c:pt>
                <c:pt idx="1483">
                  <c:v>44,82%</c:v>
                </c:pt>
                <c:pt idx="1484">
                  <c:v>41,11%</c:v>
                </c:pt>
                <c:pt idx="1485">
                  <c:v>34,71%</c:v>
                </c:pt>
                <c:pt idx="1486">
                  <c:v>54,17%</c:v>
                </c:pt>
                <c:pt idx="1487">
                  <c:v>60,00%</c:v>
                </c:pt>
                <c:pt idx="1488">
                  <c:v>50,00%</c:v>
                </c:pt>
                <c:pt idx="1489">
                  <c:v>37,65%</c:v>
                </c:pt>
                <c:pt idx="1490">
                  <c:v>25,45%</c:v>
                </c:pt>
                <c:pt idx="1491">
                  <c:v>24,90%</c:v>
                </c:pt>
                <c:pt idx="1492">
                  <c:v>100,00%</c:v>
                </c:pt>
                <c:pt idx="1493">
                  <c:v>48,88%</c:v>
                </c:pt>
                <c:pt idx="1494">
                  <c:v>100,00%</c:v>
                </c:pt>
                <c:pt idx="1495">
                  <c:v>62,69%</c:v>
                </c:pt>
                <c:pt idx="1496">
                  <c:v>100,00%</c:v>
                </c:pt>
                <c:pt idx="1497">
                  <c:v>26,76%</c:v>
                </c:pt>
                <c:pt idx="1498">
                  <c:v>100,00%</c:v>
                </c:pt>
                <c:pt idx="1499">
                  <c:v>100,00%</c:v>
                </c:pt>
                <c:pt idx="1500">
                  <c:v>100,00%</c:v>
                </c:pt>
                <c:pt idx="1501">
                  <c:v>26,38%</c:v>
                </c:pt>
                <c:pt idx="1502">
                  <c:v>28,82%</c:v>
                </c:pt>
                <c:pt idx="1503">
                  <c:v>28,40%</c:v>
                </c:pt>
                <c:pt idx="1504">
                  <c:v>28,73%</c:v>
                </c:pt>
                <c:pt idx="1505">
                  <c:v>41,20%</c:v>
                </c:pt>
                <c:pt idx="1506">
                  <c:v>100,00%</c:v>
                </c:pt>
                <c:pt idx="1507">
                  <c:v>25,58%</c:v>
                </c:pt>
                <c:pt idx="1508">
                  <c:v>66,49%</c:v>
                </c:pt>
                <c:pt idx="1509">
                  <c:v>100,00%</c:v>
                </c:pt>
                <c:pt idx="1510">
                  <c:v>60,00%</c:v>
                </c:pt>
                <c:pt idx="1511">
                  <c:v>50,00%</c:v>
                </c:pt>
                <c:pt idx="1513">
                  <c:v>36,65%</c:v>
                </c:pt>
                <c:pt idx="1514">
                  <c:v>34,71%</c:v>
                </c:pt>
                <c:pt idx="1515">
                  <c:v>#DIV/0!</c:v>
                </c:pt>
                <c:pt idx="1516">
                  <c:v>#DIV/0!</c:v>
                </c:pt>
                <c:pt idx="1517">
                  <c:v>60,00%</c:v>
                </c:pt>
                <c:pt idx="1518">
                  <c:v>50,00%</c:v>
                </c:pt>
                <c:pt idx="1519">
                  <c:v>100,00%</c:v>
                </c:pt>
                <c:pt idx="1520">
                  <c:v>44,07%</c:v>
                </c:pt>
                <c:pt idx="1521">
                  <c:v>0,00%</c:v>
                </c:pt>
                <c:pt idx="1522">
                  <c:v>38,98%</c:v>
                </c:pt>
                <c:pt idx="1523">
                  <c:v>41,27%</c:v>
                </c:pt>
                <c:pt idx="1524">
                  <c:v>0,00%</c:v>
                </c:pt>
                <c:pt idx="1525">
                  <c:v>100,00%</c:v>
                </c:pt>
                <c:pt idx="1526">
                  <c:v>60,00%</c:v>
                </c:pt>
                <c:pt idx="1527">
                  <c:v>50,00%</c:v>
                </c:pt>
                <c:pt idx="1528">
                  <c:v>35,00%</c:v>
                </c:pt>
                <c:pt idx="1529">
                  <c:v>48,88%</c:v>
                </c:pt>
                <c:pt idx="1530">
                  <c:v>48,88%</c:v>
                </c:pt>
                <c:pt idx="1531">
                  <c:v>60,00%</c:v>
                </c:pt>
                <c:pt idx="1532">
                  <c:v>50,00%</c:v>
                </c:pt>
                <c:pt idx="1533">
                  <c:v>60,00%</c:v>
                </c:pt>
                <c:pt idx="1534">
                  <c:v>50,00%</c:v>
                </c:pt>
                <c:pt idx="1535">
                  <c:v>40,00%</c:v>
                </c:pt>
                <c:pt idx="1536">
                  <c:v>42,16%</c:v>
                </c:pt>
                <c:pt idx="1537">
                  <c:v>0,00%</c:v>
                </c:pt>
                <c:pt idx="1538">
                  <c:v>18,36%</c:v>
                </c:pt>
                <c:pt idx="1539">
                  <c:v>7,24%</c:v>
                </c:pt>
                <c:pt idx="1540">
                  <c:v>18,91%</c:v>
                </c:pt>
                <c:pt idx="1541">
                  <c:v>46,77%</c:v>
                </c:pt>
                <c:pt idx="1542">
                  <c:v>28,74%</c:v>
                </c:pt>
                <c:pt idx="1543">
                  <c:v>59,71%</c:v>
                </c:pt>
                <c:pt idx="1544">
                  <c:v>28,57%</c:v>
                </c:pt>
                <c:pt idx="1545">
                  <c:v>100,00%</c:v>
                </c:pt>
                <c:pt idx="1546">
                  <c:v>16,88%</c:v>
                </c:pt>
                <c:pt idx="1547">
                  <c:v>60,00%</c:v>
                </c:pt>
                <c:pt idx="1548">
                  <c:v>50,00%</c:v>
                </c:pt>
                <c:pt idx="1549">
                  <c:v>46,63%</c:v>
                </c:pt>
                <c:pt idx="1550">
                  <c:v>46,68%</c:v>
                </c:pt>
                <c:pt idx="1551">
                  <c:v>0,00%</c:v>
                </c:pt>
                <c:pt idx="1552">
                  <c:v>-37,41%</c:v>
                </c:pt>
                <c:pt idx="1553">
                  <c:v>0,00%</c:v>
                </c:pt>
                <c:pt idx="1554">
                  <c:v>60,00%</c:v>
                </c:pt>
                <c:pt idx="1555">
                  <c:v>50,00%</c:v>
                </c:pt>
                <c:pt idx="1556">
                  <c:v>60,00%</c:v>
                </c:pt>
                <c:pt idx="1557">
                  <c:v>50,00%</c:v>
                </c:pt>
                <c:pt idx="1558">
                  <c:v>60,00%</c:v>
                </c:pt>
                <c:pt idx="1559">
                  <c:v>50,00%</c:v>
                </c:pt>
                <c:pt idx="1560">
                  <c:v>35,00%</c:v>
                </c:pt>
                <c:pt idx="1561">
                  <c:v>35,00%</c:v>
                </c:pt>
                <c:pt idx="1562">
                  <c:v>44,83%</c:v>
                </c:pt>
                <c:pt idx="1563">
                  <c:v>100,00%</c:v>
                </c:pt>
                <c:pt idx="1564">
                  <c:v>60,00%</c:v>
                </c:pt>
                <c:pt idx="1565">
                  <c:v>50,00%</c:v>
                </c:pt>
                <c:pt idx="1566">
                  <c:v>-29,30%</c:v>
                </c:pt>
                <c:pt idx="1567">
                  <c:v>0,00%</c:v>
                </c:pt>
                <c:pt idx="1568">
                  <c:v>22,23%</c:v>
                </c:pt>
                <c:pt idx="1569">
                  <c:v>28,87%</c:v>
                </c:pt>
                <c:pt idx="1570">
                  <c:v>35,31%</c:v>
                </c:pt>
                <c:pt idx="1571">
                  <c:v>100,00%</c:v>
                </c:pt>
                <c:pt idx="1572">
                  <c:v>100,00%</c:v>
                </c:pt>
                <c:pt idx="1573">
                  <c:v>100,00%</c:v>
                </c:pt>
                <c:pt idx="1574">
                  <c:v>60,00%</c:v>
                </c:pt>
                <c:pt idx="1575">
                  <c:v>50,00%</c:v>
                </c:pt>
                <c:pt idx="1576">
                  <c:v>41,11%</c:v>
                </c:pt>
                <c:pt idx="1577">
                  <c:v>60,00%</c:v>
                </c:pt>
                <c:pt idx="1578">
                  <c:v>50,00%</c:v>
                </c:pt>
                <c:pt idx="1579">
                  <c:v>35,00%</c:v>
                </c:pt>
                <c:pt idx="1580">
                  <c:v>100,00%</c:v>
                </c:pt>
                <c:pt idx="1581">
                  <c:v>100,00%</c:v>
                </c:pt>
                <c:pt idx="1582">
                  <c:v>50,64%</c:v>
                </c:pt>
                <c:pt idx="1583">
                  <c:v>60,00%</c:v>
                </c:pt>
                <c:pt idx="1584">
                  <c:v>50,00%</c:v>
                </c:pt>
                <c:pt idx="1585">
                  <c:v>48,88%</c:v>
                </c:pt>
                <c:pt idx="1586">
                  <c:v>44,78%</c:v>
                </c:pt>
                <c:pt idx="1587">
                  <c:v>41,11%</c:v>
                </c:pt>
                <c:pt idx="1588">
                  <c:v>24,29%</c:v>
                </c:pt>
                <c:pt idx="1589">
                  <c:v>-100,00%</c:v>
                </c:pt>
                <c:pt idx="1590">
                  <c:v>100,00%</c:v>
                </c:pt>
                <c:pt idx="1591">
                  <c:v>100,00%</c:v>
                </c:pt>
                <c:pt idx="1592">
                  <c:v>100,00%</c:v>
                </c:pt>
                <c:pt idx="1593">
                  <c:v>100,00%</c:v>
                </c:pt>
                <c:pt idx="1594">
                  <c:v>35,00%</c:v>
                </c:pt>
                <c:pt idx="1595">
                  <c:v>100,00%</c:v>
                </c:pt>
                <c:pt idx="1596">
                  <c:v>46,61%</c:v>
                </c:pt>
                <c:pt idx="1597">
                  <c:v>0,00%</c:v>
                </c:pt>
                <c:pt idx="1598">
                  <c:v>45,00%</c:v>
                </c:pt>
                <c:pt idx="1599">
                  <c:v>54,37%</c:v>
                </c:pt>
                <c:pt idx="1600">
                  <c:v>44,07%</c:v>
                </c:pt>
                <c:pt idx="1601">
                  <c:v>46,03%</c:v>
                </c:pt>
                <c:pt idx="1603">
                  <c:v>0,00%</c:v>
                </c:pt>
                <c:pt idx="1604">
                  <c:v>100,00%</c:v>
                </c:pt>
                <c:pt idx="1605">
                  <c:v>100,00%</c:v>
                </c:pt>
                <c:pt idx="1606">
                  <c:v>43,30%</c:v>
                </c:pt>
                <c:pt idx="1607">
                  <c:v>0,00%</c:v>
                </c:pt>
                <c:pt idx="1608">
                  <c:v>45,76%</c:v>
                </c:pt>
                <c:pt idx="1609">
                  <c:v>46,68%</c:v>
                </c:pt>
                <c:pt idx="1610">
                  <c:v>21,58%</c:v>
                </c:pt>
                <c:pt idx="1611">
                  <c:v>0,00%</c:v>
                </c:pt>
                <c:pt idx="1612">
                  <c:v>50,78%</c:v>
                </c:pt>
                <c:pt idx="1613">
                  <c:v>24,29%</c:v>
                </c:pt>
                <c:pt idx="1614">
                  <c:v>100,00%</c:v>
                </c:pt>
                <c:pt idx="1615">
                  <c:v>100,00%</c:v>
                </c:pt>
                <c:pt idx="1616">
                  <c:v>100,00%</c:v>
                </c:pt>
                <c:pt idx="1617">
                  <c:v>50,00%</c:v>
                </c:pt>
                <c:pt idx="1618">
                  <c:v>100,00%</c:v>
                </c:pt>
                <c:pt idx="1619">
                  <c:v>52,11%</c:v>
                </c:pt>
                <c:pt idx="1620">
                  <c:v>24,29%</c:v>
                </c:pt>
                <c:pt idx="1621">
                  <c:v>60,00%</c:v>
                </c:pt>
                <c:pt idx="1622">
                  <c:v>50,00%</c:v>
                </c:pt>
                <c:pt idx="1623">
                  <c:v>60,00%</c:v>
                </c:pt>
                <c:pt idx="1624">
                  <c:v>50,00%</c:v>
                </c:pt>
                <c:pt idx="1625">
                  <c:v>50,64%</c:v>
                </c:pt>
                <c:pt idx="1626">
                  <c:v>60,00%</c:v>
                </c:pt>
                <c:pt idx="1627">
                  <c:v>0,00%</c:v>
                </c:pt>
                <c:pt idx="1628">
                  <c:v>100,00%</c:v>
                </c:pt>
                <c:pt idx="1629">
                  <c:v>45,00%</c:v>
                </c:pt>
                <c:pt idx="1630">
                  <c:v>25,58%</c:v>
                </c:pt>
                <c:pt idx="1631">
                  <c:v>100,00%</c:v>
                </c:pt>
                <c:pt idx="1632">
                  <c:v>60,00%</c:v>
                </c:pt>
                <c:pt idx="1633">
                  <c:v>50,00%</c:v>
                </c:pt>
                <c:pt idx="1634">
                  <c:v>40,00%</c:v>
                </c:pt>
                <c:pt idx="1635">
                  <c:v>30,32%</c:v>
                </c:pt>
                <c:pt idx="1636">
                  <c:v>28,38%</c:v>
                </c:pt>
                <c:pt idx="1637">
                  <c:v>21,49%</c:v>
                </c:pt>
                <c:pt idx="1638">
                  <c:v>100,00%</c:v>
                </c:pt>
                <c:pt idx="1639">
                  <c:v>100,00%</c:v>
                </c:pt>
                <c:pt idx="1640">
                  <c:v>100,00%</c:v>
                </c:pt>
                <c:pt idx="1641">
                  <c:v>100,00%</c:v>
                </c:pt>
                <c:pt idx="1642">
                  <c:v>48,49%</c:v>
                </c:pt>
                <c:pt idx="1643">
                  <c:v>0,00%</c:v>
                </c:pt>
                <c:pt idx="1644">
                  <c:v>38,90%</c:v>
                </c:pt>
                <c:pt idx="1645">
                  <c:v>0,00%</c:v>
                </c:pt>
                <c:pt idx="1646">
                  <c:v>60,00%</c:v>
                </c:pt>
                <c:pt idx="1647">
                  <c:v>50,00%</c:v>
                </c:pt>
                <c:pt idx="1648">
                  <c:v>42,92%</c:v>
                </c:pt>
                <c:pt idx="1649">
                  <c:v>0,00%</c:v>
                </c:pt>
                <c:pt idx="1650">
                  <c:v>24,29%</c:v>
                </c:pt>
                <c:pt idx="1651">
                  <c:v>52,44%</c:v>
                </c:pt>
                <c:pt idx="1652">
                  <c:v>51,83%</c:v>
                </c:pt>
                <c:pt idx="1653">
                  <c:v>0,00%</c:v>
                </c:pt>
                <c:pt idx="1654">
                  <c:v>50,00%</c:v>
                </c:pt>
                <c:pt idx="1655">
                  <c:v>27,13%</c:v>
                </c:pt>
                <c:pt idx="1656">
                  <c:v>53,51%</c:v>
                </c:pt>
                <c:pt idx="1657">
                  <c:v>36,92%</c:v>
                </c:pt>
                <c:pt idx="1658">
                  <c:v>34,71%</c:v>
                </c:pt>
                <c:pt idx="1659">
                  <c:v>100,00%</c:v>
                </c:pt>
                <c:pt idx="1660">
                  <c:v>42,25%</c:v>
                </c:pt>
                <c:pt idx="1661">
                  <c:v>25,00%</c:v>
                </c:pt>
                <c:pt idx="1662">
                  <c:v>0,00%</c:v>
                </c:pt>
                <c:pt idx="1663">
                  <c:v>100,00%</c:v>
                </c:pt>
                <c:pt idx="1664">
                  <c:v>100,00%</c:v>
                </c:pt>
                <c:pt idx="1665">
                  <c:v>60,00%</c:v>
                </c:pt>
                <c:pt idx="1666">
                  <c:v>50,00%</c:v>
                </c:pt>
                <c:pt idx="1667">
                  <c:v>60,00%</c:v>
                </c:pt>
                <c:pt idx="1668">
                  <c:v>50,00%</c:v>
                </c:pt>
                <c:pt idx="1669">
                  <c:v>44,07%</c:v>
                </c:pt>
                <c:pt idx="1670">
                  <c:v>0,00%</c:v>
                </c:pt>
                <c:pt idx="1671">
                  <c:v>100,00%</c:v>
                </c:pt>
                <c:pt idx="1672">
                  <c:v>60,00%</c:v>
                </c:pt>
                <c:pt idx="1673">
                  <c:v>50,00%</c:v>
                </c:pt>
                <c:pt idx="1674">
                  <c:v>46,76%</c:v>
                </c:pt>
                <c:pt idx="1675">
                  <c:v>0,00%</c:v>
                </c:pt>
                <c:pt idx="1676">
                  <c:v>60,00%</c:v>
                </c:pt>
                <c:pt idx="1677">
                  <c:v>50,00%</c:v>
                </c:pt>
                <c:pt idx="1678">
                  <c:v>100,00%</c:v>
                </c:pt>
                <c:pt idx="1679">
                  <c:v>100,00%</c:v>
                </c:pt>
                <c:pt idx="1680">
                  <c:v>60,00%</c:v>
                </c:pt>
                <c:pt idx="1681">
                  <c:v>50,00%</c:v>
                </c:pt>
                <c:pt idx="1682">
                  <c:v>100,00%</c:v>
                </c:pt>
                <c:pt idx="1683">
                  <c:v>100,00%</c:v>
                </c:pt>
                <c:pt idx="1684">
                  <c:v>60,00%</c:v>
                </c:pt>
                <c:pt idx="1685">
                  <c:v>50,00%</c:v>
                </c:pt>
                <c:pt idx="1686">
                  <c:v>100,00%</c:v>
                </c:pt>
                <c:pt idx="1687">
                  <c:v>100,00%</c:v>
                </c:pt>
                <c:pt idx="1688">
                  <c:v>100,00%</c:v>
                </c:pt>
                <c:pt idx="1689">
                  <c:v>100,00%</c:v>
                </c:pt>
                <c:pt idx="1690">
                  <c:v>45,01%</c:v>
                </c:pt>
                <c:pt idx="1691">
                  <c:v>0,00%</c:v>
                </c:pt>
                <c:pt idx="1692">
                  <c:v>41,91%</c:v>
                </c:pt>
                <c:pt idx="1693">
                  <c:v>33,27%</c:v>
                </c:pt>
                <c:pt idx="1694">
                  <c:v>60,00%</c:v>
                </c:pt>
                <c:pt idx="1695">
                  <c:v>50,00%</c:v>
                </c:pt>
                <c:pt idx="1696">
                  <c:v>100,00%</c:v>
                </c:pt>
                <c:pt idx="1697">
                  <c:v>60,00%</c:v>
                </c:pt>
                <c:pt idx="1698">
                  <c:v>50,00%</c:v>
                </c:pt>
                <c:pt idx="1699">
                  <c:v>44,78%</c:v>
                </c:pt>
                <c:pt idx="1700">
                  <c:v>52,11%</c:v>
                </c:pt>
                <c:pt idx="1701">
                  <c:v>13,47%</c:v>
                </c:pt>
                <c:pt idx="1702">
                  <c:v>41,11%</c:v>
                </c:pt>
                <c:pt idx="1703">
                  <c:v>64,29%</c:v>
                </c:pt>
                <c:pt idx="1704">
                  <c:v>100,00%</c:v>
                </c:pt>
                <c:pt idx="1705">
                  <c:v>37,42%</c:v>
                </c:pt>
                <c:pt idx="1706">
                  <c:v>45,29%</c:v>
                </c:pt>
                <c:pt idx="1707">
                  <c:v>43,98%</c:v>
                </c:pt>
                <c:pt idx="1708">
                  <c:v>100,00%</c:v>
                </c:pt>
                <c:pt idx="1709">
                  <c:v>53,51%</c:v>
                </c:pt>
                <c:pt idx="1710">
                  <c:v>36,92%</c:v>
                </c:pt>
                <c:pt idx="1711">
                  <c:v>100,00%</c:v>
                </c:pt>
                <c:pt idx="1712">
                  <c:v>49,68%</c:v>
                </c:pt>
                <c:pt idx="1713">
                  <c:v>36,92%</c:v>
                </c:pt>
                <c:pt idx="1714">
                  <c:v>28,47%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Sheet1!$A$1717:$AC$4445</c:f>
              <c:multiLvlStrCache>
                <c:ptCount val="7"/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0">
                    <c:v>MH320</c:v>
                  </c:pt>
                  <c:pt idx="1">
                    <c:v>MH320</c:v>
                  </c:pt>
                  <c:pt idx="2">
                    <c:v>MH320</c:v>
                  </c:pt>
                  <c:pt idx="3">
                    <c:v>MH320</c:v>
                  </c:pt>
                  <c:pt idx="4">
                    <c:v>MH320</c:v>
                  </c:pt>
                  <c:pt idx="5">
                    <c:v>MH320</c:v>
                  </c:pt>
                  <c:pt idx="6">
                    <c:v>MH320</c:v>
                  </c:pt>
                </c:lvl>
                <c:lvl>
                  <c:pt idx="0">
                    <c:v>OPCIONAIS</c:v>
                  </c:pt>
                  <c:pt idx="1">
                    <c:v>OPCIONAIS</c:v>
                  </c:pt>
                  <c:pt idx="2">
                    <c:v>OPCIONAIS</c:v>
                  </c:pt>
                  <c:pt idx="3">
                    <c:v>OPCIONAIS</c:v>
                  </c:pt>
                  <c:pt idx="4">
                    <c:v>OPCIONAIS</c:v>
                  </c:pt>
                  <c:pt idx="5">
                    <c:v>OPCIONAIS</c:v>
                  </c:pt>
                  <c:pt idx="6">
                    <c:v>OPCIONAIS</c:v>
                  </c:pt>
                </c:lvl>
                <c:lvl>
                  <c:pt idx="0">
                    <c:v>EQUIPAMENTOS</c:v>
                  </c:pt>
                  <c:pt idx="1">
                    <c:v>EQUIPAMENTOS</c:v>
                  </c:pt>
                  <c:pt idx="2">
                    <c:v>EQUIPAMENTOS</c:v>
                  </c:pt>
                  <c:pt idx="3">
                    <c:v>EQUIPAMENTOS</c:v>
                  </c:pt>
                  <c:pt idx="4">
                    <c:v>EQUIPAMENTOS</c:v>
                  </c:pt>
                  <c:pt idx="5">
                    <c:v>EQUIPAMENTOS</c:v>
                  </c:pt>
                  <c:pt idx="6">
                    <c:v>EQUIPAMENTOS</c:v>
                  </c:pt>
                </c:lvl>
                <c:lvl>
                  <c:pt idx="0">
                    <c:v>26,38%</c:v>
                  </c:pt>
                  <c:pt idx="1">
                    <c:v>14,31%</c:v>
                  </c:pt>
                  <c:pt idx="2">
                    <c:v>33,46%</c:v>
                  </c:pt>
                  <c:pt idx="3">
                    <c:v>30,49%</c:v>
                  </c:pt>
                  <c:pt idx="4">
                    <c:v>30,49%</c:v>
                  </c:pt>
                  <c:pt idx="5">
                    <c:v>26,38%</c:v>
                  </c:pt>
                  <c:pt idx="6">
                    <c:v>22,23%</c:v>
                  </c:pt>
                </c:lvl>
                <c:lvl>
                  <c:pt idx="0">
                    <c:v>1244,2445</c:v>
                  </c:pt>
                  <c:pt idx="1">
                    <c:v>1244,2445</c:v>
                  </c:pt>
                  <c:pt idx="2">
                    <c:v>1244,2445</c:v>
                  </c:pt>
                  <c:pt idx="3">
                    <c:v>1244,2445</c:v>
                  </c:pt>
                  <c:pt idx="4">
                    <c:v>1244,2445</c:v>
                  </c:pt>
                  <c:pt idx="5">
                    <c:v>1244,2444</c:v>
                  </c:pt>
                  <c:pt idx="6">
                    <c:v>1244,2445</c:v>
                  </c:pt>
                </c:lvl>
                <c:lvl>
                  <c:pt idx="0">
                    <c:v>2078,7</c:v>
                  </c:pt>
                  <c:pt idx="1">
                    <c:v>1785,96</c:v>
                  </c:pt>
                  <c:pt idx="2">
                    <c:v>2300,1</c:v>
                  </c:pt>
                  <c:pt idx="3">
                    <c:v>2201,7</c:v>
                  </c:pt>
                  <c:pt idx="4">
                    <c:v>2201,7</c:v>
                  </c:pt>
                  <c:pt idx="5">
                    <c:v>2078,7</c:v>
                  </c:pt>
                  <c:pt idx="6">
                    <c:v>1968</c:v>
                  </c:pt>
                </c:lvl>
                <c:lvl>
                  <c:pt idx="0">
                    <c:v>388,7</c:v>
                  </c:pt>
                  <c:pt idx="1">
                    <c:v>333,96</c:v>
                  </c:pt>
                  <c:pt idx="2">
                    <c:v>430,1</c:v>
                  </c:pt>
                  <c:pt idx="3">
                    <c:v>411,7</c:v>
                  </c:pt>
                  <c:pt idx="4">
                    <c:v>411,7</c:v>
                  </c:pt>
                  <c:pt idx="5">
                    <c:v>388,7</c:v>
                  </c:pt>
                  <c:pt idx="6">
                    <c:v>368</c:v>
                  </c:pt>
                </c:lvl>
                <c:lvl>
                  <c:pt idx="0">
                    <c:v>1690</c:v>
                  </c:pt>
                  <c:pt idx="1">
                    <c:v>1452</c:v>
                  </c:pt>
                  <c:pt idx="2">
                    <c:v>1870</c:v>
                  </c:pt>
                  <c:pt idx="3">
                    <c:v>1790</c:v>
                  </c:pt>
                  <c:pt idx="4">
                    <c:v>1790</c:v>
                  </c:pt>
                  <c:pt idx="5">
                    <c:v>1690</c:v>
                  </c:pt>
                  <c:pt idx="6">
                    <c:v>1.600,00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1,000</c:v>
                  </c:pt>
                </c:lvl>
                <c:lvl>
                  <c:pt idx="0">
                    <c:v>MH-320 MOUTING HELP DEVICE</c:v>
                  </c:pt>
                  <c:pt idx="1">
                    <c:v>MH-320 MOUTING HELP DEVICE</c:v>
                  </c:pt>
                  <c:pt idx="2">
                    <c:v>MH-320 MOUTING HELP DEVICE</c:v>
                  </c:pt>
                  <c:pt idx="3">
                    <c:v>MH-320 MOUTING HELP DEVICE</c:v>
                  </c:pt>
                  <c:pt idx="4">
                    <c:v>MH-320 MOUTING HELP DEVICE</c:v>
                  </c:pt>
                  <c:pt idx="5">
                    <c:v>MH-320 MOUTING HELP DEVICE</c:v>
                  </c:pt>
                  <c:pt idx="6">
                    <c:v>MH-320 MOUTING HELP DEVICE</c:v>
                  </c:pt>
                </c:lvl>
                <c:lvl>
                  <c:pt idx="0">
                    <c:v>01-6027703</c:v>
                  </c:pt>
                  <c:pt idx="1">
                    <c:v>01-6027703</c:v>
                  </c:pt>
                  <c:pt idx="2">
                    <c:v>01-6027703</c:v>
                  </c:pt>
                  <c:pt idx="3">
                    <c:v>01-6027703</c:v>
                  </c:pt>
                  <c:pt idx="4">
                    <c:v>01-6027703</c:v>
                  </c:pt>
                  <c:pt idx="5">
                    <c:v>01-6027703</c:v>
                  </c:pt>
                  <c:pt idx="6">
                    <c:v>01-6027703</c:v>
                  </c:pt>
                </c:lvl>
                <c:lvl>
                  <c:pt idx="0">
                    <c:v>JBEAN</c:v>
                  </c:pt>
                  <c:pt idx="1">
                    <c:v>JBEAN</c:v>
                  </c:pt>
                  <c:pt idx="2">
                    <c:v>JBEAN</c:v>
                  </c:pt>
                  <c:pt idx="3">
                    <c:v>JBEAN</c:v>
                  </c:pt>
                  <c:pt idx="4">
                    <c:v>JBEAN</c:v>
                  </c:pt>
                  <c:pt idx="5">
                    <c:v>JBEAN</c:v>
                  </c:pt>
                  <c:pt idx="6">
                    <c:v>JBEAN</c:v>
                  </c:pt>
                </c:lvl>
                <c:lvl>
                  <c:pt idx="3">
                    <c:v>FT1788</c:v>
                  </c:pt>
                  <c:pt idx="5">
                    <c:v>FT2166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  <c:pt idx="6">
                    <c:v>JOÃO REBELO</c:v>
                  </c:pt>
                </c:lvl>
                <c:lvl>
                  <c:pt idx="1">
                    <c:v>LISBOA</c:v>
                  </c:pt>
                  <c:pt idx="3">
                    <c:v>COIMBRA</c:v>
                  </c:pt>
                  <c:pt idx="5">
                    <c:v>VISEU</c:v>
                  </c:pt>
                  <c:pt idx="6">
                    <c:v>COIMBRA</c:v>
                  </c:pt>
                </c:lvl>
                <c:lvl>
                  <c:pt idx="5">
                    <c:v>926769894</c:v>
                  </c:pt>
                </c:lvl>
                <c:lvl>
                  <c:pt idx="1">
                    <c:v>info@candor.pt</c:v>
                  </c:pt>
                  <c:pt idx="3">
                    <c:v>atelierdaborracha@gmail.com</c:v>
                  </c:pt>
                  <c:pt idx="5">
                    <c:v>fernandomiguelmatos@gmail.com</c:v>
                  </c:pt>
                </c:lvl>
                <c:lvl>
                  <c:pt idx="1">
                    <c:v>LISBOA</c:v>
                  </c:pt>
                  <c:pt idx="3">
                    <c:v>FUIGUEIRA DA FOZ</c:v>
                  </c:pt>
                  <c:pt idx="5">
                    <c:v>ARGANIL</c:v>
                  </c:pt>
                </c:lvl>
                <c:lvl>
                  <c:pt idx="1">
                    <c:v>DM</c:v>
                  </c:pt>
                  <c:pt idx="3">
                    <c:v>RUI FERREIRA</c:v>
                  </c:pt>
                  <c:pt idx="5">
                    <c:v>JOÃO REBELO</c:v>
                  </c:pt>
                </c:lvl>
                <c:lvl>
                  <c:pt idx="1">
                    <c:v>513626930</c:v>
                  </c:pt>
                  <c:pt idx="3">
                    <c:v>518312798</c:v>
                  </c:pt>
                  <c:pt idx="5">
                    <c:v>212196260</c:v>
                  </c:pt>
                </c:lvl>
                <c:lvl>
                  <c:pt idx="1">
                    <c:v>EMPRESA</c:v>
                  </c:pt>
                  <c:pt idx="3">
                    <c:v>INDEPENDENTE</c:v>
                  </c:pt>
                  <c:pt idx="5">
                    <c:v>INDEPENDENTE</c:v>
                  </c:pt>
                  <c:pt idx="6">
                    <c:v>INDEPENDENTE</c:v>
                  </c:pt>
                </c:lvl>
                <c:lvl>
                  <c:pt idx="1">
                    <c:v>GERAL</c:v>
                  </c:pt>
                  <c:pt idx="3">
                    <c:v>PNEUS</c:v>
                  </c:pt>
                  <c:pt idx="5">
                    <c:v>GERAL</c:v>
                  </c:pt>
                  <c:pt idx="6">
                    <c:v>PNEUS</c:v>
                  </c:pt>
                </c:lvl>
                <c:lvl>
                  <c:pt idx="0">
                    <c:v>JOSÉ MANUEL PIMENTA &amp; FILHO UNIPESSOAL LDA</c:v>
                  </c:pt>
                  <c:pt idx="1">
                    <c:v>LIQUIDO, SA</c:v>
                  </c:pt>
                  <c:pt idx="2">
                    <c:v>NUNO MIGUEL MARTINS OLIVEIRA</c:v>
                  </c:pt>
                  <c:pt idx="3">
                    <c:v>ATELIER DA BORRACHA - COMERCIO E REPARAÇÃO DE PNEUS UNIPESSOAL LDA</c:v>
                  </c:pt>
                  <c:pt idx="4">
                    <c:v>O.D.PNEUS, LDA</c:v>
                  </c:pt>
                  <c:pt idx="5">
                    <c:v>FERNANDO MIGUEL ANDRE MATOS</c:v>
                  </c:pt>
                  <c:pt idx="6">
                    <c:v>MARIPNEUS,LDA(LIQUIDO, SA)</c:v>
                  </c:pt>
                </c:lvl>
                <c:lvl>
                  <c:pt idx="0">
                    <c:v>8</c:v>
                  </c:pt>
                  <c:pt idx="1">
                    <c:v>10</c:v>
                  </c:pt>
                  <c:pt idx="2">
                    <c:v>10</c:v>
                  </c:pt>
                  <c:pt idx="3">
                    <c:v>12</c:v>
                  </c:pt>
                  <c:pt idx="4">
                    <c:v>9</c:v>
                  </c:pt>
                  <c:pt idx="5">
                    <c:v>3</c:v>
                  </c:pt>
                  <c:pt idx="6">
                    <c:v>7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2026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Sheet1!$AL$1717:$AL$4445</c:f>
              <c:numCache>
                <c:formatCode>0.00%</c:formatCode>
                <c:ptCount val="7"/>
                <c:pt idx="0">
                  <c:v>0.26376065088757394</c:v>
                </c:pt>
                <c:pt idx="1">
                  <c:v>0.14308230027548208</c:v>
                </c:pt>
                <c:pt idx="2">
                  <c:v>0.33462860962566843</c:v>
                </c:pt>
                <c:pt idx="3">
                  <c:v>0.30489134078212288</c:v>
                </c:pt>
                <c:pt idx="4">
                  <c:v>0.30489134078212288</c:v>
                </c:pt>
                <c:pt idx="5">
                  <c:v>0.26376071005917157</c:v>
                </c:pt>
                <c:pt idx="6">
                  <c:v>0.22234718749999999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945-41EE-B830-FF721DD5CB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5209088"/>
        <c:axId val="735199008"/>
      </c:barChart>
      <c:catAx>
        <c:axId val="73520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5199008"/>
        <c:crosses val="autoZero"/>
        <c:auto val="1"/>
        <c:lblAlgn val="ctr"/>
        <c:lblOffset val="100"/>
        <c:noMultiLvlLbl val="0"/>
      </c:catAx>
      <c:valAx>
        <c:axId val="7351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520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DC215C7-8A5B-4F8E-87DC-347C8D967BB4}">
  <sheetPr/>
  <sheetViews>
    <sheetView zoomScale="11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408" cy="607427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C41B1D4-9D31-0DEA-6C24-8D46B3B7BD7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55"/>
  <sheetViews>
    <sheetView tabSelected="1" topLeftCell="I1" workbookViewId="0">
      <pane ySplit="1" topLeftCell="A362" activePane="bottomLeft" state="frozen"/>
      <selection pane="bottomLeft" activeCell="W1934" sqref="W1934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3237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3237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3237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3237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3237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3237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3237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3237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3237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3237</v>
      </c>
      <c r="AA11" s="2" t="s">
        <v>72</v>
      </c>
      <c r="AB11" s="2" t="s">
        <v>69</v>
      </c>
      <c r="AC11" s="2" t="s">
        <v>3242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3237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3281</v>
      </c>
      <c r="M13" s="2" t="s">
        <v>81</v>
      </c>
      <c r="O13" s="2" t="s">
        <v>3208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3237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3281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3237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3155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3237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3237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3237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3237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3182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3237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3237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3237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3237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3237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3237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3237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3237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3237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3237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3237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3237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3237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3237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3237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3237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3237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3237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3237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3237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3237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3237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3237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3237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3237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3237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3123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3237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3123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3237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3123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3237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3123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3237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3123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3237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3123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3237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3123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3237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3123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3237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3123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3237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3123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3237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3123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3237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3123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3237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3123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3237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3123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3237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3123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3237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3123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3237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3123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3237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3123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3237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3123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3237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3123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3237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3123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3237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3123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3237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3123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3237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3123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3237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3123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3237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3123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3237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3123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3237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3123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3237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3123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3237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3123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3237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3123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3237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3123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3237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3123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3237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3123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3237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3123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3237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3123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3237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3237</v>
      </c>
      <c r="AA100" s="2" t="s">
        <v>72</v>
      </c>
      <c r="AB100" s="2" t="s">
        <v>69</v>
      </c>
      <c r="AC100" s="2" t="s">
        <v>3242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3237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3237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3237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3237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3237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3237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3237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3237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3237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3237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3237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3237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3184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3183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3237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3237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3237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3242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3237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3237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3124</v>
      </c>
      <c r="J124" s="2" t="s">
        <v>3125</v>
      </c>
      <c r="L124" s="2" t="s">
        <v>113</v>
      </c>
      <c r="M124" s="2" t="s">
        <v>40</v>
      </c>
      <c r="O124" s="2" t="s">
        <v>3126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3124</v>
      </c>
      <c r="J125" s="2" t="s">
        <v>3125</v>
      </c>
      <c r="L125" s="2" t="s">
        <v>113</v>
      </c>
      <c r="M125" s="2" t="s">
        <v>40</v>
      </c>
      <c r="O125" s="2" t="s">
        <v>3126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3124</v>
      </c>
      <c r="J126" s="2" t="s">
        <v>3125</v>
      </c>
      <c r="L126" s="2" t="s">
        <v>113</v>
      </c>
      <c r="M126" s="2" t="s">
        <v>40</v>
      </c>
      <c r="O126" s="2" t="s">
        <v>3126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3237</v>
      </c>
      <c r="AA127" s="2" t="s">
        <v>72</v>
      </c>
      <c r="AB127" s="2" t="s">
        <v>69</v>
      </c>
      <c r="AC127" s="2" t="s">
        <v>3242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3237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3237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3237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3237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3237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3237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3237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3237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3237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3237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3237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3237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3237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3237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3237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3237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3237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3129</v>
      </c>
      <c r="K155" s="2">
        <v>917575485</v>
      </c>
      <c r="L155" s="2" t="s">
        <v>462</v>
      </c>
      <c r="M155" s="2" t="s">
        <v>41</v>
      </c>
      <c r="O155" s="2" t="s">
        <v>3131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3237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3129</v>
      </c>
      <c r="K156" s="2">
        <v>917575485</v>
      </c>
      <c r="L156" s="2" t="s">
        <v>462</v>
      </c>
      <c r="M156" s="2" t="s">
        <v>41</v>
      </c>
      <c r="O156" s="2" t="s">
        <v>3131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3237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3392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3237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3237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hidden="1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3237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hidden="1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3237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hidden="1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3237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3237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3237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3392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3237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3237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3392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3237</v>
      </c>
      <c r="AA173" s="2" t="s">
        <v>46</v>
      </c>
      <c r="AB173" s="2" t="s">
        <v>61</v>
      </c>
      <c r="AC173" s="2" t="s">
        <v>3343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3237</v>
      </c>
      <c r="AA174" s="2" t="s">
        <v>46</v>
      </c>
      <c r="AB174" s="2" t="s">
        <v>61</v>
      </c>
      <c r="AC174" s="2" t="s">
        <v>3343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2484</v>
      </c>
      <c r="J175" s="2" t="s">
        <v>3132</v>
      </c>
      <c r="K175" s="2">
        <v>965864665</v>
      </c>
      <c r="L175" s="2" t="s">
        <v>345</v>
      </c>
      <c r="M175" s="2" t="s">
        <v>81</v>
      </c>
      <c r="O175" s="2" t="s">
        <v>3133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3237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2484</v>
      </c>
      <c r="J176" s="2" t="s">
        <v>3132</v>
      </c>
      <c r="K176" s="2">
        <v>965864665</v>
      </c>
      <c r="L176" s="2" t="s">
        <v>345</v>
      </c>
      <c r="M176" s="2" t="s">
        <v>81</v>
      </c>
      <c r="O176" s="2" t="s">
        <v>3133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3237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3138</v>
      </c>
      <c r="K181" s="2">
        <v>962555043</v>
      </c>
      <c r="L181" s="2" t="s">
        <v>345</v>
      </c>
      <c r="M181" s="2" t="s">
        <v>40</v>
      </c>
      <c r="O181" s="2" t="s">
        <v>3139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3138</v>
      </c>
      <c r="K182" s="2">
        <v>962555043</v>
      </c>
      <c r="L182" s="2" t="s">
        <v>345</v>
      </c>
      <c r="M182" s="2" t="s">
        <v>40</v>
      </c>
      <c r="O182" s="2" t="s">
        <v>3139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3318</v>
      </c>
      <c r="D183" s="2" t="s">
        <v>3341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hidden="1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3237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hidden="1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3237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hidden="1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3237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hidden="1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3237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hidden="1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3237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3237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3237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hidden="1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3237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3237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hidden="1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3186</v>
      </c>
      <c r="K195" s="2">
        <v>911577458</v>
      </c>
      <c r="L195" s="2" t="s">
        <v>178</v>
      </c>
      <c r="M195" s="2" t="s">
        <v>41</v>
      </c>
      <c r="O195" s="2" t="s">
        <v>3187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3237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hidden="1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3186</v>
      </c>
      <c r="K196" s="2">
        <v>911577458</v>
      </c>
      <c r="L196" s="2" t="s">
        <v>178</v>
      </c>
      <c r="M196" s="2" t="s">
        <v>41</v>
      </c>
      <c r="O196" s="2" t="s">
        <v>3187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3237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3191</v>
      </c>
      <c r="L197" s="2" t="s">
        <v>134</v>
      </c>
      <c r="M197" s="2" t="s">
        <v>40</v>
      </c>
      <c r="O197" s="2" t="s">
        <v>3192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3237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3237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hidden="1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3237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hidden="1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3237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hidden="1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3237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hidden="1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3237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hidden="1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3237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hidden="1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3237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3392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3318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hidden="1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3237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3237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3237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3237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hidden="1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3237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3142</v>
      </c>
      <c r="L222" s="2" t="s">
        <v>178</v>
      </c>
      <c r="M222" s="2" t="s">
        <v>41</v>
      </c>
      <c r="O222" s="2" t="s">
        <v>3141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3237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3142</v>
      </c>
      <c r="L223" s="2" t="s">
        <v>178</v>
      </c>
      <c r="M223" s="2" t="s">
        <v>41</v>
      </c>
      <c r="O223" s="2" t="s">
        <v>3141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3237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3142</v>
      </c>
      <c r="L224" s="2" t="s">
        <v>178</v>
      </c>
      <c r="M224" s="2" t="s">
        <v>41</v>
      </c>
      <c r="O224" s="2" t="s">
        <v>3141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3237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hidden="1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3237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hidden="1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3237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hidden="1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3237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hidden="1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3237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hidden="1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3143</v>
      </c>
      <c r="L229" s="2" t="s">
        <v>178</v>
      </c>
      <c r="M229" s="2" t="s">
        <v>41</v>
      </c>
      <c r="O229" s="2" t="s">
        <v>3144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3237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hidden="1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3237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hidden="1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3237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hidden="1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3237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3194</v>
      </c>
      <c r="J239" s="2" t="s">
        <v>3195</v>
      </c>
      <c r="L239" s="2" t="s">
        <v>202</v>
      </c>
      <c r="M239" s="2" t="s">
        <v>41</v>
      </c>
      <c r="O239" s="2" t="s">
        <v>3196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3237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3194</v>
      </c>
      <c r="J240" s="2" t="s">
        <v>3195</v>
      </c>
      <c r="L240" s="2" t="s">
        <v>202</v>
      </c>
      <c r="M240" s="2" t="s">
        <v>41</v>
      </c>
      <c r="O240" s="2" t="s">
        <v>3196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3237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3237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3237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3237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3201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3237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3237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3237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hidden="1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3237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3237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3237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3237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hidden="1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3237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3237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3237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3237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3237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3197</v>
      </c>
      <c r="L262" s="2" t="s">
        <v>340</v>
      </c>
      <c r="M262" s="2" t="s">
        <v>40</v>
      </c>
      <c r="O262" s="2" t="s">
        <v>3198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3197</v>
      </c>
      <c r="L263" s="2" t="s">
        <v>340</v>
      </c>
      <c r="M263" s="2" t="s">
        <v>40</v>
      </c>
      <c r="O263" s="2" t="s">
        <v>3199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hidden="1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3237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hidden="1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3237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3237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3237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hidden="1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3237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hidden="1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3237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hidden="1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3237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hidden="1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3237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hidden="1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3237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hidden="1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3237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3237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3237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hidden="1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3237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hidden="1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3237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hidden="1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3237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hidden="1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3237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hidden="1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3237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hidden="1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3237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hidden="1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3237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hidden="1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3237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3237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hidden="1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3237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3237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3237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hidden="1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3237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3237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3237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3237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3237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3237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3237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3237</v>
      </c>
      <c r="AA302" s="2" t="s">
        <v>46</v>
      </c>
      <c r="AB302" s="2" t="s">
        <v>61</v>
      </c>
      <c r="AC302" s="2" t="s">
        <v>3343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hidden="1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3237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hidden="1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3237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3237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3237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3237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3237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3194</v>
      </c>
      <c r="J312" s="2" t="s">
        <v>3249</v>
      </c>
      <c r="K312" s="2">
        <v>965347433</v>
      </c>
      <c r="L312" s="2" t="s">
        <v>202</v>
      </c>
      <c r="M312" s="2" t="s">
        <v>41</v>
      </c>
      <c r="O312" s="2" t="s">
        <v>3250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3237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3194</v>
      </c>
      <c r="J313" s="2" t="s">
        <v>3249</v>
      </c>
      <c r="K313" s="2">
        <v>965347433</v>
      </c>
      <c r="L313" s="2" t="s">
        <v>202</v>
      </c>
      <c r="M313" s="2" t="s">
        <v>41</v>
      </c>
      <c r="O313" s="2" t="s">
        <v>3250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3237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3237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3237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3318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M316" s="2" t="s">
        <v>40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3318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3318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M318" s="2" t="s">
        <v>40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3318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3318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650</v>
      </c>
      <c r="P324" s="2" t="s">
        <v>3185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3185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3237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3237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3237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3237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hidden="1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3237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3237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3237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3237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3180</v>
      </c>
      <c r="L336" s="2" t="s">
        <v>340</v>
      </c>
      <c r="M336" s="2" t="s">
        <v>40</v>
      </c>
      <c r="O336" s="2" t="s">
        <v>3181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3237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3237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3237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3237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C341" s="2" t="s">
        <v>3414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hidden="1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3200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3237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3237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3237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3237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3237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3237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3237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3237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3237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3237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3237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3237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3237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3237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8"/>
        <v>0.22234718749999999</v>
      </c>
      <c r="Z362" s="2" t="s">
        <v>105</v>
      </c>
      <c r="AA362" s="2" t="s">
        <v>579</v>
      </c>
      <c r="AB362" s="2" t="s">
        <v>703</v>
      </c>
      <c r="AC362" s="2" t="s">
        <v>115</v>
      </c>
      <c r="AF362" s="2">
        <f t="shared" si="41"/>
        <v>0</v>
      </c>
      <c r="AJ362" s="2">
        <f t="shared" si="42"/>
        <v>0</v>
      </c>
      <c r="AK362" s="2">
        <f t="shared" si="43"/>
        <v>355.75549999999998</v>
      </c>
      <c r="AL362" s="5">
        <f t="shared" si="49"/>
        <v>0.22234718749999999</v>
      </c>
    </row>
    <row r="363" spans="1:38" hidden="1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hidden="1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hidden="1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hidden="1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hidden="1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hidden="1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hidden="1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3237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3237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3237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3237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hidden="1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3237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hidden="1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3237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3237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3237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3237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3237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hidden="1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hidden="1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3237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3237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hidden="1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hidden="1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hidden="1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hidden="1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hidden="1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hidden="1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3237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hidden="1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3237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hidden="1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hidden="1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hidden="1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hidden="1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3392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hidden="1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hidden="1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hidden="1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hidden="1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3237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hidden="1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3237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hidden="1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3237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hidden="1" x14ac:dyDescent="0.2">
      <c r="A405" s="2">
        <v>2025</v>
      </c>
      <c r="B405" s="2">
        <v>2</v>
      </c>
      <c r="C405" s="2" t="s">
        <v>3319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3237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hidden="1" x14ac:dyDescent="0.2">
      <c r="A406" s="2">
        <v>2025</v>
      </c>
      <c r="B406" s="2">
        <v>2</v>
      </c>
      <c r="C406" s="2" t="s">
        <v>3319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3237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3237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3237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hidden="1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3237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hidden="1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3237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hidden="1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3237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hidden="1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3237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hidden="1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3237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hidden="1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3237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hidden="1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3237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hidden="1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hidden="1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3237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hidden="1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3237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hidden="1" x14ac:dyDescent="0.2">
      <c r="A419" s="2">
        <v>2025</v>
      </c>
      <c r="B419" s="2">
        <v>2</v>
      </c>
      <c r="C419" s="2" t="s">
        <v>3315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3383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hidden="1" x14ac:dyDescent="0.2">
      <c r="A420" s="2">
        <v>2025</v>
      </c>
      <c r="B420" s="2">
        <v>2</v>
      </c>
      <c r="C420" s="2" t="s">
        <v>3315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3383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3237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hidden="1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hidden="1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hidden="1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hidden="1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hidden="1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3237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hidden="1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3237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hidden="1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hidden="1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3237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hidden="1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3237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hidden="1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3237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hidden="1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hidden="1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hidden="1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hidden="1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hidden="1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hidden="1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hidden="1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3237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hidden="1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3237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hidden="1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3237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hidden="1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3237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hidden="1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3237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hidden="1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3237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hidden="1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3237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hidden="1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3237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hidden="1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hidden="1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hidden="1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hidden="1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hidden="1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hidden="1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3237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hidden="1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3237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hidden="1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3237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hidden="1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3237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hidden="1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hidden="1" x14ac:dyDescent="0.2">
      <c r="A455" s="2">
        <v>2025</v>
      </c>
      <c r="B455" s="2">
        <v>2</v>
      </c>
      <c r="C455" s="2" t="s">
        <v>3319</v>
      </c>
      <c r="D455" s="2" t="s">
        <v>3317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3316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3315</v>
      </c>
      <c r="D456" s="2" t="s">
        <v>3314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3313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hidden="1" x14ac:dyDescent="0.2">
      <c r="A457" s="2">
        <v>2025</v>
      </c>
      <c r="B457" s="2">
        <v>2</v>
      </c>
      <c r="C457" s="2" t="s">
        <v>3319</v>
      </c>
      <c r="D457" s="2" t="s">
        <v>3317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3316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hidden="1" x14ac:dyDescent="0.2">
      <c r="A458" s="2">
        <v>2025</v>
      </c>
      <c r="B458" s="2">
        <v>2</v>
      </c>
      <c r="C458" s="2" t="s">
        <v>3319</v>
      </c>
      <c r="D458" s="2" t="s">
        <v>3320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hidden="1" x14ac:dyDescent="0.2">
      <c r="A459" s="2">
        <v>2025</v>
      </c>
      <c r="B459" s="2">
        <v>2</v>
      </c>
      <c r="C459" s="2" t="s">
        <v>3315</v>
      </c>
      <c r="D459" s="2" t="s">
        <v>3314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3313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hidden="1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hidden="1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hidden="1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3392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hidden="1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3237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hidden="1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3237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hidden="1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3237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hidden="1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3237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hidden="1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3237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hidden="1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hidden="1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hidden="1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3392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hidden="1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hidden="1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3237</v>
      </c>
      <c r="AA472" s="2" t="s">
        <v>156</v>
      </c>
      <c r="AB472" s="2" t="s">
        <v>3394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hidden="1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3237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hidden="1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3237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hidden="1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3237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hidden="1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3237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hidden="1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3237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hidden="1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hidden="1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3237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hidden="1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3237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hidden="1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3237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hidden="1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3237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hidden="1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3237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hidden="1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3237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hidden="1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3237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hidden="1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hidden="1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hidden="1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hidden="1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hidden="1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3237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hidden="1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3237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hidden="1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3237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hidden="1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3237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hidden="1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3237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hidden="1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3237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hidden="1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hidden="1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3237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hidden="1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3237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hidden="1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3237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hidden="1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3237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hidden="1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3237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hidden="1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3237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hidden="1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3237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hidden="1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3237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hidden="1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3237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hidden="1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3237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hidden="1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3237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hidden="1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hidden="1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3237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hidden="1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3237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hidden="1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3237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hidden="1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3237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hidden="1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hidden="1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3392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hidden="1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3237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hidden="1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3237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hidden="1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3237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hidden="1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hidden="1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hidden="1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3237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hidden="1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3237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hidden="1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hidden="1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hidden="1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hidden="1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3237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hidden="1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3237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hidden="1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3237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hidden="1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3237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3237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hidden="1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hidden="1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hidden="1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3237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hidden="1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3237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hidden="1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3237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hidden="1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3237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hidden="1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3237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hidden="1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3237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hidden="1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3237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hidden="1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hidden="1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3237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hidden="1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3237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hidden="1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3237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hidden="1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3237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hidden="1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3237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hidden="1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3237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hidden="1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3237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hidden="1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3237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hidden="1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3237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hidden="1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3237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hidden="1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3237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hidden="1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3237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hidden="1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3237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hidden="1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3237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hidden="1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3237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hidden="1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hidden="1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hidden="1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3237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hidden="1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3237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hidden="1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69"/>
        <v>0.58248333333333335</v>
      </c>
      <c r="Z561" s="2" t="s">
        <v>3237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3.4948999999999999</v>
      </c>
      <c r="AL561" s="5">
        <f t="shared" si="70"/>
        <v>0.58248333333333335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3237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3237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4"/>
        <v>0.22234718749999999</v>
      </c>
      <c r="Z566" s="2" t="s">
        <v>105</v>
      </c>
      <c r="AA566" s="2" t="s">
        <v>579</v>
      </c>
      <c r="AB566" s="2" t="s">
        <v>703</v>
      </c>
      <c r="AC566" s="2" t="s">
        <v>115</v>
      </c>
      <c r="AF566" s="2">
        <f t="shared" si="63"/>
        <v>0</v>
      </c>
      <c r="AJ566" s="2">
        <f t="shared" si="64"/>
        <v>0</v>
      </c>
      <c r="AK566" s="2">
        <f t="shared" si="65"/>
        <v>711.51099999999997</v>
      </c>
      <c r="AL566" s="5">
        <f t="shared" si="70"/>
        <v>0.22234718749999999</v>
      </c>
    </row>
    <row r="567" spans="1:38" hidden="1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hidden="1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hidden="1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hidden="1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hidden="1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hidden="1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hidden="1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hidden="1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3237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hidden="1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3237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hidden="1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3237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3237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3237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3237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3237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hidden="1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hidden="1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hidden="1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hidden="1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hidden="1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3237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hidden="1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3237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hidden="1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3237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hidden="1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3237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hidden="1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3237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hidden="1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3237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3237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hidden="1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hidden="1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hidden="1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hidden="1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hidden="1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3392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hidden="1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3237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hidden="1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3237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hidden="1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3237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3237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3237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hidden="1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hidden="1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hidden="1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hidden="1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3237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hidden="1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3237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hidden="1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3237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hidden="1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hidden="1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3237</v>
      </c>
      <c r="AA612" s="2" t="s">
        <v>46</v>
      </c>
      <c r="AB612" s="2" t="s">
        <v>61</v>
      </c>
      <c r="AC612" s="2" t="s">
        <v>3343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hidden="1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hidden="1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hidden="1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hidden="1" x14ac:dyDescent="0.2">
      <c r="A616" s="2">
        <v>2025</v>
      </c>
      <c r="B616" s="2">
        <v>3</v>
      </c>
      <c r="D616" s="2" t="s">
        <v>1011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3237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hidden="1" x14ac:dyDescent="0.2">
      <c r="A617" s="2">
        <v>2025</v>
      </c>
      <c r="B617" s="2">
        <v>3</v>
      </c>
      <c r="D617" s="2" t="s">
        <v>1011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3237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hidden="1" x14ac:dyDescent="0.2">
      <c r="A618" s="2">
        <v>2025</v>
      </c>
      <c r="B618" s="2">
        <v>3</v>
      </c>
      <c r="D618" s="2" t="s">
        <v>1011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hidden="1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hidden="1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hidden="1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3392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hidden="1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hidden="1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hidden="1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hidden="1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3237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hidden="1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3237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hidden="1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3237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hidden="1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3237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hidden="1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3237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hidden="1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3237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hidden="1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3237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hidden="1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3237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hidden="1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hidden="1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hidden="1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3237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hidden="1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3237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hidden="1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hidden="1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3237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hidden="1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hidden="1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hidden="1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3237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hidden="1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3237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hidden="1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3237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hidden="1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hidden="1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hidden="1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hidden="1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hidden="1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hidden="1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3237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3237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3237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hidden="1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3237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hidden="1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3237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hidden="1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3237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hidden="1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3237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hidden="1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3156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3237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hidden="1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3237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3237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3237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hidden="1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3237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hidden="1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hidden="1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hidden="1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3237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hidden="1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3237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hidden="1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3237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hidden="1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3237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hidden="1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3237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hidden="1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3237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hidden="1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3237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hidden="1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3237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hidden="1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3237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hidden="1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2699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3237</v>
      </c>
      <c r="AA673" s="2" t="s">
        <v>3395</v>
      </c>
      <c r="AB673" s="2" t="s">
        <v>3396</v>
      </c>
      <c r="AC673" s="2" t="s">
        <v>3397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hidden="1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3237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hidden="1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3237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hidden="1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3237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hidden="1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3237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hidden="1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3237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hidden="1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3237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hidden="1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3237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hidden="1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3237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hidden="1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3237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hidden="1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3237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hidden="1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3237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hidden="1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hidden="1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hidden="1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3237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hidden="1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3237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hidden="1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hidden="1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hidden="1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3237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hidden="1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2754</v>
      </c>
      <c r="AB692" s="2" t="s">
        <v>2755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hidden="1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hidden="1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hidden="1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3237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hidden="1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3237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hidden="1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hidden="1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hidden="1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hidden="1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hidden="1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hidden="1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hidden="1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hidden="1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3237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hidden="1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3237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hidden="1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3237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hidden="1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3237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hidden="1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3237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hidden="1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3237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hidden="1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3237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hidden="1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3237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hidden="1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3237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hidden="1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3237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hidden="1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3237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hidden="1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hidden="1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3237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hidden="1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hidden="1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3237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hidden="1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hidden="1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hidden="1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3237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hidden="1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hidden="1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3392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hidden="1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3237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hidden="1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3237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hidden="1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3256</v>
      </c>
      <c r="J727" s="2" t="s">
        <v>3257</v>
      </c>
      <c r="K727" s="2">
        <v>96179412</v>
      </c>
      <c r="L727" s="2" t="s">
        <v>462</v>
      </c>
      <c r="M727" s="2" t="s">
        <v>40</v>
      </c>
      <c r="O727" s="2" t="s">
        <v>3259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hidden="1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3256</v>
      </c>
      <c r="J728" s="2" t="s">
        <v>3257</v>
      </c>
      <c r="K728" s="2">
        <v>96179412</v>
      </c>
      <c r="L728" s="2" t="s">
        <v>462</v>
      </c>
      <c r="M728" s="2" t="s">
        <v>40</v>
      </c>
      <c r="O728" s="2" t="s">
        <v>3259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hidden="1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3237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hidden="1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3237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hidden="1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3237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hidden="1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3237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hidden="1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hidden="1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hidden="1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2302</v>
      </c>
      <c r="J735" s="2" t="s">
        <v>2303</v>
      </c>
      <c r="K735" s="2">
        <v>965790183</v>
      </c>
      <c r="L735" s="2" t="s">
        <v>178</v>
      </c>
      <c r="M735" s="2" t="s">
        <v>41</v>
      </c>
      <c r="O735" s="2" t="s">
        <v>3228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hidden="1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hidden="1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hidden="1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3237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3237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3237</v>
      </c>
      <c r="AA740" s="2" t="s">
        <v>46</v>
      </c>
      <c r="AB740" s="2" t="s">
        <v>61</v>
      </c>
      <c r="AC740" s="2" t="s">
        <v>3343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3237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3237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3237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3237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3237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3237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3237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3237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3237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3237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3237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3202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3237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3237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3237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3237</v>
      </c>
      <c r="AA756" s="2" t="s">
        <v>72</v>
      </c>
      <c r="AB756" s="2" t="s">
        <v>69</v>
      </c>
      <c r="AC756" s="2" t="s">
        <v>3242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3237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hidden="1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hidden="1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hidden="1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3392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hidden="1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3237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hidden="1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hidden="1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hidden="1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hidden="1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hidden="1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hidden="1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3237</v>
      </c>
      <c r="AA772" s="2" t="s">
        <v>72</v>
      </c>
      <c r="AB772" s="2" t="s">
        <v>69</v>
      </c>
      <c r="AC772" s="2" t="s">
        <v>3242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hidden="1" x14ac:dyDescent="0.2">
      <c r="A773" s="2">
        <v>2025</v>
      </c>
      <c r="B773" s="2">
        <v>4</v>
      </c>
      <c r="C773" s="2" t="s">
        <v>3333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hidden="1" x14ac:dyDescent="0.2">
      <c r="A774" s="2">
        <v>2025</v>
      </c>
      <c r="B774" s="2">
        <v>4</v>
      </c>
      <c r="C774" s="2" t="s">
        <v>3333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hidden="1" x14ac:dyDescent="0.2">
      <c r="A775" s="2">
        <v>2025</v>
      </c>
      <c r="B775" s="2">
        <v>4</v>
      </c>
      <c r="C775" s="2" t="s">
        <v>3333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3237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hidden="1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3237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hidden="1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3237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hidden="1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3237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hidden="1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3237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hidden="1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3237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hidden="1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3237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hidden="1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3237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hidden="1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3237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3237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hidden="1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hidden="1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hidden="1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3237</v>
      </c>
      <c r="AA790" s="2" t="s">
        <v>72</v>
      </c>
      <c r="AB790" s="2" t="s">
        <v>69</v>
      </c>
      <c r="AC790" s="2" t="s">
        <v>3242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hidden="1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hidden="1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3237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hidden="1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3237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hidden="1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3392</v>
      </c>
      <c r="AF794" s="2">
        <f t="shared" si="96"/>
        <v>0</v>
      </c>
      <c r="AJ794" s="2">
        <f t="shared" si="97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3237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3237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hidden="1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3229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3237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hidden="1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3229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3237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hidden="1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hidden="1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3237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hidden="1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3237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hidden="1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3237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hidden="1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3237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hidden="1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3237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hidden="1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3237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hidden="1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3237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hidden="1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3237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hidden="1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3237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hidden="1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3237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hidden="1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3237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hidden="1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hidden="1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hidden="1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hidden="1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3237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hidden="1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3237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hidden="1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3237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hidden="1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3237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hidden="1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3237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hidden="1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3237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3237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3237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3237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hidden="1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hidden="1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hidden="1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3237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hidden="1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3237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hidden="1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3237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hidden="1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3237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hidden="1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3237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3237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3237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hidden="1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hidden="1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hidden="1" x14ac:dyDescent="0.2">
      <c r="A838" s="2">
        <v>2025</v>
      </c>
      <c r="B838" s="2">
        <v>4</v>
      </c>
      <c r="C838" s="2" t="s">
        <v>3420</v>
      </c>
      <c r="D838" s="2" t="s">
        <v>3418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hidden="1" x14ac:dyDescent="0.2">
      <c r="A839" s="2">
        <v>2025</v>
      </c>
      <c r="B839" s="2">
        <v>4</v>
      </c>
      <c r="C839" s="2" t="s">
        <v>3420</v>
      </c>
      <c r="D839" s="2" t="s">
        <v>3418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hidden="1" x14ac:dyDescent="0.2">
      <c r="A840" s="2">
        <v>2025</v>
      </c>
      <c r="B840" s="2">
        <v>4</v>
      </c>
      <c r="C840" s="2" t="s">
        <v>3420</v>
      </c>
      <c r="D840" s="2" t="s">
        <v>3418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hidden="1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3237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hidden="1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3237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hidden="1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3237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hidden="1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3237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hidden="1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3237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hidden="1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3237</v>
      </c>
      <c r="AA846" s="2" t="s">
        <v>72</v>
      </c>
      <c r="AB846" s="2" t="s">
        <v>69</v>
      </c>
      <c r="AC846" s="2" t="s">
        <v>3242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hidden="1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hidden="1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3230</v>
      </c>
      <c r="J848" s="2" t="s">
        <v>3231</v>
      </c>
      <c r="L848" s="2" t="s">
        <v>340</v>
      </c>
      <c r="M848" s="2" t="s">
        <v>40</v>
      </c>
      <c r="O848" s="2" t="s">
        <v>3232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hidden="1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3230</v>
      </c>
      <c r="J849" s="2" t="s">
        <v>3231</v>
      </c>
      <c r="L849" s="2" t="s">
        <v>340</v>
      </c>
      <c r="M849" s="2" t="s">
        <v>40</v>
      </c>
      <c r="O849" s="2" t="s">
        <v>3232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hidden="1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hidden="1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3237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hidden="1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3237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hidden="1" x14ac:dyDescent="0.2">
      <c r="A854" s="2">
        <v>2025</v>
      </c>
      <c r="B854" s="2">
        <v>4</v>
      </c>
      <c r="C854" s="2" t="s">
        <v>3322</v>
      </c>
      <c r="D854" s="2" t="s">
        <v>1245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3237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hidden="1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3237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hidden="1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3237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hidden="1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3237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hidden="1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3237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hidden="1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hidden="1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hidden="1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hidden="1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3237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hidden="1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3237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hidden="1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3392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hidden="1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hidden="1" x14ac:dyDescent="0.2">
      <c r="A866" s="2">
        <v>2025</v>
      </c>
      <c r="B866" s="2">
        <v>4</v>
      </c>
      <c r="C866" s="2" t="s">
        <v>3322</v>
      </c>
      <c r="D866" s="2" t="s">
        <v>3321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hidden="1" x14ac:dyDescent="0.2">
      <c r="A867" s="2">
        <v>2025</v>
      </c>
      <c r="B867" s="2">
        <v>4</v>
      </c>
      <c r="C867" s="2" t="s">
        <v>3322</v>
      </c>
      <c r="D867" s="2" t="s">
        <v>3323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hidden="1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3237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hidden="1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3237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hidden="1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3237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hidden="1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3237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hidden="1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3237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hidden="1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3237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hidden="1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3237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hidden="1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3237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hidden="1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hidden="1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hidden="1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3392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hidden="1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3237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hidden="1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3237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hidden="1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hidden="1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3237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hidden="1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3237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hidden="1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hidden="1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3237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hidden="1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hidden="1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3237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hidden="1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3392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hidden="1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3143</v>
      </c>
      <c r="L889" s="2" t="s">
        <v>178</v>
      </c>
      <c r="M889" s="2" t="s">
        <v>41</v>
      </c>
      <c r="O889" s="2" t="s">
        <v>3145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3237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hidden="1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3143</v>
      </c>
      <c r="L890" s="2" t="s">
        <v>178</v>
      </c>
      <c r="M890" s="2" t="s">
        <v>41</v>
      </c>
      <c r="O890" s="2" t="s">
        <v>3145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3237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hidden="1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3237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hidden="1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3237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hidden="1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3237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hidden="1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3237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hidden="1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3237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hidden="1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3237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hidden="1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3237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hidden="1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3237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hidden="1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hidden="1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hidden="1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3237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hidden="1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3158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3237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hidden="1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hidden="1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hidden="1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hidden="1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3237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hidden="1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hidden="1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hidden="1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hidden="1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hidden="1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hidden="1" x14ac:dyDescent="0.2">
      <c r="A912" s="2">
        <v>2025</v>
      </c>
      <c r="B912" s="2">
        <v>4</v>
      </c>
      <c r="C912" s="2" t="s">
        <v>3420</v>
      </c>
      <c r="D912" s="2" t="s">
        <v>1285</v>
      </c>
      <c r="E912" s="2" t="s">
        <v>184</v>
      </c>
      <c r="F912" s="2" t="s">
        <v>3002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hidden="1" x14ac:dyDescent="0.2">
      <c r="A913" s="2">
        <v>2025</v>
      </c>
      <c r="B913" s="2">
        <v>4</v>
      </c>
      <c r="C913" s="2" t="s">
        <v>3420</v>
      </c>
      <c r="D913" s="2" t="s">
        <v>1285</v>
      </c>
      <c r="E913" s="2" t="s">
        <v>184</v>
      </c>
      <c r="F913" s="2" t="s">
        <v>3002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hidden="1" x14ac:dyDescent="0.2">
      <c r="A914" s="2">
        <v>2025</v>
      </c>
      <c r="B914" s="2">
        <v>4</v>
      </c>
      <c r="C914" s="2" t="s">
        <v>3420</v>
      </c>
      <c r="D914" s="2" t="s">
        <v>1285</v>
      </c>
      <c r="E914" s="2" t="s">
        <v>184</v>
      </c>
      <c r="F914" s="2" t="s">
        <v>3002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hidden="1" x14ac:dyDescent="0.2">
      <c r="A915" s="2">
        <v>2025</v>
      </c>
      <c r="B915" s="2">
        <v>4</v>
      </c>
      <c r="C915" s="2" t="s">
        <v>3420</v>
      </c>
      <c r="D915" s="2" t="s">
        <v>1285</v>
      </c>
      <c r="E915" s="2" t="s">
        <v>184</v>
      </c>
      <c r="F915" s="2" t="s">
        <v>3002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hidden="1" x14ac:dyDescent="0.2">
      <c r="A916" s="2">
        <v>2025</v>
      </c>
      <c r="B916" s="2">
        <v>4</v>
      </c>
      <c r="C916" s="2" t="s">
        <v>3420</v>
      </c>
      <c r="D916" s="2" t="s">
        <v>1285</v>
      </c>
      <c r="E916" s="2" t="s">
        <v>184</v>
      </c>
      <c r="F916" s="2" t="s">
        <v>3002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hidden="1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hidden="1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hidden="1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3209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3237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hidden="1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3237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hidden="1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hidden="1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hidden="1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hidden="1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3237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hidden="1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hidden="1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hidden="1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3392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hidden="1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hidden="1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3237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hidden="1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3237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hidden="1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3256</v>
      </c>
      <c r="J932" s="2" t="s">
        <v>3257</v>
      </c>
      <c r="K932" s="2">
        <v>96179412</v>
      </c>
      <c r="L932" s="2" t="s">
        <v>462</v>
      </c>
      <c r="M932" s="2" t="s">
        <v>40</v>
      </c>
      <c r="O932" s="2" t="s">
        <v>3260</v>
      </c>
      <c r="P932" s="2" t="s">
        <v>3267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3266</v>
      </c>
      <c r="AB932" s="2" t="s">
        <v>1115</v>
      </c>
      <c r="AC932" s="2" t="s">
        <v>3265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hidden="1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3237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hidden="1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3237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hidden="1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3237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hidden="1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3237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hidden="1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3237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hidden="1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3160</v>
      </c>
      <c r="M938" s="2" t="s">
        <v>81</v>
      </c>
      <c r="O938" s="2" t="s">
        <v>3159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3237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hidden="1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3237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hidden="1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3237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hidden="1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3237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hidden="1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3237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hidden="1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3237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hidden="1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3237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hidden="1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3237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hidden="1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3237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3237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3237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3237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3237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3237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3237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3237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3237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3237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3237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3237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3237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3237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hidden="1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3237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hidden="1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3237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hidden="1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3237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hidden="1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hidden="1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hidden="1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3237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hidden="1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3237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hidden="1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3237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hidden="1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hidden="1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3237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hidden="1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3237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3237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3237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hidden="1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3237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3237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hidden="1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3237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hidden="1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3237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hidden="1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3237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hidden="1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3237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hidden="1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hidden="1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hidden="1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hidden="1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3237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hidden="1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3237</v>
      </c>
      <c r="AA993" s="2" t="s">
        <v>46</v>
      </c>
      <c r="AB993" s="2" t="s">
        <v>61</v>
      </c>
      <c r="AC993" s="2" t="s">
        <v>3343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hidden="1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3237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hidden="1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3237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hidden="1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3237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3237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hidden="1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3237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3237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hidden="1" x14ac:dyDescent="0.2">
      <c r="A1002" s="2">
        <v>2025</v>
      </c>
      <c r="B1002" s="2">
        <v>5</v>
      </c>
      <c r="D1002" s="2" t="s">
        <v>1011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3237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hidden="1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3237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hidden="1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3237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3309</v>
      </c>
      <c r="D1005" s="2" t="s">
        <v>1376</v>
      </c>
      <c r="E1005" s="2" t="s">
        <v>38</v>
      </c>
      <c r="F1005" s="2" t="s">
        <v>39</v>
      </c>
      <c r="I1005" s="2" t="s">
        <v>3310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3237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3309</v>
      </c>
      <c r="D1006" s="2" t="s">
        <v>1376</v>
      </c>
      <c r="E1006" s="2" t="s">
        <v>38</v>
      </c>
      <c r="F1006" s="2" t="s">
        <v>39</v>
      </c>
      <c r="I1006" s="2" t="s">
        <v>3310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3308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hidden="1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3237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3237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hidden="1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hidden="1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hidden="1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3237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3237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hidden="1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3237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3237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hidden="1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3237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hidden="1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3237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hidden="1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3237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hidden="1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3237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3237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hidden="1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3237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hidden="1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3237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3237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3237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hidden="1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3186</v>
      </c>
      <c r="K1025" s="2">
        <v>911577458</v>
      </c>
      <c r="L1025" s="2" t="s">
        <v>178</v>
      </c>
      <c r="M1025" s="2" t="s">
        <v>41</v>
      </c>
      <c r="O1025" s="2" t="s">
        <v>3188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3237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3186</v>
      </c>
      <c r="K1026" s="2">
        <v>911577458</v>
      </c>
      <c r="L1026" s="2" t="s">
        <v>178</v>
      </c>
      <c r="M1026" s="2" t="s">
        <v>41</v>
      </c>
      <c r="O1026" s="2" t="s">
        <v>3188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3237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3186</v>
      </c>
      <c r="K1027" s="2">
        <v>911577458</v>
      </c>
      <c r="L1027" s="2" t="s">
        <v>178</v>
      </c>
      <c r="M1027" s="2" t="s">
        <v>41</v>
      </c>
      <c r="O1027" s="2" t="s">
        <v>3188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3237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3336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3191</v>
      </c>
      <c r="L1029" s="2" t="s">
        <v>134</v>
      </c>
      <c r="M1029" s="2" t="s">
        <v>40</v>
      </c>
      <c r="O1029" s="2" t="s">
        <v>3193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3191</v>
      </c>
      <c r="L1030" s="2" t="s">
        <v>134</v>
      </c>
      <c r="M1030" s="2" t="s">
        <v>40</v>
      </c>
      <c r="O1030" s="2" t="s">
        <v>3193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hidden="1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3191</v>
      </c>
      <c r="L1031" s="2" t="s">
        <v>134</v>
      </c>
      <c r="M1031" s="2" t="s">
        <v>40</v>
      </c>
      <c r="O1031" s="2" t="s">
        <v>3193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hidden="1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hidden="1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hidden="1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hidden="1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hidden="1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hidden="1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hidden="1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3237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3237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hidden="1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3237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hidden="1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3237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3237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3237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hidden="1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3237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hidden="1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3237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hidden="1" x14ac:dyDescent="0.2">
      <c r="A1046" s="2">
        <v>2025</v>
      </c>
      <c r="B1046" s="2">
        <v>5</v>
      </c>
      <c r="C1046" s="2" t="s">
        <v>3326</v>
      </c>
      <c r="D1046" s="2" t="s">
        <v>3325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3309</v>
      </c>
      <c r="D1047" s="2" t="s">
        <v>3324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3237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3309</v>
      </c>
      <c r="D1048" s="2" t="s">
        <v>3324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3237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3309</v>
      </c>
      <c r="D1049" s="2" t="s">
        <v>3324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3237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hidden="1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3237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3237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hidden="1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hidden="1" x14ac:dyDescent="0.2">
      <c r="A1054" s="2">
        <v>2025</v>
      </c>
      <c r="B1054" s="2">
        <v>5</v>
      </c>
      <c r="C1054" s="2" t="s">
        <v>3326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3242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hidden="1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3227</v>
      </c>
      <c r="J1055" s="2" t="s">
        <v>3226</v>
      </c>
      <c r="K1055" s="2">
        <v>913814877</v>
      </c>
      <c r="L1055" s="2" t="s">
        <v>202</v>
      </c>
      <c r="M1055" s="2" t="s">
        <v>81</v>
      </c>
      <c r="O1055" s="2" t="s">
        <v>3218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3237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3227</v>
      </c>
      <c r="J1056" s="2" t="s">
        <v>3226</v>
      </c>
      <c r="K1056" s="2">
        <v>913814877</v>
      </c>
      <c r="L1056" s="2" t="s">
        <v>202</v>
      </c>
      <c r="M1056" s="2" t="s">
        <v>81</v>
      </c>
      <c r="O1056" s="2" t="s">
        <v>3218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3237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3227</v>
      </c>
      <c r="J1057" s="2" t="s">
        <v>3226</v>
      </c>
      <c r="K1057" s="2">
        <v>913814877</v>
      </c>
      <c r="L1057" s="2" t="s">
        <v>202</v>
      </c>
      <c r="M1057" s="2" t="s">
        <v>40</v>
      </c>
      <c r="O1057" s="2" t="s">
        <v>3219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hidden="1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3227</v>
      </c>
      <c r="J1058" s="2" t="s">
        <v>3226</v>
      </c>
      <c r="K1058" s="2">
        <v>913814877</v>
      </c>
      <c r="L1058" s="2" t="s">
        <v>202</v>
      </c>
      <c r="M1058" s="2" t="s">
        <v>40</v>
      </c>
      <c r="O1058" s="2" t="s">
        <v>3219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3227</v>
      </c>
      <c r="J1059" s="2" t="s">
        <v>3226</v>
      </c>
      <c r="K1059" s="2">
        <v>913814877</v>
      </c>
      <c r="L1059" s="2" t="s">
        <v>202</v>
      </c>
      <c r="M1059" s="2" t="s">
        <v>40</v>
      </c>
      <c r="O1059" s="2" t="s">
        <v>3219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3392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hidden="1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3237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3237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hidden="1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hidden="1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hidden="1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hidden="1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hidden="1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hidden="1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hidden="1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hidden="1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hidden="1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3237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3237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hidden="1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3237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hidden="1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3237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hidden="1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3237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3203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3237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hidden="1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3237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hidden="1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3237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3237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hidden="1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2419</v>
      </c>
      <c r="J1083" s="2" t="s">
        <v>2420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3237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2419</v>
      </c>
      <c r="J1084" s="2" t="s">
        <v>2420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3237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hidden="1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3237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3237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hidden="1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3237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3237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hidden="1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hidden="1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hidden="1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hidden="1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hidden="1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hidden="1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hidden="1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hidden="1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3237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3237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hidden="1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3237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3237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hidden="1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3237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3237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hidden="1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hidden="1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3237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hidden="1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hidden="1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hidden="1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3237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3210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3237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3237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hidden="1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3237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3237</v>
      </c>
      <c r="AA1113" s="2" t="s">
        <v>46</v>
      </c>
      <c r="AB1113" s="2" t="s">
        <v>61</v>
      </c>
      <c r="AC1113" s="2" t="s">
        <v>3343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hidden="1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3237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3237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hidden="1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3392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hidden="1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3237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hidden="1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3256</v>
      </c>
      <c r="J1121" s="2" t="s">
        <v>3257</v>
      </c>
      <c r="K1121" s="2">
        <v>96179412</v>
      </c>
      <c r="L1121" s="2" t="s">
        <v>462</v>
      </c>
      <c r="M1121" s="2" t="s">
        <v>40</v>
      </c>
      <c r="O1121" s="2" t="s">
        <v>3260</v>
      </c>
      <c r="P1121" s="2" t="s">
        <v>40</v>
      </c>
      <c r="Q1121" s="2" t="s">
        <v>1312</v>
      </c>
      <c r="R1121" s="2" t="s">
        <v>3261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hidden="1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3256</v>
      </c>
      <c r="J1122" s="2" t="s">
        <v>3257</v>
      </c>
      <c r="K1122" s="2">
        <v>96179412</v>
      </c>
      <c r="L1122" s="2" t="s">
        <v>462</v>
      </c>
      <c r="M1122" s="2" t="s">
        <v>40</v>
      </c>
      <c r="O1122" s="2" t="s">
        <v>3260</v>
      </c>
      <c r="P1122" s="2" t="s">
        <v>40</v>
      </c>
      <c r="Q1122" s="2" t="s">
        <v>1312</v>
      </c>
      <c r="R1122" s="2" t="s">
        <v>3262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hidden="1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3256</v>
      </c>
      <c r="J1123" s="2" t="s">
        <v>3257</v>
      </c>
      <c r="K1123" s="2">
        <v>96179412</v>
      </c>
      <c r="L1123" s="2" t="s">
        <v>462</v>
      </c>
      <c r="M1123" s="2" t="s">
        <v>40</v>
      </c>
      <c r="O1123" s="2" t="s">
        <v>3263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3237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3237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hidden="1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hidden="1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3392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hidden="1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2302</v>
      </c>
      <c r="J1128" s="2" t="s">
        <v>2303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2302</v>
      </c>
      <c r="J1129" s="2" t="s">
        <v>2303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hidden="1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2302</v>
      </c>
      <c r="J1130" s="2" t="s">
        <v>2303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hidden="1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2302</v>
      </c>
      <c r="J1131" s="2" t="s">
        <v>2303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hidden="1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3237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3237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3237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3237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3237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3237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3237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3237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3237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3237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3237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3237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3237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3237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3237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3237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3237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3237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3392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hidden="1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hidden="1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hidden="1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hidden="1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3237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3237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hidden="1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3237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3237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hidden="1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hidden="1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hidden="1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hidden="1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hidden="1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3237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hidden="1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3237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hidden="1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3237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3237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3237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3237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3237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hidden="1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3237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3237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hidden="1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3237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3237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3237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3237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3392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hidden="1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hidden="1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hidden="1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3237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3237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hidden="1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3237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3237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hidden="1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hidden="1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3237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3237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3237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hidden="1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3237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hidden="1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hidden="1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3237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hidden="1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3237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3237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hidden="1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3237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3237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3237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3237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hidden="1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3237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3237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hidden="1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3237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3237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3237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hidden="1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3237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hidden="1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3237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hidden="1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3237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hidden="1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3237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hidden="1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3237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3237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3237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hidden="1" x14ac:dyDescent="0.2">
      <c r="A1216" s="2">
        <v>2025</v>
      </c>
      <c r="B1216" s="2">
        <v>7</v>
      </c>
      <c r="C1216" s="2" t="s">
        <v>3426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3242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v>0</v>
      </c>
      <c r="AL1217" s="5">
        <v>0</v>
      </c>
    </row>
    <row r="1218" spans="1:38" hidden="1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hidden="1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3237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3237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3237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hidden="1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3237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3237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3237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3237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3237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3237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3237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3237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3237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3237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3237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3237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3237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3237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hidden="1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3392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hidden="1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3237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hidden="1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3237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3237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3237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3237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hidden="1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3237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3237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hidden="1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hidden="1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hidden="1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hidden="1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3237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hidden="1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3242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hidden="1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-1244.2445</v>
      </c>
      <c r="AL1259" s="18">
        <v>-1</v>
      </c>
    </row>
    <row r="1260" spans="1:38" hidden="1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hidden="1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hidden="1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3237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hidden="1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3237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3237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hidden="1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3237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hidden="1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3237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hidden="1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hidden="1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hidden="1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hidden="1" x14ac:dyDescent="0.2">
      <c r="A1272" s="2">
        <v>2025</v>
      </c>
      <c r="B1272" s="2">
        <v>7</v>
      </c>
      <c r="C1272" s="2" t="s">
        <v>3443</v>
      </c>
      <c r="D1272" s="2" t="s">
        <v>1550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3392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hidden="1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3237</v>
      </c>
      <c r="AA1277" s="2" t="s">
        <v>46</v>
      </c>
      <c r="AB1277" s="2" t="s">
        <v>61</v>
      </c>
      <c r="AC1277" s="2" t="s">
        <v>3343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hidden="1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3237</v>
      </c>
      <c r="AA1278" s="2" t="s">
        <v>46</v>
      </c>
      <c r="AB1278" s="2" t="s">
        <v>61</v>
      </c>
      <c r="AC1278" s="2" t="s">
        <v>3343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hidden="1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3413</v>
      </c>
    </row>
    <row r="1280" spans="1:38" hidden="1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3237</v>
      </c>
      <c r="AA1280" s="2" t="s">
        <v>46</v>
      </c>
      <c r="AB1280" s="2" t="s">
        <v>61</v>
      </c>
      <c r="AC1280" s="2" t="s">
        <v>3343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hidden="1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3237</v>
      </c>
      <c r="AA1281" s="2" t="s">
        <v>46</v>
      </c>
      <c r="AB1281" s="2" t="s">
        <v>61</v>
      </c>
      <c r="AC1281" s="2" t="s">
        <v>3343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hidden="1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3237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3237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3392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hidden="1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hidden="1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hidden="1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hidden="1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3392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hidden="1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hidden="1" x14ac:dyDescent="0.2">
      <c r="A1295" s="2">
        <v>2025</v>
      </c>
      <c r="B1295" s="2">
        <v>7</v>
      </c>
      <c r="D1295" s="2" t="s">
        <v>1018</v>
      </c>
      <c r="L1295" s="2" t="s">
        <v>100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3237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hidden="1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3237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3237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3237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hidden="1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hidden="1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3237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3237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hidden="1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hidden="1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hidden="1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hidden="1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3237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3237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hidden="1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3237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3237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hidden="1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hidden="1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hidden="1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3237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3237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hidden="1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hidden="1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hidden="1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3237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hidden="1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hidden="1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3237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hidden="1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hidden="1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hidden="1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hidden="1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hidden="1" x14ac:dyDescent="0.2">
      <c r="A1325" s="2">
        <v>2025</v>
      </c>
      <c r="B1325" s="2">
        <v>7</v>
      </c>
      <c r="C1325" s="2" t="s">
        <v>3411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3237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3411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3237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3237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hidden="1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3237</v>
      </c>
      <c r="AA1329" s="2" t="s">
        <v>46</v>
      </c>
      <c r="AB1329" s="2" t="s">
        <v>61</v>
      </c>
      <c r="AC1329" s="2" t="s">
        <v>3343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3237</v>
      </c>
      <c r="AA1330" s="2" t="s">
        <v>46</v>
      </c>
      <c r="AB1330" s="2" t="s">
        <v>61</v>
      </c>
      <c r="AC1330" s="2" t="s">
        <v>3343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1580</v>
      </c>
      <c r="E1331" s="2" t="s">
        <v>754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1580</v>
      </c>
      <c r="E1332" s="2" t="s">
        <v>754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1581</v>
      </c>
      <c r="AB1332" s="2" t="s">
        <v>389</v>
      </c>
      <c r="AC1332" s="2" t="s">
        <v>1331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hidden="1" x14ac:dyDescent="0.2">
      <c r="A1333" s="2">
        <v>2025</v>
      </c>
      <c r="B1333" s="2">
        <v>7</v>
      </c>
      <c r="D1333" s="2" t="s">
        <v>1580</v>
      </c>
      <c r="E1333" s="2" t="s">
        <v>754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1580</v>
      </c>
      <c r="E1334" s="2" t="s">
        <v>754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hidden="1" x14ac:dyDescent="0.2">
      <c r="A1335" s="2">
        <v>2025</v>
      </c>
      <c r="B1335" s="2">
        <v>7</v>
      </c>
      <c r="D1335" s="2" t="s">
        <v>1580</v>
      </c>
      <c r="E1335" s="2" t="s">
        <v>754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1581</v>
      </c>
      <c r="AB1335" s="2" t="s">
        <v>389</v>
      </c>
      <c r="AC1335" s="2" t="s">
        <v>1331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hidden="1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hidden="1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hidden="1" x14ac:dyDescent="0.2">
      <c r="A1338" s="2">
        <v>2025</v>
      </c>
      <c r="B1338" s="2">
        <v>7</v>
      </c>
      <c r="C1338" s="2" t="s">
        <v>3327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hidden="1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hidden="1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3237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3237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hidden="1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hidden="1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3237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3392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hidden="1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3237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hidden="1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3237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hidden="1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hidden="1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hidden="1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hidden="1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hidden="1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hidden="1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hidden="1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hidden="1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3237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3143</v>
      </c>
      <c r="L1358" s="2" t="s">
        <v>178</v>
      </c>
      <c r="M1358" s="2" t="s">
        <v>41</v>
      </c>
      <c r="O1358" s="2" t="s">
        <v>3148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3237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3143</v>
      </c>
      <c r="L1359" s="2" t="s">
        <v>178</v>
      </c>
      <c r="M1359" s="2" t="s">
        <v>41</v>
      </c>
      <c r="O1359" s="2" t="s">
        <v>3147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3237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hidden="1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3237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hidden="1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3237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hidden="1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3237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hidden="1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3237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hidden="1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3237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3237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3237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3237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3237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3237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3237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hidden="1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3237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3237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hidden="1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hidden="1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3413</v>
      </c>
    </row>
    <row r="1376" spans="1:38" hidden="1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3237</v>
      </c>
      <c r="AA1376" s="2" t="s">
        <v>46</v>
      </c>
      <c r="AB1376" s="2" t="s">
        <v>61</v>
      </c>
      <c r="AC1376" s="2" t="s">
        <v>3343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hidden="1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3237</v>
      </c>
      <c r="AA1377" s="2" t="s">
        <v>46</v>
      </c>
      <c r="AB1377" s="2" t="s">
        <v>61</v>
      </c>
      <c r="AC1377" s="2" t="s">
        <v>3343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hidden="1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3237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hidden="1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3237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hidden="1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hidden="1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hidden="1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3237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3237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3237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hidden="1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hidden="1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3237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3237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3237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hidden="1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3237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hidden="1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3237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3237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hidden="1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3237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hidden="1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3237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hidden="1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3392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hidden="1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3237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3237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hidden="1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3237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3237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3237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hidden="1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3242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hidden="1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3237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hidden="1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3237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hidden="1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3237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3237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3237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hidden="1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3237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3237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3237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hidden="1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hidden="1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3237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hidden="1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3237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hidden="1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3237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3237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3237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3237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3237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3237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hidden="1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3237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hidden="1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3237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3237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3237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hidden="1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hidden="1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3392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hidden="1" x14ac:dyDescent="0.2">
      <c r="A1436" s="2">
        <v>2025</v>
      </c>
      <c r="B1436" s="2">
        <v>7</v>
      </c>
      <c r="C1436" s="2" t="s">
        <v>3412</v>
      </c>
      <c r="D1436" s="2" t="s">
        <v>1642</v>
      </c>
      <c r="E1436" s="2" t="s">
        <v>2454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3237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3312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3237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hidden="1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3312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3237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3237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3237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3237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3237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3237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3237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3237</v>
      </c>
      <c r="AA1447" s="2" t="s">
        <v>46</v>
      </c>
      <c r="AB1447" s="2" t="s">
        <v>61</v>
      </c>
      <c r="AC1447" s="2" t="s">
        <v>3343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hidden="1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3237</v>
      </c>
      <c r="AA1448" s="2" t="s">
        <v>46</v>
      </c>
      <c r="AB1448" s="2" t="s">
        <v>61</v>
      </c>
      <c r="AC1448" s="2" t="s">
        <v>3343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hidden="1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3237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hidden="1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hidden="1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hidden="1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hidden="1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hidden="1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hidden="1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3237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3237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hidden="1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hidden="1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3392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hidden="1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3237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hidden="1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3256</v>
      </c>
      <c r="J1464" s="2" t="s">
        <v>3257</v>
      </c>
      <c r="K1464" s="2">
        <v>96179412</v>
      </c>
      <c r="L1464" s="2" t="s">
        <v>462</v>
      </c>
      <c r="M1464" s="2" t="s">
        <v>40</v>
      </c>
      <c r="O1464" s="2" t="s">
        <v>3264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3256</v>
      </c>
      <c r="J1465" s="2" t="s">
        <v>3257</v>
      </c>
      <c r="K1465" s="2">
        <v>96179412</v>
      </c>
      <c r="L1465" s="2" t="s">
        <v>462</v>
      </c>
      <c r="M1465" s="2" t="s">
        <v>40</v>
      </c>
      <c r="O1465" s="2" t="s">
        <v>3264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hidden="1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3256</v>
      </c>
      <c r="J1466" s="2" t="s">
        <v>3257</v>
      </c>
      <c r="K1466" s="2">
        <v>96179412</v>
      </c>
      <c r="L1466" s="2" t="s">
        <v>462</v>
      </c>
      <c r="M1466" s="2" t="s">
        <v>40</v>
      </c>
      <c r="O1466" s="2" t="s">
        <v>3264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hidden="1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3237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3237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hidden="1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2649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2649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hidden="1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hidden="1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hidden="1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hidden="1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3237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hidden="1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3237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3237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3237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3237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3237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3237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3237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hidden="1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3237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hidden="1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3237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3237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3237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hidden="1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3237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hidden="1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hidden="1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3237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3237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3237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hidden="1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hidden="1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3392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hidden="1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hidden="1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C1502" s="2" t="s">
        <v>3434</v>
      </c>
      <c r="D1502" s="2" t="s">
        <v>3433</v>
      </c>
      <c r="E1502" s="2" t="s">
        <v>754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hidden="1" x14ac:dyDescent="0.2">
      <c r="A1503" s="2">
        <v>2025</v>
      </c>
      <c r="B1503" s="2">
        <v>6</v>
      </c>
      <c r="C1503" s="2" t="s">
        <v>3434</v>
      </c>
      <c r="D1503" s="2" t="s">
        <v>3433</v>
      </c>
      <c r="E1503" s="2" t="s">
        <v>754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hidden="1" x14ac:dyDescent="0.2">
      <c r="A1504" s="2">
        <v>2025</v>
      </c>
      <c r="B1504" s="2">
        <v>6</v>
      </c>
      <c r="C1504" s="2" t="s">
        <v>3434</v>
      </c>
      <c r="D1504" s="2" t="s">
        <v>3433</v>
      </c>
      <c r="E1504" s="2" t="s">
        <v>754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2516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hidden="1" x14ac:dyDescent="0.2">
      <c r="A1505" s="2">
        <v>2025</v>
      </c>
      <c r="B1505" s="2">
        <v>6</v>
      </c>
      <c r="C1505" s="2" t="s">
        <v>3434</v>
      </c>
      <c r="D1505" s="2" t="s">
        <v>3433</v>
      </c>
      <c r="E1505" s="2" t="s">
        <v>754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hidden="1" x14ac:dyDescent="0.2">
      <c r="A1506" s="2">
        <v>2025</v>
      </c>
      <c r="B1506" s="2">
        <v>6</v>
      </c>
      <c r="C1506" s="2" t="s">
        <v>3434</v>
      </c>
      <c r="D1506" s="2" t="s">
        <v>3433</v>
      </c>
      <c r="E1506" s="2" t="s">
        <v>754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1684</v>
      </c>
      <c r="R1506" s="2" t="s">
        <v>1685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3179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hidden="1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1686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hidden="1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1687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3237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3335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1688</v>
      </c>
      <c r="R1510" s="2" t="s">
        <v>1689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1690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3237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1690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3237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1691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3237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1691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3237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hidden="1" x14ac:dyDescent="0.2">
      <c r="A1518" s="2">
        <v>2025</v>
      </c>
      <c r="B1518" s="2">
        <v>6</v>
      </c>
      <c r="D1518" s="2" t="s">
        <v>1692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hidden="1" x14ac:dyDescent="0.2">
      <c r="A1519" s="2">
        <v>2025</v>
      </c>
      <c r="B1519" s="2">
        <v>6</v>
      </c>
      <c r="D1519" s="2" t="s">
        <v>1692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hidden="1" x14ac:dyDescent="0.2">
      <c r="A1520" s="2">
        <v>2025</v>
      </c>
      <c r="B1520" s="2">
        <v>6</v>
      </c>
      <c r="D1520" s="2" t="s">
        <v>1692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3392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hidden="1" x14ac:dyDescent="0.2">
      <c r="A1521" s="2">
        <v>2025</v>
      </c>
      <c r="B1521" s="2">
        <v>6</v>
      </c>
      <c r="D1521" s="2" t="s">
        <v>1693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3237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1693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3237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hidden="1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1694</v>
      </c>
      <c r="R1523" s="2" t="s">
        <v>1695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3237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1696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3237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1696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3237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hidden="1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1697</v>
      </c>
      <c r="R1526" s="2" t="s">
        <v>1698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hidden="1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hidden="1" x14ac:dyDescent="0.2">
      <c r="A1529" s="2">
        <v>2025</v>
      </c>
      <c r="B1529" s="2">
        <v>6</v>
      </c>
      <c r="C1529" s="2" t="s">
        <v>3335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1699</v>
      </c>
      <c r="R1529" s="2" t="s">
        <v>1700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3237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hidden="1" x14ac:dyDescent="0.2">
      <c r="A1530" s="2">
        <v>2025</v>
      </c>
      <c r="B1530" s="2">
        <v>6</v>
      </c>
      <c r="D1530" s="2" t="s">
        <v>1701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1702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1702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hidden="1" x14ac:dyDescent="0.2">
      <c r="A1536" s="2">
        <v>2025</v>
      </c>
      <c r="B1536" s="2">
        <v>6</v>
      </c>
      <c r="D1536" s="2" t="s">
        <v>1703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1704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3237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1704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3237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hidden="1" x14ac:dyDescent="0.2">
      <c r="A1539" s="2">
        <v>2025</v>
      </c>
      <c r="B1539" s="2">
        <v>6</v>
      </c>
      <c r="C1539" s="2" t="s">
        <v>3405</v>
      </c>
      <c r="D1539" s="2" t="s">
        <v>3419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1705</v>
      </c>
      <c r="P1539" s="2" t="s">
        <v>115</v>
      </c>
      <c r="Q1539" s="2" t="s">
        <v>1706</v>
      </c>
      <c r="R1539" s="2" t="s">
        <v>1707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3405</v>
      </c>
      <c r="D1540" s="2" t="s">
        <v>3419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1705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3405</v>
      </c>
      <c r="D1541" s="2" t="s">
        <v>3419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1705</v>
      </c>
      <c r="P1541" s="2" t="s">
        <v>283</v>
      </c>
      <c r="Q1541" s="2" t="s">
        <v>1708</v>
      </c>
      <c r="R1541" s="2" t="s">
        <v>1709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3237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3405</v>
      </c>
      <c r="D1542" s="2" t="s">
        <v>3419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1705</v>
      </c>
      <c r="P1542" s="2" t="s">
        <v>283</v>
      </c>
      <c r="Q1542" s="2" t="s">
        <v>1710</v>
      </c>
      <c r="R1542" s="2" t="s">
        <v>1711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3237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3405</v>
      </c>
      <c r="D1543" s="2" t="s">
        <v>3419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1705</v>
      </c>
      <c r="P1543" s="2" t="s">
        <v>102</v>
      </c>
      <c r="Q1543" s="2" t="s">
        <v>1712</v>
      </c>
      <c r="R1543" s="2" t="s">
        <v>1713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3179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3405</v>
      </c>
      <c r="D1544" s="2" t="s">
        <v>3419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1705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3237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1714</v>
      </c>
      <c r="R1546" s="2" t="s">
        <v>1715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hidden="1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3237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hidden="1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hidden="1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3211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3237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3237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3237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3237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hidden="1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hidden="1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hidden="1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hidden="1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hidden="1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hidden="1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hidden="1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3237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3237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1716</v>
      </c>
      <c r="J1563" s="2" t="s">
        <v>1717</v>
      </c>
      <c r="L1563" s="2" t="s">
        <v>340</v>
      </c>
      <c r="M1563" s="2" t="s">
        <v>40</v>
      </c>
      <c r="O1563" s="2" t="s">
        <v>1718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hidden="1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hidden="1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3237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3237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89"/>
        <v>0.22234718749999999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355.75549999999998</v>
      </c>
      <c r="AL1569" s="5">
        <f t="shared" si="185"/>
        <v>0.22234718749999999</v>
      </c>
    </row>
    <row r="1570" spans="1:38" hidden="1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hidden="1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1719</v>
      </c>
      <c r="R1573" s="2" t="s">
        <v>1720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hidden="1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hidden="1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hidden="1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hidden="1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1721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3237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1722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hidden="1" x14ac:dyDescent="0.2">
      <c r="A1579" s="2">
        <v>2025</v>
      </c>
      <c r="B1579" s="2">
        <v>6</v>
      </c>
      <c r="D1579" s="2" t="s">
        <v>1722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hidden="1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3237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hidden="1" x14ac:dyDescent="0.2">
      <c r="A1582" s="2">
        <v>2025</v>
      </c>
      <c r="B1582" s="2">
        <v>6</v>
      </c>
      <c r="D1582" s="2" t="s">
        <v>1723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hidden="1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hidden="1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hidden="1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1724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hidden="1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1725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3237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1725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3237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3143</v>
      </c>
      <c r="L1589" s="2" t="s">
        <v>178</v>
      </c>
      <c r="M1589" s="2" t="s">
        <v>41</v>
      </c>
      <c r="O1589" s="2" t="s">
        <v>3146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3237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-1244.2445</v>
      </c>
      <c r="AL1590" s="18">
        <v>-1</v>
      </c>
    </row>
    <row r="1591" spans="1:38" hidden="1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hidden="1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hidden="1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hidden="1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hidden="1" x14ac:dyDescent="0.2">
      <c r="A1595" s="2">
        <v>2025</v>
      </c>
      <c r="B1595" s="2">
        <v>6</v>
      </c>
      <c r="C1595" s="2" t="s">
        <v>3403</v>
      </c>
      <c r="D1595" s="2" t="s">
        <v>1726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3237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3405</v>
      </c>
      <c r="D1596" s="2" t="s">
        <v>1726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3237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hidden="1" x14ac:dyDescent="0.2">
      <c r="A1597" s="2">
        <v>2025</v>
      </c>
      <c r="B1597" s="2">
        <v>6</v>
      </c>
      <c r="D1597" s="2" t="s">
        <v>1727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3245</v>
      </c>
      <c r="J1597" s="2" t="s">
        <v>3246</v>
      </c>
      <c r="L1597" s="2" t="s">
        <v>572</v>
      </c>
      <c r="M1597" s="2" t="s">
        <v>81</v>
      </c>
      <c r="O1597" s="2" t="s">
        <v>3247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3237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1727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3245</v>
      </c>
      <c r="J1598" s="2" t="s">
        <v>3246</v>
      </c>
      <c r="L1598" s="2" t="s">
        <v>572</v>
      </c>
      <c r="M1598" s="2" t="s">
        <v>81</v>
      </c>
      <c r="O1598" s="2" t="s">
        <v>3247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3237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hidden="1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3237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hidden="1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3237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3237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3237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hidden="1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3237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hidden="1" x14ac:dyDescent="0.2">
      <c r="A1605" s="2">
        <v>2025</v>
      </c>
      <c r="B1605" s="2">
        <v>6</v>
      </c>
      <c r="D1605" s="2" t="s">
        <v>1728</v>
      </c>
      <c r="P1605" s="2" t="s">
        <v>188</v>
      </c>
      <c r="Q1605" s="2" t="s">
        <v>1729</v>
      </c>
      <c r="R1605" s="2" t="s">
        <v>1730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hidden="1" x14ac:dyDescent="0.2">
      <c r="A1606" s="2">
        <v>2025</v>
      </c>
      <c r="B1606" s="2">
        <v>6</v>
      </c>
      <c r="D1606" s="2" t="s">
        <v>1728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3392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hidden="1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2419</v>
      </c>
      <c r="J1607" s="2" t="s">
        <v>2420</v>
      </c>
      <c r="L1607" s="2" t="s">
        <v>202</v>
      </c>
      <c r="M1607" s="2" t="s">
        <v>81</v>
      </c>
      <c r="P1607" s="2" t="s">
        <v>1041</v>
      </c>
      <c r="Q1607" s="2" t="s">
        <v>1731</v>
      </c>
      <c r="R1607" s="2" t="s">
        <v>1732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3237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2419</v>
      </c>
      <c r="J1608" s="2" t="s">
        <v>2420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3237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hidden="1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1733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3237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1734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3237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1735</v>
      </c>
      <c r="P1611" s="2" t="s">
        <v>1041</v>
      </c>
      <c r="Q1611" s="2" t="s">
        <v>1736</v>
      </c>
      <c r="R1611" s="2" t="s">
        <v>1737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3237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1735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3237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hidden="1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3237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3237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1738</v>
      </c>
      <c r="R1615" s="2" t="s">
        <v>1739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3237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hidden="1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1740</v>
      </c>
      <c r="R1616" s="2" t="s">
        <v>1741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3237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1742</v>
      </c>
      <c r="P1617" s="2" t="s">
        <v>115</v>
      </c>
      <c r="Q1617" s="2" t="s">
        <v>1743</v>
      </c>
      <c r="R1617" s="2" t="s">
        <v>1744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hidden="1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1742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hidden="1" x14ac:dyDescent="0.2">
      <c r="A1619" s="2">
        <v>2025</v>
      </c>
      <c r="B1619" s="2">
        <v>6</v>
      </c>
      <c r="D1619" s="2" t="s">
        <v>1745</v>
      </c>
      <c r="P1619" s="2" t="s">
        <v>115</v>
      </c>
      <c r="Q1619" s="2" t="s">
        <v>1746</v>
      </c>
      <c r="R1619" s="2" t="s">
        <v>1747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hidden="1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3237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3237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hidden="1" x14ac:dyDescent="0.2">
      <c r="A1624" s="2">
        <v>2025</v>
      </c>
      <c r="B1624" s="2">
        <v>6</v>
      </c>
      <c r="D1624" s="2" t="s">
        <v>1748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1749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hidden="1" x14ac:dyDescent="0.2">
      <c r="A1625" s="2">
        <v>2025</v>
      </c>
      <c r="B1625" s="2">
        <v>6</v>
      </c>
      <c r="D1625" s="2" t="s">
        <v>1748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1749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hidden="1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hidden="1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hidden="1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3237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3237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1750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hidden="1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2302</v>
      </c>
      <c r="J1633" s="2" t="s">
        <v>2303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2302</v>
      </c>
      <c r="J1634" s="2" t="s">
        <v>2303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hidden="1" x14ac:dyDescent="0.2">
      <c r="A1635" s="2">
        <v>2025</v>
      </c>
      <c r="B1635" s="2">
        <v>6</v>
      </c>
      <c r="D1635" s="2" t="s">
        <v>1751</v>
      </c>
      <c r="P1635" s="2" t="s">
        <v>283</v>
      </c>
      <c r="Q1635" s="2" t="s">
        <v>1752</v>
      </c>
      <c r="R1635" s="2" t="s">
        <v>1753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3237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hidden="1" x14ac:dyDescent="0.2">
      <c r="A1636" s="2">
        <v>2025</v>
      </c>
      <c r="B1636" s="2">
        <v>6</v>
      </c>
      <c r="D1636" s="2" t="s">
        <v>1751</v>
      </c>
      <c r="P1636" s="2" t="s">
        <v>69</v>
      </c>
      <c r="Q1636" s="2" t="s">
        <v>1754</v>
      </c>
      <c r="R1636" s="2" t="s">
        <v>1755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3237</v>
      </c>
      <c r="AA1636" s="2" t="s">
        <v>72</v>
      </c>
      <c r="AB1636" s="2" t="s">
        <v>69</v>
      </c>
      <c r="AC1636" s="2" t="s">
        <v>3242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3237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3237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3237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1756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1757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1757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hidden="1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3237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3237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hidden="1" x14ac:dyDescent="0.2">
      <c r="A1645" s="2">
        <v>2025</v>
      </c>
      <c r="B1645" s="2">
        <v>8</v>
      </c>
      <c r="C1645" s="2" t="s">
        <v>3329</v>
      </c>
      <c r="D1645" s="2" t="s">
        <v>1758</v>
      </c>
      <c r="E1645" s="2" t="s">
        <v>38</v>
      </c>
      <c r="F1645" s="2" t="s">
        <v>39</v>
      </c>
      <c r="I1645" s="2" t="s">
        <v>3400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3237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3329</v>
      </c>
      <c r="D1646" s="2" t="s">
        <v>1758</v>
      </c>
      <c r="E1646" s="2" t="s">
        <v>38</v>
      </c>
      <c r="F1646" s="2" t="s">
        <v>39</v>
      </c>
      <c r="I1646" s="2" t="s">
        <v>3400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3237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hidden="1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1759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hidden="1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1759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hidden="1" x14ac:dyDescent="0.2">
      <c r="A1649" s="2">
        <v>2025</v>
      </c>
      <c r="B1649" s="2">
        <v>8</v>
      </c>
      <c r="C1649" s="2" t="s">
        <v>3329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3237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3329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3237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hidden="1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1760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3237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1761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3237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1762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1762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1762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3124</v>
      </c>
      <c r="J1656" s="2" t="s">
        <v>3125</v>
      </c>
      <c r="L1656" s="2" t="s">
        <v>113</v>
      </c>
      <c r="M1656" s="2" t="s">
        <v>40</v>
      </c>
      <c r="O1656" s="2" t="s">
        <v>3127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2516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1763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3237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1764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3237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1764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3237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1763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1765</v>
      </c>
      <c r="P1661" s="2" t="s">
        <v>73</v>
      </c>
      <c r="Q1661" s="2" t="s">
        <v>1766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3237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1765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1765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3237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hidden="1" x14ac:dyDescent="0.2">
      <c r="A1664" s="2">
        <v>2025</v>
      </c>
      <c r="B1664" s="2">
        <v>8</v>
      </c>
      <c r="D1664" s="2" t="s">
        <v>1767</v>
      </c>
      <c r="P1664" s="2" t="s">
        <v>115</v>
      </c>
      <c r="Q1664" s="2" t="s">
        <v>1768</v>
      </c>
      <c r="R1664" s="2" t="s">
        <v>1769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hidden="1" x14ac:dyDescent="0.2">
      <c r="A1665" s="2">
        <v>2025</v>
      </c>
      <c r="B1665" s="2">
        <v>8</v>
      </c>
      <c r="D1665" s="2" t="s">
        <v>1767</v>
      </c>
      <c r="P1665" s="2" t="s">
        <v>115</v>
      </c>
      <c r="Q1665" s="2" t="s">
        <v>1770</v>
      </c>
      <c r="R1665" s="2" t="s">
        <v>1771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hidden="1" x14ac:dyDescent="0.2">
      <c r="A1666" s="2">
        <v>2025</v>
      </c>
      <c r="B1666" s="2">
        <v>8</v>
      </c>
      <c r="D1666" s="2" t="s">
        <v>1772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hidden="1" x14ac:dyDescent="0.2">
      <c r="A1667" s="2">
        <v>2025</v>
      </c>
      <c r="B1667" s="2">
        <v>8</v>
      </c>
      <c r="D1667" s="2" t="s">
        <v>1772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hidden="1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3237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3237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hidden="1" x14ac:dyDescent="0.2">
      <c r="A1672" s="2">
        <v>2025</v>
      </c>
      <c r="B1672" s="2">
        <v>8</v>
      </c>
      <c r="D1672" s="2" t="s">
        <v>1773</v>
      </c>
      <c r="P1672" s="2" t="s">
        <v>1611</v>
      </c>
      <c r="Q1672" s="2" t="s">
        <v>1774</v>
      </c>
      <c r="R1672" s="2" t="s">
        <v>1775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hidden="1" x14ac:dyDescent="0.2">
      <c r="A1673" s="2">
        <v>2025</v>
      </c>
      <c r="B1673" s="2">
        <v>8</v>
      </c>
      <c r="D1673" s="2" t="s">
        <v>1773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hidden="1" x14ac:dyDescent="0.2">
      <c r="A1674" s="2">
        <v>2025</v>
      </c>
      <c r="B1674" s="2">
        <v>8</v>
      </c>
      <c r="D1674" s="2" t="s">
        <v>1773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hidden="1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1776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3237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1776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3237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hidden="1" x14ac:dyDescent="0.2">
      <c r="A1677" s="2">
        <v>2025</v>
      </c>
      <c r="B1677" s="2">
        <v>8</v>
      </c>
      <c r="D1677" s="2" t="s">
        <v>1777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hidden="1" x14ac:dyDescent="0.2">
      <c r="A1678" s="2">
        <v>2025</v>
      </c>
      <c r="B1678" s="2">
        <v>8</v>
      </c>
      <c r="D1678" s="2" t="s">
        <v>1777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hidden="1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1778</v>
      </c>
      <c r="R1679" s="2" t="s">
        <v>1779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3237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hidden="1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1780</v>
      </c>
      <c r="R1680" s="2" t="s">
        <v>1781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hidden="1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3392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hidden="1" x14ac:dyDescent="0.2">
      <c r="A1684" s="2">
        <v>2025</v>
      </c>
      <c r="B1684" s="2">
        <v>8</v>
      </c>
      <c r="D1684" s="2" t="s">
        <v>1782</v>
      </c>
      <c r="P1684" s="2" t="s">
        <v>102</v>
      </c>
      <c r="Q1684" s="2" t="s">
        <v>1783</v>
      </c>
      <c r="R1684" s="2" t="s">
        <v>1784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1785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1785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hidden="1" x14ac:dyDescent="0.2">
      <c r="A1687" s="2">
        <v>2025</v>
      </c>
      <c r="B1687" s="2">
        <v>8</v>
      </c>
      <c r="D1687" s="2" t="s">
        <v>1786</v>
      </c>
      <c r="P1687" s="2" t="s">
        <v>283</v>
      </c>
      <c r="Q1687" s="2" t="s">
        <v>1787</v>
      </c>
      <c r="R1687" s="2" t="s">
        <v>1788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hidden="1" x14ac:dyDescent="0.2">
      <c r="A1688" s="2">
        <v>2025</v>
      </c>
      <c r="B1688" s="2">
        <v>8</v>
      </c>
      <c r="D1688" s="2" t="s">
        <v>1786</v>
      </c>
      <c r="P1688" s="2" t="s">
        <v>283</v>
      </c>
      <c r="Q1688" s="2" t="s">
        <v>1789</v>
      </c>
      <c r="R1688" s="2" t="s">
        <v>1790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3237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hidden="1" x14ac:dyDescent="0.2">
      <c r="A1689" s="2">
        <v>2025</v>
      </c>
      <c r="B1689" s="2">
        <v>8</v>
      </c>
      <c r="D1689" s="2" t="s">
        <v>1786</v>
      </c>
      <c r="P1689" s="2" t="s">
        <v>283</v>
      </c>
      <c r="Q1689" s="2" t="s">
        <v>1791</v>
      </c>
      <c r="R1689" s="2" t="s">
        <v>1790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3237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hidden="1" x14ac:dyDescent="0.2">
      <c r="A1690" s="2">
        <v>2025</v>
      </c>
      <c r="B1690" s="2">
        <v>8</v>
      </c>
      <c r="D1690" s="2" t="s">
        <v>1786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1792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3237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3237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hidden="1" x14ac:dyDescent="0.2">
      <c r="A1693" s="2">
        <v>2025</v>
      </c>
      <c r="B1693" s="2">
        <v>8</v>
      </c>
      <c r="D1693" s="2" t="s">
        <v>1793</v>
      </c>
      <c r="P1693" s="2" t="s">
        <v>3241</v>
      </c>
      <c r="Q1693" s="2" t="s">
        <v>1794</v>
      </c>
      <c r="R1693" s="2" t="s">
        <v>1795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3241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1796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3392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hidden="1" x14ac:dyDescent="0.2">
      <c r="A1698" s="2">
        <v>2025</v>
      </c>
      <c r="B1698" s="2">
        <v>8</v>
      </c>
      <c r="D1698" s="2" t="s">
        <v>1797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hidden="1" x14ac:dyDescent="0.2">
      <c r="A1699" s="2">
        <v>2025</v>
      </c>
      <c r="B1699" s="2">
        <v>8</v>
      </c>
      <c r="D1699" s="2" t="s">
        <v>1797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hidden="1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3237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3237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3422</v>
      </c>
      <c r="D1702" s="2" t="s">
        <v>3421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1798</v>
      </c>
      <c r="P1702" s="2" t="s">
        <v>115</v>
      </c>
      <c r="Q1702" s="2" t="s">
        <v>1799</v>
      </c>
      <c r="R1702" s="2" t="s">
        <v>1800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3237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3237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3237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hidden="1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3237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3237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3237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hidden="1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3237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hidden="1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3237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3237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3237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hidden="1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3237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3237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3237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3413</v>
      </c>
    </row>
    <row r="1717" spans="1:38" hidden="1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3237</v>
      </c>
      <c r="AA1717" s="2" t="s">
        <v>46</v>
      </c>
      <c r="AB1717" s="2" t="s">
        <v>61</v>
      </c>
      <c r="AC1717" s="2" t="s">
        <v>3343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hidden="1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3237</v>
      </c>
      <c r="AA1718" s="2" t="s">
        <v>46</v>
      </c>
      <c r="AB1718" s="2" t="s">
        <v>61</v>
      </c>
      <c r="AC1718" s="2" t="s">
        <v>3343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hidden="1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3237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3237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1801</v>
      </c>
      <c r="R1721" s="2" t="s">
        <v>1802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3237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3237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hidden="1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3237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hidden="1" x14ac:dyDescent="0.2">
      <c r="A1724" s="2">
        <v>2025</v>
      </c>
      <c r="B1724" s="2">
        <v>8</v>
      </c>
      <c r="D1724" s="2" t="s">
        <v>1803</v>
      </c>
      <c r="P1724" s="2" t="s">
        <v>3241</v>
      </c>
      <c r="Q1724" s="2" t="s">
        <v>1794</v>
      </c>
      <c r="R1724" s="2" t="s">
        <v>1795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3241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3237</v>
      </c>
      <c r="AA1725" s="2" t="s">
        <v>46</v>
      </c>
      <c r="AB1725" s="2" t="s">
        <v>61</v>
      </c>
      <c r="AC1725" s="2" t="s">
        <v>3343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hidden="1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3230</v>
      </c>
      <c r="J1726" s="2" t="s">
        <v>3231</v>
      </c>
      <c r="L1726" s="2" t="s">
        <v>340</v>
      </c>
      <c r="M1726" s="2" t="s">
        <v>81</v>
      </c>
      <c r="O1726" s="2" t="s">
        <v>3233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3237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3230</v>
      </c>
      <c r="J1727" s="2" t="s">
        <v>3231</v>
      </c>
      <c r="L1727" s="2" t="s">
        <v>340</v>
      </c>
      <c r="M1727" s="2" t="s">
        <v>81</v>
      </c>
      <c r="O1727" s="2" t="s">
        <v>3233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3237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hidden="1" x14ac:dyDescent="0.2">
      <c r="A1728" s="2">
        <v>2025</v>
      </c>
      <c r="B1728" s="2">
        <v>8</v>
      </c>
      <c r="D1728" s="2" t="s">
        <v>1804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3237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1804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3237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1804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3237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1805</v>
      </c>
      <c r="R1731" s="2" t="s">
        <v>1806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3237</v>
      </c>
      <c r="AA1731" s="2" t="s">
        <v>46</v>
      </c>
      <c r="AB1731" s="2" t="s">
        <v>61</v>
      </c>
      <c r="AC1731" s="2" t="s">
        <v>3417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hidden="1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hidden="1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hidden="1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5"/>
        <v>0.26376065088757394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445.75549999999998</v>
      </c>
      <c r="AL1735" s="5">
        <f t="shared" si="203"/>
        <v>0.26376065088757394</v>
      </c>
    </row>
    <row r="1736" spans="1:38" hidden="1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1807</v>
      </c>
      <c r="R1736" s="2" t="s">
        <v>1808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hidden="1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1809</v>
      </c>
      <c r="R1737" s="2" t="s">
        <v>1810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hidden="1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1811</v>
      </c>
      <c r="P1738" s="2" t="s">
        <v>115</v>
      </c>
      <c r="Q1738" s="2" t="s">
        <v>1812</v>
      </c>
      <c r="R1738" s="2" t="s">
        <v>1813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1814</v>
      </c>
      <c r="P1739" s="2" t="s">
        <v>283</v>
      </c>
      <c r="Q1739" s="2" t="s">
        <v>1815</v>
      </c>
      <c r="R1739" s="2" t="s">
        <v>1816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hidden="1" x14ac:dyDescent="0.2">
      <c r="A1740" s="2">
        <v>2025</v>
      </c>
      <c r="B1740" s="2">
        <v>8</v>
      </c>
      <c r="D1740" s="2" t="s">
        <v>1814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3237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hidden="1" x14ac:dyDescent="0.2">
      <c r="A1741" s="2">
        <v>2025</v>
      </c>
      <c r="B1741" s="2">
        <v>8</v>
      </c>
      <c r="C1741" s="2" t="s">
        <v>3329</v>
      </c>
      <c r="D1741" s="2" t="s">
        <v>3328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3237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3237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hidden="1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1817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3237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1817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3237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hidden="1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3237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3237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hidden="1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3237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hidden="1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3237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hidden="1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1818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3237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1819</v>
      </c>
      <c r="R1753" s="2" t="s">
        <v>1820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3237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hidden="1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1821</v>
      </c>
      <c r="R1754" s="2" t="s">
        <v>1822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3237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hidden="1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1823</v>
      </c>
      <c r="R1755" s="2" t="s">
        <v>1824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3237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hidden="1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1825</v>
      </c>
      <c r="R1756" s="2" t="s">
        <v>1826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3237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hidden="1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1827</v>
      </c>
      <c r="R1757" s="2" t="s">
        <v>1828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3237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hidden="1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3237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hidden="1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3237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3237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1829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hidden="1" x14ac:dyDescent="0.2">
      <c r="A1762" s="2">
        <v>2025</v>
      </c>
      <c r="B1762" s="2">
        <v>8</v>
      </c>
      <c r="D1762" s="2" t="s">
        <v>1829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hidden="1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3237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3237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3237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hidden="1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1830</v>
      </c>
      <c r="R1767" s="2" t="s">
        <v>1831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3237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hidden="1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3237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3237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hidden="1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1832</v>
      </c>
      <c r="L1771" s="2" t="s">
        <v>178</v>
      </c>
      <c r="M1771" s="2" t="s">
        <v>41</v>
      </c>
      <c r="O1771" s="2" t="s">
        <v>1833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3237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3237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3237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3237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3216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3237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3204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3237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3237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hidden="1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1834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1835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3243</v>
      </c>
      <c r="L1779" s="2" t="s">
        <v>462</v>
      </c>
      <c r="M1779" s="2" t="s">
        <v>41</v>
      </c>
      <c r="O1779" s="2" t="s">
        <v>3244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3183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3237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3237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hidden="1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1836</v>
      </c>
      <c r="R1783" s="2" t="s">
        <v>1837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3237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1838</v>
      </c>
      <c r="R1784" s="2" t="s">
        <v>1839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3237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hidden="1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3237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3237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3237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1840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3237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hidden="1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1840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3237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hidden="1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1840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3237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hidden="1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1840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3237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hidden="1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1840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3237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hidden="1" x14ac:dyDescent="0.2">
      <c r="A1793" s="2">
        <v>2025</v>
      </c>
      <c r="B1793" s="2">
        <v>8</v>
      </c>
      <c r="C1793" s="2" t="s">
        <v>3329</v>
      </c>
      <c r="D1793" s="2" t="s">
        <v>1642</v>
      </c>
      <c r="E1793" s="2" t="s">
        <v>2454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3237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3162</v>
      </c>
      <c r="M1794" s="2" t="s">
        <v>41</v>
      </c>
      <c r="O1794" s="2" t="s">
        <v>3161</v>
      </c>
      <c r="P1794" s="2" t="s">
        <v>1041</v>
      </c>
      <c r="Q1794" s="2" t="s">
        <v>1841</v>
      </c>
      <c r="R1794" s="2" t="s">
        <v>1842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3237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3237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hidden="1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1843</v>
      </c>
      <c r="R1796" s="2" t="s">
        <v>1844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3237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3215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3237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3237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hidden="1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1845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3237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hidden="1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3237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3237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3237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1846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1846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hidden="1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1847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3237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1848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1848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hidden="1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1848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hidden="1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hidden="1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hidden="1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1849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3237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1850</v>
      </c>
      <c r="P1812" s="2" t="s">
        <v>283</v>
      </c>
      <c r="Q1812" s="2" t="s">
        <v>1851</v>
      </c>
      <c r="R1812" s="2" t="s">
        <v>1852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3237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hidden="1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1853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3237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1853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3237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1853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3237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3423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3237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1854</v>
      </c>
      <c r="R1817" s="2" t="s">
        <v>1855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3237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3237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1856</v>
      </c>
      <c r="R1819" s="2" t="s">
        <v>1857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3237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1858</v>
      </c>
      <c r="R1820" s="2" t="s">
        <v>1859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3237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3237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3237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1860</v>
      </c>
      <c r="L1823" s="2" t="s">
        <v>100</v>
      </c>
      <c r="M1823" s="2" t="s">
        <v>81</v>
      </c>
      <c r="O1823" s="2" t="s">
        <v>1861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3237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3237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3237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3237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3237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1862</v>
      </c>
      <c r="R1828" s="2" t="s">
        <v>1863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3237</v>
      </c>
      <c r="AA1828" s="2" t="s">
        <v>76</v>
      </c>
      <c r="AB1828" s="2" t="s">
        <v>77</v>
      </c>
      <c r="AC1828" s="2" t="s">
        <v>1041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1864</v>
      </c>
      <c r="R1829" s="2" t="s">
        <v>1865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3237</v>
      </c>
      <c r="AA1829" s="2" t="s">
        <v>1044</v>
      </c>
      <c r="AB1829" s="2" t="s">
        <v>1322</v>
      </c>
      <c r="AC1829" s="2" t="s">
        <v>1041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3237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hidden="1" x14ac:dyDescent="0.2">
      <c r="A1831" s="2">
        <v>2025</v>
      </c>
      <c r="B1831" s="2">
        <v>10</v>
      </c>
      <c r="D1831" s="2" t="s">
        <v>1866</v>
      </c>
      <c r="E1831" s="2" t="s">
        <v>109</v>
      </c>
      <c r="G1831" s="2">
        <v>515549134</v>
      </c>
      <c r="H1831" s="2" t="s">
        <v>41</v>
      </c>
      <c r="I1831" s="2" t="s">
        <v>1867</v>
      </c>
      <c r="J1831" s="2" t="s">
        <v>1868</v>
      </c>
      <c r="L1831" s="2" t="s">
        <v>178</v>
      </c>
      <c r="M1831" s="2" t="s">
        <v>41</v>
      </c>
      <c r="O1831" s="2" t="s">
        <v>1869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3237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1866</v>
      </c>
      <c r="E1832" s="2" t="s">
        <v>109</v>
      </c>
      <c r="G1832" s="2">
        <v>515549134</v>
      </c>
      <c r="H1832" s="2" t="s">
        <v>41</v>
      </c>
      <c r="I1832" s="2" t="s">
        <v>1867</v>
      </c>
      <c r="J1832" s="2" t="s">
        <v>1868</v>
      </c>
      <c r="L1832" s="2" t="s">
        <v>178</v>
      </c>
      <c r="M1832" s="2" t="s">
        <v>41</v>
      </c>
      <c r="O1832" s="2" t="s">
        <v>1869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3237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1866</v>
      </c>
      <c r="E1833" s="2" t="s">
        <v>109</v>
      </c>
      <c r="G1833" s="2">
        <v>515549134</v>
      </c>
      <c r="H1833" s="2" t="s">
        <v>41</v>
      </c>
      <c r="I1833" s="2" t="s">
        <v>1867</v>
      </c>
      <c r="J1833" s="2" t="s">
        <v>1868</v>
      </c>
      <c r="L1833" s="2" t="s">
        <v>178</v>
      </c>
      <c r="M1833" s="2" t="s">
        <v>41</v>
      </c>
      <c r="O1833" s="2" t="s">
        <v>1869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3237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1866</v>
      </c>
      <c r="E1834" s="2" t="s">
        <v>109</v>
      </c>
      <c r="G1834" s="2">
        <v>515549134</v>
      </c>
      <c r="H1834" s="2" t="s">
        <v>41</v>
      </c>
      <c r="I1834" s="2" t="s">
        <v>1867</v>
      </c>
      <c r="J1834" s="2" t="s">
        <v>1868</v>
      </c>
      <c r="L1834" s="2" t="s">
        <v>178</v>
      </c>
      <c r="M1834" s="2" t="s">
        <v>41</v>
      </c>
      <c r="O1834" s="2" t="s">
        <v>1869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3237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1866</v>
      </c>
      <c r="E1835" s="2" t="s">
        <v>109</v>
      </c>
      <c r="G1835" s="2">
        <v>515549134</v>
      </c>
      <c r="H1835" s="2" t="s">
        <v>41</v>
      </c>
      <c r="I1835" s="2" t="s">
        <v>1867</v>
      </c>
      <c r="J1835" s="2" t="s">
        <v>1868</v>
      </c>
      <c r="L1835" s="2" t="s">
        <v>178</v>
      </c>
      <c r="M1835" s="2" t="s">
        <v>41</v>
      </c>
      <c r="O1835" s="2" t="s">
        <v>1869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3237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1870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3237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1870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3237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hidden="1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hidden="1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3237</v>
      </c>
      <c r="AA1840" s="2" t="s">
        <v>46</v>
      </c>
      <c r="AB1840" s="2" t="s">
        <v>61</v>
      </c>
      <c r="AC1840" s="2" t="s">
        <v>3343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hidden="1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3237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3237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hidden="1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1">(T1843-W1843)/T1843</f>
        <v>0.52105128205128204</v>
      </c>
      <c r="Z1843" s="2" t="s">
        <v>3237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3237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3237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3237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1871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1871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1871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1872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3237</v>
      </c>
      <c r="AA1850" s="2" t="s">
        <v>72</v>
      </c>
      <c r="AB1850" s="2" t="s">
        <v>69</v>
      </c>
      <c r="AC1850" s="2" t="s">
        <v>3242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1872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1873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1874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1874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1873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3237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3237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3237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hidden="1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3237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3392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hidden="1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1"/>
        <v>1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hidden="1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1875</v>
      </c>
      <c r="P1864" s="2" t="s">
        <v>115</v>
      </c>
      <c r="Q1864" s="2" t="s">
        <v>1876</v>
      </c>
      <c r="R1864" s="2" t="s">
        <v>1877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1875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1875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1875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1878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3237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1878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3237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1879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3237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1880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3237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1881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3237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1879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3237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hidden="1" x14ac:dyDescent="0.2">
      <c r="A1874" s="2">
        <v>2025</v>
      </c>
      <c r="B1874" s="2">
        <v>10</v>
      </c>
      <c r="D1874" s="2" t="s">
        <v>1882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hidden="1" x14ac:dyDescent="0.2">
      <c r="A1875" s="2">
        <v>2025</v>
      </c>
      <c r="B1875" s="2">
        <v>10</v>
      </c>
      <c r="D1875" s="2" t="s">
        <v>1882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3237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3237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hidden="1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3237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3237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hidden="1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1883</v>
      </c>
      <c r="R1880" s="2" t="s">
        <v>1884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hidden="1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hidden="1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hidden="1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hidden="1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hidden="1" x14ac:dyDescent="0.2">
      <c r="A1886" s="2">
        <v>2025</v>
      </c>
      <c r="B1886" s="2">
        <v>10</v>
      </c>
      <c r="D1886" s="2" t="s">
        <v>1885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hidden="1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1886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3237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1887</v>
      </c>
      <c r="R1888" s="2" t="s">
        <v>1888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3237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hidden="1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1889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3237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1889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3237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1889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3237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1889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3237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1889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3237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1889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3237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hidden="1" x14ac:dyDescent="0.2">
      <c r="A1895" s="2">
        <v>2025</v>
      </c>
      <c r="B1895" s="2">
        <v>10</v>
      </c>
      <c r="C1895" s="2" t="s">
        <v>3416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3237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1782</v>
      </c>
      <c r="P1896" s="2" t="s">
        <v>3241</v>
      </c>
      <c r="Q1896" s="2" t="s">
        <v>1890</v>
      </c>
      <c r="R1896" s="2" t="s">
        <v>1891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3241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3237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3237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hidden="1" x14ac:dyDescent="0.2">
      <c r="A1899" s="2">
        <v>2025</v>
      </c>
      <c r="B1899" s="2">
        <v>10</v>
      </c>
      <c r="D1899" s="2" t="s">
        <v>1892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1892</v>
      </c>
      <c r="P1900" s="2" t="s">
        <v>115</v>
      </c>
      <c r="Q1900" s="2" t="s">
        <v>1893</v>
      </c>
      <c r="R1900" s="2" t="s">
        <v>1894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hidden="1" x14ac:dyDescent="0.2">
      <c r="A1901" s="2">
        <v>2025</v>
      </c>
      <c r="B1901" s="2">
        <v>10</v>
      </c>
      <c r="D1901" s="2" t="s">
        <v>1895</v>
      </c>
      <c r="P1901" s="2" t="s">
        <v>115</v>
      </c>
      <c r="Q1901" s="2" t="s">
        <v>1896</v>
      </c>
      <c r="R1901" s="2" t="s">
        <v>1897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7"/>
        <v>1</v>
      </c>
      <c r="AF1901" s="2">
        <f t="shared" si="223"/>
        <v>0</v>
      </c>
      <c r="AJ1901" s="2">
        <f t="shared" si="224"/>
        <v>0</v>
      </c>
      <c r="AK1901" s="2">
        <f t="shared" si="225"/>
        <v>97.81</v>
      </c>
      <c r="AL1901" s="5">
        <f t="shared" si="222"/>
        <v>1</v>
      </c>
    </row>
    <row r="1902" spans="1:38" hidden="1" x14ac:dyDescent="0.2">
      <c r="A1902" s="2">
        <v>2025</v>
      </c>
      <c r="B1902" s="2">
        <v>10</v>
      </c>
      <c r="D1902" s="2" t="s">
        <v>1895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hidden="1" x14ac:dyDescent="0.2">
      <c r="A1903" s="2">
        <v>2025</v>
      </c>
      <c r="B1903" s="2">
        <v>10</v>
      </c>
      <c r="D1903" s="2" t="s">
        <v>1895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3237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3237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hidden="1" x14ac:dyDescent="0.2">
      <c r="A1906" s="2">
        <v>2025</v>
      </c>
      <c r="B1906" s="2">
        <v>10</v>
      </c>
      <c r="D1906" s="2" t="s">
        <v>1011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3237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3237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3425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3237</v>
      </c>
      <c r="AA1908" s="2" t="s">
        <v>72</v>
      </c>
      <c r="AB1908" s="2" t="s">
        <v>69</v>
      </c>
      <c r="AC1908" s="2" t="s">
        <v>3242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hidden="1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2484</v>
      </c>
      <c r="J1911" s="2" t="s">
        <v>3132</v>
      </c>
      <c r="K1911" s="2">
        <v>965864665</v>
      </c>
      <c r="L1911" s="2" t="s">
        <v>345</v>
      </c>
      <c r="M1911" s="2" t="s">
        <v>81</v>
      </c>
      <c r="O1911" s="2" t="s">
        <v>3135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3237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2484</v>
      </c>
      <c r="J1912" s="2" t="s">
        <v>3132</v>
      </c>
      <c r="K1912" s="2">
        <v>965864665</v>
      </c>
      <c r="L1912" s="2" t="s">
        <v>345</v>
      </c>
      <c r="M1912" s="2" t="s">
        <v>81</v>
      </c>
      <c r="O1912" s="2" t="s">
        <v>3135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3237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hidden="1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3237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3237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3237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3237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3237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hidden="1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3237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hidden="1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hidden="1" x14ac:dyDescent="0.2">
      <c r="A1921" s="2">
        <v>2025</v>
      </c>
      <c r="B1921" s="2">
        <v>10</v>
      </c>
      <c r="D1921" s="2" t="s">
        <v>1898</v>
      </c>
      <c r="P1921" s="2" t="s">
        <v>73</v>
      </c>
      <c r="Q1921" s="2" t="s">
        <v>1899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3237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1898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3237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hidden="1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1900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3237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1901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3237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1901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hidden="1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1902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3237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hidden="1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3237</v>
      </c>
      <c r="AA1927" s="2" t="s">
        <v>46</v>
      </c>
      <c r="AB1927" s="2" t="s">
        <v>61</v>
      </c>
      <c r="AC1927" s="2" t="s">
        <v>3343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hidden="1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3237</v>
      </c>
      <c r="AA1928" s="2" t="s">
        <v>46</v>
      </c>
      <c r="AB1928" s="2" t="s">
        <v>61</v>
      </c>
      <c r="AC1928" s="2" t="s">
        <v>3343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hidden="1" x14ac:dyDescent="0.2">
      <c r="A1929" s="2">
        <v>2025</v>
      </c>
      <c r="B1929" s="2">
        <v>10</v>
      </c>
      <c r="D1929" s="2" t="s">
        <v>1903</v>
      </c>
      <c r="P1929" s="2" t="s">
        <v>3241</v>
      </c>
      <c r="Q1929" s="2" t="s">
        <v>1904</v>
      </c>
      <c r="R1929" s="2" t="s">
        <v>1905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1906</v>
      </c>
      <c r="AC1929" s="2" t="s">
        <v>3241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1903</v>
      </c>
      <c r="P1930" s="2" t="s">
        <v>69</v>
      </c>
      <c r="Q1930" s="2" t="s">
        <v>1907</v>
      </c>
      <c r="R1930" s="2" t="s">
        <v>1908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3242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hidden="1" x14ac:dyDescent="0.2">
      <c r="A1931" s="2">
        <v>2025</v>
      </c>
      <c r="B1931" s="2">
        <v>10</v>
      </c>
      <c r="D1931" s="2" t="s">
        <v>1909</v>
      </c>
      <c r="P1931" s="2" t="s">
        <v>115</v>
      </c>
      <c r="Q1931" s="2" t="s">
        <v>1910</v>
      </c>
      <c r="R1931" s="2" t="s">
        <v>1911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hidden="1" x14ac:dyDescent="0.2">
      <c r="A1932" s="2">
        <v>2025</v>
      </c>
      <c r="B1932" s="2">
        <v>10</v>
      </c>
      <c r="D1932" s="2" t="s">
        <v>1909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hidden="1" x14ac:dyDescent="0.2">
      <c r="A1933" s="2">
        <v>2025</v>
      </c>
      <c r="B1933" s="2">
        <v>10</v>
      </c>
      <c r="D1933" s="2" t="s">
        <v>1909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3"/>
        <v>0.14308230027548208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207.75549999999998</v>
      </c>
      <c r="AL1934" s="5">
        <f t="shared" si="228"/>
        <v>0.14308230027548208</v>
      </c>
    </row>
    <row r="1935" spans="1:38" hidden="1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1912</v>
      </c>
      <c r="R1935" s="2" t="s">
        <v>1913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hidden="1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3237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3237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hidden="1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1914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3237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1914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3237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1914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hidden="1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3237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3237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1915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3"/>
        <v>#DIV/0!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hidden="1" x14ac:dyDescent="0.2">
      <c r="A1945" s="2">
        <v>2025</v>
      </c>
      <c r="B1945" s="2">
        <v>10</v>
      </c>
      <c r="D1945" s="2" t="s">
        <v>1915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hidden="1" x14ac:dyDescent="0.2">
      <c r="A1946" s="2">
        <v>2025</v>
      </c>
      <c r="B1946" s="2">
        <v>10</v>
      </c>
      <c r="D1946" s="2" t="s">
        <v>1915</v>
      </c>
      <c r="P1946" s="2" t="s">
        <v>69</v>
      </c>
      <c r="Q1946" s="2" t="s">
        <v>1916</v>
      </c>
      <c r="R1946" s="2" t="s">
        <v>1917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3237</v>
      </c>
      <c r="AC1946" s="2" t="s">
        <v>3242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hidden="1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hidden="1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1918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3237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1919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3237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1919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1920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3237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hidden="1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3237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3143</v>
      </c>
      <c r="L1953" s="2" t="s">
        <v>178</v>
      </c>
      <c r="M1953" s="2" t="s">
        <v>41</v>
      </c>
      <c r="O1953" s="2" t="s">
        <v>3149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3237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3143</v>
      </c>
      <c r="L1954" s="2" t="s">
        <v>178</v>
      </c>
      <c r="M1954" s="2" t="s">
        <v>41</v>
      </c>
      <c r="O1954" s="2" t="s">
        <v>3149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3237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x14ac:dyDescent="0.2">
      <c r="A1955" s="2">
        <v>2025</v>
      </c>
      <c r="B1955" s="2">
        <v>10</v>
      </c>
      <c r="D1955" s="2" t="s">
        <v>1921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3"/>
        <v>0.33462860962566843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625.75549999999998</v>
      </c>
      <c r="AL1955" s="5">
        <f t="shared" si="228"/>
        <v>0.33462860962566843</v>
      </c>
    </row>
    <row r="1956" spans="1:38" hidden="1" x14ac:dyDescent="0.2">
      <c r="A1956" s="2">
        <v>2025</v>
      </c>
      <c r="B1956" s="2">
        <v>10</v>
      </c>
      <c r="D1956" s="2" t="s">
        <v>1922</v>
      </c>
      <c r="P1956" s="2" t="s">
        <v>115</v>
      </c>
      <c r="Q1956" s="2" t="s">
        <v>1923</v>
      </c>
      <c r="R1956" s="2" t="s">
        <v>1924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hidden="1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1925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3237</v>
      </c>
      <c r="AA1957" s="2" t="s">
        <v>46</v>
      </c>
      <c r="AB1957" s="2" t="s">
        <v>61</v>
      </c>
      <c r="AC1957" s="2" t="s">
        <v>3343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1925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3237</v>
      </c>
      <c r="AA1958" s="2" t="s">
        <v>46</v>
      </c>
      <c r="AB1958" s="2" t="s">
        <v>61</v>
      </c>
      <c r="AC1958" s="2" t="s">
        <v>3343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3237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3237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hidden="1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3237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hidden="1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2419</v>
      </c>
      <c r="J1963" s="2" t="s">
        <v>2420</v>
      </c>
      <c r="L1963" s="2" t="s">
        <v>202</v>
      </c>
      <c r="M1963" s="2" t="s">
        <v>81</v>
      </c>
      <c r="P1963" s="2" t="s">
        <v>1041</v>
      </c>
      <c r="Q1963" s="2" t="s">
        <v>1926</v>
      </c>
      <c r="R1963" s="2" t="s">
        <v>1927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3237</v>
      </c>
      <c r="AA1963" s="2" t="s">
        <v>1044</v>
      </c>
      <c r="AB1963" s="2" t="s">
        <v>1322</v>
      </c>
      <c r="AC1963" s="2" t="s">
        <v>1041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2419</v>
      </c>
      <c r="J1964" s="2" t="s">
        <v>2420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hidden="1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1912</v>
      </c>
      <c r="R1965" s="2" t="s">
        <v>1913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1928</v>
      </c>
      <c r="R1966" s="2" t="s">
        <v>1929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3234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3237</v>
      </c>
      <c r="AA1967" s="2" t="s">
        <v>72</v>
      </c>
      <c r="AB1967" s="2" t="s">
        <v>1607</v>
      </c>
      <c r="AC1967" s="2" t="s">
        <v>1607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3235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3237</v>
      </c>
      <c r="AA1968" s="2" t="s">
        <v>72</v>
      </c>
      <c r="AB1968" s="2" t="s">
        <v>1607</v>
      </c>
      <c r="AC1968" s="2" t="s">
        <v>1607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1930</v>
      </c>
      <c r="R1969" s="2" t="s">
        <v>1931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3237</v>
      </c>
      <c r="AA1969" s="2" t="s">
        <v>1044</v>
      </c>
      <c r="AB1969" s="2" t="s">
        <v>1274</v>
      </c>
      <c r="AC1969" s="2" t="s">
        <v>1041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1932</v>
      </c>
      <c r="R1970" s="2" t="s">
        <v>1933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3237</v>
      </c>
      <c r="AA1970" s="2" t="s">
        <v>1044</v>
      </c>
      <c r="AB1970" s="2" t="s">
        <v>1274</v>
      </c>
      <c r="AC1970" s="2" t="s">
        <v>1041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1934</v>
      </c>
      <c r="R1971" s="2" t="s">
        <v>1935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3237</v>
      </c>
      <c r="AA1971" s="2" t="s">
        <v>1044</v>
      </c>
      <c r="AB1971" s="2" t="s">
        <v>1322</v>
      </c>
      <c r="AC1971" s="2" t="s">
        <v>1041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1936</v>
      </c>
      <c r="R1972" s="2" t="s">
        <v>1937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3237</v>
      </c>
      <c r="AA1972" s="2" t="s">
        <v>1044</v>
      </c>
      <c r="AB1972" s="2" t="s">
        <v>1322</v>
      </c>
      <c r="AC1972" s="2" t="s">
        <v>1041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1938</v>
      </c>
      <c r="R1973" s="2" t="s">
        <v>1939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3237</v>
      </c>
      <c r="AA1973" s="2" t="s">
        <v>1044</v>
      </c>
      <c r="AB1973" s="2" t="s">
        <v>1322</v>
      </c>
      <c r="AC1973" s="2" t="s">
        <v>1041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1940</v>
      </c>
      <c r="R1974" s="2" t="s">
        <v>1941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3237</v>
      </c>
      <c r="AA1974" s="2" t="s">
        <v>1044</v>
      </c>
      <c r="AB1974" s="2" t="s">
        <v>1322</v>
      </c>
      <c r="AC1974" s="2" t="s">
        <v>1041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hidden="1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1942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hidden="1" x14ac:dyDescent="0.2">
      <c r="A1977" s="2">
        <v>2025</v>
      </c>
      <c r="B1977" s="2">
        <v>10</v>
      </c>
      <c r="D1977" s="2" t="s">
        <v>1943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3176</v>
      </c>
      <c r="L1977" s="2" t="s">
        <v>481</v>
      </c>
      <c r="O1977" s="2" t="s">
        <v>3177</v>
      </c>
      <c r="P1977" s="2" t="s">
        <v>1041</v>
      </c>
      <c r="Q1977" s="2" t="s">
        <v>1944</v>
      </c>
      <c r="R1977" s="2" t="s">
        <v>1945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3237</v>
      </c>
      <c r="AA1977" s="2" t="s">
        <v>1044</v>
      </c>
      <c r="AB1977" s="2" t="s">
        <v>1045</v>
      </c>
      <c r="AC1977" s="2" t="s">
        <v>1041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1943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3176</v>
      </c>
      <c r="L1978" s="2" t="s">
        <v>481</v>
      </c>
      <c r="O1978" s="2" t="s">
        <v>3177</v>
      </c>
      <c r="P1978" s="2" t="s">
        <v>1041</v>
      </c>
      <c r="Q1978" s="2" t="s">
        <v>1946</v>
      </c>
      <c r="R1978" s="2" t="s">
        <v>1947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3237</v>
      </c>
      <c r="AA1978" s="2" t="s">
        <v>1044</v>
      </c>
      <c r="AB1978" s="2" t="s">
        <v>1045</v>
      </c>
      <c r="AC1978" s="2" t="s">
        <v>1041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hidden="1" x14ac:dyDescent="0.2">
      <c r="A1980" s="2">
        <v>2025</v>
      </c>
      <c r="B1980" s="2">
        <v>10</v>
      </c>
      <c r="C1980" s="2" t="s">
        <v>3425</v>
      </c>
      <c r="D1980" s="2" t="s">
        <v>1745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1948</v>
      </c>
      <c r="R1980" s="2" t="s">
        <v>1949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3237</v>
      </c>
      <c r="AA1980" s="2" t="s">
        <v>156</v>
      </c>
      <c r="AB1980" s="2" t="s">
        <v>1949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1745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hidden="1" x14ac:dyDescent="0.2">
      <c r="A1982" s="2">
        <v>2025</v>
      </c>
      <c r="B1982" s="2">
        <v>10</v>
      </c>
      <c r="D1982" s="2" t="s">
        <v>1950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3237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1950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3237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hidden="1" x14ac:dyDescent="0.2">
      <c r="A1984" s="2">
        <v>2025</v>
      </c>
      <c r="B1984" s="2">
        <v>10</v>
      </c>
      <c r="D1984" s="2" t="s">
        <v>1951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3237</v>
      </c>
      <c r="AA1984" s="2" t="s">
        <v>72</v>
      </c>
      <c r="AB1984" s="2" t="s">
        <v>69</v>
      </c>
      <c r="AC1984" s="2" t="s">
        <v>3242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3237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3237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3237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3237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3237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3237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hidden="1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3237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hidden="1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3237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3237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1952</v>
      </c>
      <c r="P1994" s="2" t="s">
        <v>3241</v>
      </c>
      <c r="Q1994" s="2" t="s">
        <v>1953</v>
      </c>
      <c r="R1994" s="2" t="s">
        <v>1954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3241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3237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1955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3237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1955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3237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hidden="1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1955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3237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1955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3237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1956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hidden="1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3312</v>
      </c>
      <c r="O2001" s="2" t="s">
        <v>1957</v>
      </c>
      <c r="P2001" s="2" t="s">
        <v>283</v>
      </c>
      <c r="Q2001" s="2" t="s">
        <v>1958</v>
      </c>
      <c r="R2001" s="2" t="s">
        <v>1959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3237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3312</v>
      </c>
      <c r="O2002" s="2" t="s">
        <v>1960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3237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3212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3237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1961</v>
      </c>
      <c r="R2004" s="2" t="s">
        <v>1962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3237</v>
      </c>
      <c r="AA2004" s="2" t="s">
        <v>76</v>
      </c>
      <c r="AB2004" s="2" t="s">
        <v>77</v>
      </c>
      <c r="AC2004" s="2" t="s">
        <v>1041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3237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hidden="1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3237</v>
      </c>
      <c r="AA2007" s="2" t="s">
        <v>46</v>
      </c>
      <c r="AB2007" s="2" t="s">
        <v>61</v>
      </c>
      <c r="AC2007" s="2" t="s">
        <v>3343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hidden="1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3237</v>
      </c>
      <c r="AA2008" s="2" t="s">
        <v>46</v>
      </c>
      <c r="AB2008" s="2" t="s">
        <v>61</v>
      </c>
      <c r="AC2008" s="2" t="s">
        <v>3343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hidden="1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hidden="1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1963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3237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1963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3237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hidden="1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hidden="1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hidden="1" x14ac:dyDescent="0.2">
      <c r="A2017" s="2">
        <v>2025</v>
      </c>
      <c r="B2017" s="2">
        <v>10</v>
      </c>
      <c r="D2017" s="2" t="s">
        <v>1964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1964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hidden="1" x14ac:dyDescent="0.2">
      <c r="A2019" s="2">
        <v>2025</v>
      </c>
      <c r="B2019" s="2">
        <v>10</v>
      </c>
      <c r="D2019" s="2" t="s">
        <v>1964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hidden="1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1965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hidden="1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hidden="1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3237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3237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1966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1967</v>
      </c>
      <c r="J2024" s="2" t="s">
        <v>1968</v>
      </c>
      <c r="L2024" s="2" t="s">
        <v>294</v>
      </c>
      <c r="M2024" s="2" t="s">
        <v>40</v>
      </c>
      <c r="O2024" s="2" t="s">
        <v>1969</v>
      </c>
      <c r="P2024" s="2" t="s">
        <v>115</v>
      </c>
      <c r="Q2024" s="2" t="s">
        <v>1970</v>
      </c>
      <c r="R2024" s="2" t="s">
        <v>1971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1966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1967</v>
      </c>
      <c r="J2025" s="2" t="s">
        <v>1968</v>
      </c>
      <c r="L2025" s="2" t="s">
        <v>294</v>
      </c>
      <c r="M2025" s="2" t="s">
        <v>40</v>
      </c>
      <c r="P2025" s="2" t="s">
        <v>115</v>
      </c>
      <c r="Q2025" s="2" t="s">
        <v>1972</v>
      </c>
      <c r="R2025" s="2" t="s">
        <v>1973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1966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1967</v>
      </c>
      <c r="J2026" s="2" t="s">
        <v>1968</v>
      </c>
      <c r="L2026" s="2" t="s">
        <v>294</v>
      </c>
      <c r="M2026" s="2" t="s">
        <v>40</v>
      </c>
      <c r="P2026" s="2" t="s">
        <v>115</v>
      </c>
      <c r="Q2026" s="2" t="s">
        <v>1974</v>
      </c>
      <c r="R2026" s="2" t="s">
        <v>1975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hidden="1" x14ac:dyDescent="0.2">
      <c r="A2027" s="2">
        <v>2025</v>
      </c>
      <c r="B2027" s="2">
        <v>10</v>
      </c>
      <c r="D2027" s="2" t="s">
        <v>1976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3237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1976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3237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hidden="1" x14ac:dyDescent="0.2">
      <c r="A2029" s="2">
        <v>2025</v>
      </c>
      <c r="B2029" s="2">
        <v>10</v>
      </c>
      <c r="D2029" s="2" t="s">
        <v>924</v>
      </c>
      <c r="P2029" s="2" t="s">
        <v>3241</v>
      </c>
      <c r="Q2029" s="2" t="s">
        <v>1794</v>
      </c>
      <c r="R2029" s="2" t="s">
        <v>1795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3241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1314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3237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3237</v>
      </c>
      <c r="AA2032" s="2" t="s">
        <v>46</v>
      </c>
      <c r="AB2032" s="2" t="s">
        <v>61</v>
      </c>
      <c r="AC2032" s="2" t="s">
        <v>3343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3237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3237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3237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3237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3237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3214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3237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1977</v>
      </c>
      <c r="R2039" s="2" t="s">
        <v>1978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3237</v>
      </c>
      <c r="AA2039" s="2" t="s">
        <v>76</v>
      </c>
      <c r="AB2039" s="2" t="s">
        <v>77</v>
      </c>
      <c r="AC2039" s="2" t="s">
        <v>1041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1979</v>
      </c>
      <c r="R2040" s="2" t="s">
        <v>1980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3237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1314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3237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3392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hidden="1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3237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3237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3237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hidden="1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1981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3237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1982</v>
      </c>
      <c r="R2056" s="2" t="s">
        <v>1983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3237</v>
      </c>
      <c r="AA2056" s="2" t="s">
        <v>76</v>
      </c>
      <c r="AB2056" s="2" t="s">
        <v>77</v>
      </c>
      <c r="AC2056" s="2" t="s">
        <v>1041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3237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3392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3237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3237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3237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hidden="1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hidden="1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3392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hidden="1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1984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hidden="1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1984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hidden="1" x14ac:dyDescent="0.2">
      <c r="A2070" s="2">
        <v>2025</v>
      </c>
      <c r="B2070" s="2">
        <v>11</v>
      </c>
      <c r="D2070" s="2" t="s">
        <v>1985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3237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hidden="1" x14ac:dyDescent="0.2">
      <c r="A2071" s="2">
        <v>2025</v>
      </c>
      <c r="B2071" s="2">
        <v>11</v>
      </c>
      <c r="D2071" s="2" t="s">
        <v>1985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3237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3237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3237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3237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1986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3237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1986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3237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hidden="1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1986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3237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hidden="1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1987</v>
      </c>
      <c r="R2078" s="2" t="s">
        <v>1988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hidden="1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1893</v>
      </c>
      <c r="R2079" s="2" t="s">
        <v>1894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hidden="1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hidden="1" x14ac:dyDescent="0.2">
      <c r="A2081" s="2">
        <v>2025</v>
      </c>
      <c r="B2081" s="2">
        <v>11</v>
      </c>
      <c r="D2081" s="2" t="s">
        <v>1989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1990</v>
      </c>
      <c r="K2081" s="2">
        <v>924064533</v>
      </c>
      <c r="L2081" s="2" t="s">
        <v>113</v>
      </c>
      <c r="M2081" s="2" t="s">
        <v>81</v>
      </c>
      <c r="O2081" s="2" t="s">
        <v>1991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3237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1989</v>
      </c>
      <c r="M2082" s="2" t="s">
        <v>81</v>
      </c>
      <c r="P2082" s="2" t="s">
        <v>1041</v>
      </c>
      <c r="Q2082" s="2" t="s">
        <v>1992</v>
      </c>
      <c r="R2082" s="2" t="s">
        <v>1993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3237</v>
      </c>
      <c r="AA2082" s="2" t="s">
        <v>3395</v>
      </c>
      <c r="AB2082" s="2" t="s">
        <v>1994</v>
      </c>
      <c r="AC2082" s="2" t="s">
        <v>1041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3237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3237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1996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3237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1996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3237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1997</v>
      </c>
      <c r="P2087" s="2" t="s">
        <v>73</v>
      </c>
      <c r="Q2087" s="2" t="s">
        <v>1998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3237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3237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hidden="1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1999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3392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3237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hidden="1" x14ac:dyDescent="0.2">
      <c r="A2091" s="2">
        <v>2025</v>
      </c>
      <c r="B2091" s="2">
        <v>11</v>
      </c>
      <c r="D2091" s="2" t="s">
        <v>2000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2000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hidden="1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hidden="1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3237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hidden="1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hidden="1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3237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hidden="1" x14ac:dyDescent="0.2">
      <c r="A2098" s="2">
        <v>2025</v>
      </c>
      <c r="B2098" s="2">
        <v>11</v>
      </c>
      <c r="D2098" s="2" t="s">
        <v>2001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hidden="1" x14ac:dyDescent="0.2">
      <c r="A2099" s="2">
        <v>2025</v>
      </c>
      <c r="B2099" s="2">
        <v>11</v>
      </c>
      <c r="D2099" s="2" t="s">
        <v>2001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1701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3237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1701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3237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1701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3237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2002</v>
      </c>
      <c r="M2103" s="2" t="s">
        <v>81</v>
      </c>
      <c r="O2103" s="2" t="s">
        <v>2003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3237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2002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3237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hidden="1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3237</v>
      </c>
      <c r="AA2107" s="2" t="s">
        <v>46</v>
      </c>
      <c r="AB2107" s="2" t="s">
        <v>61</v>
      </c>
      <c r="AC2107" s="2" t="s">
        <v>3343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hidden="1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3237</v>
      </c>
      <c r="AA2108" s="2" t="s">
        <v>46</v>
      </c>
      <c r="AB2108" s="2" t="s">
        <v>61</v>
      </c>
      <c r="AC2108" s="2" t="s">
        <v>3343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hidden="1" x14ac:dyDescent="0.2">
      <c r="A2109" s="2">
        <v>2025</v>
      </c>
      <c r="B2109" s="2">
        <v>11</v>
      </c>
      <c r="D2109" s="2" t="s">
        <v>1797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hidden="1" x14ac:dyDescent="0.2">
      <c r="A2110" s="2">
        <v>2025</v>
      </c>
      <c r="B2110" s="2">
        <v>11</v>
      </c>
      <c r="D2110" s="2" t="s">
        <v>1797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hidden="1" x14ac:dyDescent="0.2">
      <c r="A2111" s="2">
        <v>2025</v>
      </c>
      <c r="B2111" s="2">
        <v>11</v>
      </c>
      <c r="D2111" s="2" t="s">
        <v>1895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3237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hidden="1" x14ac:dyDescent="0.2">
      <c r="A2112" s="2">
        <v>2025</v>
      </c>
      <c r="B2112" s="2">
        <v>11</v>
      </c>
      <c r="D2112" s="2" t="s">
        <v>1895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3237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hidden="1" x14ac:dyDescent="0.2">
      <c r="A2113" s="2">
        <v>2025</v>
      </c>
      <c r="B2113" s="2">
        <v>11</v>
      </c>
      <c r="D2113" s="2" t="s">
        <v>1895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2005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3237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hidden="1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hidden="1" x14ac:dyDescent="0.2">
      <c r="A2116" s="2">
        <v>2025</v>
      </c>
      <c r="B2116" s="2">
        <v>11</v>
      </c>
      <c r="D2116" s="2" t="s">
        <v>2007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2007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hidden="1" x14ac:dyDescent="0.2">
      <c r="A2118" s="2">
        <v>2025</v>
      </c>
      <c r="B2118" s="2">
        <v>11</v>
      </c>
      <c r="D2118" s="2" t="s">
        <v>2007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3237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3237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hidden="1" x14ac:dyDescent="0.2">
      <c r="A2121" s="2">
        <v>2025</v>
      </c>
      <c r="B2121" s="2">
        <v>11</v>
      </c>
      <c r="D2121" s="2" t="s">
        <v>1011</v>
      </c>
      <c r="P2121" s="2" t="s">
        <v>283</v>
      </c>
      <c r="Q2121" s="2" t="s">
        <v>2008</v>
      </c>
      <c r="R2121" s="2" t="s">
        <v>2009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3237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hidden="1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2010</v>
      </c>
      <c r="R2122" s="2" t="s">
        <v>2011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hidden="1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3237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2012</v>
      </c>
      <c r="Q2124" s="2" t="s">
        <v>2013</v>
      </c>
      <c r="R2124" s="2" t="s">
        <v>2014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hidden="1" x14ac:dyDescent="0.2">
      <c r="A2125" s="2">
        <v>2025</v>
      </c>
      <c r="B2125" s="2">
        <v>11</v>
      </c>
      <c r="D2125" s="2" t="s">
        <v>2015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6"/>
        <v>#DIV/0!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hidden="1" x14ac:dyDescent="0.2">
      <c r="A2126" s="2">
        <v>2025</v>
      </c>
      <c r="B2126" s="2">
        <v>11</v>
      </c>
      <c r="D2126" s="2" t="s">
        <v>2015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hidden="1" x14ac:dyDescent="0.2">
      <c r="A2127" s="2">
        <v>2025</v>
      </c>
      <c r="B2127" s="2">
        <v>11</v>
      </c>
      <c r="D2127" s="2" t="s">
        <v>2016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hidden="1" x14ac:dyDescent="0.2">
      <c r="A2128" s="2">
        <v>2025</v>
      </c>
      <c r="B2128" s="2">
        <v>11</v>
      </c>
      <c r="D2128" s="2" t="s">
        <v>2016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hidden="1" x14ac:dyDescent="0.2">
      <c r="A2129" s="2">
        <v>2025</v>
      </c>
      <c r="B2129" s="2">
        <v>11</v>
      </c>
      <c r="D2129" s="2" t="s">
        <v>2016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2484</v>
      </c>
      <c r="J2130" s="2" t="s">
        <v>3132</v>
      </c>
      <c r="K2130" s="2">
        <v>965864665</v>
      </c>
      <c r="L2130" s="2" t="s">
        <v>345</v>
      </c>
      <c r="M2130" s="2" t="s">
        <v>81</v>
      </c>
      <c r="O2130" s="2" t="s">
        <v>3136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3237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2484</v>
      </c>
      <c r="J2131" s="2" t="s">
        <v>3132</v>
      </c>
      <c r="K2131" s="2">
        <v>965864665</v>
      </c>
      <c r="L2131" s="2" t="s">
        <v>345</v>
      </c>
      <c r="M2131" s="2" t="s">
        <v>81</v>
      </c>
      <c r="O2131" s="2" t="s">
        <v>3136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3237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hidden="1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3237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3237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hidden="1" x14ac:dyDescent="0.2">
      <c r="A2135" s="2">
        <v>2025</v>
      </c>
      <c r="B2135" s="2">
        <v>11</v>
      </c>
      <c r="D2135" s="2" t="s">
        <v>2017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hidden="1" x14ac:dyDescent="0.2">
      <c r="A2136" s="2">
        <v>2025</v>
      </c>
      <c r="B2136" s="2">
        <v>11</v>
      </c>
      <c r="D2136" s="2" t="s">
        <v>2017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hidden="1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3237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3237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3237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3237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3237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2019</v>
      </c>
      <c r="R2142" s="2" t="s">
        <v>2020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hidden="1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hidden="1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hidden="1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hidden="1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3237</v>
      </c>
      <c r="AA2147" s="2" t="s">
        <v>46</v>
      </c>
      <c r="AB2147" s="2" t="s">
        <v>61</v>
      </c>
      <c r="AC2147" s="2" t="s">
        <v>3343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hidden="1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3237</v>
      </c>
      <c r="AA2148" s="2" t="s">
        <v>46</v>
      </c>
      <c r="AB2148" s="2" t="s">
        <v>61</v>
      </c>
      <c r="AC2148" s="2" t="s">
        <v>3343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hidden="1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3237</v>
      </c>
      <c r="AA2149" s="2" t="s">
        <v>46</v>
      </c>
      <c r="AB2149" s="2" t="s">
        <v>61</v>
      </c>
      <c r="AC2149" s="2" t="s">
        <v>3343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hidden="1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3237</v>
      </c>
      <c r="AA2150" s="2" t="s">
        <v>46</v>
      </c>
      <c r="AB2150" s="2" t="s">
        <v>61</v>
      </c>
      <c r="AC2150" s="2" t="s">
        <v>3343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hidden="1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hidden="1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hidden="1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2021</v>
      </c>
      <c r="P2153" s="2" t="s">
        <v>43</v>
      </c>
      <c r="Q2153" s="2" t="s">
        <v>2022</v>
      </c>
      <c r="R2153" s="2" t="s">
        <v>2023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3237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hidden="1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3237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hidden="1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3237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3186</v>
      </c>
      <c r="K2156" s="2">
        <v>911577458</v>
      </c>
      <c r="L2156" s="2" t="s">
        <v>178</v>
      </c>
      <c r="M2156" s="2" t="s">
        <v>41</v>
      </c>
      <c r="O2156" s="2" t="s">
        <v>3189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3237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3186</v>
      </c>
      <c r="K2157" s="2">
        <v>911577458</v>
      </c>
      <c r="L2157" s="2" t="s">
        <v>178</v>
      </c>
      <c r="M2157" s="2" t="s">
        <v>41</v>
      </c>
      <c r="O2157" s="2" t="s">
        <v>3189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3237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3186</v>
      </c>
      <c r="K2158" s="2">
        <v>911577458</v>
      </c>
      <c r="L2158" s="2" t="s">
        <v>178</v>
      </c>
      <c r="M2158" s="2" t="s">
        <v>41</v>
      </c>
      <c r="O2158" s="2" t="s">
        <v>3189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3237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2024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2024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1"/>
        <v>#DIV/0!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hidden="1" x14ac:dyDescent="0.2">
      <c r="A2161" s="2">
        <v>2025</v>
      </c>
      <c r="B2161" s="2">
        <v>11</v>
      </c>
      <c r="D2161" s="2" t="s">
        <v>2025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1314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hidden="1" x14ac:dyDescent="0.2">
      <c r="A2162" s="2">
        <v>2025</v>
      </c>
      <c r="B2162" s="2">
        <v>11</v>
      </c>
      <c r="D2162" s="2" t="s">
        <v>2026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2027</v>
      </c>
      <c r="J2162" s="2" t="s">
        <v>2028</v>
      </c>
      <c r="K2162" s="2">
        <v>966004647</v>
      </c>
      <c r="L2162" s="2" t="s">
        <v>462</v>
      </c>
      <c r="M2162" s="2" t="s">
        <v>81</v>
      </c>
      <c r="O2162" s="2" t="s">
        <v>2029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3237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3237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hidden="1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3392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hidden="1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hidden="1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hidden="1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hidden="1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hidden="1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2030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hidden="1" x14ac:dyDescent="0.2">
      <c r="A2174" s="2">
        <v>2025</v>
      </c>
      <c r="B2174" s="2">
        <v>11</v>
      </c>
      <c r="D2174" s="2" t="s">
        <v>2030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3237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2030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3237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3241</v>
      </c>
      <c r="Q2176" s="2" t="s">
        <v>2031</v>
      </c>
      <c r="R2176" s="2" t="s">
        <v>2032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3241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3241</v>
      </c>
      <c r="Q2177" s="2" t="s">
        <v>2033</v>
      </c>
      <c r="R2177" s="2" t="s">
        <v>2034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2035</v>
      </c>
      <c r="AC2177" s="2" t="s">
        <v>3241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hidden="1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hidden="1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3237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3237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hidden="1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3237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3237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3237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3237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3237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2037</v>
      </c>
      <c r="R2187" s="2" t="s">
        <v>2038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3237</v>
      </c>
      <c r="AA2187" s="2" t="s">
        <v>1044</v>
      </c>
      <c r="AB2187" s="2" t="s">
        <v>2039</v>
      </c>
      <c r="AC2187" s="2" t="s">
        <v>1041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2040</v>
      </c>
      <c r="R2188" s="2" t="s">
        <v>2041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3237</v>
      </c>
      <c r="AA2188" s="2" t="s">
        <v>1044</v>
      </c>
      <c r="AB2188" s="2" t="s">
        <v>2039</v>
      </c>
      <c r="AC2188" s="2" t="s">
        <v>1041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hidden="1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3237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hidden="1" x14ac:dyDescent="0.2">
      <c r="A2192" s="2">
        <v>2025</v>
      </c>
      <c r="B2192" s="2">
        <v>11</v>
      </c>
      <c r="D2192" s="2" t="s">
        <v>2042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2042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hidden="1" x14ac:dyDescent="0.2">
      <c r="A2194" s="2">
        <v>2025</v>
      </c>
      <c r="B2194" s="2">
        <v>11</v>
      </c>
      <c r="D2194" s="2" t="s">
        <v>2042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hidden="1" x14ac:dyDescent="0.2">
      <c r="A2195" s="2">
        <v>2025</v>
      </c>
      <c r="B2195" s="2">
        <v>11</v>
      </c>
      <c r="D2195" s="2" t="s">
        <v>1915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1915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3237</v>
      </c>
      <c r="AA2196" s="2" t="s">
        <v>46</v>
      </c>
      <c r="AB2196" s="2" t="s">
        <v>61</v>
      </c>
      <c r="AC2196" s="2" t="s">
        <v>3343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1722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1722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hidden="1" x14ac:dyDescent="0.2">
      <c r="A2199" s="2">
        <v>2025</v>
      </c>
      <c r="B2199" s="2">
        <v>11</v>
      </c>
      <c r="D2199" s="2" t="s">
        <v>1722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hidden="1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3237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hidden="1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hidden="1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2043</v>
      </c>
      <c r="R2203" s="2" t="s">
        <v>2044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3237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hidden="1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3237</v>
      </c>
      <c r="AA2204" s="2" t="s">
        <v>46</v>
      </c>
      <c r="AB2204" s="2" t="s">
        <v>61</v>
      </c>
      <c r="AC2204" s="2" t="s">
        <v>3343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3237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hidden="1" x14ac:dyDescent="0.2">
      <c r="A2206" s="2">
        <v>2025</v>
      </c>
      <c r="B2206" s="2">
        <v>11</v>
      </c>
      <c r="C2206" s="2" t="s">
        <v>3406</v>
      </c>
      <c r="D2206" s="2" t="s">
        <v>1726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3237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3406</v>
      </c>
      <c r="D2207" s="2" t="s">
        <v>1726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2045</v>
      </c>
      <c r="R2207" s="2" t="s">
        <v>2046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3237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2047</v>
      </c>
      <c r="R2208" s="2" t="s">
        <v>2048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3237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2049</v>
      </c>
      <c r="R2209" s="2" t="s">
        <v>2050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3237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hidden="1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2051</v>
      </c>
      <c r="R2210" s="2" t="s">
        <v>2052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3237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hidden="1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2053</v>
      </c>
      <c r="R2211" s="2" t="s">
        <v>2054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3237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hidden="1" x14ac:dyDescent="0.2">
      <c r="A2212" s="2">
        <v>2025</v>
      </c>
      <c r="B2212" s="2">
        <v>11</v>
      </c>
      <c r="D2212" s="2" t="s">
        <v>2055</v>
      </c>
      <c r="M2212" s="2" t="s">
        <v>81</v>
      </c>
      <c r="O2212" s="2" t="s">
        <v>2056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3237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3237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hidden="1" x14ac:dyDescent="0.2">
      <c r="A2214" s="2">
        <v>2025</v>
      </c>
      <c r="B2214" s="2">
        <v>11</v>
      </c>
      <c r="D2214" s="2" t="s">
        <v>2057</v>
      </c>
      <c r="P2214" s="2" t="s">
        <v>115</v>
      </c>
      <c r="Q2214" s="2" t="s">
        <v>2058</v>
      </c>
      <c r="R2214" s="2" t="s">
        <v>2059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hidden="1" x14ac:dyDescent="0.2">
      <c r="A2215" s="2">
        <v>2025</v>
      </c>
      <c r="B2215" s="2">
        <v>11</v>
      </c>
      <c r="D2215" s="2" t="s">
        <v>2060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3237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2060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3237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hidden="1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3237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hidden="1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3237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hidden="1" x14ac:dyDescent="0.2">
      <c r="A2220" s="2">
        <v>2025</v>
      </c>
      <c r="B2220" s="2">
        <v>11</v>
      </c>
      <c r="D2220" s="2" t="s">
        <v>1728</v>
      </c>
      <c r="P2220" s="2" t="s">
        <v>115</v>
      </c>
      <c r="Q2220" s="2" t="s">
        <v>1799</v>
      </c>
      <c r="R2220" s="2" t="s">
        <v>1800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hidden="1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2419</v>
      </c>
      <c r="J2221" s="2" t="s">
        <v>2420</v>
      </c>
      <c r="L2221" s="2" t="s">
        <v>202</v>
      </c>
      <c r="M2221" s="2" t="s">
        <v>81</v>
      </c>
      <c r="O2221" s="2" t="s">
        <v>3174</v>
      </c>
      <c r="P2221" s="2" t="s">
        <v>1041</v>
      </c>
      <c r="Q2221" s="2" t="s">
        <v>2062</v>
      </c>
      <c r="R2221" s="2" t="s">
        <v>2063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3237</v>
      </c>
      <c r="AA2221" s="2" t="s">
        <v>1044</v>
      </c>
      <c r="AB2221" s="2" t="s">
        <v>1322</v>
      </c>
      <c r="AC2221" s="2" t="s">
        <v>1041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2419</v>
      </c>
      <c r="J2222" s="2" t="s">
        <v>2420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hidden="1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2064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3237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3237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hidden="1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2065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3237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3237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2066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3237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3237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hidden="1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3236</v>
      </c>
      <c r="P2230" s="2" t="s">
        <v>283</v>
      </c>
      <c r="Q2230" s="2" t="s">
        <v>2067</v>
      </c>
      <c r="R2230" s="2" t="s">
        <v>2068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3237</v>
      </c>
      <c r="AA2230" s="2" t="s">
        <v>72</v>
      </c>
      <c r="AB2230" s="2" t="s">
        <v>1607</v>
      </c>
      <c r="AC2230" s="2" t="s">
        <v>1607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2069</v>
      </c>
      <c r="E2231" s="2" t="s">
        <v>109</v>
      </c>
      <c r="G2231" s="2">
        <v>506055884</v>
      </c>
      <c r="H2231" s="2" t="s">
        <v>40</v>
      </c>
      <c r="I2231" s="2" t="s">
        <v>2070</v>
      </c>
      <c r="J2231" s="2" t="s">
        <v>2071</v>
      </c>
      <c r="L2231" s="2" t="s">
        <v>100</v>
      </c>
      <c r="M2231" s="2" t="s">
        <v>40</v>
      </c>
      <c r="O2231" s="2" t="s">
        <v>2072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3237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hidden="1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3237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hidden="1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3237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hidden="1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1738</v>
      </c>
      <c r="R2235" s="2" t="s">
        <v>1739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3237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hidden="1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2073</v>
      </c>
      <c r="R2236" s="2" t="s">
        <v>2074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3237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hidden="1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3237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3237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3237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hidden="1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3237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2075</v>
      </c>
      <c r="R2241" s="2" t="s">
        <v>2076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3237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hidden="1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hidden="1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2077</v>
      </c>
      <c r="R2243" s="2" t="s">
        <v>2078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3242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hidden="1" x14ac:dyDescent="0.2">
      <c r="A2244" s="2">
        <v>2025</v>
      </c>
      <c r="B2244" s="2">
        <v>11</v>
      </c>
      <c r="D2244" s="2" t="s">
        <v>1950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1950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hidden="1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3237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3237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3237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hidden="1" x14ac:dyDescent="0.2">
      <c r="A2249" s="2">
        <v>2025</v>
      </c>
      <c r="B2249" s="2">
        <v>11</v>
      </c>
      <c r="D2249" s="2" t="s">
        <v>2079</v>
      </c>
      <c r="P2249" s="2" t="s">
        <v>115</v>
      </c>
      <c r="Q2249" s="2" t="s">
        <v>1893</v>
      </c>
      <c r="R2249" s="2" t="s">
        <v>1894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hidden="1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3237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3237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hidden="1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hidden="1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3237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3237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2080</v>
      </c>
      <c r="P2255" s="2" t="s">
        <v>283</v>
      </c>
      <c r="Q2255" s="2" t="s">
        <v>1787</v>
      </c>
      <c r="R2255" s="2" t="s">
        <v>1788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hidden="1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3237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3237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3237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hidden="1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3237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3213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3237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3237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hidden="1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2082</v>
      </c>
      <c r="P2262" s="2" t="s">
        <v>85</v>
      </c>
      <c r="Q2262" s="2" t="s">
        <v>1801</v>
      </c>
      <c r="R2262" s="2" t="s">
        <v>1802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3237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3237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2084</v>
      </c>
      <c r="R2264" s="2" t="s">
        <v>2085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hidden="1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1887</v>
      </c>
      <c r="R2265" s="2" t="s">
        <v>1888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hidden="1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hidden="1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hidden="1" x14ac:dyDescent="0.2">
      <c r="A2268" s="2">
        <v>2025</v>
      </c>
      <c r="B2268" s="2">
        <v>11</v>
      </c>
      <c r="D2268" s="2" t="s">
        <v>2086</v>
      </c>
      <c r="P2268" s="2" t="s">
        <v>69</v>
      </c>
      <c r="Q2268" s="2" t="s">
        <v>2087</v>
      </c>
      <c r="R2268" s="2" t="s">
        <v>2088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3242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hidden="1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hidden="1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3237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1976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3237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1976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3237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hidden="1" x14ac:dyDescent="0.2">
      <c r="A2273" s="2">
        <v>2025</v>
      </c>
      <c r="B2273" s="2">
        <v>11</v>
      </c>
      <c r="D2273" s="2" t="s">
        <v>2089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hidden="1" x14ac:dyDescent="0.2">
      <c r="A2274" s="2">
        <v>2025</v>
      </c>
      <c r="B2274" s="2">
        <v>11</v>
      </c>
      <c r="D2274" s="2" t="s">
        <v>2089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hidden="1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2302</v>
      </c>
      <c r="J2275" s="2" t="s">
        <v>2303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2090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hidden="1" x14ac:dyDescent="0.2">
      <c r="A2277" s="2">
        <v>2025</v>
      </c>
      <c r="B2277" s="2">
        <v>11</v>
      </c>
      <c r="D2277" s="2" t="s">
        <v>2090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hidden="1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3237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3237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3237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3237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3237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3237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hidden="1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3237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hidden="1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3237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hidden="1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3237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hidden="1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3237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hidden="1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3237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hidden="1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3237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3237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hidden="1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3237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3237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3237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2045</v>
      </c>
      <c r="R2294" s="2" t="s">
        <v>2046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3237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3237</v>
      </c>
      <c r="AA2295" s="2" t="s">
        <v>46</v>
      </c>
      <c r="AB2295" s="2" t="s">
        <v>61</v>
      </c>
      <c r="AC2295" s="2" t="s">
        <v>3343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3237</v>
      </c>
      <c r="AA2296" s="2" t="s">
        <v>46</v>
      </c>
      <c r="AB2296" s="2" t="s">
        <v>61</v>
      </c>
      <c r="AC2296" s="2" t="s">
        <v>3343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3237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3237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3237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3237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3237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3237</v>
      </c>
      <c r="AA2302" s="2" t="s">
        <v>76</v>
      </c>
      <c r="AB2302" s="2" t="s">
        <v>77</v>
      </c>
      <c r="AC2302" s="2" t="s">
        <v>1041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3398</v>
      </c>
      <c r="Q2303" s="2" t="s">
        <v>2092</v>
      </c>
      <c r="R2303" s="2" t="s">
        <v>2093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3237</v>
      </c>
      <c r="AA2303" s="2" t="s">
        <v>2175</v>
      </c>
      <c r="AB2303" s="2" t="s">
        <v>2255</v>
      </c>
      <c r="AC2303" s="2" t="s">
        <v>3398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3399</v>
      </c>
      <c r="Q2304" s="2" t="s">
        <v>2094</v>
      </c>
      <c r="R2304" s="2" t="s">
        <v>2095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3237</v>
      </c>
      <c r="AA2304" s="2" t="s">
        <v>1044</v>
      </c>
      <c r="AB2304" s="2" t="s">
        <v>1274</v>
      </c>
      <c r="AC2304" s="2" t="s">
        <v>3399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3399</v>
      </c>
      <c r="Q2305" s="2" t="s">
        <v>2096</v>
      </c>
      <c r="R2305" s="2" t="s">
        <v>2097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3237</v>
      </c>
      <c r="AA2305" s="2" t="s">
        <v>1044</v>
      </c>
      <c r="AB2305" s="2" t="s">
        <v>1274</v>
      </c>
      <c r="AC2305" s="2" t="s">
        <v>3399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3399</v>
      </c>
      <c r="Q2306" s="2" t="s">
        <v>2098</v>
      </c>
      <c r="R2306" s="2" t="s">
        <v>2099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3237</v>
      </c>
      <c r="AA2306" s="2" t="s">
        <v>1044</v>
      </c>
      <c r="AB2306" s="2" t="s">
        <v>1274</v>
      </c>
      <c r="AC2306" s="2" t="s">
        <v>3399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3398</v>
      </c>
      <c r="Q2307" s="2" t="s">
        <v>2100</v>
      </c>
      <c r="R2307" s="2" t="s">
        <v>2101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3237</v>
      </c>
      <c r="AA2307" s="2" t="s">
        <v>2175</v>
      </c>
      <c r="AB2307" s="2" t="s">
        <v>2255</v>
      </c>
      <c r="AC2307" s="2" t="s">
        <v>3398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3237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2102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1"/>
        <v>0.30489134078212288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545.75549999999998</v>
      </c>
      <c r="AL2310" s="5">
        <f t="shared" si="262"/>
        <v>0.30489134078212288</v>
      </c>
    </row>
    <row r="2311" spans="1:38" hidden="1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2102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hidden="1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2102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2102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2103</v>
      </c>
      <c r="AC2313" s="2" t="s">
        <v>3242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hidden="1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2102</v>
      </c>
      <c r="P2314" s="2" t="s">
        <v>1197</v>
      </c>
      <c r="Q2314" s="2" t="s">
        <v>1719</v>
      </c>
      <c r="R2314" s="2" t="s">
        <v>1720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hidden="1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2102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hidden="1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hidden="1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hidden="1" x14ac:dyDescent="0.2">
      <c r="A2319" s="2">
        <v>2025</v>
      </c>
      <c r="B2319" s="2">
        <v>12</v>
      </c>
      <c r="D2319" s="2" t="s">
        <v>2104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2104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hidden="1" x14ac:dyDescent="0.2">
      <c r="A2321" s="2">
        <v>2025</v>
      </c>
      <c r="B2321" s="2">
        <v>12</v>
      </c>
      <c r="D2321" s="2" t="s">
        <v>2104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hidden="1" x14ac:dyDescent="0.2">
      <c r="A2322" s="2">
        <v>2025</v>
      </c>
      <c r="B2322" s="2">
        <v>12</v>
      </c>
      <c r="D2322" s="2" t="s">
        <v>2104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3392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hidden="1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2105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hidden="1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2105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hidden="1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hidden="1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2106</v>
      </c>
      <c r="P2326" s="2" t="s">
        <v>115</v>
      </c>
      <c r="Q2326" s="2" t="s">
        <v>2107</v>
      </c>
      <c r="R2326" s="2" t="s">
        <v>2108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2106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66"/>
        <v>0.53835775587452683</v>
      </c>
      <c r="Z2327" s="2" t="s">
        <v>118</v>
      </c>
      <c r="AA2327" s="2" t="s">
        <v>119</v>
      </c>
      <c r="AF2327" s="2">
        <f t="shared" si="263"/>
        <v>0</v>
      </c>
      <c r="AJ2327" s="2">
        <f t="shared" si="264"/>
        <v>0</v>
      </c>
      <c r="AK2327" s="2">
        <f t="shared" si="265"/>
        <v>1005.55</v>
      </c>
      <c r="AL2327" s="5">
        <f t="shared" si="262"/>
        <v>0.53835775587452683</v>
      </c>
    </row>
    <row r="2328" spans="1:38" hidden="1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2109</v>
      </c>
      <c r="P2328" s="2" t="s">
        <v>115</v>
      </c>
      <c r="Q2328" s="2" t="s">
        <v>1893</v>
      </c>
      <c r="R2328" s="2" t="s">
        <v>1894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66"/>
        <v>0.29566382978723404</v>
      </c>
      <c r="Z2328" s="2" t="s">
        <v>105</v>
      </c>
      <c r="AA2328" s="2" t="s">
        <v>3445</v>
      </c>
      <c r="AC2328" s="2" t="s">
        <v>115</v>
      </c>
      <c r="AF2328" s="2">
        <f t="shared" si="263"/>
        <v>0</v>
      </c>
      <c r="AJ2328" s="2">
        <f t="shared" si="264"/>
        <v>0</v>
      </c>
      <c r="AK2328" s="2">
        <f t="shared" si="265"/>
        <v>1389.62</v>
      </c>
      <c r="AL2328" s="5">
        <f t="shared" si="262"/>
        <v>0.29566382978723404</v>
      </c>
    </row>
    <row r="2329" spans="1:38" hidden="1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2110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3237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hidden="1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2110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3237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hidden="1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2110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3237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hidden="1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2110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3237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hidden="1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2106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hidden="1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2106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hidden="1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2109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1314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>
        <v>-1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2111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3237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2111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3237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2111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3237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2112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2112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2112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hidden="1" x14ac:dyDescent="0.2">
      <c r="A2342" s="2">
        <v>2025</v>
      </c>
      <c r="B2342" s="2">
        <v>12</v>
      </c>
      <c r="D2342" s="2" t="s">
        <v>2113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2113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hidden="1" x14ac:dyDescent="0.2">
      <c r="A2344" s="2">
        <v>2025</v>
      </c>
      <c r="B2344" s="2">
        <v>12</v>
      </c>
      <c r="D2344" s="2" t="s">
        <v>2113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1314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hidden="1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2114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3237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hidden="1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3237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2115</v>
      </c>
      <c r="P2349" s="2" t="s">
        <v>43</v>
      </c>
      <c r="Q2349" s="2" t="s">
        <v>2116</v>
      </c>
      <c r="R2349" s="2" t="s">
        <v>2117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3237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2118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3392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hidden="1" x14ac:dyDescent="0.2">
      <c r="A2351" s="2">
        <v>2025</v>
      </c>
      <c r="B2351" s="2">
        <v>12</v>
      </c>
      <c r="D2351" s="2" t="s">
        <v>2119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3392</v>
      </c>
      <c r="AF2351" s="2">
        <f t="shared" si="263"/>
        <v>0</v>
      </c>
      <c r="AJ2351" s="2">
        <f t="shared" si="264"/>
        <v>0</v>
      </c>
    </row>
    <row r="2352" spans="1:38" hidden="1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2120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hidden="1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2120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hidden="1" x14ac:dyDescent="0.2">
      <c r="A2354" s="2">
        <v>2025</v>
      </c>
      <c r="B2354" s="2">
        <v>12</v>
      </c>
      <c r="D2354" s="2" t="s">
        <v>2121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7"/>
        <v>#DIV/0!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hidden="1" x14ac:dyDescent="0.2">
      <c r="A2355" s="2">
        <v>2025</v>
      </c>
      <c r="B2355" s="2">
        <v>12</v>
      </c>
      <c r="D2355" s="2" t="s">
        <v>2121</v>
      </c>
      <c r="P2355" s="2" t="s">
        <v>115</v>
      </c>
      <c r="Q2355" s="2" t="s">
        <v>2122</v>
      </c>
      <c r="R2355" s="2" t="s">
        <v>2123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2121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hidden="1" x14ac:dyDescent="0.2">
      <c r="A2357" s="2">
        <v>2025</v>
      </c>
      <c r="B2357" s="2">
        <v>12</v>
      </c>
      <c r="D2357" s="2" t="s">
        <v>2124</v>
      </c>
      <c r="Q2357" s="2" t="s">
        <v>2125</v>
      </c>
      <c r="R2357" s="2" t="s">
        <v>2126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hidden="1" x14ac:dyDescent="0.2">
      <c r="A2358" s="2">
        <v>2025</v>
      </c>
      <c r="B2358" s="2">
        <v>12</v>
      </c>
      <c r="D2358" s="2" t="s">
        <v>2124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3392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2127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3237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2128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3237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hidden="1" x14ac:dyDescent="0.2">
      <c r="A2363" s="2">
        <v>2025</v>
      </c>
      <c r="B2363" s="2">
        <v>12</v>
      </c>
      <c r="D2363" s="2" t="s">
        <v>2129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2130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2131</v>
      </c>
      <c r="P2365" s="2" t="s">
        <v>283</v>
      </c>
      <c r="Q2365" s="2" t="s">
        <v>2132</v>
      </c>
      <c r="R2365" s="2" t="s">
        <v>2133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3237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hidden="1" x14ac:dyDescent="0.2">
      <c r="A2366" s="2">
        <v>2025</v>
      </c>
      <c r="B2366" s="2">
        <v>12</v>
      </c>
      <c r="D2366" s="2" t="s">
        <v>2131</v>
      </c>
      <c r="P2366" s="2" t="s">
        <v>283</v>
      </c>
      <c r="Q2366" s="2" t="s">
        <v>1710</v>
      </c>
      <c r="R2366" s="2" t="s">
        <v>1711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3237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hidden="1" x14ac:dyDescent="0.2">
      <c r="A2367" s="2">
        <v>2025</v>
      </c>
      <c r="B2367" s="2">
        <v>12</v>
      </c>
      <c r="D2367" s="2" t="s">
        <v>2134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2134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9">(T2368-W2368)/T2368</f>
        <v>#DIV/0!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9"/>
        <v>0.5243888888888889</v>
      </c>
      <c r="Z2369" s="2" t="s">
        <v>3237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3237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3237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3237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3237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3237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3237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3237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1979</v>
      </c>
      <c r="R2377" s="2" t="s">
        <v>1980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3237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hidden="1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2649</v>
      </c>
      <c r="AC2380" s="2" t="s">
        <v>1331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2649</v>
      </c>
      <c r="AC2381" s="2" t="s">
        <v>1331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hidden="1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3237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3237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3237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hidden="1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3392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hidden="1" x14ac:dyDescent="0.2">
      <c r="A2386" s="2">
        <v>2025</v>
      </c>
      <c r="B2386" s="2">
        <v>12</v>
      </c>
      <c r="D2386" s="2" t="s">
        <v>2135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hidden="1" x14ac:dyDescent="0.2">
      <c r="A2387" s="2">
        <v>2025</v>
      </c>
      <c r="B2387" s="2">
        <v>12</v>
      </c>
      <c r="D2387" s="2" t="s">
        <v>2135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hidden="1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hidden="1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hidden="1" x14ac:dyDescent="0.2">
      <c r="A2390" s="2">
        <v>2025</v>
      </c>
      <c r="B2390" s="2">
        <v>12</v>
      </c>
      <c r="D2390" s="2" t="s">
        <v>1701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hidden="1" x14ac:dyDescent="0.2">
      <c r="A2391" s="2">
        <v>2025</v>
      </c>
      <c r="B2391" s="2">
        <v>12</v>
      </c>
      <c r="D2391" s="2" t="s">
        <v>1701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hidden="1" x14ac:dyDescent="0.2">
      <c r="A2392" s="2">
        <v>2025</v>
      </c>
      <c r="B2392" s="2">
        <v>12</v>
      </c>
      <c r="D2392" s="2" t="s">
        <v>1701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3392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3129</v>
      </c>
      <c r="K2393" s="2">
        <v>917575485</v>
      </c>
      <c r="L2393" s="2" t="s">
        <v>462</v>
      </c>
      <c r="M2393" s="2" t="s">
        <v>40</v>
      </c>
      <c r="O2393" s="2" t="s">
        <v>3130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3129</v>
      </c>
      <c r="K2394" s="2">
        <v>917575485</v>
      </c>
      <c r="L2394" s="2" t="s">
        <v>462</v>
      </c>
      <c r="M2394" s="2" t="s">
        <v>40</v>
      </c>
      <c r="O2394" s="2" t="s">
        <v>3130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2136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3237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2136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3237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2137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hidden="1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2138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3237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2138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3237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2138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3237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2138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3237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2138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3237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2139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2139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hidden="1" x14ac:dyDescent="0.2">
      <c r="A2405" s="2">
        <v>2025</v>
      </c>
      <c r="B2405" s="2">
        <v>12</v>
      </c>
      <c r="D2405" s="2" t="s">
        <v>2140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2140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hidden="1" x14ac:dyDescent="0.2">
      <c r="A2407" s="2">
        <v>2025</v>
      </c>
      <c r="B2407" s="2">
        <v>12</v>
      </c>
      <c r="D2407" s="2" t="s">
        <v>2140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hidden="1" x14ac:dyDescent="0.2">
      <c r="A2408" s="2">
        <v>2025</v>
      </c>
      <c r="B2408" s="2">
        <v>12</v>
      </c>
      <c r="D2408" s="2" t="s">
        <v>1895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3"/>
        <v>1</v>
      </c>
      <c r="Z2408" s="2" t="s">
        <v>3237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6</v>
      </c>
      <c r="AL2408" s="5">
        <f t="shared" si="268"/>
        <v>1</v>
      </c>
    </row>
    <row r="2409" spans="1:38" hidden="1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2141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hidden="1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2141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hidden="1" x14ac:dyDescent="0.2">
      <c r="A2411" s="2">
        <v>2025</v>
      </c>
      <c r="B2411" s="2">
        <v>12</v>
      </c>
      <c r="D2411" s="2" t="s">
        <v>2016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2016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3237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2016</v>
      </c>
      <c r="P2413" s="2" t="s">
        <v>1041</v>
      </c>
      <c r="Q2413" s="2" t="s">
        <v>2142</v>
      </c>
      <c r="R2413" s="2" t="s">
        <v>2143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3237</v>
      </c>
      <c r="AA2413" s="2" t="s">
        <v>76</v>
      </c>
      <c r="AB2413" s="2" t="s">
        <v>77</v>
      </c>
      <c r="AC2413" s="2" t="s">
        <v>1041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hidden="1" x14ac:dyDescent="0.2">
      <c r="A2415" s="2">
        <v>2025</v>
      </c>
      <c r="B2415" s="2">
        <v>12</v>
      </c>
      <c r="D2415" s="2" t="s">
        <v>2016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3237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hidden="1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3237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hidden="1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hidden="1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3237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3392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2484</v>
      </c>
      <c r="J2421" s="2" t="s">
        <v>3132</v>
      </c>
      <c r="K2421" s="2">
        <v>965864665</v>
      </c>
      <c r="L2421" s="2" t="s">
        <v>345</v>
      </c>
      <c r="M2421" s="2" t="s">
        <v>40</v>
      </c>
      <c r="O2421" s="2" t="s">
        <v>3137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hidden="1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3237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hidden="1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3237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3237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3237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3237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2144</v>
      </c>
      <c r="P2429" s="2" t="s">
        <v>115</v>
      </c>
      <c r="Q2429" s="2" t="s">
        <v>2145</v>
      </c>
      <c r="R2429" s="2" t="s">
        <v>2146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hidden="1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3237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3237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hidden="1" x14ac:dyDescent="0.2">
      <c r="A2432" s="2">
        <v>2025</v>
      </c>
      <c r="B2432" s="2">
        <v>12</v>
      </c>
      <c r="D2432" s="2" t="s">
        <v>2025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2025</v>
      </c>
      <c r="M2433" s="2" t="s">
        <v>41</v>
      </c>
      <c r="O2433" s="2" t="s">
        <v>2147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3237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2025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3237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2025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3237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hidden="1" x14ac:dyDescent="0.2">
      <c r="A2437" s="2">
        <v>2025</v>
      </c>
      <c r="B2437" s="2">
        <v>12</v>
      </c>
      <c r="D2437" s="2" t="s">
        <v>2025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hidden="1" x14ac:dyDescent="0.2">
      <c r="A2438" s="2">
        <v>2025</v>
      </c>
      <c r="B2438" s="2">
        <v>12</v>
      </c>
      <c r="D2438" s="2" t="s">
        <v>2148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2148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hidden="1" x14ac:dyDescent="0.2">
      <c r="A2440" s="2">
        <v>2025</v>
      </c>
      <c r="B2440" s="2">
        <v>12</v>
      </c>
      <c r="D2440" s="2" t="s">
        <v>2148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hidden="1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2149</v>
      </c>
      <c r="R2441" s="2" t="s">
        <v>2150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3392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hidden="1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3237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2151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3237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2151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3237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hidden="1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2152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2152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2152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2152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3173</v>
      </c>
      <c r="P2454" s="2" t="s">
        <v>1041</v>
      </c>
      <c r="Q2454" s="2" t="s">
        <v>2153</v>
      </c>
      <c r="R2454" s="2" t="s">
        <v>2154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3237</v>
      </c>
      <c r="AA2454" s="2" t="s">
        <v>76</v>
      </c>
      <c r="AB2454" s="2" t="s">
        <v>77</v>
      </c>
      <c r="AC2454" s="2" t="s">
        <v>1041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hidden="1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3237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hidden="1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hidden="1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9"/>
        <v>#DIV/0!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hidden="1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2155</v>
      </c>
      <c r="R2459" s="2" t="s">
        <v>2156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hidden="1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2157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hidden="1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2157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hidden="1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2157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hidden="1" x14ac:dyDescent="0.2">
      <c r="A2464" s="2">
        <v>2025</v>
      </c>
      <c r="B2464" s="2">
        <v>12</v>
      </c>
      <c r="C2464" s="2" t="s">
        <v>3337</v>
      </c>
      <c r="D2464" s="2" t="s">
        <v>2158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3337</v>
      </c>
      <c r="D2465" s="2" t="s">
        <v>2158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3337</v>
      </c>
      <c r="D2466" s="2" t="s">
        <v>2158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hidden="1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2159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3237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2159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3237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hidden="1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2159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3237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hidden="1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2159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3237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2159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3237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2159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3237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hidden="1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2159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3237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2160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2160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hidden="1" x14ac:dyDescent="0.2">
      <c r="A2476" s="2">
        <v>2025</v>
      </c>
      <c r="B2476" s="2">
        <v>12</v>
      </c>
      <c r="D2476" s="2" t="s">
        <v>2160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hidden="1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3237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3237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3237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3237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2161</v>
      </c>
      <c r="P2481" s="2" t="s">
        <v>115</v>
      </c>
      <c r="Q2481" s="2" t="s">
        <v>2162</v>
      </c>
      <c r="R2481" s="2" t="s">
        <v>2163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hidden="1" x14ac:dyDescent="0.2">
      <c r="A2482" s="2">
        <v>2025</v>
      </c>
      <c r="B2482" s="2">
        <v>12</v>
      </c>
      <c r="D2482" s="2" t="s">
        <v>2161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hidden="1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hidden="1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3237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3237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hidden="1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3237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hidden="1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2164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hidden="1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2164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2164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hidden="1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2419</v>
      </c>
      <c r="J2493" s="2" t="s">
        <v>2420</v>
      </c>
      <c r="L2493" s="2" t="s">
        <v>202</v>
      </c>
      <c r="M2493" s="2" t="s">
        <v>81</v>
      </c>
      <c r="P2493" s="2" t="s">
        <v>1041</v>
      </c>
      <c r="Q2493" s="2" t="s">
        <v>1926</v>
      </c>
      <c r="R2493" s="2" t="s">
        <v>1927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3237</v>
      </c>
      <c r="AA2493" s="2" t="s">
        <v>1044</v>
      </c>
      <c r="AB2493" s="2" t="s">
        <v>1322</v>
      </c>
      <c r="AC2493" s="2" t="s">
        <v>1041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2419</v>
      </c>
      <c r="J2494" s="2" t="s">
        <v>2420</v>
      </c>
      <c r="L2494" s="2" t="s">
        <v>202</v>
      </c>
      <c r="M2494" s="2" t="s">
        <v>81</v>
      </c>
      <c r="P2494" s="2" t="s">
        <v>1041</v>
      </c>
      <c r="Q2494" s="2" t="s">
        <v>2165</v>
      </c>
      <c r="R2494" s="2" t="s">
        <v>2166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3237</v>
      </c>
      <c r="AA2494" s="2" t="s">
        <v>1044</v>
      </c>
      <c r="AB2494" s="2" t="s">
        <v>1322</v>
      </c>
      <c r="AC2494" s="2" t="s">
        <v>1041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hidden="1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2167</v>
      </c>
      <c r="R2497" s="2" t="s">
        <v>2168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hidden="1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hidden="1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2169</v>
      </c>
      <c r="R2499" s="2" t="s">
        <v>2170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3237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1930</v>
      </c>
      <c r="R2500" s="2" t="s">
        <v>1931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3237</v>
      </c>
      <c r="AA2500" s="2" t="s">
        <v>1044</v>
      </c>
      <c r="AB2500" s="2" t="s">
        <v>1274</v>
      </c>
      <c r="AC2500" s="2" t="s">
        <v>1041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2171</v>
      </c>
      <c r="R2501" s="2" t="s">
        <v>2172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3237</v>
      </c>
      <c r="AA2501" s="2" t="s">
        <v>1044</v>
      </c>
      <c r="AB2501" s="2" t="s">
        <v>1274</v>
      </c>
      <c r="AC2501" s="2" t="s">
        <v>1041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1934</v>
      </c>
      <c r="R2502" s="2" t="s">
        <v>1935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3237</v>
      </c>
      <c r="AA2502" s="2" t="s">
        <v>1044</v>
      </c>
      <c r="AB2502" s="2" t="s">
        <v>1322</v>
      </c>
      <c r="AC2502" s="2" t="s">
        <v>1041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3398</v>
      </c>
      <c r="Q2503" s="2" t="s">
        <v>2173</v>
      </c>
      <c r="R2503" s="2" t="s">
        <v>2174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3237</v>
      </c>
      <c r="AA2503" s="2" t="s">
        <v>2175</v>
      </c>
      <c r="AB2503" s="2" t="s">
        <v>2176</v>
      </c>
      <c r="AC2503" s="2" t="s">
        <v>3398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hidden="1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3408</v>
      </c>
      <c r="Q2504" s="2" t="s">
        <v>2177</v>
      </c>
      <c r="R2504" s="2" t="s">
        <v>2178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3237</v>
      </c>
      <c r="AA2504" s="2" t="s">
        <v>2175</v>
      </c>
      <c r="AB2504" s="2" t="s">
        <v>2039</v>
      </c>
      <c r="AC2504" s="2" t="s">
        <v>3408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3408</v>
      </c>
      <c r="Q2505" s="2" t="s">
        <v>2179</v>
      </c>
      <c r="R2505" s="2" t="s">
        <v>2180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3237</v>
      </c>
      <c r="AA2505" s="2" t="s">
        <v>2175</v>
      </c>
      <c r="AB2505" s="2" t="s">
        <v>2039</v>
      </c>
      <c r="AC2505" s="2" t="s">
        <v>3408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hidden="1" x14ac:dyDescent="0.2">
      <c r="A2507" s="2">
        <v>2025</v>
      </c>
      <c r="B2507" s="2">
        <v>12</v>
      </c>
      <c r="D2507" s="2" t="s">
        <v>2181</v>
      </c>
      <c r="P2507" s="2" t="s">
        <v>115</v>
      </c>
      <c r="Q2507" s="2" t="s">
        <v>2182</v>
      </c>
      <c r="R2507" s="2" t="s">
        <v>2183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hidden="1" x14ac:dyDescent="0.2">
      <c r="A2508" s="2">
        <v>2025</v>
      </c>
      <c r="B2508" s="2">
        <v>12</v>
      </c>
      <c r="D2508" s="2" t="s">
        <v>2181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hidden="1" x14ac:dyDescent="0.2">
      <c r="A2509" s="2">
        <v>2025</v>
      </c>
      <c r="B2509" s="2">
        <v>12</v>
      </c>
      <c r="D2509" s="2" t="s">
        <v>2181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hidden="1" x14ac:dyDescent="0.2">
      <c r="A2510" s="2">
        <v>2025</v>
      </c>
      <c r="B2510" s="2">
        <v>12</v>
      </c>
      <c r="D2510" s="2" t="s">
        <v>2181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3392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hidden="1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2184</v>
      </c>
      <c r="P2511" s="2" t="s">
        <v>115</v>
      </c>
      <c r="Q2511" s="2" t="s">
        <v>2185</v>
      </c>
      <c r="R2511" s="2" t="s">
        <v>2186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1950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hidden="1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1912</v>
      </c>
      <c r="R2513" s="2" t="s">
        <v>1913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3237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3237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hidden="1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3237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hidden="1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3237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3237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2187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hidden="1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2187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hidden="1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2188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3237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2188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3237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2188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3237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hidden="1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2188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3237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2188</v>
      </c>
      <c r="P2525" s="2" t="s">
        <v>167</v>
      </c>
      <c r="Q2525" s="2" t="s">
        <v>2189</v>
      </c>
      <c r="R2525" s="2" t="s">
        <v>2190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3237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2188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3237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hidden="1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2188</v>
      </c>
      <c r="P2527" s="2" t="s">
        <v>85</v>
      </c>
      <c r="Q2527" s="2" t="s">
        <v>1979</v>
      </c>
      <c r="R2527" s="2" t="s">
        <v>1980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3237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hidden="1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3237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hidden="1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3237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3237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hidden="1" x14ac:dyDescent="0.2">
      <c r="A2532" s="2">
        <v>2025</v>
      </c>
      <c r="B2532" s="2">
        <v>12</v>
      </c>
      <c r="D2532" s="2" t="s">
        <v>2080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3237</v>
      </c>
      <c r="AA2532" s="2" t="s">
        <v>579</v>
      </c>
      <c r="AB2532" s="2" t="s">
        <v>120</v>
      </c>
      <c r="AC2532" s="2" t="s">
        <v>1331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2080</v>
      </c>
      <c r="P2533" s="2" t="s">
        <v>283</v>
      </c>
      <c r="Q2533" s="2" t="s">
        <v>2191</v>
      </c>
      <c r="R2533" s="2" t="s">
        <v>2192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1"/>
        <v>1</v>
      </c>
      <c r="Z2533" s="2" t="s">
        <v>3237</v>
      </c>
      <c r="AA2533" s="2" t="s">
        <v>579</v>
      </c>
      <c r="AB2533" s="2" t="s">
        <v>120</v>
      </c>
      <c r="AC2533" s="2" t="s">
        <v>1331</v>
      </c>
      <c r="AF2533" s="2">
        <f t="shared" si="282"/>
        <v>0</v>
      </c>
      <c r="AJ2533" s="2">
        <f t="shared" si="283"/>
        <v>0</v>
      </c>
      <c r="AK2533" s="2">
        <f t="shared" si="284"/>
        <v>32</v>
      </c>
      <c r="AL2533" s="5">
        <f t="shared" si="290"/>
        <v>1</v>
      </c>
    </row>
    <row r="2534" spans="1:38" hidden="1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3237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1961</v>
      </c>
      <c r="R2535" s="2" t="s">
        <v>1962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3237</v>
      </c>
      <c r="AA2535" s="2" t="s">
        <v>76</v>
      </c>
      <c r="AB2535" s="2" t="s">
        <v>77</v>
      </c>
      <c r="AC2535" s="2" t="s">
        <v>1041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3237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hidden="1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3237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hidden="1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3237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3237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3237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1887</v>
      </c>
      <c r="R2542" s="2" t="s">
        <v>1888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hidden="1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2193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2193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hidden="1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2193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hidden="1" x14ac:dyDescent="0.2">
      <c r="A2546" s="2">
        <v>2025</v>
      </c>
      <c r="B2546" s="2">
        <v>12</v>
      </c>
      <c r="D2546" s="2" t="s">
        <v>2194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hidden="1" x14ac:dyDescent="0.2">
      <c r="A2547" s="2">
        <v>2025</v>
      </c>
      <c r="B2547" s="2">
        <v>12</v>
      </c>
      <c r="D2547" s="2" t="s">
        <v>2194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hidden="1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2195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3392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hidden="1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3237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2196</v>
      </c>
      <c r="P2550" s="2" t="s">
        <v>115</v>
      </c>
      <c r="Q2550" s="2" t="s">
        <v>2197</v>
      </c>
      <c r="R2550" s="2" t="s">
        <v>2198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1"/>
        <v>#DIV/0!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hidden="1" x14ac:dyDescent="0.2">
      <c r="A2551" s="2">
        <v>2025</v>
      </c>
      <c r="B2551" s="2">
        <v>12</v>
      </c>
      <c r="D2551" s="2" t="s">
        <v>2196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hidden="1" x14ac:dyDescent="0.2">
      <c r="A2552" s="2">
        <v>2025</v>
      </c>
      <c r="B2552" s="2">
        <v>12</v>
      </c>
      <c r="D2552" s="2" t="s">
        <v>2196</v>
      </c>
      <c r="P2552" s="2" t="s">
        <v>3241</v>
      </c>
      <c r="Q2552" s="2" t="s">
        <v>1890</v>
      </c>
      <c r="R2552" s="2" t="s">
        <v>1891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3241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2199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3237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2199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hidden="1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2200</v>
      </c>
      <c r="P2555" s="2" t="s">
        <v>115</v>
      </c>
      <c r="Q2555" s="2" t="s">
        <v>2201</v>
      </c>
      <c r="R2555" s="2" t="s">
        <v>2202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2200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3237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2203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3237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hidden="1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2203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3237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2203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3237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2203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3237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hidden="1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2200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3237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2204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2204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hidden="1" x14ac:dyDescent="0.2">
      <c r="A2564" s="2">
        <v>2025</v>
      </c>
      <c r="B2564" s="2">
        <v>12</v>
      </c>
      <c r="D2564" s="2" t="s">
        <v>2204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hidden="1" x14ac:dyDescent="0.2">
      <c r="A2565" s="2">
        <v>2025</v>
      </c>
      <c r="B2565" s="2">
        <v>12</v>
      </c>
      <c r="D2565" s="2" t="s">
        <v>2090</v>
      </c>
      <c r="P2565" s="2" t="s">
        <v>1041</v>
      </c>
      <c r="Q2565" s="2" t="s">
        <v>2205</v>
      </c>
      <c r="R2565" s="2" t="s">
        <v>2206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3237</v>
      </c>
      <c r="AA2565" s="2" t="s">
        <v>76</v>
      </c>
      <c r="AB2565" s="2" t="s">
        <v>77</v>
      </c>
      <c r="AC2565" s="2" t="s">
        <v>1041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2090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hidden="1" x14ac:dyDescent="0.2">
      <c r="A2567" s="2">
        <v>2025</v>
      </c>
      <c r="B2567" s="2">
        <v>12</v>
      </c>
      <c r="D2567" s="2" t="s">
        <v>2090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3237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3237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3237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3237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3237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3237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2207</v>
      </c>
      <c r="L2573" s="2" t="s">
        <v>100</v>
      </c>
      <c r="M2573" s="2" t="s">
        <v>81</v>
      </c>
      <c r="O2573" s="2" t="s">
        <v>2208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3237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3237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3237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hidden="1" x14ac:dyDescent="0.2">
      <c r="A2576" s="2">
        <v>2025</v>
      </c>
      <c r="B2576" s="2">
        <v>9</v>
      </c>
      <c r="D2576" s="2" t="s">
        <v>1866</v>
      </c>
      <c r="E2576" s="2" t="s">
        <v>109</v>
      </c>
      <c r="G2576" s="2">
        <v>515549134</v>
      </c>
      <c r="H2576" s="2" t="s">
        <v>41</v>
      </c>
      <c r="I2576" s="2" t="s">
        <v>1867</v>
      </c>
      <c r="J2576" s="2" t="s">
        <v>1868</v>
      </c>
      <c r="L2576" s="2" t="s">
        <v>178</v>
      </c>
      <c r="M2576" s="2" t="s">
        <v>41</v>
      </c>
      <c r="O2576" s="2" t="s">
        <v>2209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3237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1866</v>
      </c>
      <c r="E2577" s="2" t="s">
        <v>109</v>
      </c>
      <c r="G2577" s="2">
        <v>515549134</v>
      </c>
      <c r="H2577" s="2" t="s">
        <v>41</v>
      </c>
      <c r="I2577" s="2" t="s">
        <v>1867</v>
      </c>
      <c r="J2577" s="2" t="s">
        <v>1868</v>
      </c>
      <c r="L2577" s="2" t="s">
        <v>178</v>
      </c>
      <c r="M2577" s="2" t="s">
        <v>41</v>
      </c>
      <c r="O2577" s="2" t="s">
        <v>2209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3237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1866</v>
      </c>
      <c r="E2578" s="2" t="s">
        <v>109</v>
      </c>
      <c r="G2578" s="2">
        <v>515549134</v>
      </c>
      <c r="H2578" s="2" t="s">
        <v>41</v>
      </c>
      <c r="I2578" s="2" t="s">
        <v>1867</v>
      </c>
      <c r="J2578" s="2" t="s">
        <v>1868</v>
      </c>
      <c r="L2578" s="2" t="s">
        <v>178</v>
      </c>
      <c r="M2578" s="2" t="s">
        <v>41</v>
      </c>
      <c r="O2578" s="2" t="s">
        <v>2209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3237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1866</v>
      </c>
      <c r="E2579" s="2" t="s">
        <v>109</v>
      </c>
      <c r="G2579" s="2">
        <v>515549134</v>
      </c>
      <c r="H2579" s="2" t="s">
        <v>41</v>
      </c>
      <c r="I2579" s="2" t="s">
        <v>1867</v>
      </c>
      <c r="J2579" s="2" t="s">
        <v>1868</v>
      </c>
      <c r="L2579" s="2" t="s">
        <v>178</v>
      </c>
      <c r="M2579" s="2" t="s">
        <v>41</v>
      </c>
      <c r="O2579" s="2" t="s">
        <v>2210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3237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2211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1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3500</v>
      </c>
      <c r="AL2580" s="5">
        <f t="shared" si="290"/>
        <v>1</v>
      </c>
    </row>
    <row r="2581" spans="1:38" hidden="1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2212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3237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2212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hidden="1" x14ac:dyDescent="0.2">
      <c r="A2583" s="2">
        <v>2025</v>
      </c>
      <c r="B2583" s="2">
        <v>9</v>
      </c>
      <c r="D2583" s="2" t="s">
        <v>2213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hidden="1" x14ac:dyDescent="0.2">
      <c r="A2584" s="2">
        <v>2025</v>
      </c>
      <c r="B2584" s="2">
        <v>9</v>
      </c>
      <c r="D2584" s="2" t="s">
        <v>2213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hidden="1" x14ac:dyDescent="0.2">
      <c r="A2585" s="2">
        <v>2025</v>
      </c>
      <c r="B2585" s="2">
        <v>9</v>
      </c>
      <c r="D2585" s="2" t="s">
        <v>2213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3392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hidden="1" x14ac:dyDescent="0.2">
      <c r="A2586" s="2">
        <v>2025</v>
      </c>
      <c r="B2586" s="2">
        <v>9</v>
      </c>
      <c r="D2586" s="2" t="s">
        <v>2214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3237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2214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3237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hidden="1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2215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2215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2215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3392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hidden="1" x14ac:dyDescent="0.2">
      <c r="A2592" s="2">
        <v>2025</v>
      </c>
      <c r="B2592" s="2">
        <v>9</v>
      </c>
      <c r="D2592" s="2" t="s">
        <v>2216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hidden="1" x14ac:dyDescent="0.2">
      <c r="A2593" s="2">
        <v>2025</v>
      </c>
      <c r="B2593" s="2">
        <v>9</v>
      </c>
      <c r="D2593" s="2" t="s">
        <v>2216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hidden="1" x14ac:dyDescent="0.2">
      <c r="A2594" s="2">
        <v>2025</v>
      </c>
      <c r="B2594" s="2">
        <v>9</v>
      </c>
      <c r="D2594" s="2" t="s">
        <v>2216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3392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hidden="1" x14ac:dyDescent="0.2">
      <c r="A2595" s="2">
        <v>2025</v>
      </c>
      <c r="B2595" s="2">
        <v>9</v>
      </c>
      <c r="D2595" s="2" t="s">
        <v>2217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3237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2217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3237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2218</v>
      </c>
      <c r="P2597" s="2" t="s">
        <v>115</v>
      </c>
      <c r="Q2597" s="2" t="s">
        <v>2219</v>
      </c>
      <c r="R2597" s="2" t="s">
        <v>2220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3237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3237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hidden="1" x14ac:dyDescent="0.2">
      <c r="A2601" s="2">
        <v>2025</v>
      </c>
      <c r="B2601" s="2">
        <v>9</v>
      </c>
      <c r="D2601" s="2" t="s">
        <v>2221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3237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2221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3237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hidden="1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3392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hidden="1" x14ac:dyDescent="0.2">
      <c r="A2604" s="2">
        <v>2025</v>
      </c>
      <c r="B2604" s="2">
        <v>9</v>
      </c>
      <c r="D2604" s="2" t="s">
        <v>2222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3237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2222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3237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hidden="1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hidden="1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1314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hidden="1" x14ac:dyDescent="0.2">
      <c r="A2609" s="2">
        <v>2025</v>
      </c>
      <c r="B2609" s="2">
        <v>9</v>
      </c>
      <c r="D2609" s="2" t="s">
        <v>2119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3392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2223</v>
      </c>
      <c r="P2610" s="2" t="s">
        <v>115</v>
      </c>
      <c r="Q2610" s="2" t="s">
        <v>2224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2225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2226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2225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3237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2226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2226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3237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3237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2227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3237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2227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3237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2228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3237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2228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3237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hidden="1" x14ac:dyDescent="0.2">
      <c r="A2622" s="2">
        <v>2025</v>
      </c>
      <c r="B2622" s="2">
        <v>9</v>
      </c>
      <c r="D2622" s="2" t="s">
        <v>1767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hidden="1" x14ac:dyDescent="0.2">
      <c r="A2623" s="2">
        <v>2025</v>
      </c>
      <c r="B2623" s="2">
        <v>9</v>
      </c>
      <c r="D2623" s="2" t="s">
        <v>2229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2230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3237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3237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3237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3237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3237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hidden="1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3237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3237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3237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2231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3237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2231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3237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hidden="1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2232</v>
      </c>
      <c r="P2635" s="2" t="s">
        <v>115</v>
      </c>
      <c r="Q2635" s="2" t="s">
        <v>2233</v>
      </c>
      <c r="R2635" s="2" t="s">
        <v>2234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2235</v>
      </c>
      <c r="R2636" s="2" t="s">
        <v>2236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hidden="1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hidden="1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hidden="1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hidden="1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3392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hidden="1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3237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3237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2237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3237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2238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hidden="1" x14ac:dyDescent="0.2">
      <c r="A2645" s="2">
        <v>2025</v>
      </c>
      <c r="B2645" s="2">
        <v>9</v>
      </c>
      <c r="D2645" s="2" t="s">
        <v>2239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3392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hidden="1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3237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3237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hidden="1" x14ac:dyDescent="0.2">
      <c r="A2648" s="2">
        <v>2025</v>
      </c>
      <c r="B2648" s="2">
        <v>9</v>
      </c>
      <c r="D2648" s="2" t="s">
        <v>1703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hidden="1" x14ac:dyDescent="0.2">
      <c r="A2649" s="2">
        <v>2025</v>
      </c>
      <c r="B2649" s="2">
        <v>9</v>
      </c>
      <c r="D2649" s="2" t="s">
        <v>2139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hidden="1" x14ac:dyDescent="0.2">
      <c r="A2650" s="2">
        <v>2025</v>
      </c>
      <c r="B2650" s="2">
        <v>9</v>
      </c>
      <c r="D2650" s="2" t="s">
        <v>2139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hidden="1" x14ac:dyDescent="0.2">
      <c r="A2651" s="2">
        <v>2025</v>
      </c>
      <c r="B2651" s="2">
        <v>9</v>
      </c>
      <c r="D2651" s="2" t="s">
        <v>1796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hidden="1" x14ac:dyDescent="0.2">
      <c r="A2652" s="2">
        <v>2025</v>
      </c>
      <c r="B2652" s="2">
        <v>9</v>
      </c>
      <c r="D2652" s="2" t="s">
        <v>1796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hidden="1" x14ac:dyDescent="0.2">
      <c r="A2653" s="2">
        <v>2025</v>
      </c>
      <c r="B2653" s="2">
        <v>9</v>
      </c>
      <c r="D2653" s="2" t="s">
        <v>1796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hidden="1" x14ac:dyDescent="0.2">
      <c r="A2654" s="2">
        <v>2025</v>
      </c>
      <c r="B2654" s="2">
        <v>9</v>
      </c>
      <c r="D2654" s="2" t="s">
        <v>1895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3237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3237</v>
      </c>
      <c r="AA2655" s="2" t="s">
        <v>46</v>
      </c>
      <c r="AB2655" s="2" t="s">
        <v>61</v>
      </c>
      <c r="AC2655" s="2" t="s">
        <v>3343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3237</v>
      </c>
      <c r="AA2656" s="2" t="s">
        <v>46</v>
      </c>
      <c r="AB2656" s="2" t="s">
        <v>61</v>
      </c>
      <c r="AC2656" s="2" t="s">
        <v>3343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2484</v>
      </c>
      <c r="J2657" s="2" t="s">
        <v>3132</v>
      </c>
      <c r="K2657" s="2">
        <v>965864665</v>
      </c>
      <c r="L2657" s="2" t="s">
        <v>345</v>
      </c>
      <c r="M2657" s="2" t="s">
        <v>81</v>
      </c>
      <c r="O2657" s="2" t="s">
        <v>3134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3237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2484</v>
      </c>
      <c r="J2658" s="2" t="s">
        <v>3132</v>
      </c>
      <c r="K2658" s="2">
        <v>965864665</v>
      </c>
      <c r="L2658" s="2" t="s">
        <v>345</v>
      </c>
      <c r="M2658" s="2" t="s">
        <v>81</v>
      </c>
      <c r="O2658" s="2" t="s">
        <v>3134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3237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3138</v>
      </c>
      <c r="K2659" s="2">
        <v>962555043</v>
      </c>
      <c r="L2659" s="2" t="s">
        <v>345</v>
      </c>
      <c r="M2659" s="2" t="s">
        <v>40</v>
      </c>
      <c r="O2659" s="2" t="s">
        <v>3140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3138</v>
      </c>
      <c r="K2660" s="2">
        <v>962555043</v>
      </c>
      <c r="L2660" s="2" t="s">
        <v>345</v>
      </c>
      <c r="M2660" s="2" t="s">
        <v>40</v>
      </c>
      <c r="O2660" s="2" t="s">
        <v>3140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hidden="1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2240</v>
      </c>
      <c r="P2661" s="2" t="s">
        <v>115</v>
      </c>
      <c r="Q2661" s="2" t="s">
        <v>2233</v>
      </c>
      <c r="R2661" s="2" t="s">
        <v>2234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hidden="1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2241</v>
      </c>
      <c r="R2663" s="2" t="s">
        <v>2242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hidden="1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3237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2243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3237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2243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3237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hidden="1" x14ac:dyDescent="0.2">
      <c r="A2667" s="2">
        <v>2025</v>
      </c>
      <c r="B2667" s="2">
        <v>9</v>
      </c>
      <c r="D2667" s="2" t="s">
        <v>1803</v>
      </c>
      <c r="P2667" s="2" t="s">
        <v>3241</v>
      </c>
      <c r="Q2667" s="2" t="s">
        <v>1794</v>
      </c>
      <c r="R2667" s="2" t="s">
        <v>1795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3241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2244</v>
      </c>
      <c r="P2668" s="2" t="s">
        <v>3241</v>
      </c>
      <c r="Q2668" s="2" t="s">
        <v>1794</v>
      </c>
      <c r="R2668" s="2" t="s">
        <v>1795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3241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3237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3237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hidden="1" x14ac:dyDescent="0.2">
      <c r="A2671" s="2">
        <v>2025</v>
      </c>
      <c r="B2671" s="2">
        <v>9</v>
      </c>
      <c r="D2671" s="2" t="s">
        <v>2245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3237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2245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3237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hidden="1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3237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3237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hidden="1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hidden="1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hidden="1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hidden="1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3392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hidden="1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hidden="1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3392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hidden="1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hidden="1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hidden="1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hidden="1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3392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hidden="1" x14ac:dyDescent="0.2">
      <c r="A2687" s="2">
        <v>2025</v>
      </c>
      <c r="B2687" s="2">
        <v>9</v>
      </c>
      <c r="D2687" s="2" t="s">
        <v>2246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hidden="1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3237</v>
      </c>
      <c r="AA2688" s="2" t="s">
        <v>46</v>
      </c>
      <c r="AB2688" s="2" t="s">
        <v>61</v>
      </c>
      <c r="AC2688" s="2" t="s">
        <v>3343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hidden="1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3237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hidden="1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3237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hidden="1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3237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hidden="1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3237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3237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hidden="1" x14ac:dyDescent="0.2">
      <c r="A2694" s="2">
        <v>2025</v>
      </c>
      <c r="B2694" s="2">
        <v>9</v>
      </c>
      <c r="D2694" s="2" t="s">
        <v>1580</v>
      </c>
      <c r="E2694" s="2" t="s">
        <v>754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2247</v>
      </c>
      <c r="R2694" s="2" t="s">
        <v>2248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Z2694" s="2" t="s">
        <v>105</v>
      </c>
      <c r="AA2694" s="2" t="s">
        <v>1581</v>
      </c>
      <c r="AB2694" s="2" t="s">
        <v>389</v>
      </c>
      <c r="AC2694" s="2" t="s">
        <v>1331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hidden="1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2249</v>
      </c>
      <c r="R2696" s="2" t="s">
        <v>2250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hidden="1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hidden="1" x14ac:dyDescent="0.2">
      <c r="A2698" s="2">
        <v>2025</v>
      </c>
      <c r="B2698" s="2">
        <v>9</v>
      </c>
      <c r="D2698" s="2" t="s">
        <v>2251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3237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2251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3237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hidden="1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3157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3237</v>
      </c>
      <c r="AA2700" s="2" t="s">
        <v>1044</v>
      </c>
      <c r="AB2700" s="2" t="s">
        <v>1045</v>
      </c>
      <c r="AC2700" s="2" t="s">
        <v>1041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2252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3237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2252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3237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hidden="1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3175</v>
      </c>
      <c r="P2704" s="2" t="s">
        <v>1041</v>
      </c>
      <c r="Q2704" s="2" t="s">
        <v>2253</v>
      </c>
      <c r="R2704" s="2" t="s">
        <v>2254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3237</v>
      </c>
      <c r="AA2704" s="2" t="s">
        <v>1044</v>
      </c>
      <c r="AB2704" s="2" t="s">
        <v>2255</v>
      </c>
      <c r="AC2704" s="2" t="s">
        <v>1041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hidden="1" x14ac:dyDescent="0.2">
      <c r="A2706" s="2">
        <v>2025</v>
      </c>
      <c r="B2706" s="2">
        <v>9</v>
      </c>
      <c r="D2706" s="2" t="s">
        <v>2256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3237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2256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3237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2257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hidden="1" x14ac:dyDescent="0.2">
      <c r="A2709" s="2">
        <v>2025</v>
      </c>
      <c r="B2709" s="2">
        <v>9</v>
      </c>
      <c r="D2709" s="2" t="s">
        <v>2257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hidden="1" x14ac:dyDescent="0.2">
      <c r="A2710" s="2">
        <v>2025</v>
      </c>
      <c r="B2710" s="2">
        <v>9</v>
      </c>
      <c r="D2710" s="2" t="s">
        <v>2257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3392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hidden="1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3227</v>
      </c>
      <c r="J2711" s="2" t="s">
        <v>3226</v>
      </c>
      <c r="K2711" s="2">
        <v>913814877</v>
      </c>
      <c r="L2711" s="2" t="s">
        <v>202</v>
      </c>
      <c r="M2711" s="2" t="s">
        <v>81</v>
      </c>
      <c r="O2711" s="2" t="s">
        <v>3220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3237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3227</v>
      </c>
      <c r="J2712" s="2" t="s">
        <v>3226</v>
      </c>
      <c r="K2712" s="2">
        <v>913814877</v>
      </c>
      <c r="L2712" s="2" t="s">
        <v>202</v>
      </c>
      <c r="M2712" s="2" t="s">
        <v>81</v>
      </c>
      <c r="O2712" s="2" t="s">
        <v>3220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hidden="1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2258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3237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3237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hidden="1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2259</v>
      </c>
      <c r="P2715" s="2" t="s">
        <v>283</v>
      </c>
      <c r="Q2715" s="2" t="s">
        <v>2260</v>
      </c>
      <c r="R2715" s="2" t="s">
        <v>2261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3237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2259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3237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hidden="1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2259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3237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2259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3237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hidden="1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2262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3237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2263</v>
      </c>
      <c r="P2720" s="2" t="s">
        <v>73</v>
      </c>
      <c r="Q2720" s="2" t="s">
        <v>2264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3237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2265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3237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x14ac:dyDescent="0.2">
      <c r="A2722" s="2">
        <v>2025</v>
      </c>
      <c r="B2722" s="2">
        <v>9</v>
      </c>
      <c r="D2722" s="2" t="s">
        <v>2266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5"/>
        <v>0.30489134078212288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545.75549999999998</v>
      </c>
      <c r="AL2722" s="5">
        <f t="shared" si="306"/>
        <v>0.30489134078212288</v>
      </c>
    </row>
    <row r="2723" spans="1:38" hidden="1" x14ac:dyDescent="0.2">
      <c r="A2723" s="2">
        <v>2025</v>
      </c>
      <c r="B2723" s="2">
        <v>9</v>
      </c>
      <c r="D2723" s="2" t="s">
        <v>2267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3237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hidden="1" x14ac:dyDescent="0.2">
      <c r="A2724" s="2">
        <v>2025</v>
      </c>
      <c r="B2724" s="2">
        <v>9</v>
      </c>
      <c r="D2724" s="2" t="s">
        <v>2267</v>
      </c>
      <c r="P2724" s="2" t="s">
        <v>283</v>
      </c>
      <c r="Q2724" s="2" t="s">
        <v>2241</v>
      </c>
      <c r="R2724" s="2" t="s">
        <v>2242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3237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hidden="1" x14ac:dyDescent="0.2">
      <c r="A2725" s="2">
        <v>2025</v>
      </c>
      <c r="B2725" s="2">
        <v>9</v>
      </c>
      <c r="D2725" s="2" t="s">
        <v>2267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2268</v>
      </c>
      <c r="J2725" s="2" t="s">
        <v>2269</v>
      </c>
      <c r="L2725" s="2" t="s">
        <v>419</v>
      </c>
      <c r="M2725" s="2" t="s">
        <v>41</v>
      </c>
      <c r="O2725" s="2" t="s">
        <v>2270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3237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2267</v>
      </c>
      <c r="M2726" s="2" t="s">
        <v>41</v>
      </c>
      <c r="O2726" s="2" t="s">
        <v>2270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3237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2267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3237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2267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3237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2267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3237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5"/>
        <v>1</v>
      </c>
      <c r="Z2730" s="2" t="s">
        <v>3237</v>
      </c>
      <c r="AA2730" s="2" t="s">
        <v>579</v>
      </c>
      <c r="AB2730" s="2" t="s">
        <v>120</v>
      </c>
      <c r="AC2730" s="2" t="s">
        <v>1331</v>
      </c>
      <c r="AF2730" s="2">
        <f t="shared" si="302"/>
        <v>0</v>
      </c>
      <c r="AJ2730" s="2">
        <f t="shared" si="303"/>
        <v>0</v>
      </c>
      <c r="AK2730" s="2">
        <f t="shared" si="304"/>
        <v>52.98</v>
      </c>
      <c r="AL2730" s="5">
        <f t="shared" si="306"/>
        <v>1</v>
      </c>
    </row>
    <row r="2731" spans="1:38" hidden="1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2271</v>
      </c>
      <c r="R2731" s="2" t="s">
        <v>2272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5"/>
        <v>1</v>
      </c>
      <c r="Z2731" s="2" t="s">
        <v>3237</v>
      </c>
      <c r="AA2731" s="2" t="s">
        <v>579</v>
      </c>
      <c r="AB2731" s="2" t="s">
        <v>120</v>
      </c>
      <c r="AC2731" s="2" t="s">
        <v>1331</v>
      </c>
      <c r="AF2731" s="2">
        <f t="shared" si="302"/>
        <v>0</v>
      </c>
      <c r="AJ2731" s="2">
        <f t="shared" si="303"/>
        <v>0</v>
      </c>
      <c r="AK2731" s="2">
        <f t="shared" si="304"/>
        <v>42</v>
      </c>
      <c r="AL2731" s="5">
        <f t="shared" si="306"/>
        <v>1</v>
      </c>
    </row>
    <row r="2732" spans="1:38" hidden="1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1789</v>
      </c>
      <c r="R2732" s="2" t="s">
        <v>1790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hidden="1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1791</v>
      </c>
      <c r="R2733" s="2" t="s">
        <v>1790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hidden="1" x14ac:dyDescent="0.2">
      <c r="A2734" s="2">
        <v>2025</v>
      </c>
      <c r="B2734" s="2">
        <v>9</v>
      </c>
      <c r="D2734" s="2" t="s">
        <v>2057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2057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hidden="1" x14ac:dyDescent="0.2">
      <c r="A2736" s="2">
        <v>2025</v>
      </c>
      <c r="B2736" s="2">
        <v>9</v>
      </c>
      <c r="D2736" s="2" t="s">
        <v>2057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3392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hidden="1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3237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3237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hidden="1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2273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2274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3237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2274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3237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hidden="1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hidden="1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2275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2275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hidden="1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2276</v>
      </c>
      <c r="P2745" s="2" t="s">
        <v>115</v>
      </c>
      <c r="Q2745" s="2" t="s">
        <v>2277</v>
      </c>
      <c r="R2745" s="2" t="s">
        <v>2278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hidden="1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2279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3237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hidden="1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2279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3237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hidden="1" x14ac:dyDescent="0.2">
      <c r="A2748" s="2">
        <v>2025</v>
      </c>
      <c r="B2748" s="2">
        <v>9</v>
      </c>
      <c r="D2748" s="2" t="s">
        <v>2280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hidden="1" x14ac:dyDescent="0.2">
      <c r="A2749" s="2">
        <v>2025</v>
      </c>
      <c r="B2749" s="2">
        <v>9</v>
      </c>
      <c r="D2749" s="2" t="s">
        <v>2280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hidden="1" x14ac:dyDescent="0.2">
      <c r="A2750" s="2">
        <v>2025</v>
      </c>
      <c r="B2750" s="2">
        <v>9</v>
      </c>
      <c r="D2750" s="2" t="s">
        <v>2280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3392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hidden="1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2281</v>
      </c>
      <c r="R2751" s="2" t="s">
        <v>2282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hidden="1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1697</v>
      </c>
      <c r="R2752" s="2" t="s">
        <v>1698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hidden="1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3237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hidden="1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hidden="1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3237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hidden="1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2283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3237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2283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hidden="1" x14ac:dyDescent="0.2">
      <c r="A2759" s="2">
        <v>2025</v>
      </c>
      <c r="B2759" s="2">
        <v>9</v>
      </c>
      <c r="D2759" s="2" t="s">
        <v>1951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3237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2284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2285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3237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3237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hidden="1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3237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1928</v>
      </c>
      <c r="R2765" s="2" t="s">
        <v>1929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3237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3237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hidden="1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3237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3237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hidden="1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3237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2286</v>
      </c>
      <c r="R2771" s="2" t="s">
        <v>2287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3237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hidden="1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3237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hidden="1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2075</v>
      </c>
      <c r="R2773" s="2" t="s">
        <v>2076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3237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hidden="1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2288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3237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hidden="1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2288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3237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hidden="1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2288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3237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hidden="1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2288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3237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hidden="1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2288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3237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hidden="1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2288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3237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hidden="1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2288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3237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hidden="1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2288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3237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hidden="1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2288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3237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hidden="1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2288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3237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hidden="1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2288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3237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hidden="1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3237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3237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hidden="1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2289</v>
      </c>
      <c r="R2787" s="2" t="s">
        <v>2290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hidden="1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3237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hidden="1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3237</v>
      </c>
      <c r="AA2789" s="2" t="s">
        <v>46</v>
      </c>
      <c r="AB2789" s="2" t="s">
        <v>61</v>
      </c>
      <c r="AC2789" s="2" t="s">
        <v>3343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hidden="1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3237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hidden="1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3237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hidden="1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3237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hidden="1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3237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hidden="1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3237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hidden="1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3237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hidden="1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3237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3237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3237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2291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2291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hidden="1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2292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3237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2292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3237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hidden="1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hidden="1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hidden="1" x14ac:dyDescent="0.2">
      <c r="A2806" s="2">
        <v>2025</v>
      </c>
      <c r="B2806" s="2">
        <v>9</v>
      </c>
      <c r="D2806" s="2" t="s">
        <v>2199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3237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2199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3237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hidden="1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2293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3237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hidden="1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hidden="1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hidden="1" x14ac:dyDescent="0.2">
      <c r="A2811" s="2">
        <v>2025</v>
      </c>
      <c r="B2811" s="2">
        <v>9</v>
      </c>
      <c r="D2811" s="2" t="s">
        <v>2294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2294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hidden="1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3237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3237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hidden="1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3237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hidden="1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3237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3237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hidden="1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3237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2295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2296</v>
      </c>
      <c r="L2819" s="2" t="s">
        <v>202</v>
      </c>
      <c r="M2819" s="2" t="s">
        <v>40</v>
      </c>
      <c r="O2819" s="2" t="s">
        <v>2297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hidden="1" x14ac:dyDescent="0.2">
      <c r="A2820" s="2">
        <v>2026</v>
      </c>
      <c r="B2820" s="2">
        <v>2</v>
      </c>
      <c r="D2820" s="2" t="s">
        <v>2295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2296</v>
      </c>
      <c r="L2820" s="2" t="s">
        <v>202</v>
      </c>
      <c r="M2820" s="2" t="s">
        <v>40</v>
      </c>
      <c r="O2820" s="2" t="s">
        <v>2297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hidden="1" x14ac:dyDescent="0.2">
      <c r="A2821" s="2">
        <v>2026</v>
      </c>
      <c r="B2821" s="2">
        <v>2</v>
      </c>
      <c r="D2821" s="2" t="s">
        <v>2298</v>
      </c>
      <c r="E2821" s="2" t="s">
        <v>38</v>
      </c>
      <c r="G2821" s="2">
        <v>509800696</v>
      </c>
      <c r="H2821" s="2" t="s">
        <v>291</v>
      </c>
      <c r="I2821" s="2" t="s">
        <v>2299</v>
      </c>
      <c r="J2821" s="2" t="s">
        <v>2300</v>
      </c>
      <c r="K2821" s="2">
        <v>930444437</v>
      </c>
      <c r="L2821" s="2" t="s">
        <v>2299</v>
      </c>
      <c r="M2821" s="2" t="s">
        <v>40</v>
      </c>
      <c r="O2821" s="2" t="s">
        <v>2301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hidden="1" x14ac:dyDescent="0.2">
      <c r="A2822" s="2">
        <v>2026</v>
      </c>
      <c r="B2822" s="2">
        <v>2</v>
      </c>
      <c r="D2822" s="2" t="s">
        <v>2298</v>
      </c>
      <c r="E2822" s="2" t="s">
        <v>38</v>
      </c>
      <c r="G2822" s="2">
        <v>509800696</v>
      </c>
      <c r="H2822" s="2" t="s">
        <v>291</v>
      </c>
      <c r="I2822" s="2" t="s">
        <v>2299</v>
      </c>
      <c r="J2822" s="2" t="s">
        <v>2300</v>
      </c>
      <c r="K2822" s="2">
        <v>930444437</v>
      </c>
      <c r="L2822" s="2" t="s">
        <v>2299</v>
      </c>
      <c r="M2822" s="2" t="s">
        <v>40</v>
      </c>
      <c r="O2822" s="2" t="s">
        <v>2301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hidden="1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2302</v>
      </c>
      <c r="J2823" s="2" t="s">
        <v>2303</v>
      </c>
      <c r="K2823" s="2">
        <v>965790183</v>
      </c>
      <c r="L2823" s="2" t="s">
        <v>178</v>
      </c>
      <c r="M2823" s="2" t="s">
        <v>40</v>
      </c>
      <c r="O2823" s="2" t="s">
        <v>2304</v>
      </c>
      <c r="P2823" s="2" t="s">
        <v>115</v>
      </c>
      <c r="Q2823" s="2" t="s">
        <v>2305</v>
      </c>
      <c r="R2823" s="2" t="s">
        <v>2306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2307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2307</v>
      </c>
      <c r="P2825" s="2" t="s">
        <v>115</v>
      </c>
      <c r="Q2825" s="2" t="s">
        <v>2235</v>
      </c>
      <c r="R2825" s="2" t="s">
        <v>2236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2308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2309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2310</v>
      </c>
      <c r="L2828" s="2" t="s">
        <v>345</v>
      </c>
      <c r="M2828" s="2" t="s">
        <v>40</v>
      </c>
      <c r="O2828" s="2" t="s">
        <v>2311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2312</v>
      </c>
      <c r="P2829" s="2" t="s">
        <v>115</v>
      </c>
      <c r="Q2829" s="2" t="s">
        <v>2313</v>
      </c>
      <c r="R2829" s="2" t="s">
        <v>2314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hidden="1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2312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2315</v>
      </c>
      <c r="P2831" s="2" t="s">
        <v>115</v>
      </c>
      <c r="Q2831" s="2" t="s">
        <v>2316</v>
      </c>
      <c r="R2831" s="2" t="s">
        <v>2317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2315</v>
      </c>
      <c r="P2832" s="2" t="s">
        <v>115</v>
      </c>
      <c r="Q2832" s="2" t="s">
        <v>2318</v>
      </c>
      <c r="R2832" s="2" t="s">
        <v>2319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2320</v>
      </c>
      <c r="E2833" s="2" t="s">
        <v>38</v>
      </c>
      <c r="G2833" s="2">
        <v>169582760</v>
      </c>
      <c r="H2833" s="2" t="s">
        <v>291</v>
      </c>
      <c r="I2833" s="2" t="s">
        <v>2321</v>
      </c>
      <c r="J2833" s="2" t="s">
        <v>2322</v>
      </c>
      <c r="L2833" s="2" t="s">
        <v>2299</v>
      </c>
      <c r="M2833" s="2" t="s">
        <v>40</v>
      </c>
      <c r="O2833" s="2" t="s">
        <v>2323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2309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2324</v>
      </c>
      <c r="P2835" s="2" t="s">
        <v>115</v>
      </c>
      <c r="Q2835" s="2" t="s">
        <v>2325</v>
      </c>
      <c r="R2835" s="2" t="s">
        <v>2326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2327</v>
      </c>
      <c r="M2836" s="2" t="s">
        <v>40</v>
      </c>
      <c r="O2836" s="2" t="s">
        <v>2328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1294</v>
      </c>
      <c r="I2837" s="2" t="s">
        <v>2329</v>
      </c>
      <c r="M2837" s="2" t="s">
        <v>40</v>
      </c>
      <c r="O2837" s="2" t="s">
        <v>2330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1885</v>
      </c>
      <c r="M2838" s="2" t="s">
        <v>40</v>
      </c>
      <c r="O2838" s="2" t="s">
        <v>2331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2332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2239</v>
      </c>
      <c r="M2840" s="2" t="s">
        <v>40</v>
      </c>
      <c r="O2840" s="2" t="s">
        <v>2333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1011</v>
      </c>
      <c r="M2841" s="2" t="s">
        <v>40</v>
      </c>
      <c r="O2841" s="2" t="s">
        <v>2334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2335</v>
      </c>
      <c r="I2842" s="2" t="s">
        <v>806</v>
      </c>
      <c r="L2842" s="2" t="s">
        <v>100</v>
      </c>
      <c r="M2842" s="2" t="s">
        <v>40</v>
      </c>
      <c r="O2842" s="2" t="s">
        <v>2336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2337</v>
      </c>
      <c r="P2843" s="2" t="s">
        <v>115</v>
      </c>
      <c r="Q2843" s="2" t="s">
        <v>2338</v>
      </c>
      <c r="R2843" s="2" t="s">
        <v>2339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2340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1885</v>
      </c>
      <c r="M2845" s="2" t="s">
        <v>40</v>
      </c>
      <c r="O2845" s="2" t="s">
        <v>2331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2341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hidden="1" x14ac:dyDescent="0.2">
      <c r="A2847" s="2">
        <v>2026</v>
      </c>
      <c r="B2847" s="2">
        <v>1</v>
      </c>
      <c r="D2847" s="2" t="s">
        <v>2342</v>
      </c>
      <c r="M2847" s="2" t="s">
        <v>41</v>
      </c>
      <c r="P2847" s="2" t="s">
        <v>115</v>
      </c>
      <c r="Q2847" s="2" t="s">
        <v>2343</v>
      </c>
      <c r="R2847" s="2" t="s">
        <v>2344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hidden="1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2345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2346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2347</v>
      </c>
      <c r="R2851" s="2" t="s">
        <v>2348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2349</v>
      </c>
      <c r="R2852" s="2" t="s">
        <v>2350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2351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3338</v>
      </c>
      <c r="D2855" s="2" t="s">
        <v>3339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2351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2352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2327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2302</v>
      </c>
      <c r="J2858" s="2" t="s">
        <v>2303</v>
      </c>
      <c r="K2858" s="2">
        <v>965790183</v>
      </c>
      <c r="L2858" s="2" t="s">
        <v>178</v>
      </c>
      <c r="M2858" s="2" t="s">
        <v>41</v>
      </c>
      <c r="O2858" s="2" t="s">
        <v>2353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976</v>
      </c>
      <c r="M2859" s="2" t="s">
        <v>3312</v>
      </c>
      <c r="P2859" s="2" t="s">
        <v>2354</v>
      </c>
      <c r="Q2859" s="2" t="s">
        <v>2355</v>
      </c>
      <c r="R2859" s="2" t="s">
        <v>2356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2354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2357</v>
      </c>
      <c r="Q2860" s="2" t="s">
        <v>2358</v>
      </c>
      <c r="R2860" s="2" t="s">
        <v>2359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2357</v>
      </c>
      <c r="AC2860" s="2" t="s">
        <v>2357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2360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3237</v>
      </c>
      <c r="AA2861" s="2" t="s">
        <v>72</v>
      </c>
      <c r="AB2861" s="2" t="s">
        <v>1607</v>
      </c>
      <c r="AC2861" s="2" t="s">
        <v>1607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2361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2362</v>
      </c>
      <c r="P2862" s="2" t="s">
        <v>283</v>
      </c>
      <c r="Q2862" s="2" t="s">
        <v>2363</v>
      </c>
      <c r="R2862" s="2" t="s">
        <v>2364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3237</v>
      </c>
      <c r="AA2862" s="2" t="s">
        <v>72</v>
      </c>
      <c r="AB2862" s="2" t="s">
        <v>1607</v>
      </c>
      <c r="AC2862" s="2" t="s">
        <v>1607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2365</v>
      </c>
      <c r="E2863" s="2" t="s">
        <v>754</v>
      </c>
      <c r="G2863" s="2">
        <v>191221937</v>
      </c>
      <c r="H2863" s="2" t="s">
        <v>110</v>
      </c>
      <c r="I2863" s="2" t="s">
        <v>2366</v>
      </c>
      <c r="J2863" s="2" t="s">
        <v>2367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3237</v>
      </c>
      <c r="AA2864" s="2" t="s">
        <v>46</v>
      </c>
      <c r="AB2864" s="2" t="s">
        <v>61</v>
      </c>
      <c r="AC2864" s="2" t="s">
        <v>3343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3237</v>
      </c>
      <c r="AA2865" s="2" t="s">
        <v>46</v>
      </c>
      <c r="AB2865" s="2" t="s">
        <v>61</v>
      </c>
      <c r="AC2865" s="2" t="s">
        <v>3343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3237</v>
      </c>
      <c r="AA2866" s="2" t="s">
        <v>46</v>
      </c>
      <c r="AB2866" s="2" t="s">
        <v>61</v>
      </c>
      <c r="AC2866" s="2" t="s">
        <v>3343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3237</v>
      </c>
      <c r="AA2867" s="2" t="s">
        <v>46</v>
      </c>
      <c r="AB2867" s="2" t="s">
        <v>61</v>
      </c>
      <c r="AC2867" s="2" t="s">
        <v>3343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2368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3237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2369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3237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2370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3237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2371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3237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hidden="1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3237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3237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2372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2373</v>
      </c>
      <c r="J2874" s="2" t="s">
        <v>2374</v>
      </c>
      <c r="K2874" s="2">
        <v>963062174</v>
      </c>
      <c r="L2874" s="2" t="s">
        <v>419</v>
      </c>
      <c r="M2874" s="2" t="s">
        <v>41</v>
      </c>
      <c r="O2874" s="2" t="s">
        <v>2375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3237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3237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hidden="1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3237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3237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3237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hidden="1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3237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hidden="1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3237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hidden="1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3237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2376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3237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3237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3237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3237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3237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hidden="1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2376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3237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3237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hidden="1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3237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hidden="1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2376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3237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3237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hidden="1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3237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hidden="1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3237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3237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hidden="1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3237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3237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2222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3237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2377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3237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3237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3237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3237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3237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2378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3237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3237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3227</v>
      </c>
      <c r="J2905" s="2" t="s">
        <v>3226</v>
      </c>
      <c r="K2905" s="2">
        <v>913814877</v>
      </c>
      <c r="L2905" s="2" t="s">
        <v>202</v>
      </c>
      <c r="M2905" s="2" t="s">
        <v>81</v>
      </c>
      <c r="O2905" s="2" t="s">
        <v>3221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3237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2379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3237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3237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3237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2380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3237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2381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3237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hidden="1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3380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3237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2382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3237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2383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3237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2369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3237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2384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3237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3237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2361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2362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3237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2385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3237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3237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3237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3237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3237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3237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2372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2373</v>
      </c>
      <c r="J2924" s="2" t="s">
        <v>2374</v>
      </c>
      <c r="K2924" s="2">
        <v>963062174</v>
      </c>
      <c r="L2924" s="2" t="s">
        <v>419</v>
      </c>
      <c r="M2924" s="2" t="s">
        <v>41</v>
      </c>
      <c r="O2924" s="2" t="s">
        <v>2375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3237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3237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hidden="1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3237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3237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2239</v>
      </c>
      <c r="P2928" s="2" t="s">
        <v>43</v>
      </c>
      <c r="Q2928" s="2" t="s">
        <v>2386</v>
      </c>
      <c r="R2928" s="2" t="s">
        <v>2387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3237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hidden="1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2386</v>
      </c>
      <c r="R2929" s="2" t="s">
        <v>2387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3237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hidden="1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2388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3237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hidden="1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2388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3237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hidden="1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2376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3237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2380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3237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2222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3237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3237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3237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2389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3237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3281</v>
      </c>
      <c r="M2938" s="2" t="s">
        <v>110</v>
      </c>
      <c r="P2938" s="2" t="s">
        <v>3241</v>
      </c>
      <c r="Q2938" s="2" t="s">
        <v>2390</v>
      </c>
      <c r="R2938" s="2" t="s">
        <v>2391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3241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2392</v>
      </c>
      <c r="P2939" s="2" t="s">
        <v>167</v>
      </c>
      <c r="Q2939" s="2" t="s">
        <v>2393</v>
      </c>
      <c r="R2939" s="2" t="s">
        <v>2394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3237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hidden="1" x14ac:dyDescent="0.2">
      <c r="A2940" s="2">
        <v>2026</v>
      </c>
      <c r="B2940" s="2">
        <v>1</v>
      </c>
      <c r="D2940" s="2" t="s">
        <v>2395</v>
      </c>
      <c r="P2940" s="2" t="s">
        <v>69</v>
      </c>
      <c r="Q2940" s="2" t="s">
        <v>2396</v>
      </c>
      <c r="R2940" s="2" t="s">
        <v>2397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3242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hidden="1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3242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2398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3237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2399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3237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3237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3237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2400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3237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3237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2401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3237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2402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3237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2403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3237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2404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3237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3237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3237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2405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3237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2406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3237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1950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2407</v>
      </c>
      <c r="J2956" s="2" t="s">
        <v>2408</v>
      </c>
      <c r="L2956" s="2" t="s">
        <v>202</v>
      </c>
      <c r="M2956" s="2" t="s">
        <v>41</v>
      </c>
      <c r="O2956" s="2" t="s">
        <v>2409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3237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2410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3237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2016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3237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3237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2411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3237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2399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2412</v>
      </c>
      <c r="J2961" s="2" t="s">
        <v>2413</v>
      </c>
      <c r="K2961" s="2">
        <v>919209638</v>
      </c>
      <c r="L2961" s="2" t="s">
        <v>294</v>
      </c>
      <c r="M2961" s="2" t="s">
        <v>81</v>
      </c>
      <c r="O2961" s="2" t="s">
        <v>2414</v>
      </c>
      <c r="P2961" s="2" t="s">
        <v>73</v>
      </c>
      <c r="Q2961" s="2" t="s">
        <v>2415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3237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2416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3237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3237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2417</v>
      </c>
      <c r="K2964" s="2">
        <v>968647685</v>
      </c>
      <c r="L2964" s="2" t="s">
        <v>399</v>
      </c>
      <c r="M2964" s="2" t="s">
        <v>110</v>
      </c>
      <c r="O2964" s="2" t="s">
        <v>2418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3237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2419</v>
      </c>
      <c r="J2965" s="2" t="s">
        <v>2420</v>
      </c>
      <c r="L2965" s="2" t="s">
        <v>202</v>
      </c>
      <c r="M2965" s="2" t="s">
        <v>81</v>
      </c>
      <c r="O2965" s="2" t="s">
        <v>2421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3237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2398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3237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3237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3237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2422</v>
      </c>
      <c r="R2969" s="2" t="s">
        <v>2423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3237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2424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3237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3237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3237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2425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3237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2426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3237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3217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3237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2427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3237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3207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3237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2428</v>
      </c>
      <c r="L2978" s="2" t="s">
        <v>462</v>
      </c>
      <c r="M2978" s="2" t="s">
        <v>81</v>
      </c>
      <c r="O2978" s="2" t="s">
        <v>2429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3237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3237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3237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2430</v>
      </c>
      <c r="P2981" s="2" t="s">
        <v>73</v>
      </c>
      <c r="Q2981" s="2" t="s">
        <v>2431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3237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2432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3237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2433</v>
      </c>
      <c r="P2983" s="2" t="s">
        <v>73</v>
      </c>
      <c r="Q2983" s="2" t="s">
        <v>1998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3237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2434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3237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3237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3237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hidden="1" x14ac:dyDescent="0.2">
      <c r="A2987" s="2">
        <v>2026</v>
      </c>
      <c r="B2987" s="2">
        <v>1</v>
      </c>
      <c r="D2987" s="2" t="s">
        <v>2435</v>
      </c>
      <c r="P2987" s="2" t="s">
        <v>85</v>
      </c>
      <c r="Q2987" s="2" t="s">
        <v>2436</v>
      </c>
      <c r="R2987" s="2" t="s">
        <v>2437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3237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2438</v>
      </c>
      <c r="R2988" s="2" t="s">
        <v>2439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3237</v>
      </c>
      <c r="AA2988" s="2" t="s">
        <v>1044</v>
      </c>
      <c r="AB2988" s="2" t="s">
        <v>1274</v>
      </c>
      <c r="AC2988" s="2" t="s">
        <v>1041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2440</v>
      </c>
      <c r="M2989" s="2" t="s">
        <v>81</v>
      </c>
      <c r="P2989" s="2" t="s">
        <v>1041</v>
      </c>
      <c r="Q2989" s="2" t="s">
        <v>2441</v>
      </c>
      <c r="R2989" s="2" t="s">
        <v>2442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3237</v>
      </c>
      <c r="AA2989" s="2" t="s">
        <v>1044</v>
      </c>
      <c r="AB2989" s="2" t="s">
        <v>1322</v>
      </c>
      <c r="AC2989" s="2" t="s">
        <v>1041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2443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2444</v>
      </c>
      <c r="J2990" s="2" t="s">
        <v>2445</v>
      </c>
      <c r="L2990" s="2" t="s">
        <v>2446</v>
      </c>
      <c r="M2990" s="2" t="s">
        <v>41</v>
      </c>
      <c r="O2990" s="2" t="s">
        <v>2447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2448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hidden="1" x14ac:dyDescent="0.2">
      <c r="A2993" s="2">
        <v>2026</v>
      </c>
      <c r="B2993" s="2">
        <v>1</v>
      </c>
      <c r="D2993" s="2" t="s">
        <v>1892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hidden="1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hidden="1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hidden="1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hidden="1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2449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F2999" s="2">
        <f t="shared" si="334"/>
        <v>0</v>
      </c>
      <c r="AJ2999" s="2">
        <f t="shared" si="335"/>
        <v>0</v>
      </c>
      <c r="AK2999" s="2">
        <f t="shared" si="336"/>
        <v>-79</v>
      </c>
      <c r="AL2999" s="5">
        <f t="shared" si="339"/>
        <v>1</v>
      </c>
    </row>
    <row r="3000" spans="1:38" hidden="1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2449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F3000" s="2">
        <f t="shared" si="334"/>
        <v>0</v>
      </c>
      <c r="AG3000" s="2">
        <f t="shared" ref="AG3000:AG3028" si="340">W3000</f>
        <v>0</v>
      </c>
      <c r="AJ3000" s="2">
        <f t="shared" si="335"/>
        <v>0</v>
      </c>
      <c r="AK3000" s="2">
        <f t="shared" si="336"/>
        <v>-100</v>
      </c>
    </row>
    <row r="3001" spans="1:38" hidden="1" x14ac:dyDescent="0.2">
      <c r="A3001" s="2">
        <v>2026</v>
      </c>
      <c r="B3001" s="2">
        <v>2</v>
      </c>
      <c r="D3001" s="2" t="s">
        <v>2450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2450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2451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2451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2452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2453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hidden="1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2453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2454</v>
      </c>
      <c r="F3008" s="2" t="s">
        <v>39</v>
      </c>
      <c r="G3008" s="2">
        <v>505814030</v>
      </c>
      <c r="H3008" s="2" t="s">
        <v>291</v>
      </c>
      <c r="I3008" s="2" t="s">
        <v>2455</v>
      </c>
      <c r="J3008" s="2" t="s">
        <v>2456</v>
      </c>
      <c r="L3008" s="2" t="s">
        <v>340</v>
      </c>
      <c r="M3008" s="2" t="s">
        <v>40</v>
      </c>
      <c r="O3008" s="2" t="s">
        <v>2457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2454</v>
      </c>
      <c r="F3009" s="2" t="s">
        <v>39</v>
      </c>
      <c r="G3009" s="2">
        <v>505814030</v>
      </c>
      <c r="H3009" s="2" t="s">
        <v>291</v>
      </c>
      <c r="I3009" s="2" t="s">
        <v>2455</v>
      </c>
      <c r="J3009" s="2" t="s">
        <v>2456</v>
      </c>
      <c r="L3009" s="2" t="s">
        <v>340</v>
      </c>
      <c r="M3009" s="2" t="s">
        <v>40</v>
      </c>
      <c r="O3009" s="2" t="s">
        <v>2457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hidden="1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hidden="1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hidden="1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hidden="1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hidden="1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hidden="1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hidden="1" x14ac:dyDescent="0.2">
      <c r="A3018" s="2">
        <v>2026</v>
      </c>
      <c r="B3018" s="2">
        <v>3</v>
      </c>
      <c r="D3018" s="2" t="s">
        <v>2458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hidden="1" x14ac:dyDescent="0.2">
      <c r="A3019" s="2">
        <v>2026</v>
      </c>
      <c r="B3019" s="2">
        <v>3</v>
      </c>
      <c r="D3019" s="2" t="s">
        <v>2458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hidden="1" x14ac:dyDescent="0.2">
      <c r="A3020" s="2">
        <v>2026</v>
      </c>
      <c r="B3020" s="2">
        <v>3</v>
      </c>
      <c r="D3020" s="2" t="s">
        <v>1772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hidden="1" x14ac:dyDescent="0.2">
      <c r="A3021" s="2">
        <v>2026</v>
      </c>
      <c r="B3021" s="2">
        <v>3</v>
      </c>
      <c r="D3021" s="2" t="s">
        <v>1772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hidden="1" x14ac:dyDescent="0.2">
      <c r="A3022" s="2">
        <v>2026</v>
      </c>
      <c r="B3022" s="2">
        <v>1</v>
      </c>
      <c r="D3022" s="2" t="s">
        <v>2000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hidden="1" x14ac:dyDescent="0.2">
      <c r="A3023" s="2">
        <v>2026</v>
      </c>
      <c r="B3023" s="2">
        <v>1</v>
      </c>
      <c r="D3023" s="2" t="s">
        <v>2000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hidden="1" x14ac:dyDescent="0.2">
      <c r="A3024" s="2">
        <v>2026</v>
      </c>
      <c r="B3024" s="2">
        <v>2</v>
      </c>
      <c r="D3024" s="2" t="s">
        <v>2459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2460</v>
      </c>
      <c r="J3024" s="2" t="s">
        <v>2461</v>
      </c>
      <c r="K3024" s="2">
        <v>967554174</v>
      </c>
      <c r="L3024" s="2" t="s">
        <v>134</v>
      </c>
      <c r="M3024" s="2" t="s">
        <v>40</v>
      </c>
      <c r="O3024" s="2" t="s">
        <v>2462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hidden="1" x14ac:dyDescent="0.2">
      <c r="A3025" s="2">
        <v>2026</v>
      </c>
      <c r="B3025" s="2">
        <v>2</v>
      </c>
      <c r="D3025" s="2" t="s">
        <v>2459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2460</v>
      </c>
      <c r="J3025" s="2" t="s">
        <v>2461</v>
      </c>
      <c r="K3025" s="2">
        <v>967554174</v>
      </c>
      <c r="L3025" s="2" t="s">
        <v>134</v>
      </c>
      <c r="M3025" s="2" t="s">
        <v>40</v>
      </c>
      <c r="O3025" s="2" t="s">
        <v>2462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hidden="1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2222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hidden="1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2463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hidden="1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2378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hidden="1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hidden="1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hidden="1" x14ac:dyDescent="0.2">
      <c r="A3035" s="2">
        <v>2026</v>
      </c>
      <c r="B3035" s="2">
        <v>1</v>
      </c>
      <c r="D3035" s="2" t="s">
        <v>2380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hidden="1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hidden="1" x14ac:dyDescent="0.2">
      <c r="A3037" s="2">
        <v>2026</v>
      </c>
      <c r="B3037" s="2">
        <v>1</v>
      </c>
      <c r="D3037" s="2" t="s">
        <v>2000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1314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1885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1314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hidden="1" x14ac:dyDescent="0.2">
      <c r="A3039" s="2">
        <v>2026</v>
      </c>
      <c r="B3039" s="2">
        <v>1</v>
      </c>
      <c r="D3039" s="2" t="s">
        <v>2405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1314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hidden="1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1314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2464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3237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2406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3237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hidden="1" x14ac:dyDescent="0.2">
      <c r="A3043" s="2">
        <v>2026</v>
      </c>
      <c r="B3043" s="2">
        <v>1</v>
      </c>
      <c r="D3043" s="2" t="s">
        <v>2399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3237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3237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3237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2425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3237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hidden="1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2424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3237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2434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3237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hidden="1" x14ac:dyDescent="0.2">
      <c r="A3049" s="2">
        <v>2026</v>
      </c>
      <c r="B3049" s="2">
        <v>1</v>
      </c>
      <c r="D3049" s="2" t="s">
        <v>2016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3237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hidden="1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3237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hidden="1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2465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3237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hidden="1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3237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hidden="1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3237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hidden="1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2400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3237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hidden="1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3237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hidden="1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3237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hidden="1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3237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hidden="1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2401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3237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hidden="1" x14ac:dyDescent="0.2">
      <c r="A3059" s="2">
        <v>2026</v>
      </c>
      <c r="B3059" s="2">
        <v>1</v>
      </c>
      <c r="D3059" s="2" t="s">
        <v>2411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3237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hidden="1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3237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hidden="1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3237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hidden="1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2419</v>
      </c>
      <c r="J3062" s="2" t="s">
        <v>2420</v>
      </c>
      <c r="L3062" s="2" t="s">
        <v>202</v>
      </c>
      <c r="M3062" s="2" t="s">
        <v>81</v>
      </c>
      <c r="O3062" s="2" t="s">
        <v>2421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3237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hidden="1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2402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3237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hidden="1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2403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3237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hidden="1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3237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hidden="1" x14ac:dyDescent="0.2">
      <c r="A3066" s="2">
        <v>2026</v>
      </c>
      <c r="B3066" s="2">
        <v>1</v>
      </c>
      <c r="D3066" s="2" t="s">
        <v>2404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3237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hidden="1" x14ac:dyDescent="0.2">
      <c r="A3067" s="2">
        <v>2026</v>
      </c>
      <c r="B3067" s="2">
        <v>1</v>
      </c>
      <c r="D3067" s="2" t="s">
        <v>1950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3237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hidden="1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3237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hidden="1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3237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2427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3237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hidden="1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3237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hidden="1" x14ac:dyDescent="0.2">
      <c r="A3072" s="2">
        <v>2026</v>
      </c>
      <c r="B3072" s="2">
        <v>1</v>
      </c>
      <c r="D3072" s="2" t="s">
        <v>2405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3237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hidden="1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2433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3237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hidden="1" x14ac:dyDescent="0.2">
      <c r="A3074" s="2">
        <v>2026</v>
      </c>
      <c r="B3074" s="2">
        <v>1</v>
      </c>
      <c r="D3074" s="2" t="s">
        <v>1892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hidden="1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hidden="1" x14ac:dyDescent="0.2">
      <c r="A3076" s="2">
        <v>2026</v>
      </c>
      <c r="B3076" s="2">
        <v>1</v>
      </c>
      <c r="D3076" s="2" t="s">
        <v>2341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3392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hidden="1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2312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hidden="1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2466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3237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hidden="1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2467</v>
      </c>
      <c r="P3079" s="2" t="s">
        <v>115</v>
      </c>
      <c r="Q3079" s="2" t="s">
        <v>2233</v>
      </c>
      <c r="R3079" s="2" t="s">
        <v>2234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2459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2460</v>
      </c>
      <c r="J3080" s="2" t="s">
        <v>2461</v>
      </c>
      <c r="K3080" s="2">
        <v>967554174</v>
      </c>
      <c r="L3080" s="2" t="s">
        <v>134</v>
      </c>
      <c r="M3080" s="2" t="s">
        <v>40</v>
      </c>
      <c r="O3080" s="2" t="s">
        <v>2462</v>
      </c>
      <c r="P3080" s="2" t="s">
        <v>115</v>
      </c>
      <c r="Q3080" s="2" t="s">
        <v>2305</v>
      </c>
      <c r="R3080" s="2" t="s">
        <v>2306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2468</v>
      </c>
      <c r="P3081" s="2" t="s">
        <v>115</v>
      </c>
      <c r="Q3081" s="2" t="s">
        <v>2224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2459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2460</v>
      </c>
      <c r="J3082" s="2" t="s">
        <v>2461</v>
      </c>
      <c r="K3082" s="2">
        <v>967554174</v>
      </c>
      <c r="L3082" s="2" t="s">
        <v>134</v>
      </c>
      <c r="M3082" s="2" t="s">
        <v>40</v>
      </c>
      <c r="O3082" s="2" t="s">
        <v>2462</v>
      </c>
      <c r="P3082" s="2" t="s">
        <v>115</v>
      </c>
      <c r="Q3082" s="2" t="s">
        <v>2469</v>
      </c>
      <c r="R3082" s="2" t="s">
        <v>2470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2459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2460</v>
      </c>
      <c r="J3083" s="2" t="s">
        <v>2461</v>
      </c>
      <c r="K3083" s="2">
        <v>967554174</v>
      </c>
      <c r="L3083" s="2" t="s">
        <v>134</v>
      </c>
      <c r="M3083" s="2" t="s">
        <v>40</v>
      </c>
      <c r="O3083" s="2" t="s">
        <v>2462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2471</v>
      </c>
      <c r="P3084" s="2" t="s">
        <v>115</v>
      </c>
      <c r="Q3084" s="2" t="s">
        <v>2201</v>
      </c>
      <c r="R3084" s="2" t="s">
        <v>2202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2451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2484</v>
      </c>
      <c r="J3086" s="2" t="s">
        <v>3132</v>
      </c>
      <c r="K3086" s="2">
        <v>965864665</v>
      </c>
      <c r="L3086" s="2" t="s">
        <v>345</v>
      </c>
      <c r="M3086" s="2" t="s">
        <v>40</v>
      </c>
      <c r="O3086" s="2" t="s">
        <v>2485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2472</v>
      </c>
      <c r="P3087" s="2" t="s">
        <v>115</v>
      </c>
      <c r="Q3087" s="2" t="s">
        <v>2473</v>
      </c>
      <c r="R3087" s="2" t="s">
        <v>2474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2475</v>
      </c>
      <c r="P3088" s="2" t="s">
        <v>115</v>
      </c>
      <c r="Q3088" s="2" t="s">
        <v>2476</v>
      </c>
      <c r="R3088" s="2" t="s">
        <v>2477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2478</v>
      </c>
      <c r="P3089" s="2" t="s">
        <v>115</v>
      </c>
      <c r="Q3089" s="2" t="s">
        <v>2479</v>
      </c>
      <c r="R3089" s="2" t="s">
        <v>2480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2481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hidden="1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2482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3124</v>
      </c>
      <c r="J3092" s="2" t="s">
        <v>3125</v>
      </c>
      <c r="L3092" s="2" t="s">
        <v>113</v>
      </c>
      <c r="M3092" s="2" t="s">
        <v>40</v>
      </c>
      <c r="O3092" s="2" t="s">
        <v>2483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2471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2484</v>
      </c>
      <c r="J3094" s="2" t="s">
        <v>3132</v>
      </c>
      <c r="K3094" s="2">
        <v>965864665</v>
      </c>
      <c r="L3094" s="2" t="s">
        <v>345</v>
      </c>
      <c r="M3094" s="2" t="s">
        <v>40</v>
      </c>
      <c r="O3094" s="2" t="s">
        <v>2485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2486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2487</v>
      </c>
      <c r="P3095" s="2" t="s">
        <v>115</v>
      </c>
      <c r="Q3095" s="2" t="s">
        <v>2488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2478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2295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2296</v>
      </c>
      <c r="L3097" s="2" t="s">
        <v>202</v>
      </c>
      <c r="M3097" s="2" t="s">
        <v>40</v>
      </c>
      <c r="O3097" s="2" t="s">
        <v>2297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2298</v>
      </c>
      <c r="E3098" s="2" t="s">
        <v>38</v>
      </c>
      <c r="G3098" s="2">
        <v>509800696</v>
      </c>
      <c r="H3098" s="2" t="s">
        <v>291</v>
      </c>
      <c r="I3098" s="2" t="s">
        <v>2299</v>
      </c>
      <c r="J3098" s="2" t="s">
        <v>2300</v>
      </c>
      <c r="K3098" s="2">
        <v>930444437</v>
      </c>
      <c r="L3098" s="2" t="s">
        <v>2299</v>
      </c>
      <c r="M3098" s="2" t="s">
        <v>40</v>
      </c>
      <c r="O3098" s="2" t="s">
        <v>2301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2335</v>
      </c>
      <c r="I3099" s="2" t="s">
        <v>806</v>
      </c>
      <c r="L3099" s="2" t="s">
        <v>100</v>
      </c>
      <c r="M3099" s="2" t="s">
        <v>40</v>
      </c>
      <c r="O3099" s="2" t="s">
        <v>2489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hidden="1" x14ac:dyDescent="0.2">
      <c r="A3100" s="2">
        <v>2026</v>
      </c>
      <c r="B3100" s="2">
        <v>2</v>
      </c>
      <c r="D3100" s="2" t="s">
        <v>2490</v>
      </c>
      <c r="M3100" s="2" t="s">
        <v>40</v>
      </c>
      <c r="O3100" s="2" t="s">
        <v>2491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2492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2493</v>
      </c>
      <c r="P3102" s="2" t="s">
        <v>115</v>
      </c>
      <c r="Q3102" s="2" t="s">
        <v>2494</v>
      </c>
      <c r="R3102" s="2" t="s">
        <v>2495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2496</v>
      </c>
      <c r="P3103" s="2" t="s">
        <v>115</v>
      </c>
      <c r="Q3103" s="2" t="s">
        <v>2497</v>
      </c>
      <c r="R3103" s="2" t="s">
        <v>2498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2499</v>
      </c>
      <c r="M3104" s="2" t="s">
        <v>40</v>
      </c>
      <c r="O3104" s="2" t="s">
        <v>2500</v>
      </c>
      <c r="P3104" s="2" t="s">
        <v>115</v>
      </c>
      <c r="Q3104" s="2" t="s">
        <v>2501</v>
      </c>
      <c r="R3104" s="2" t="s">
        <v>2502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2503</v>
      </c>
      <c r="R3105" s="2" t="s">
        <v>2504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hidden="1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hidden="1" x14ac:dyDescent="0.2">
      <c r="A3107" s="2">
        <v>2026</v>
      </c>
      <c r="B3107" s="2">
        <v>2</v>
      </c>
      <c r="D3107" s="2" t="s">
        <v>2450</v>
      </c>
      <c r="P3107" s="2" t="s">
        <v>115</v>
      </c>
      <c r="Q3107" s="2" t="s">
        <v>2505</v>
      </c>
      <c r="R3107" s="2" t="s">
        <v>2506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hidden="1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2507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hidden="1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2508</v>
      </c>
      <c r="J3111" s="2" t="s">
        <v>2509</v>
      </c>
      <c r="L3111" s="2" t="s">
        <v>294</v>
      </c>
      <c r="P3111" s="2" t="s">
        <v>115</v>
      </c>
      <c r="Q3111" s="2" t="s">
        <v>2510</v>
      </c>
      <c r="R3111" s="2" t="s">
        <v>2511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hidden="1" x14ac:dyDescent="0.2">
      <c r="A3112" s="2">
        <v>2026</v>
      </c>
      <c r="B3112" s="2">
        <v>2</v>
      </c>
      <c r="C3112" s="2" t="s">
        <v>3332</v>
      </c>
      <c r="D3112" s="2" t="s">
        <v>3254</v>
      </c>
      <c r="E3112" s="2" t="s">
        <v>754</v>
      </c>
      <c r="F3112" s="2" t="s">
        <v>39</v>
      </c>
      <c r="L3112" s="2" t="s">
        <v>345</v>
      </c>
      <c r="M3112" s="2" t="s">
        <v>40</v>
      </c>
      <c r="O3112" s="2" t="s">
        <v>2512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3253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2513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3255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2514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3256</v>
      </c>
      <c r="J3116" s="2" t="s">
        <v>3257</v>
      </c>
      <c r="K3116" s="2">
        <v>96179412</v>
      </c>
      <c r="L3116" s="2" t="s">
        <v>462</v>
      </c>
      <c r="M3116" s="2" t="s">
        <v>110</v>
      </c>
      <c r="O3116" s="2" t="s">
        <v>3258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2515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2516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3255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2514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2484</v>
      </c>
      <c r="J3120" s="2" t="s">
        <v>3132</v>
      </c>
      <c r="K3120" s="2">
        <v>965864665</v>
      </c>
      <c r="L3120" s="2" t="s">
        <v>345</v>
      </c>
      <c r="M3120" s="2" t="s">
        <v>40</v>
      </c>
      <c r="O3120" s="2" t="s">
        <v>2485</v>
      </c>
      <c r="P3120" s="2" t="s">
        <v>1611</v>
      </c>
      <c r="Q3120" s="2" t="s">
        <v>1774</v>
      </c>
      <c r="R3120" s="2" t="s">
        <v>1775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2517</v>
      </c>
      <c r="P3121" s="2" t="s">
        <v>1611</v>
      </c>
      <c r="Q3121" s="2" t="s">
        <v>1774</v>
      </c>
      <c r="R3121" s="2" t="s">
        <v>1775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3424</v>
      </c>
      <c r="D3123" s="2" t="s">
        <v>2518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2519</v>
      </c>
      <c r="R3123" s="2" t="s">
        <v>2520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3237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3424</v>
      </c>
      <c r="D3124" s="2" t="s">
        <v>2518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3237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2521</v>
      </c>
      <c r="M3125" s="2" t="s">
        <v>110</v>
      </c>
      <c r="P3125" s="2" t="s">
        <v>283</v>
      </c>
      <c r="Q3125" s="2" t="s">
        <v>2522</v>
      </c>
      <c r="R3125" s="2" t="s">
        <v>2523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2524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2525</v>
      </c>
      <c r="J3126" s="2" t="s">
        <v>2526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2527</v>
      </c>
      <c r="J3127" s="2" t="s">
        <v>2528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2529</v>
      </c>
      <c r="E3128" s="2" t="s">
        <v>38</v>
      </c>
      <c r="G3128" s="2">
        <v>259186163</v>
      </c>
      <c r="H3128" s="2" t="s">
        <v>110</v>
      </c>
      <c r="I3128" s="2" t="s">
        <v>2530</v>
      </c>
      <c r="J3128" s="2" t="s">
        <v>2531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2524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2525</v>
      </c>
      <c r="J3129" s="2" t="s">
        <v>2526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3237</v>
      </c>
      <c r="AA3129" s="2" t="s">
        <v>46</v>
      </c>
      <c r="AB3129" s="2" t="s">
        <v>61</v>
      </c>
      <c r="AC3129" s="2" t="s">
        <v>3343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Z3130" s="2" t="s">
        <v>3237</v>
      </c>
      <c r="AA3130" s="2" t="s">
        <v>46</v>
      </c>
      <c r="AB3130" s="2" t="s">
        <v>61</v>
      </c>
      <c r="AC3130" s="2" t="s">
        <v>3343</v>
      </c>
      <c r="AF3130" s="2">
        <f t="shared" si="353"/>
        <v>0</v>
      </c>
      <c r="AJ3130" s="2">
        <f t="shared" si="354"/>
        <v>0</v>
      </c>
    </row>
    <row r="3131" spans="1:38" hidden="1" x14ac:dyDescent="0.2">
      <c r="A3131" s="2">
        <v>2026</v>
      </c>
      <c r="B3131" s="2">
        <v>2</v>
      </c>
      <c r="D3131" s="2" t="s">
        <v>2529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3237</v>
      </c>
      <c r="AA3131" s="2" t="s">
        <v>46</v>
      </c>
      <c r="AB3131" s="2" t="s">
        <v>61</v>
      </c>
      <c r="AC3131" s="2" t="s">
        <v>3343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2524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2525</v>
      </c>
      <c r="J3132" s="2" t="s">
        <v>2526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3237</v>
      </c>
      <c r="AA3132" s="2" t="s">
        <v>46</v>
      </c>
      <c r="AB3132" s="2" t="s">
        <v>61</v>
      </c>
      <c r="AC3132" s="2" t="s">
        <v>3343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3237</v>
      </c>
      <c r="AA3133" s="2" t="s">
        <v>46</v>
      </c>
      <c r="AB3133" s="2" t="s">
        <v>61</v>
      </c>
      <c r="AC3133" s="2" t="s">
        <v>3343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2529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3237</v>
      </c>
      <c r="AA3134" s="2" t="s">
        <v>46</v>
      </c>
      <c r="AB3134" s="2" t="s">
        <v>61</v>
      </c>
      <c r="AC3134" s="2" t="s">
        <v>3343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2532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3237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3237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2533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3237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3227</v>
      </c>
      <c r="J3138" s="2" t="s">
        <v>3226</v>
      </c>
      <c r="K3138" s="2">
        <v>913814877</v>
      </c>
      <c r="L3138" s="2" t="s">
        <v>202</v>
      </c>
      <c r="M3138" s="2" t="s">
        <v>81</v>
      </c>
      <c r="O3138" s="2" t="s">
        <v>3223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3237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3143</v>
      </c>
      <c r="L3139" s="2" t="s">
        <v>178</v>
      </c>
      <c r="M3139" s="2" t="s">
        <v>41</v>
      </c>
      <c r="O3139" s="2" t="s">
        <v>3150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3237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2534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3237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3237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1909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3237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hidden="1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3237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hidden="1" x14ac:dyDescent="0.2">
      <c r="A3144" s="2">
        <v>2026</v>
      </c>
      <c r="B3144" s="2">
        <v>2</v>
      </c>
      <c r="D3144" s="2" t="s">
        <v>1909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3237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hidden="1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3237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hidden="1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2535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3237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2424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3237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hidden="1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3237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2424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3237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hidden="1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3237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2424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3237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hidden="1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3237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hidden="1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2536</v>
      </c>
      <c r="P3153" s="2" t="s">
        <v>115</v>
      </c>
      <c r="Q3153" s="2" t="s">
        <v>2537</v>
      </c>
      <c r="R3153" s="2" t="s">
        <v>2538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3237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hidden="1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3237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3237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hidden="1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3237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2449</v>
      </c>
      <c r="P3158" s="2" t="s">
        <v>115</v>
      </c>
      <c r="Q3158" s="2" t="s">
        <v>2107</v>
      </c>
      <c r="R3158" s="2" t="s">
        <v>2108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hidden="1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3237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hidden="1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3237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3237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3124</v>
      </c>
      <c r="J3162" s="2" t="s">
        <v>3125</v>
      </c>
      <c r="L3162" s="2" t="s">
        <v>113</v>
      </c>
      <c r="M3162" s="2" t="s">
        <v>110</v>
      </c>
      <c r="O3162" s="2" t="s">
        <v>3128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3237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2539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3237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3237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2533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3237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2533</v>
      </c>
      <c r="L3166" s="2" t="s">
        <v>178</v>
      </c>
      <c r="M3166" s="2" t="s">
        <v>41</v>
      </c>
      <c r="O3166" s="2" t="s">
        <v>2540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3237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2541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3237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3237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3237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3237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2542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3237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2533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3237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3237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2543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3237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2542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3237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hidden="1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2543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3237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hidden="1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2533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3237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2533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3237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2544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3237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2545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3237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2529</v>
      </c>
      <c r="M3181" s="2" t="s">
        <v>110</v>
      </c>
      <c r="P3181" s="2" t="s">
        <v>43</v>
      </c>
      <c r="Q3181" s="2" t="s">
        <v>2386</v>
      </c>
      <c r="R3181" s="2" t="s">
        <v>2387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3237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hidden="1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2546</v>
      </c>
      <c r="L3182" s="2" t="s">
        <v>100</v>
      </c>
      <c r="M3182" s="2" t="s">
        <v>81</v>
      </c>
      <c r="O3182" s="2" t="s">
        <v>2547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3237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3237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2539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3237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3237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3311</v>
      </c>
      <c r="D3186" s="2" t="s">
        <v>1376</v>
      </c>
      <c r="E3186" s="2" t="s">
        <v>38</v>
      </c>
      <c r="F3186" s="2" t="s">
        <v>39</v>
      </c>
      <c r="I3186" s="2" t="s">
        <v>3310</v>
      </c>
      <c r="L3186" s="2" t="s">
        <v>134</v>
      </c>
      <c r="M3186" s="2" t="s">
        <v>2548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3237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2546</v>
      </c>
      <c r="L3187" s="2" t="s">
        <v>100</v>
      </c>
      <c r="M3187" s="2" t="s">
        <v>81</v>
      </c>
      <c r="O3187" s="2" t="s">
        <v>2547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3237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3237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2549</v>
      </c>
      <c r="P3190" s="2" t="s">
        <v>43</v>
      </c>
      <c r="Q3190" s="2" t="s">
        <v>2550</v>
      </c>
      <c r="R3190" s="2" t="s">
        <v>2551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3237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2552</v>
      </c>
      <c r="R3191" s="2" t="s">
        <v>2553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3237</v>
      </c>
      <c r="AA3191" s="2" t="s">
        <v>72</v>
      </c>
      <c r="AB3191" s="2" t="s">
        <v>69</v>
      </c>
      <c r="AC3191" s="2" t="s">
        <v>3242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2554</v>
      </c>
      <c r="R3192" s="2" t="s">
        <v>2555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3237</v>
      </c>
      <c r="AA3192" s="2" t="s">
        <v>72</v>
      </c>
      <c r="AB3192" s="2" t="s">
        <v>69</v>
      </c>
      <c r="AC3192" s="2" t="s">
        <v>3242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2556</v>
      </c>
      <c r="R3193" s="2" t="s">
        <v>2557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3237</v>
      </c>
      <c r="AA3193" s="2" t="s">
        <v>72</v>
      </c>
      <c r="AB3193" s="2" t="s">
        <v>69</v>
      </c>
      <c r="AC3193" s="2" t="s">
        <v>3242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3237</v>
      </c>
      <c r="AA3194" s="2" t="s">
        <v>72</v>
      </c>
      <c r="AB3194" s="2" t="s">
        <v>69</v>
      </c>
      <c r="AC3194" s="2" t="s">
        <v>3242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2524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2525</v>
      </c>
      <c r="J3195" s="2" t="s">
        <v>2526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2558</v>
      </c>
      <c r="R3195" s="2" t="s">
        <v>2559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3242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2524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2525</v>
      </c>
      <c r="J3196" s="2" t="s">
        <v>2526</v>
      </c>
      <c r="K3196" s="2">
        <v>967032538</v>
      </c>
      <c r="L3196" s="2" t="s">
        <v>399</v>
      </c>
      <c r="M3196" s="2" t="s">
        <v>110</v>
      </c>
      <c r="O3196" s="2" t="s">
        <v>2560</v>
      </c>
      <c r="P3196" s="2" t="s">
        <v>69</v>
      </c>
      <c r="Q3196" s="2" t="s">
        <v>2561</v>
      </c>
      <c r="R3196" s="2" t="s">
        <v>2562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3242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1793</v>
      </c>
      <c r="M3197" s="2" t="s">
        <v>110</v>
      </c>
      <c r="O3197" s="2" t="s">
        <v>2563</v>
      </c>
      <c r="P3197" s="2" t="s">
        <v>69</v>
      </c>
      <c r="Q3197" s="2" t="s">
        <v>2561</v>
      </c>
      <c r="R3197" s="2" t="s">
        <v>2562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3242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2564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3237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2545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3237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2565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3237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2002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3237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3237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3237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2566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3237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2567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3237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2568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3237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2569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3237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2570</v>
      </c>
      <c r="J3208" s="2" t="s">
        <v>2571</v>
      </c>
      <c r="K3208" s="2">
        <v>912897776</v>
      </c>
      <c r="L3208" s="2" t="s">
        <v>340</v>
      </c>
      <c r="M3208" s="2" t="s">
        <v>81</v>
      </c>
      <c r="O3208" s="2" t="s">
        <v>2572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3237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2573</v>
      </c>
      <c r="L3209" s="2" t="s">
        <v>202</v>
      </c>
      <c r="M3209" s="2" t="s">
        <v>81</v>
      </c>
      <c r="O3209" s="2" t="s">
        <v>2574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3237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3237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2575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2576</v>
      </c>
      <c r="J3211" s="2" t="s">
        <v>2577</v>
      </c>
      <c r="L3211" s="2" t="s">
        <v>134</v>
      </c>
      <c r="M3211" s="2" t="s">
        <v>81</v>
      </c>
      <c r="O3211" s="2" t="s">
        <v>2578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3237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2575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3237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2579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3237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2580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3237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2449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hidden="1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3237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2581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3237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2582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3237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2002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3237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3237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2583</v>
      </c>
      <c r="P3221" s="2" t="s">
        <v>73</v>
      </c>
      <c r="Q3221" s="2" t="s">
        <v>2584</v>
      </c>
      <c r="R3221" s="2" t="s">
        <v>2585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3237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hidden="1" x14ac:dyDescent="0.2">
      <c r="A3222" s="2">
        <v>2026</v>
      </c>
      <c r="B3222" s="2">
        <v>2</v>
      </c>
      <c r="D3222" s="2" t="s">
        <v>2586</v>
      </c>
      <c r="E3222" s="2" t="s">
        <v>184</v>
      </c>
      <c r="F3222" s="2" t="s">
        <v>2587</v>
      </c>
      <c r="G3222" s="2">
        <v>515259144</v>
      </c>
      <c r="H3222" s="2" t="s">
        <v>81</v>
      </c>
      <c r="I3222" s="2" t="s">
        <v>157</v>
      </c>
      <c r="J3222" s="2" t="s">
        <v>2588</v>
      </c>
      <c r="K3222" s="2">
        <v>968626165</v>
      </c>
      <c r="L3222" s="2" t="s">
        <v>100</v>
      </c>
      <c r="M3222" s="2" t="s">
        <v>81</v>
      </c>
      <c r="O3222" s="2" t="s">
        <v>2589</v>
      </c>
      <c r="P3222" s="2" t="s">
        <v>1041</v>
      </c>
      <c r="Q3222" s="2" t="s">
        <v>1961</v>
      </c>
      <c r="R3222" s="2" t="s">
        <v>1962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3237</v>
      </c>
      <c r="AA3222" s="2" t="s">
        <v>76</v>
      </c>
      <c r="AB3222" s="2" t="s">
        <v>77</v>
      </c>
      <c r="AC3222" s="2" t="s">
        <v>1041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2590</v>
      </c>
      <c r="R3223" s="2" t="s">
        <v>2591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3237</v>
      </c>
      <c r="AA3223" s="2" t="s">
        <v>76</v>
      </c>
      <c r="AB3223" s="2" t="s">
        <v>77</v>
      </c>
      <c r="AC3223" s="2" t="s">
        <v>1041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3332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2592</v>
      </c>
      <c r="R3224" s="2" t="s">
        <v>2593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3237</v>
      </c>
      <c r="AA3224" s="2" t="s">
        <v>76</v>
      </c>
      <c r="AB3224" s="2" t="s">
        <v>77</v>
      </c>
      <c r="AC3224" s="2" t="s">
        <v>1041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3237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3237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2594</v>
      </c>
      <c r="P3227" s="2" t="s">
        <v>85</v>
      </c>
      <c r="Q3227" s="2" t="s">
        <v>2595</v>
      </c>
      <c r="R3227" s="2" t="s">
        <v>2596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3237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hidden="1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2597</v>
      </c>
      <c r="P3228" s="2" t="s">
        <v>1197</v>
      </c>
      <c r="Q3228" s="2" t="s">
        <v>2598</v>
      </c>
      <c r="R3228" s="2" t="s">
        <v>2599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hidden="1" x14ac:dyDescent="0.2">
      <c r="A3229" s="2">
        <v>2026</v>
      </c>
      <c r="B3229" s="2">
        <v>2</v>
      </c>
      <c r="D3229" s="2" t="s">
        <v>1793</v>
      </c>
      <c r="O3229" s="2" t="s">
        <v>2600</v>
      </c>
      <c r="P3229" s="2" t="s">
        <v>3407</v>
      </c>
      <c r="Q3229" s="2" t="s">
        <v>2601</v>
      </c>
      <c r="R3229" s="2" t="s">
        <v>2602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3407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2524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2525</v>
      </c>
      <c r="J3230" s="2" t="s">
        <v>2526</v>
      </c>
      <c r="K3230" s="2">
        <v>967032538</v>
      </c>
      <c r="L3230" s="2" t="s">
        <v>399</v>
      </c>
      <c r="M3230" s="2" t="s">
        <v>110</v>
      </c>
      <c r="O3230" s="2" t="s">
        <v>2560</v>
      </c>
      <c r="P3230" s="2" t="s">
        <v>3407</v>
      </c>
      <c r="Q3230" s="2" t="s">
        <v>2603</v>
      </c>
      <c r="R3230" s="2" t="s">
        <v>2604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3407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2605</v>
      </c>
      <c r="M3231" s="2" t="s">
        <v>81</v>
      </c>
      <c r="P3231" s="2" t="s">
        <v>1041</v>
      </c>
      <c r="Q3231" s="2" t="s">
        <v>1932</v>
      </c>
      <c r="R3231" s="2" t="s">
        <v>1933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3237</v>
      </c>
      <c r="AA3231" s="2" t="s">
        <v>1044</v>
      </c>
      <c r="AB3231" s="2" t="s">
        <v>1274</v>
      </c>
      <c r="AC3231" s="2" t="s">
        <v>1041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2606</v>
      </c>
      <c r="R3232" s="2" t="s">
        <v>2607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3237</v>
      </c>
      <c r="AA3232" s="2" t="s">
        <v>1044</v>
      </c>
      <c r="AB3232" s="2" t="s">
        <v>1274</v>
      </c>
      <c r="AC3232" s="2" t="s">
        <v>1041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2518</v>
      </c>
      <c r="M3233" s="2" t="s">
        <v>81</v>
      </c>
      <c r="P3233" s="2" t="s">
        <v>1041</v>
      </c>
      <c r="Q3233" s="2" t="s">
        <v>2608</v>
      </c>
      <c r="R3233" s="2" t="s">
        <v>2609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3237</v>
      </c>
      <c r="AA3233" s="2" t="s">
        <v>1044</v>
      </c>
      <c r="AB3233" s="2" t="s">
        <v>2176</v>
      </c>
      <c r="AC3233" s="2" t="s">
        <v>1041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2610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hidden="1" x14ac:dyDescent="0.2">
      <c r="A3235" s="2">
        <v>2026</v>
      </c>
      <c r="B3235" s="2">
        <v>2</v>
      </c>
      <c r="D3235" s="2" t="s">
        <v>2534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hidden="1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hidden="1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2508</v>
      </c>
      <c r="J3237" s="2" t="s">
        <v>2509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hidden="1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2508</v>
      </c>
      <c r="J3238" s="2" t="s">
        <v>2509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hidden="1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hidden="1" x14ac:dyDescent="0.2">
      <c r="A3241" s="2">
        <v>2026</v>
      </c>
      <c r="B3241" s="2">
        <v>1</v>
      </c>
      <c r="D3241" s="2" t="s">
        <v>2239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hidden="1" x14ac:dyDescent="0.2">
      <c r="A3242" s="2">
        <v>2026</v>
      </c>
      <c r="B3242" s="2">
        <v>1</v>
      </c>
      <c r="D3242" s="2" t="s">
        <v>2239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hidden="1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2611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hidden="1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2611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hidden="1" x14ac:dyDescent="0.2">
      <c r="A3245" s="2">
        <v>2026</v>
      </c>
      <c r="B3245" s="2">
        <v>1</v>
      </c>
      <c r="D3245" s="2" t="s">
        <v>2341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2341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hidden="1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2312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2312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hidden="1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2482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hidden="1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2482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hidden="1" x14ac:dyDescent="0.2">
      <c r="A3251" s="2">
        <v>2026</v>
      </c>
      <c r="B3251" s="2">
        <v>1</v>
      </c>
      <c r="D3251" s="2" t="s">
        <v>1011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hidden="1" x14ac:dyDescent="0.2">
      <c r="A3252" s="2">
        <v>2026</v>
      </c>
      <c r="B3252" s="2">
        <v>1</v>
      </c>
      <c r="D3252" s="2" t="s">
        <v>1011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hidden="1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hidden="1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hidden="1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hidden="1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hidden="1" x14ac:dyDescent="0.2">
      <c r="A3257" s="2">
        <v>2026</v>
      </c>
      <c r="B3257" s="2">
        <v>2</v>
      </c>
      <c r="D3257" s="2" t="s">
        <v>2517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hidden="1" x14ac:dyDescent="0.2">
      <c r="A3258" s="2">
        <v>2026</v>
      </c>
      <c r="B3258" s="2">
        <v>2</v>
      </c>
      <c r="D3258" s="2" t="s">
        <v>2517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hidden="1" x14ac:dyDescent="0.2">
      <c r="A3259" s="2">
        <v>2026</v>
      </c>
      <c r="B3259" s="2">
        <v>4</v>
      </c>
      <c r="D3259" s="2" t="s">
        <v>2612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2613</v>
      </c>
      <c r="K3259" s="2">
        <v>935402550</v>
      </c>
      <c r="L3259" s="2" t="s">
        <v>113</v>
      </c>
      <c r="M3259" s="2" t="s">
        <v>40</v>
      </c>
      <c r="O3259" s="2" t="s">
        <v>2614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hidden="1" x14ac:dyDescent="0.2">
      <c r="A3260" s="2">
        <v>2026</v>
      </c>
      <c r="B3260" s="2">
        <v>4</v>
      </c>
      <c r="D3260" s="2" t="s">
        <v>2612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2613</v>
      </c>
      <c r="K3260" s="2">
        <v>935402550</v>
      </c>
      <c r="L3260" s="2" t="s">
        <v>113</v>
      </c>
      <c r="M3260" s="2" t="s">
        <v>40</v>
      </c>
      <c r="O3260" s="2" t="s">
        <v>2614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hidden="1" x14ac:dyDescent="0.2">
      <c r="A3261" s="2">
        <v>2026</v>
      </c>
      <c r="B3261" s="2">
        <v>4</v>
      </c>
      <c r="D3261" s="2" t="s">
        <v>2615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2616</v>
      </c>
      <c r="J3261" s="2" t="s">
        <v>2617</v>
      </c>
      <c r="K3261" s="2">
        <v>912183782</v>
      </c>
      <c r="L3261" s="2" t="s">
        <v>202</v>
      </c>
      <c r="M3261" s="2" t="s">
        <v>40</v>
      </c>
      <c r="O3261" s="2" t="s">
        <v>2618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hidden="1" x14ac:dyDescent="0.2">
      <c r="A3262" s="2">
        <v>2026</v>
      </c>
      <c r="B3262" s="2">
        <v>4</v>
      </c>
      <c r="D3262" s="2" t="s">
        <v>2615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2616</v>
      </c>
      <c r="J3262" s="2" t="s">
        <v>2617</v>
      </c>
      <c r="K3262" s="2">
        <v>912183782</v>
      </c>
      <c r="L3262" s="2" t="s">
        <v>202</v>
      </c>
      <c r="M3262" s="2" t="s">
        <v>40</v>
      </c>
      <c r="O3262" s="2" t="s">
        <v>2618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hidden="1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hidden="1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hidden="1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3332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hidden="1" x14ac:dyDescent="0.2">
      <c r="A3269" s="2">
        <v>2026</v>
      </c>
      <c r="B3269" s="2">
        <v>2</v>
      </c>
      <c r="D3269" s="2" t="s">
        <v>2518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hidden="1" x14ac:dyDescent="0.2">
      <c r="A3270" s="2">
        <v>2026</v>
      </c>
      <c r="B3270" s="2">
        <v>2</v>
      </c>
      <c r="D3270" s="2" t="s">
        <v>2586</v>
      </c>
      <c r="E3270" s="2" t="s">
        <v>184</v>
      </c>
      <c r="F3270" s="2" t="s">
        <v>2587</v>
      </c>
      <c r="G3270" s="2">
        <v>515259144</v>
      </c>
      <c r="H3270" s="2" t="s">
        <v>81</v>
      </c>
      <c r="I3270" s="2" t="s">
        <v>157</v>
      </c>
      <c r="J3270" s="2" t="s">
        <v>2588</v>
      </c>
      <c r="K3270" s="2">
        <v>968626165</v>
      </c>
      <c r="L3270" s="2" t="s">
        <v>100</v>
      </c>
      <c r="M3270" s="2" t="s">
        <v>81</v>
      </c>
      <c r="O3270" s="2" t="s">
        <v>2619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hidden="1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2533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hidden="1" x14ac:dyDescent="0.2">
      <c r="A3272" s="2">
        <v>2026</v>
      </c>
      <c r="B3272" s="2">
        <v>2</v>
      </c>
      <c r="D3272" s="2" t="s">
        <v>2544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hidden="1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3227</v>
      </c>
      <c r="J3273" s="2" t="s">
        <v>3226</v>
      </c>
      <c r="K3273" s="2">
        <v>913814877</v>
      </c>
      <c r="L3273" s="2" t="s">
        <v>202</v>
      </c>
      <c r="M3273" s="2" t="s">
        <v>81</v>
      </c>
      <c r="O3273" s="2" t="s">
        <v>3223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hidden="1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hidden="1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2594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hidden="1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hidden="1" x14ac:dyDescent="0.2">
      <c r="A3277" s="2">
        <v>2026</v>
      </c>
      <c r="B3277" s="2">
        <v>2</v>
      </c>
      <c r="D3277" s="2" t="s">
        <v>2161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1314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2620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3237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2545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3237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hidden="1" x14ac:dyDescent="0.2">
      <c r="A3280" s="2">
        <v>2026</v>
      </c>
      <c r="B3280" s="2">
        <v>2</v>
      </c>
      <c r="C3280" s="2" t="s">
        <v>3332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3237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hidden="1" x14ac:dyDescent="0.2">
      <c r="A3281" s="2">
        <v>2026</v>
      </c>
      <c r="B3281" s="2">
        <v>2</v>
      </c>
      <c r="D3281" s="2" t="s">
        <v>2583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3237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hidden="1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2621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3237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2579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3237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hidden="1" x14ac:dyDescent="0.2">
      <c r="A3284" s="2">
        <v>2026</v>
      </c>
      <c r="B3284" s="2">
        <v>2</v>
      </c>
      <c r="D3284" s="2" t="s">
        <v>2565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3237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hidden="1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3237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hidden="1" x14ac:dyDescent="0.2">
      <c r="A3286" s="2">
        <v>2026</v>
      </c>
      <c r="B3286" s="2">
        <v>2</v>
      </c>
      <c r="D3286" s="2" t="s">
        <v>2002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3237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hidden="1" x14ac:dyDescent="0.2">
      <c r="A3287" s="2">
        <v>2026</v>
      </c>
      <c r="B3287" s="2">
        <v>2</v>
      </c>
      <c r="D3287" s="2" t="s">
        <v>2586</v>
      </c>
      <c r="E3287" s="2" t="s">
        <v>184</v>
      </c>
      <c r="F3287" s="2" t="s">
        <v>2587</v>
      </c>
      <c r="G3287" s="2">
        <v>515259144</v>
      </c>
      <c r="H3287" s="2" t="s">
        <v>81</v>
      </c>
      <c r="I3287" s="2" t="s">
        <v>157</v>
      </c>
      <c r="J3287" s="2" t="s">
        <v>2588</v>
      </c>
      <c r="K3287" s="2">
        <v>968626165</v>
      </c>
      <c r="L3287" s="2" t="s">
        <v>100</v>
      </c>
      <c r="M3287" s="2" t="s">
        <v>81</v>
      </c>
      <c r="O3287" s="2" t="s">
        <v>2589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3237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hidden="1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3237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hidden="1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3237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hidden="1" x14ac:dyDescent="0.2">
      <c r="A3290" s="2">
        <v>2026</v>
      </c>
      <c r="B3290" s="2">
        <v>2</v>
      </c>
      <c r="D3290" s="2" t="s">
        <v>2575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3237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hidden="1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3237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hidden="1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3237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hidden="1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2581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3237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hidden="1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2568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3237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hidden="1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3237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2566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3237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hidden="1" x14ac:dyDescent="0.2">
      <c r="A3297" s="2">
        <v>2026</v>
      </c>
      <c r="B3297" s="2">
        <v>2</v>
      </c>
      <c r="D3297" s="2" t="s">
        <v>2567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3237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hidden="1" x14ac:dyDescent="0.2">
      <c r="A3298" s="2">
        <v>2026</v>
      </c>
      <c r="B3298" s="2">
        <v>2</v>
      </c>
      <c r="D3298" s="2" t="s">
        <v>2534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hidden="1" x14ac:dyDescent="0.2">
      <c r="A3299" s="2">
        <v>2026</v>
      </c>
      <c r="B3299" s="2">
        <v>2</v>
      </c>
      <c r="D3299" s="2" t="s">
        <v>2622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3392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hidden="1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2623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hidden="1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2624</v>
      </c>
      <c r="P3301" s="2" t="s">
        <v>115</v>
      </c>
      <c r="Q3301" s="2" t="s">
        <v>2233</v>
      </c>
      <c r="R3301" s="2" t="s">
        <v>2234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2266</v>
      </c>
      <c r="G3302" s="2">
        <v>503636002</v>
      </c>
      <c r="I3302" s="2" t="s">
        <v>2625</v>
      </c>
      <c r="M3302" s="2" t="s">
        <v>40</v>
      </c>
      <c r="O3302" s="2" t="s">
        <v>2626</v>
      </c>
      <c r="P3302" s="2" t="s">
        <v>115</v>
      </c>
      <c r="Q3302" s="2" t="s">
        <v>2235</v>
      </c>
      <c r="R3302" s="2" t="s">
        <v>2236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2627</v>
      </c>
      <c r="P3303" s="2" t="s">
        <v>115</v>
      </c>
      <c r="Q3303" s="2" t="s">
        <v>2628</v>
      </c>
      <c r="R3303" s="2" t="s">
        <v>2629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2057</v>
      </c>
      <c r="M3304" s="2" t="s">
        <v>40</v>
      </c>
      <c r="O3304" s="2" t="s">
        <v>2630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2266</v>
      </c>
      <c r="M3305" s="2" t="s">
        <v>40</v>
      </c>
      <c r="O3305" s="2" t="s">
        <v>2626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2453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3331</v>
      </c>
      <c r="D3307" s="2" t="s">
        <v>2158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2631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2621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3237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hidden="1" x14ac:dyDescent="0.2">
      <c r="A3309" s="2">
        <v>2026</v>
      </c>
      <c r="B3309" s="2">
        <v>3</v>
      </c>
      <c r="D3309" s="2" t="s">
        <v>2632</v>
      </c>
      <c r="M3309" s="2" t="s">
        <v>40</v>
      </c>
      <c r="O3309" s="2" t="s">
        <v>2633</v>
      </c>
      <c r="P3309" s="2" t="s">
        <v>115</v>
      </c>
      <c r="Q3309" s="2" t="s">
        <v>2634</v>
      </c>
      <c r="R3309" s="2" t="s">
        <v>2635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hidden="1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hidden="1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2636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hidden="1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hidden="1" x14ac:dyDescent="0.2">
      <c r="A3314" s="2">
        <v>2026</v>
      </c>
      <c r="B3314" s="2">
        <v>2</v>
      </c>
      <c r="D3314" s="2" t="s">
        <v>2632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hidden="1" x14ac:dyDescent="0.2">
      <c r="A3315" s="2">
        <v>2026</v>
      </c>
      <c r="B3315" s="2">
        <v>2</v>
      </c>
      <c r="D3315" s="2" t="s">
        <v>2637</v>
      </c>
      <c r="P3315" s="2" t="s">
        <v>115</v>
      </c>
      <c r="Q3315" s="2" t="s">
        <v>2122</v>
      </c>
      <c r="R3315" s="2" t="s">
        <v>2123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hidden="1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2638</v>
      </c>
      <c r="R3316" s="2" t="s">
        <v>2639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2637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2640</v>
      </c>
      <c r="E3319" s="2" t="s">
        <v>38</v>
      </c>
      <c r="G3319" s="2">
        <v>508857562</v>
      </c>
      <c r="H3319" s="2" t="s">
        <v>110</v>
      </c>
      <c r="I3319" s="2" t="s">
        <v>2641</v>
      </c>
      <c r="J3319" s="2" t="s">
        <v>2642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1892</v>
      </c>
      <c r="M3320" s="2" t="s">
        <v>291</v>
      </c>
      <c r="O3320" s="2" t="s">
        <v>2643</v>
      </c>
      <c r="P3320" s="2" t="s">
        <v>2644</v>
      </c>
      <c r="Q3320" s="2" t="s">
        <v>2645</v>
      </c>
      <c r="R3320" s="2" t="s">
        <v>2646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3237</v>
      </c>
      <c r="AA3320" s="2" t="s">
        <v>72</v>
      </c>
      <c r="AB3320" s="2" t="s">
        <v>120</v>
      </c>
      <c r="AC3320" s="2" t="s">
        <v>2644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2524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2525</v>
      </c>
      <c r="J3321" s="2" t="s">
        <v>2526</v>
      </c>
      <c r="K3321" s="2">
        <v>967032538</v>
      </c>
      <c r="L3321" s="2" t="s">
        <v>399</v>
      </c>
      <c r="M3321" s="2" t="s">
        <v>110</v>
      </c>
      <c r="O3321" s="2" t="s">
        <v>2647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3237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2648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2649</v>
      </c>
      <c r="AC3322" s="2" t="s">
        <v>1331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2648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2649</v>
      </c>
      <c r="AC3323" s="2" t="s">
        <v>1331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hidden="1" x14ac:dyDescent="0.2">
      <c r="A3324" s="2">
        <v>2026</v>
      </c>
      <c r="B3324" s="2">
        <v>3</v>
      </c>
      <c r="D3324" s="2" t="s">
        <v>2650</v>
      </c>
      <c r="E3324" s="2" t="s">
        <v>38</v>
      </c>
      <c r="G3324" s="2">
        <v>506820378</v>
      </c>
      <c r="H3324" s="2" t="s">
        <v>41</v>
      </c>
      <c r="I3324" s="2" t="s">
        <v>2651</v>
      </c>
      <c r="J3324" s="2" t="s">
        <v>2652</v>
      </c>
      <c r="L3324" s="2" t="s">
        <v>419</v>
      </c>
      <c r="M3324" s="2" t="s">
        <v>41</v>
      </c>
      <c r="O3324" s="2" t="s">
        <v>2653</v>
      </c>
      <c r="P3324" s="2" t="s">
        <v>283</v>
      </c>
      <c r="Q3324" s="2" t="s">
        <v>1787</v>
      </c>
      <c r="R3324" s="2" t="s">
        <v>1788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3269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2654</v>
      </c>
      <c r="L3325" s="2" t="s">
        <v>419</v>
      </c>
      <c r="M3325" s="2" t="s">
        <v>41</v>
      </c>
      <c r="O3325" s="2" t="s">
        <v>3268</v>
      </c>
      <c r="P3325" s="2" t="s">
        <v>283</v>
      </c>
      <c r="Q3325" s="2" t="s">
        <v>2655</v>
      </c>
      <c r="R3325" s="2" t="s">
        <v>2656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hidden="1" x14ac:dyDescent="0.2">
      <c r="A3326" s="2">
        <v>2026</v>
      </c>
      <c r="B3326" s="2">
        <v>3</v>
      </c>
      <c r="D3326" s="2" t="s">
        <v>3269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2654</v>
      </c>
      <c r="L3326" s="2" t="s">
        <v>419</v>
      </c>
      <c r="M3326" s="2" t="s">
        <v>41</v>
      </c>
      <c r="O3326" s="2" t="s">
        <v>3268</v>
      </c>
      <c r="P3326" s="2" t="s">
        <v>283</v>
      </c>
      <c r="Q3326" s="2" t="s">
        <v>2657</v>
      </c>
      <c r="R3326" s="2" t="s">
        <v>2658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3269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2654</v>
      </c>
      <c r="L3327" s="2" t="s">
        <v>419</v>
      </c>
      <c r="M3327" s="2" t="s">
        <v>41</v>
      </c>
      <c r="O3327" s="2" t="s">
        <v>3268</v>
      </c>
      <c r="P3327" s="2" t="s">
        <v>283</v>
      </c>
      <c r="Q3327" s="2" t="s">
        <v>2659</v>
      </c>
      <c r="R3327" s="2" t="s">
        <v>2660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hidden="1" x14ac:dyDescent="0.2">
      <c r="A3328" s="2">
        <v>2026</v>
      </c>
      <c r="B3328" s="2">
        <v>3</v>
      </c>
      <c r="C3328" s="2" t="s">
        <v>3438</v>
      </c>
      <c r="D3328" s="2" t="s">
        <v>3435</v>
      </c>
      <c r="E3328" s="2" t="s">
        <v>3436</v>
      </c>
      <c r="F3328" s="2" t="s">
        <v>3437</v>
      </c>
      <c r="L3328" s="2" t="s">
        <v>294</v>
      </c>
      <c r="M3328" s="2" t="s">
        <v>291</v>
      </c>
      <c r="O3328" s="2" t="s">
        <v>2661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hidden="1" x14ac:dyDescent="0.2">
      <c r="A3329" s="2">
        <v>2026</v>
      </c>
      <c r="B3329" s="2">
        <v>3</v>
      </c>
      <c r="C3329" s="2" t="s">
        <v>3438</v>
      </c>
      <c r="D3329" s="2" t="s">
        <v>3435</v>
      </c>
      <c r="E3329" s="2" t="s">
        <v>3436</v>
      </c>
      <c r="F3329" s="2" t="s">
        <v>3437</v>
      </c>
      <c r="L3329" s="2" t="s">
        <v>294</v>
      </c>
      <c r="M3329" s="2" t="s">
        <v>291</v>
      </c>
      <c r="O3329" s="2" t="s">
        <v>2661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3393</v>
      </c>
      <c r="AC3329" s="2" t="s">
        <v>1331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C3330" s="2" t="s">
        <v>3438</v>
      </c>
      <c r="D3330" s="2" t="s">
        <v>3435</v>
      </c>
      <c r="E3330" s="2" t="s">
        <v>3436</v>
      </c>
      <c r="F3330" s="2" t="s">
        <v>3437</v>
      </c>
      <c r="L3330" s="2" t="s">
        <v>294</v>
      </c>
      <c r="M3330" s="2" t="s">
        <v>291</v>
      </c>
      <c r="O3330" s="2" t="s">
        <v>2661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2662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2663</v>
      </c>
      <c r="J3331" s="2" t="s">
        <v>2664</v>
      </c>
      <c r="K3331" s="2">
        <v>917531684</v>
      </c>
      <c r="L3331" s="2" t="s">
        <v>178</v>
      </c>
      <c r="M3331" s="2" t="s">
        <v>40</v>
      </c>
      <c r="O3331" s="2" t="s">
        <v>2665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2648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2666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2667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2668</v>
      </c>
      <c r="J3334" s="2" t="s">
        <v>2669</v>
      </c>
      <c r="K3334" s="2">
        <v>934367883</v>
      </c>
      <c r="L3334" s="2" t="s">
        <v>419</v>
      </c>
      <c r="O3334" s="2" t="s">
        <v>2670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2662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2663</v>
      </c>
      <c r="J3335" s="2" t="s">
        <v>2664</v>
      </c>
      <c r="K3335" s="2">
        <v>917531684</v>
      </c>
      <c r="L3335" s="2" t="s">
        <v>178</v>
      </c>
      <c r="M3335" s="2" t="s">
        <v>40</v>
      </c>
      <c r="O3335" s="2" t="s">
        <v>2665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hidden="1" x14ac:dyDescent="0.2">
      <c r="A3336" s="2">
        <v>2026</v>
      </c>
      <c r="B3336" s="2">
        <v>3</v>
      </c>
      <c r="D3336" s="2" t="s">
        <v>2648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hidden="1" x14ac:dyDescent="0.2">
      <c r="A3337" s="2">
        <v>2026</v>
      </c>
      <c r="B3337" s="2">
        <v>3</v>
      </c>
      <c r="C3337" s="2" t="s">
        <v>3438</v>
      </c>
      <c r="D3337" s="2" t="s">
        <v>3435</v>
      </c>
      <c r="E3337" s="2" t="s">
        <v>3436</v>
      </c>
      <c r="F3337" s="2" t="s">
        <v>3437</v>
      </c>
      <c r="L3337" s="2" t="s">
        <v>294</v>
      </c>
      <c r="M3337" s="2" t="s">
        <v>291</v>
      </c>
      <c r="O3337" s="2" t="s">
        <v>2661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2666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2667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2668</v>
      </c>
      <c r="J3339" s="2" t="s">
        <v>2669</v>
      </c>
      <c r="K3339" s="2">
        <v>934367883</v>
      </c>
      <c r="L3339" s="2" t="s">
        <v>419</v>
      </c>
      <c r="O3339" s="2" t="s">
        <v>2670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hidden="1" x14ac:dyDescent="0.2">
      <c r="A3340" s="2">
        <v>2026</v>
      </c>
      <c r="B3340" s="2">
        <v>3</v>
      </c>
      <c r="D3340" s="2" t="s">
        <v>2662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2663</v>
      </c>
      <c r="J3340" s="2" t="s">
        <v>2664</v>
      </c>
      <c r="K3340" s="2">
        <v>917531684</v>
      </c>
      <c r="L3340" s="2" t="s">
        <v>178</v>
      </c>
      <c r="M3340" s="2" t="s">
        <v>40</v>
      </c>
      <c r="O3340" s="2" t="s">
        <v>2665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hidden="1" x14ac:dyDescent="0.2">
      <c r="A3341" s="2">
        <v>2026</v>
      </c>
      <c r="B3341" s="2">
        <v>3</v>
      </c>
      <c r="D3341" s="2" t="s">
        <v>2648</v>
      </c>
      <c r="E3341" s="2" t="s">
        <v>754</v>
      </c>
      <c r="G3341" s="2">
        <v>504481991</v>
      </c>
      <c r="H3341" s="2" t="s">
        <v>40</v>
      </c>
      <c r="I3341" s="2" t="s">
        <v>2671</v>
      </c>
      <c r="J3341" s="2" t="s">
        <v>2672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hidden="1" x14ac:dyDescent="0.2">
      <c r="A3342" s="2">
        <v>2026</v>
      </c>
      <c r="B3342" s="2">
        <v>3</v>
      </c>
      <c r="D3342" s="2" t="s">
        <v>2666</v>
      </c>
      <c r="E3342" s="2" t="s">
        <v>754</v>
      </c>
      <c r="G3342" s="2">
        <v>509674658</v>
      </c>
      <c r="H3342" s="2" t="s">
        <v>40</v>
      </c>
      <c r="I3342" s="2" t="s">
        <v>2673</v>
      </c>
      <c r="J3342" s="2" t="s">
        <v>2674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hidden="1" x14ac:dyDescent="0.2">
      <c r="A3343" s="2">
        <v>2026</v>
      </c>
      <c r="B3343" s="2">
        <v>3</v>
      </c>
      <c r="D3343" s="2" t="s">
        <v>2667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2668</v>
      </c>
      <c r="J3343" s="2" t="s">
        <v>2669</v>
      </c>
      <c r="K3343" s="2">
        <v>934367883</v>
      </c>
      <c r="L3343" s="2" t="s">
        <v>419</v>
      </c>
      <c r="O3343" s="2" t="s">
        <v>2670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hidden="1" x14ac:dyDescent="0.2">
      <c r="A3344" s="2">
        <v>2026</v>
      </c>
      <c r="B3344" s="2">
        <v>3</v>
      </c>
      <c r="D3344" s="2" t="s">
        <v>1892</v>
      </c>
      <c r="P3344" s="2" t="s">
        <v>283</v>
      </c>
      <c r="Q3344" s="2" t="s">
        <v>1958</v>
      </c>
      <c r="R3344" s="2" t="s">
        <v>1959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3237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2675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3237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2676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3237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2677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hidden="1" x14ac:dyDescent="0.2">
      <c r="A3348" s="2">
        <v>2026</v>
      </c>
      <c r="B3348" s="2">
        <v>3</v>
      </c>
      <c r="D3348" s="2" t="s">
        <v>3269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2654</v>
      </c>
      <c r="L3348" s="2" t="s">
        <v>419</v>
      </c>
      <c r="M3348" s="2" t="s">
        <v>41</v>
      </c>
      <c r="O3348" s="2" t="s">
        <v>3268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2677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3237</v>
      </c>
      <c r="AA3349" s="2" t="s">
        <v>46</v>
      </c>
      <c r="AB3349" s="2" t="s">
        <v>61</v>
      </c>
      <c r="AC3349" s="2" t="s">
        <v>3343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3237</v>
      </c>
      <c r="AA3350" s="2" t="s">
        <v>46</v>
      </c>
      <c r="AB3350" s="2" t="s">
        <v>61</v>
      </c>
      <c r="AC3350" s="2" t="s">
        <v>3343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3237</v>
      </c>
      <c r="AA3351" s="2" t="s">
        <v>46</v>
      </c>
      <c r="AB3351" s="2" t="s">
        <v>61</v>
      </c>
      <c r="AC3351" s="2" t="s">
        <v>3343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3237</v>
      </c>
      <c r="AA3352" s="2" t="s">
        <v>46</v>
      </c>
      <c r="AB3352" s="2" t="s">
        <v>61</v>
      </c>
      <c r="AC3352" s="2" t="s">
        <v>3343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2677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3237</v>
      </c>
      <c r="AA3353" s="2" t="s">
        <v>46</v>
      </c>
      <c r="AB3353" s="2" t="s">
        <v>61</v>
      </c>
      <c r="AC3353" s="2" t="s">
        <v>3343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3237</v>
      </c>
      <c r="AA3354" s="2" t="s">
        <v>46</v>
      </c>
      <c r="AB3354" s="2" t="s">
        <v>61</v>
      </c>
      <c r="AC3354" s="2" t="s">
        <v>3343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3237</v>
      </c>
      <c r="AA3355" s="2" t="s">
        <v>46</v>
      </c>
      <c r="AB3355" s="2" t="s">
        <v>61</v>
      </c>
      <c r="AC3355" s="2" t="s">
        <v>3343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3237</v>
      </c>
      <c r="AA3356" s="2" t="s">
        <v>46</v>
      </c>
      <c r="AB3356" s="2" t="s">
        <v>61</v>
      </c>
      <c r="AC3356" s="2" t="s">
        <v>3343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2524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2525</v>
      </c>
      <c r="J3357" s="2" t="s">
        <v>2526</v>
      </c>
      <c r="K3357" s="2">
        <v>967032538</v>
      </c>
      <c r="L3357" s="2" t="s">
        <v>399</v>
      </c>
      <c r="M3357" s="2" t="s">
        <v>110</v>
      </c>
      <c r="O3357" s="2" t="s">
        <v>2647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3237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3237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2524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2525</v>
      </c>
      <c r="J3359" s="2" t="s">
        <v>2526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3237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1011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3237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2678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3237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2621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3237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2679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3237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2680</v>
      </c>
      <c r="J3364" s="2" t="s">
        <v>2681</v>
      </c>
      <c r="K3364" s="2">
        <v>962939747</v>
      </c>
      <c r="L3364" s="2" t="s">
        <v>100</v>
      </c>
      <c r="M3364" s="2" t="s">
        <v>41</v>
      </c>
      <c r="O3364" s="2" t="s">
        <v>2682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3237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hidden="1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2683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3237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2684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3237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hidden="1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2685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3237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3237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2685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3237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3186</v>
      </c>
      <c r="K3370" s="2">
        <v>911577458</v>
      </c>
      <c r="L3370" s="2" t="s">
        <v>178</v>
      </c>
      <c r="M3370" s="2" t="s">
        <v>41</v>
      </c>
      <c r="O3370" s="2" t="s">
        <v>3190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3237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3237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2524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2525</v>
      </c>
      <c r="J3372" s="2" t="s">
        <v>2526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3237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2686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3237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2683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3237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2687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3237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hidden="1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2687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3237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hidden="1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3237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hidden="1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3237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hidden="1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2687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3237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hidden="1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2687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3237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hidden="1" x14ac:dyDescent="0.2">
      <c r="A3381" s="2">
        <v>2026</v>
      </c>
      <c r="B3381" s="2">
        <v>3</v>
      </c>
      <c r="D3381" s="2" t="s">
        <v>2524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2525</v>
      </c>
      <c r="J3381" s="2" t="s">
        <v>2526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3237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2687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3237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2402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3237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2687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3237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2524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2525</v>
      </c>
      <c r="J3385" s="2" t="s">
        <v>2526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3237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hidden="1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2402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3237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hidden="1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2688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3237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hidden="1" x14ac:dyDescent="0.2">
      <c r="A3388" s="2">
        <v>2026</v>
      </c>
      <c r="B3388" s="2">
        <v>3</v>
      </c>
      <c r="D3388" s="2" t="s">
        <v>2524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2525</v>
      </c>
      <c r="J3388" s="2" t="s">
        <v>2526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3237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hidden="1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2402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3237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hidden="1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2402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3237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hidden="1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2688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3237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hidden="1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2402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3237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hidden="1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2687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3237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hidden="1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3237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hidden="1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2402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3237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hidden="1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2402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3237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hidden="1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2402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3237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hidden="1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2402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3237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3237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2689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3237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2690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3237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1011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3237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3237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2678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3237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2621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3237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hidden="1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3227</v>
      </c>
      <c r="J3406" s="2" t="s">
        <v>3226</v>
      </c>
      <c r="K3406" s="2">
        <v>913814877</v>
      </c>
      <c r="L3406" s="2" t="s">
        <v>202</v>
      </c>
      <c r="M3406" s="2" t="s">
        <v>81</v>
      </c>
      <c r="O3406" s="2" t="s">
        <v>3224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3237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3237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2679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3237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2691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3237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3237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2692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3237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2684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3237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2693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3237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2694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3237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2695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3237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2524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2525</v>
      </c>
      <c r="J3416" s="2" t="s">
        <v>2526</v>
      </c>
      <c r="K3416" s="2">
        <v>967032538</v>
      </c>
      <c r="L3416" s="2" t="s">
        <v>399</v>
      </c>
      <c r="M3416" s="2" t="s">
        <v>110</v>
      </c>
      <c r="O3416" s="2" t="s">
        <v>2647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3237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3237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2690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3237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2524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2525</v>
      </c>
      <c r="J3419" s="2" t="s">
        <v>2526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3237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1011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3237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3237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2621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3237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3237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3237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3237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2683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3237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3237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2690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3237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hidden="1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3237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hidden="1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3237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hidden="1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3237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hidden="1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3143</v>
      </c>
      <c r="L3432" s="2" t="s">
        <v>178</v>
      </c>
      <c r="M3432" s="2" t="s">
        <v>41</v>
      </c>
      <c r="O3432" s="2" t="s">
        <v>3151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3237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hidden="1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3237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2696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3237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3237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3237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3237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hidden="1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2683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3237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hidden="1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2697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3237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2524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2525</v>
      </c>
      <c r="J3440" s="2" t="s">
        <v>2526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3237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1011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3237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2685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3237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hidden="1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3237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2698</v>
      </c>
      <c r="M3444" s="2" t="s">
        <v>40</v>
      </c>
      <c r="P3444" s="2" t="s">
        <v>2699</v>
      </c>
      <c r="Q3444" s="2" t="s">
        <v>2700</v>
      </c>
      <c r="R3444" s="2" t="s">
        <v>2701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3237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2702</v>
      </c>
      <c r="P3445" s="2" t="s">
        <v>3241</v>
      </c>
      <c r="Q3445" s="2" t="s">
        <v>2703</v>
      </c>
      <c r="R3445" s="2" t="s">
        <v>2704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2705</v>
      </c>
      <c r="AB3445" s="2" t="s">
        <v>2706</v>
      </c>
      <c r="AC3445" s="2" t="s">
        <v>3241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1892</v>
      </c>
      <c r="P3446" s="2" t="s">
        <v>3241</v>
      </c>
      <c r="Q3446" s="2" t="s">
        <v>1794</v>
      </c>
      <c r="R3446" s="2" t="s">
        <v>1795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3241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2707</v>
      </c>
      <c r="P3447" s="2" t="s">
        <v>3241</v>
      </c>
      <c r="Q3447" s="2" t="s">
        <v>2708</v>
      </c>
      <c r="R3447" s="2" t="s">
        <v>2709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3241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2707</v>
      </c>
      <c r="P3448" s="2" t="s">
        <v>3241</v>
      </c>
      <c r="Q3448" s="2" t="s">
        <v>1953</v>
      </c>
      <c r="R3448" s="2" t="s">
        <v>1954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3241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2710</v>
      </c>
      <c r="R3449" s="2" t="s">
        <v>2711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3237</v>
      </c>
      <c r="AC3449" s="2" t="s">
        <v>3242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hidden="1" x14ac:dyDescent="0.2">
      <c r="A3450" s="2">
        <v>2026</v>
      </c>
      <c r="B3450" s="2">
        <v>3</v>
      </c>
      <c r="D3450" s="2" t="s">
        <v>1963</v>
      </c>
      <c r="M3450" s="2" t="s">
        <v>40</v>
      </c>
      <c r="P3450" s="2" t="s">
        <v>69</v>
      </c>
      <c r="Q3450" s="2" t="s">
        <v>2712</v>
      </c>
      <c r="R3450" s="2" t="s">
        <v>2713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3237</v>
      </c>
      <c r="AC3450" s="2" t="s">
        <v>3242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hidden="1" x14ac:dyDescent="0.2">
      <c r="A3451" s="2">
        <v>2026</v>
      </c>
      <c r="B3451" s="2">
        <v>3</v>
      </c>
      <c r="D3451" s="2" t="s">
        <v>1703</v>
      </c>
      <c r="P3451" s="2" t="s">
        <v>69</v>
      </c>
      <c r="Q3451" s="2" t="s">
        <v>2714</v>
      </c>
      <c r="R3451" s="2" t="s">
        <v>2715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3237</v>
      </c>
      <c r="AC3451" s="2" t="s">
        <v>3242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hidden="1" x14ac:dyDescent="0.2">
      <c r="A3452" s="2">
        <v>2026</v>
      </c>
      <c r="B3452" s="2">
        <v>3</v>
      </c>
      <c r="D3452" s="2" t="s">
        <v>2640</v>
      </c>
      <c r="E3452" s="2" t="s">
        <v>38</v>
      </c>
      <c r="G3452" s="2">
        <v>508857562</v>
      </c>
      <c r="H3452" s="2" t="s">
        <v>110</v>
      </c>
      <c r="I3452" s="2" t="s">
        <v>2641</v>
      </c>
      <c r="J3452" s="2" t="s">
        <v>2642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3237</v>
      </c>
      <c r="AA3452" s="2" t="s">
        <v>72</v>
      </c>
      <c r="AB3452" s="2" t="s">
        <v>69</v>
      </c>
      <c r="AC3452" s="2" t="s">
        <v>3242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1892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3242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2716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3237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3237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2717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3237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2718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3237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2719</v>
      </c>
      <c r="J3458" s="2" t="s">
        <v>2720</v>
      </c>
      <c r="K3458" s="2">
        <v>935047029</v>
      </c>
      <c r="L3458" s="2" t="s">
        <v>447</v>
      </c>
      <c r="M3458" s="2" t="s">
        <v>81</v>
      </c>
      <c r="O3458" s="2" t="s">
        <v>2721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3237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3331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3237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3237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2722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2723</v>
      </c>
      <c r="J3461" s="2" t="s">
        <v>2724</v>
      </c>
      <c r="K3461" s="2">
        <v>962576243</v>
      </c>
      <c r="L3461" s="2" t="s">
        <v>447</v>
      </c>
      <c r="M3461" s="2" t="s">
        <v>81</v>
      </c>
      <c r="O3461" s="2" t="s">
        <v>2725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3237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2419</v>
      </c>
      <c r="J3462" s="2" t="s">
        <v>2420</v>
      </c>
      <c r="L3462" s="2" t="s">
        <v>202</v>
      </c>
      <c r="M3462" s="2" t="s">
        <v>81</v>
      </c>
      <c r="O3462" s="2" t="s">
        <v>2726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3237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2727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3237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3237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2728</v>
      </c>
      <c r="P3465" s="2" t="s">
        <v>73</v>
      </c>
      <c r="Q3465" s="2" t="s">
        <v>2729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3237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2402</v>
      </c>
      <c r="L3466" s="2" t="s">
        <v>178</v>
      </c>
      <c r="M3466" s="2" t="s">
        <v>41</v>
      </c>
      <c r="P3466" s="2" t="s">
        <v>73</v>
      </c>
      <c r="Q3466" s="2" t="s">
        <v>2729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3237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3237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2730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3237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3237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2731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3237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2732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3237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2733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3237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2567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3237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3237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3237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2734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3237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2735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3237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3237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2736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3237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2737</v>
      </c>
      <c r="P3480" s="2" t="s">
        <v>73</v>
      </c>
      <c r="Q3480" s="2" t="s">
        <v>2738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3237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3237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3143</v>
      </c>
      <c r="L3482" s="2" t="s">
        <v>178</v>
      </c>
      <c r="M3482" s="2" t="s">
        <v>41</v>
      </c>
      <c r="O3482" s="2" t="s">
        <v>2739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3237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2567</v>
      </c>
      <c r="M3483" s="2" t="s">
        <v>81</v>
      </c>
      <c r="O3483" s="2" t="s">
        <v>2740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3237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2741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3237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2486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2742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3237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2743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3237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3237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2151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2744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3237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2745</v>
      </c>
      <c r="R3489" s="2" t="s">
        <v>2746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3237</v>
      </c>
      <c r="AA3489" s="2" t="s">
        <v>76</v>
      </c>
      <c r="AB3489" s="2" t="s">
        <v>77</v>
      </c>
      <c r="AC3489" s="2" t="s">
        <v>1041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3164</v>
      </c>
      <c r="L3490" s="2" t="s">
        <v>100</v>
      </c>
      <c r="M3490" s="2" t="s">
        <v>81</v>
      </c>
      <c r="O3490" s="2" t="s">
        <v>3163</v>
      </c>
      <c r="P3490" s="2" t="s">
        <v>1041</v>
      </c>
      <c r="Q3490" s="2" t="s">
        <v>1841</v>
      </c>
      <c r="R3490" s="2" t="s">
        <v>1842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3237</v>
      </c>
      <c r="AA3490" s="2" t="s">
        <v>76</v>
      </c>
      <c r="AB3490" s="2" t="s">
        <v>77</v>
      </c>
      <c r="AC3490" s="2" t="s">
        <v>1041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2747</v>
      </c>
      <c r="R3491" s="2" t="s">
        <v>2748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3237</v>
      </c>
      <c r="AA3491" s="2" t="s">
        <v>76</v>
      </c>
      <c r="AB3491" s="2" t="s">
        <v>77</v>
      </c>
      <c r="AC3491" s="2" t="s">
        <v>1041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2749</v>
      </c>
      <c r="P3492" s="2" t="s">
        <v>1041</v>
      </c>
      <c r="Q3492" s="2" t="s">
        <v>1862</v>
      </c>
      <c r="R3492" s="2" t="s">
        <v>1863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3237</v>
      </c>
      <c r="AA3492" s="2" t="s">
        <v>76</v>
      </c>
      <c r="AB3492" s="2" t="s">
        <v>77</v>
      </c>
      <c r="AC3492" s="2" t="s">
        <v>1041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2565</v>
      </c>
      <c r="M3493" s="2" t="s">
        <v>81</v>
      </c>
      <c r="O3493" s="2" t="s">
        <v>3170</v>
      </c>
      <c r="P3493" s="2" t="s">
        <v>1041</v>
      </c>
      <c r="Q3493" s="2" t="s">
        <v>2750</v>
      </c>
      <c r="R3493" s="2" t="s">
        <v>2751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3237</v>
      </c>
      <c r="AA3493" s="2" t="s">
        <v>76</v>
      </c>
      <c r="AB3493" s="2" t="s">
        <v>77</v>
      </c>
      <c r="AC3493" s="2" t="s">
        <v>1041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2524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2525</v>
      </c>
      <c r="J3494" s="2" t="s">
        <v>2526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3237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2683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3237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hidden="1" x14ac:dyDescent="0.2">
      <c r="A3496" s="2">
        <v>2026</v>
      </c>
      <c r="B3496" s="2">
        <v>3</v>
      </c>
      <c r="D3496" s="2" t="s">
        <v>2524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2525</v>
      </c>
      <c r="J3496" s="2" t="s">
        <v>2526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3237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3237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hidden="1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3237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2702</v>
      </c>
      <c r="P3499" s="2" t="s">
        <v>85</v>
      </c>
      <c r="Q3499" s="2" t="s">
        <v>2752</v>
      </c>
      <c r="R3499" s="2" t="s">
        <v>2753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3237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2707</v>
      </c>
      <c r="P3500" s="2" t="s">
        <v>1197</v>
      </c>
      <c r="Q3500" s="2" t="s">
        <v>1719</v>
      </c>
      <c r="R3500" s="2" t="s">
        <v>1720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2754</v>
      </c>
      <c r="AB3500" s="2" t="s">
        <v>2755</v>
      </c>
      <c r="AC3500" s="2" t="s">
        <v>1197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2707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2756</v>
      </c>
      <c r="M3502" s="2" t="s">
        <v>41</v>
      </c>
      <c r="P3502" s="2" t="s">
        <v>1041</v>
      </c>
      <c r="Q3502" s="2" t="s">
        <v>2757</v>
      </c>
      <c r="R3502" s="2" t="s">
        <v>2758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3237</v>
      </c>
      <c r="AA3502" s="2" t="s">
        <v>1044</v>
      </c>
      <c r="AB3502" s="2" t="s">
        <v>2759</v>
      </c>
      <c r="AC3502" s="2" t="s">
        <v>1041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2760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2761</v>
      </c>
      <c r="J3503" s="2" t="s">
        <v>2762</v>
      </c>
      <c r="K3503" s="2">
        <v>962332957</v>
      </c>
      <c r="L3503" s="2" t="s">
        <v>113</v>
      </c>
      <c r="M3503" s="2" t="s">
        <v>110</v>
      </c>
      <c r="O3503" s="2" t="s">
        <v>2763</v>
      </c>
      <c r="P3503" s="2" t="s">
        <v>40</v>
      </c>
      <c r="Q3503" s="2" t="s">
        <v>2764</v>
      </c>
      <c r="R3503" s="2" t="s">
        <v>2765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30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3252.03</v>
      </c>
      <c r="AL3503" s="5">
        <f t="shared" ref="AL3503:AL3566" si="431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2707</v>
      </c>
      <c r="P3504" s="2" t="s">
        <v>40</v>
      </c>
      <c r="Q3504" s="2" t="s">
        <v>2125</v>
      </c>
      <c r="R3504" s="2" t="s">
        <v>2126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30"/>
        <v>1</v>
      </c>
      <c r="Z3504" s="2" t="s">
        <v>105</v>
      </c>
      <c r="AA3504" s="2" t="s">
        <v>120</v>
      </c>
      <c r="AB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1000</v>
      </c>
      <c r="AL3504" s="5">
        <f t="shared" si="431"/>
        <v>1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2707</v>
      </c>
      <c r="P3505" s="2" t="s">
        <v>40</v>
      </c>
      <c r="Q3505" s="2" t="s">
        <v>2766</v>
      </c>
      <c r="R3505" s="2" t="s">
        <v>2767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30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1500</v>
      </c>
      <c r="AL3505" s="5">
        <f t="shared" si="431"/>
        <v>1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2707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30"/>
        <v>1</v>
      </c>
      <c r="Z3506" s="2" t="s">
        <v>105</v>
      </c>
      <c r="AA3506" s="2" t="s">
        <v>617</v>
      </c>
      <c r="AB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2000</v>
      </c>
      <c r="AL3506" s="5">
        <f t="shared" si="431"/>
        <v>1</v>
      </c>
    </row>
    <row r="3507" spans="1:38" hidden="1" x14ac:dyDescent="0.2">
      <c r="A3507" s="2">
        <v>2026</v>
      </c>
      <c r="B3507" s="2">
        <v>3</v>
      </c>
      <c r="D3507" s="2" t="s">
        <v>1915</v>
      </c>
      <c r="P3507" s="2" t="s">
        <v>40</v>
      </c>
      <c r="Q3507" s="2" t="s">
        <v>2768</v>
      </c>
      <c r="R3507" s="2" t="s">
        <v>2769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30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2000</v>
      </c>
      <c r="AL3507" s="5">
        <f t="shared" si="431"/>
        <v>1</v>
      </c>
    </row>
    <row r="3508" spans="1:38" hidden="1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2770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hidden="1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F3509" s="2">
        <f t="shared" si="426"/>
        <v>0</v>
      </c>
      <c r="AG3509" s="2">
        <f t="shared" ref="AG3509:AG3519" si="432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hidden="1" x14ac:dyDescent="0.2">
      <c r="A3510" s="2">
        <v>2026</v>
      </c>
      <c r="B3510" s="2">
        <v>2</v>
      </c>
      <c r="D3510" s="2" t="s">
        <v>2771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F3510" s="2">
        <f t="shared" si="426"/>
        <v>0</v>
      </c>
      <c r="AG3510" s="2">
        <f t="shared" si="432"/>
        <v>51.6</v>
      </c>
      <c r="AJ3510" s="2">
        <f t="shared" si="427"/>
        <v>0</v>
      </c>
      <c r="AK3510" s="2">
        <f t="shared" ref="AK3510:AK3573" si="433">T3510-W3510</f>
        <v>77.400000000000006</v>
      </c>
      <c r="AL3510" s="5">
        <f t="shared" si="431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2771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F3511" s="2">
        <f t="shared" si="426"/>
        <v>0</v>
      </c>
      <c r="AG3511" s="2">
        <f t="shared" si="432"/>
        <v>27.5</v>
      </c>
      <c r="AJ3511" s="2">
        <f t="shared" si="427"/>
        <v>0</v>
      </c>
      <c r="AK3511" s="2">
        <f t="shared" si="433"/>
        <v>27.5</v>
      </c>
      <c r="AL3511" s="5">
        <f t="shared" si="431"/>
        <v>0.5</v>
      </c>
    </row>
    <row r="3512" spans="1:38" hidden="1" x14ac:dyDescent="0.2">
      <c r="A3512" s="2">
        <v>2026</v>
      </c>
      <c r="B3512" s="2">
        <v>1</v>
      </c>
      <c r="D3512" s="2" t="s">
        <v>2772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F3512" s="2">
        <f t="shared" si="426"/>
        <v>0</v>
      </c>
      <c r="AG3512" s="2">
        <f t="shared" si="432"/>
        <v>106.80000000000001</v>
      </c>
      <c r="AJ3512" s="2">
        <f t="shared" si="427"/>
        <v>0</v>
      </c>
      <c r="AK3512" s="2">
        <f t="shared" si="433"/>
        <v>160.19999999999999</v>
      </c>
      <c r="AL3512" s="5">
        <f t="shared" si="431"/>
        <v>0.6</v>
      </c>
    </row>
    <row r="3513" spans="1:38" hidden="1" x14ac:dyDescent="0.2">
      <c r="A3513" s="2">
        <v>2026</v>
      </c>
      <c r="B3513" s="2">
        <v>1</v>
      </c>
      <c r="D3513" s="2" t="s">
        <v>2772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F3513" s="2">
        <f t="shared" si="426"/>
        <v>0</v>
      </c>
      <c r="AG3513" s="2">
        <f t="shared" si="432"/>
        <v>37.5</v>
      </c>
      <c r="AJ3513" s="2">
        <f t="shared" si="427"/>
        <v>0</v>
      </c>
      <c r="AK3513" s="2">
        <f t="shared" si="433"/>
        <v>37.5</v>
      </c>
      <c r="AL3513" s="5">
        <f t="shared" si="431"/>
        <v>0.5</v>
      </c>
    </row>
    <row r="3514" spans="1:38" hidden="1" x14ac:dyDescent="0.2">
      <c r="A3514" s="2">
        <v>2026</v>
      </c>
      <c r="B3514" s="2">
        <v>4</v>
      </c>
      <c r="D3514" s="2" t="s">
        <v>2773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F3514" s="2">
        <f t="shared" si="426"/>
        <v>0</v>
      </c>
      <c r="AG3514" s="2">
        <f t="shared" si="432"/>
        <v>72</v>
      </c>
      <c r="AJ3514" s="2">
        <f t="shared" si="427"/>
        <v>0</v>
      </c>
      <c r="AK3514" s="2">
        <f t="shared" si="433"/>
        <v>108</v>
      </c>
      <c r="AL3514" s="5">
        <f t="shared" si="431"/>
        <v>0.6</v>
      </c>
    </row>
    <row r="3515" spans="1:38" hidden="1" x14ac:dyDescent="0.2">
      <c r="A3515" s="2">
        <v>2026</v>
      </c>
      <c r="B3515" s="2">
        <v>4</v>
      </c>
      <c r="D3515" s="2" t="s">
        <v>2773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F3515" s="2">
        <f t="shared" si="426"/>
        <v>0</v>
      </c>
      <c r="AG3515" s="2">
        <f t="shared" si="432"/>
        <v>20.625</v>
      </c>
      <c r="AJ3515" s="2">
        <f t="shared" si="427"/>
        <v>0</v>
      </c>
      <c r="AK3515" s="2">
        <f t="shared" si="433"/>
        <v>20.625</v>
      </c>
      <c r="AL3515" s="5">
        <f t="shared" si="431"/>
        <v>0.5</v>
      </c>
    </row>
    <row r="3516" spans="1:38" hidden="1" x14ac:dyDescent="0.2">
      <c r="A3516" s="2">
        <v>2026</v>
      </c>
      <c r="B3516" s="2">
        <v>4</v>
      </c>
      <c r="D3516" s="2" t="s">
        <v>2774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F3516" s="2">
        <f t="shared" si="426"/>
        <v>0</v>
      </c>
      <c r="AG3516" s="2">
        <f t="shared" si="432"/>
        <v>48</v>
      </c>
      <c r="AJ3516" s="2">
        <f t="shared" si="427"/>
        <v>0</v>
      </c>
      <c r="AK3516" s="2">
        <f t="shared" si="433"/>
        <v>72</v>
      </c>
      <c r="AL3516" s="5">
        <f t="shared" si="431"/>
        <v>0.6</v>
      </c>
    </row>
    <row r="3517" spans="1:38" hidden="1" x14ac:dyDescent="0.2">
      <c r="A3517" s="2">
        <v>2026</v>
      </c>
      <c r="B3517" s="2">
        <v>4</v>
      </c>
      <c r="D3517" s="2" t="s">
        <v>2774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F3517" s="2">
        <f t="shared" si="426"/>
        <v>0</v>
      </c>
      <c r="AG3517" s="2">
        <f t="shared" si="432"/>
        <v>27.5</v>
      </c>
      <c r="AJ3517" s="2">
        <f t="shared" si="427"/>
        <v>0</v>
      </c>
      <c r="AK3517" s="2">
        <f t="shared" si="433"/>
        <v>27.5</v>
      </c>
      <c r="AL3517" s="5">
        <f t="shared" si="431"/>
        <v>0.5</v>
      </c>
    </row>
    <row r="3518" spans="1:38" hidden="1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3227</v>
      </c>
      <c r="J3518" s="2" t="s">
        <v>3226</v>
      </c>
      <c r="K3518" s="2">
        <v>913814877</v>
      </c>
      <c r="L3518" s="2" t="s">
        <v>202</v>
      </c>
      <c r="M3518" s="2" t="s">
        <v>40</v>
      </c>
      <c r="O3518" s="2" t="s">
        <v>3222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F3518" s="2">
        <f t="shared" si="426"/>
        <v>0</v>
      </c>
      <c r="AG3518" s="2">
        <f t="shared" si="432"/>
        <v>22</v>
      </c>
      <c r="AJ3518" s="2">
        <f t="shared" si="427"/>
        <v>0</v>
      </c>
      <c r="AK3518" s="2">
        <f t="shared" si="433"/>
        <v>33</v>
      </c>
      <c r="AL3518" s="5">
        <f t="shared" si="431"/>
        <v>0.6</v>
      </c>
    </row>
    <row r="3519" spans="1:38" hidden="1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3227</v>
      </c>
      <c r="J3519" s="2" t="s">
        <v>3226</v>
      </c>
      <c r="K3519" s="2">
        <v>913814877</v>
      </c>
      <c r="L3519" s="2" t="s">
        <v>202</v>
      </c>
      <c r="M3519" s="2" t="s">
        <v>40</v>
      </c>
      <c r="O3519" s="2" t="s">
        <v>3222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32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2775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2776</v>
      </c>
      <c r="L3520" s="2" t="s">
        <v>134</v>
      </c>
      <c r="M3520" s="2" t="s">
        <v>81</v>
      </c>
      <c r="O3520" s="2" t="s">
        <v>2777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3237</v>
      </c>
      <c r="AA3520" s="2" t="s">
        <v>1044</v>
      </c>
      <c r="AB3520" s="2" t="s">
        <v>1274</v>
      </c>
      <c r="AC3520" s="2" t="s">
        <v>1041</v>
      </c>
      <c r="AF3520" s="2">
        <f t="shared" si="426"/>
        <v>0</v>
      </c>
      <c r="AJ3520" s="2">
        <f t="shared" si="427"/>
        <v>0</v>
      </c>
      <c r="AK3520" s="2">
        <f t="shared" si="433"/>
        <v>275.83999999999997</v>
      </c>
      <c r="AL3520" s="5">
        <f t="shared" si="431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2778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F3521" s="2">
        <f t="shared" si="426"/>
        <v>0</v>
      </c>
      <c r="AG3521" s="2">
        <f t="shared" ref="AG3521:AG3532" si="434">W3521</f>
        <v>24</v>
      </c>
      <c r="AJ3521" s="2">
        <f t="shared" si="427"/>
        <v>0</v>
      </c>
      <c r="AK3521" s="2">
        <f t="shared" si="433"/>
        <v>36</v>
      </c>
      <c r="AL3521" s="5">
        <f t="shared" si="431"/>
        <v>0.6</v>
      </c>
    </row>
    <row r="3522" spans="1:38" hidden="1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2778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5">T3522*50%</f>
        <v>55</v>
      </c>
      <c r="X3522" s="5">
        <f t="shared" si="430"/>
        <v>0.5</v>
      </c>
      <c r="Z3522" s="2" t="s">
        <v>118</v>
      </c>
      <c r="AA3522" s="2" t="s">
        <v>191</v>
      </c>
      <c r="AF3522" s="2">
        <f t="shared" si="426"/>
        <v>0</v>
      </c>
      <c r="AG3522" s="2">
        <f t="shared" si="434"/>
        <v>55</v>
      </c>
      <c r="AJ3522" s="2">
        <f t="shared" si="427"/>
        <v>0</v>
      </c>
      <c r="AK3522" s="2">
        <f t="shared" si="433"/>
        <v>55</v>
      </c>
      <c r="AL3522" s="5">
        <f t="shared" si="431"/>
        <v>0.5</v>
      </c>
    </row>
    <row r="3523" spans="1:38" hidden="1" x14ac:dyDescent="0.2">
      <c r="A3523" s="2">
        <v>2026</v>
      </c>
      <c r="B3523" s="2">
        <v>3</v>
      </c>
      <c r="C3523" s="2" t="s">
        <v>3331</v>
      </c>
      <c r="D3523" s="2" t="s">
        <v>2158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5"/>
        <v>25</v>
      </c>
      <c r="X3523" s="5">
        <f t="shared" si="430"/>
        <v>0.5</v>
      </c>
      <c r="Z3523" s="2" t="s">
        <v>118</v>
      </c>
      <c r="AA3523" s="2" t="s">
        <v>191</v>
      </c>
      <c r="AF3523" s="2">
        <f t="shared" ref="AF3523:AF3586" si="436">AJ3523</f>
        <v>0</v>
      </c>
      <c r="AG3523" s="2">
        <f t="shared" si="434"/>
        <v>25</v>
      </c>
      <c r="AJ3523" s="2">
        <f t="shared" ref="AJ3523:AJ3586" si="437">AI3523*T3523</f>
        <v>0</v>
      </c>
      <c r="AK3523" s="2">
        <f t="shared" si="433"/>
        <v>25</v>
      </c>
      <c r="AL3523" s="5">
        <f t="shared" si="431"/>
        <v>0.5</v>
      </c>
    </row>
    <row r="3524" spans="1:38" hidden="1" x14ac:dyDescent="0.2">
      <c r="A3524" s="2">
        <v>2026</v>
      </c>
      <c r="B3524" s="2">
        <v>4</v>
      </c>
      <c r="D3524" s="2" t="s">
        <v>2779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8">(T3524-W3524)/T3524</f>
        <v>0.6</v>
      </c>
      <c r="Z3524" s="2" t="s">
        <v>118</v>
      </c>
      <c r="AA3524" s="2" t="s">
        <v>191</v>
      </c>
      <c r="AF3524" s="2">
        <f t="shared" si="436"/>
        <v>0</v>
      </c>
      <c r="AG3524" s="2">
        <f t="shared" si="434"/>
        <v>149.6</v>
      </c>
      <c r="AJ3524" s="2">
        <f t="shared" si="437"/>
        <v>0</v>
      </c>
      <c r="AK3524" s="2">
        <f t="shared" si="433"/>
        <v>224.4</v>
      </c>
      <c r="AL3524" s="5">
        <f t="shared" si="431"/>
        <v>0.6</v>
      </c>
    </row>
    <row r="3525" spans="1:38" hidden="1" x14ac:dyDescent="0.2">
      <c r="A3525" s="2">
        <v>2026</v>
      </c>
      <c r="B3525" s="2">
        <v>4</v>
      </c>
      <c r="D3525" s="2" t="s">
        <v>2779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8"/>
        <v>0.5</v>
      </c>
      <c r="Z3525" s="2" t="s">
        <v>118</v>
      </c>
      <c r="AA3525" s="2" t="s">
        <v>191</v>
      </c>
      <c r="AF3525" s="2">
        <f t="shared" si="436"/>
        <v>0</v>
      </c>
      <c r="AG3525" s="2">
        <f t="shared" si="434"/>
        <v>110</v>
      </c>
      <c r="AJ3525" s="2">
        <f t="shared" si="437"/>
        <v>0</v>
      </c>
      <c r="AK3525" s="2">
        <f t="shared" si="433"/>
        <v>110</v>
      </c>
      <c r="AL3525" s="5">
        <f t="shared" si="431"/>
        <v>0.5</v>
      </c>
    </row>
    <row r="3526" spans="1:38" hidden="1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8"/>
        <v>0.6</v>
      </c>
      <c r="Z3526" s="2" t="s">
        <v>118</v>
      </c>
      <c r="AA3526" s="2" t="s">
        <v>191</v>
      </c>
      <c r="AF3526" s="2">
        <f t="shared" si="436"/>
        <v>0</v>
      </c>
      <c r="AG3526" s="2">
        <f t="shared" si="434"/>
        <v>20</v>
      </c>
      <c r="AJ3526" s="2">
        <f t="shared" si="437"/>
        <v>0</v>
      </c>
      <c r="AK3526" s="2">
        <f t="shared" si="433"/>
        <v>30</v>
      </c>
      <c r="AL3526" s="5">
        <f t="shared" si="431"/>
        <v>0.6</v>
      </c>
    </row>
    <row r="3527" spans="1:38" hidden="1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8"/>
        <v>0.5</v>
      </c>
      <c r="Z3527" s="2" t="s">
        <v>118</v>
      </c>
      <c r="AA3527" s="2" t="s">
        <v>191</v>
      </c>
      <c r="AF3527" s="2">
        <f t="shared" si="436"/>
        <v>0</v>
      </c>
      <c r="AG3527" s="2">
        <f t="shared" si="434"/>
        <v>31.25</v>
      </c>
      <c r="AJ3527" s="2">
        <f t="shared" si="437"/>
        <v>0</v>
      </c>
      <c r="AK3527" s="2">
        <f t="shared" si="433"/>
        <v>31.25</v>
      </c>
      <c r="AL3527" s="5">
        <f t="shared" si="431"/>
        <v>0.5</v>
      </c>
    </row>
    <row r="3528" spans="1:38" hidden="1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8"/>
        <v>0.6</v>
      </c>
      <c r="Z3528" s="2" t="s">
        <v>118</v>
      </c>
      <c r="AA3528" s="2" t="s">
        <v>191</v>
      </c>
      <c r="AF3528" s="2">
        <f t="shared" si="436"/>
        <v>0</v>
      </c>
      <c r="AG3528" s="2">
        <f t="shared" si="434"/>
        <v>20</v>
      </c>
      <c r="AJ3528" s="2">
        <f t="shared" si="437"/>
        <v>0</v>
      </c>
      <c r="AK3528" s="2">
        <f t="shared" si="433"/>
        <v>30</v>
      </c>
      <c r="AL3528" s="5">
        <f t="shared" si="431"/>
        <v>0.6</v>
      </c>
    </row>
    <row r="3529" spans="1:38" hidden="1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8"/>
        <v>0.5</v>
      </c>
      <c r="Z3529" s="2" t="s">
        <v>118</v>
      </c>
      <c r="AA3529" s="2" t="s">
        <v>191</v>
      </c>
      <c r="AF3529" s="2">
        <f t="shared" si="436"/>
        <v>0</v>
      </c>
      <c r="AG3529" s="2">
        <f t="shared" si="434"/>
        <v>75</v>
      </c>
      <c r="AJ3529" s="2">
        <f t="shared" si="437"/>
        <v>0</v>
      </c>
      <c r="AK3529" s="2">
        <f t="shared" si="433"/>
        <v>75</v>
      </c>
      <c r="AL3529" s="5">
        <f t="shared" si="431"/>
        <v>0.5</v>
      </c>
    </row>
    <row r="3530" spans="1:38" hidden="1" x14ac:dyDescent="0.2">
      <c r="A3530" s="2">
        <v>2026</v>
      </c>
      <c r="B3530" s="2">
        <v>2</v>
      </c>
      <c r="D3530" s="2" t="s">
        <v>2161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8"/>
        <v>0.6</v>
      </c>
      <c r="Z3530" s="2" t="s">
        <v>118</v>
      </c>
      <c r="AA3530" s="2" t="s">
        <v>191</v>
      </c>
      <c r="AF3530" s="2">
        <f t="shared" si="436"/>
        <v>0</v>
      </c>
      <c r="AG3530" s="2">
        <f t="shared" si="434"/>
        <v>96</v>
      </c>
      <c r="AJ3530" s="2">
        <f t="shared" si="437"/>
        <v>0</v>
      </c>
      <c r="AK3530" s="2">
        <f t="shared" si="433"/>
        <v>144</v>
      </c>
      <c r="AL3530" s="5">
        <f t="shared" si="431"/>
        <v>0.6</v>
      </c>
    </row>
    <row r="3531" spans="1:38" hidden="1" x14ac:dyDescent="0.2">
      <c r="A3531" s="2">
        <v>2026</v>
      </c>
      <c r="B3531" s="2">
        <v>2</v>
      </c>
      <c r="D3531" s="2" t="s">
        <v>2161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8"/>
        <v>0.5</v>
      </c>
      <c r="Z3531" s="2" t="s">
        <v>118</v>
      </c>
      <c r="AA3531" s="2" t="s">
        <v>191</v>
      </c>
      <c r="AF3531" s="2">
        <f t="shared" si="436"/>
        <v>0</v>
      </c>
      <c r="AG3531" s="2">
        <f t="shared" si="434"/>
        <v>200</v>
      </c>
      <c r="AJ3531" s="2">
        <f t="shared" si="437"/>
        <v>0</v>
      </c>
      <c r="AK3531" s="2">
        <f t="shared" si="433"/>
        <v>200</v>
      </c>
      <c r="AL3531" s="5">
        <f t="shared" si="431"/>
        <v>0.5</v>
      </c>
    </row>
    <row r="3532" spans="1:38" hidden="1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8"/>
        <v>0.6</v>
      </c>
      <c r="Z3532" s="2" t="s">
        <v>118</v>
      </c>
      <c r="AA3532" s="2" t="s">
        <v>191</v>
      </c>
      <c r="AF3532" s="2">
        <f t="shared" si="436"/>
        <v>0</v>
      </c>
      <c r="AG3532" s="2">
        <f t="shared" si="434"/>
        <v>44</v>
      </c>
      <c r="AJ3532" s="2">
        <f t="shared" si="437"/>
        <v>0</v>
      </c>
      <c r="AK3532" s="2">
        <f t="shared" si="433"/>
        <v>66</v>
      </c>
      <c r="AL3532" s="5">
        <f t="shared" si="431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8"/>
        <v>1</v>
      </c>
      <c r="Z3533" s="2" t="s">
        <v>170</v>
      </c>
      <c r="AA3533" s="2" t="s">
        <v>170</v>
      </c>
      <c r="AF3533" s="2">
        <f t="shared" si="436"/>
        <v>0</v>
      </c>
      <c r="AJ3533" s="2">
        <f t="shared" si="437"/>
        <v>0</v>
      </c>
      <c r="AK3533" s="2">
        <f t="shared" si="433"/>
        <v>39.39</v>
      </c>
      <c r="AL3533" s="5">
        <f t="shared" si="431"/>
        <v>1</v>
      </c>
    </row>
    <row r="3534" spans="1:38" hidden="1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2749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8"/>
        <v>0.23333333333333334</v>
      </c>
      <c r="Z3534" s="2" t="s">
        <v>170</v>
      </c>
      <c r="AA3534" s="2" t="s">
        <v>170</v>
      </c>
      <c r="AF3534" s="2">
        <f t="shared" si="436"/>
        <v>0</v>
      </c>
      <c r="AG3534" s="2">
        <v>23</v>
      </c>
      <c r="AJ3534" s="2">
        <f t="shared" si="437"/>
        <v>0</v>
      </c>
      <c r="AK3534" s="2">
        <f t="shared" si="433"/>
        <v>7</v>
      </c>
      <c r="AL3534" s="5">
        <f t="shared" si="431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2565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8"/>
        <v>1</v>
      </c>
      <c r="Z3535" s="2" t="s">
        <v>170</v>
      </c>
      <c r="AA3535" s="2" t="s">
        <v>170</v>
      </c>
      <c r="AF3535" s="2">
        <f t="shared" si="436"/>
        <v>0</v>
      </c>
      <c r="AJ3535" s="2">
        <f t="shared" si="437"/>
        <v>0</v>
      </c>
      <c r="AK3535" s="2">
        <f t="shared" si="433"/>
        <v>15</v>
      </c>
      <c r="AL3535" s="5">
        <f t="shared" si="431"/>
        <v>1</v>
      </c>
    </row>
    <row r="3536" spans="1:38" hidden="1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2678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8"/>
        <v>1</v>
      </c>
      <c r="Z3536" s="2" t="s">
        <v>170</v>
      </c>
      <c r="AA3536" s="2" t="s">
        <v>170</v>
      </c>
      <c r="AF3536" s="2">
        <f t="shared" si="436"/>
        <v>0</v>
      </c>
      <c r="AJ3536" s="2">
        <f t="shared" si="437"/>
        <v>0</v>
      </c>
      <c r="AK3536" s="2">
        <f t="shared" si="433"/>
        <v>5</v>
      </c>
      <c r="AL3536" s="5">
        <f t="shared" si="431"/>
        <v>1</v>
      </c>
    </row>
    <row r="3537" spans="1:38" hidden="1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2621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8"/>
        <v>1</v>
      </c>
      <c r="Z3537" s="2" t="s">
        <v>3237</v>
      </c>
      <c r="AA3537" s="2" t="s">
        <v>88</v>
      </c>
      <c r="AB3537" s="2" t="s">
        <v>91</v>
      </c>
      <c r="AC3537" s="2" t="s">
        <v>85</v>
      </c>
      <c r="AF3537" s="2">
        <f t="shared" si="436"/>
        <v>0</v>
      </c>
      <c r="AJ3537" s="2">
        <f t="shared" si="437"/>
        <v>0</v>
      </c>
      <c r="AK3537" s="2">
        <f t="shared" si="433"/>
        <v>15.4</v>
      </c>
      <c r="AL3537" s="5">
        <f t="shared" si="431"/>
        <v>1</v>
      </c>
    </row>
    <row r="3538" spans="1:38" hidden="1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8"/>
        <v>1</v>
      </c>
      <c r="Z3538" s="2" t="s">
        <v>170</v>
      </c>
      <c r="AA3538" s="2" t="s">
        <v>170</v>
      </c>
      <c r="AF3538" s="2">
        <f t="shared" si="436"/>
        <v>0</v>
      </c>
      <c r="AJ3538" s="2">
        <f t="shared" si="437"/>
        <v>0</v>
      </c>
      <c r="AK3538" s="2">
        <f t="shared" si="433"/>
        <v>5</v>
      </c>
      <c r="AL3538" s="5">
        <f t="shared" si="431"/>
        <v>1</v>
      </c>
    </row>
    <row r="3539" spans="1:38" hidden="1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6"/>
        <v>0</v>
      </c>
      <c r="AJ3539" s="2">
        <f t="shared" si="437"/>
        <v>0</v>
      </c>
    </row>
    <row r="3540" spans="1:38" hidden="1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6"/>
        <v>0</v>
      </c>
      <c r="AJ3540" s="2">
        <f t="shared" si="437"/>
        <v>0</v>
      </c>
    </row>
    <row r="3541" spans="1:38" hidden="1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9">(T3541-W3541)/T3541</f>
        <v>1</v>
      </c>
      <c r="Z3541" s="2" t="s">
        <v>118</v>
      </c>
      <c r="AA3541" s="2" t="s">
        <v>1314</v>
      </c>
      <c r="AF3541" s="2">
        <f t="shared" si="436"/>
        <v>0</v>
      </c>
      <c r="AJ3541" s="2">
        <f t="shared" si="437"/>
        <v>0</v>
      </c>
      <c r="AK3541" s="2">
        <f t="shared" si="433"/>
        <v>111</v>
      </c>
      <c r="AL3541" s="5">
        <f t="shared" si="431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2780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9"/>
        <v>2.000401846171453E-16</v>
      </c>
      <c r="Z3542" s="2" t="s">
        <v>3237</v>
      </c>
      <c r="AA3542" s="2" t="s">
        <v>97</v>
      </c>
      <c r="AB3542" s="2" t="s">
        <v>77</v>
      </c>
      <c r="AC3542" s="2" t="s">
        <v>94</v>
      </c>
      <c r="AF3542" s="2">
        <f t="shared" si="436"/>
        <v>0</v>
      </c>
      <c r="AJ3542" s="2">
        <f t="shared" si="437"/>
        <v>0</v>
      </c>
      <c r="AK3542" s="2">
        <f t="shared" si="433"/>
        <v>0</v>
      </c>
      <c r="AL3542" s="5">
        <f t="shared" si="431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2735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9"/>
        <v>0</v>
      </c>
      <c r="Z3543" s="2" t="s">
        <v>3237</v>
      </c>
      <c r="AA3543" s="2" t="s">
        <v>97</v>
      </c>
      <c r="AB3543" s="2" t="s">
        <v>77</v>
      </c>
      <c r="AC3543" s="2" t="s">
        <v>94</v>
      </c>
      <c r="AF3543" s="2">
        <f t="shared" si="436"/>
        <v>0</v>
      </c>
      <c r="AJ3543" s="2">
        <f t="shared" si="437"/>
        <v>0</v>
      </c>
      <c r="AK3543" s="2">
        <f t="shared" si="433"/>
        <v>0</v>
      </c>
      <c r="AL3543" s="5">
        <f t="shared" si="431"/>
        <v>0</v>
      </c>
    </row>
    <row r="3544" spans="1:38" hidden="1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2749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9"/>
        <v>0</v>
      </c>
      <c r="Z3544" s="2" t="s">
        <v>3237</v>
      </c>
      <c r="AA3544" s="2" t="s">
        <v>97</v>
      </c>
      <c r="AB3544" s="2" t="s">
        <v>77</v>
      </c>
      <c r="AC3544" s="2" t="s">
        <v>94</v>
      </c>
      <c r="AF3544" s="2">
        <f t="shared" si="436"/>
        <v>0</v>
      </c>
      <c r="AG3544" s="2">
        <v>1.48</v>
      </c>
      <c r="AH3544" s="2">
        <v>1.48</v>
      </c>
      <c r="AJ3544" s="2">
        <f t="shared" si="437"/>
        <v>0</v>
      </c>
      <c r="AK3544" s="2">
        <f t="shared" si="433"/>
        <v>0</v>
      </c>
      <c r="AL3544" s="5">
        <f t="shared" si="431"/>
        <v>0</v>
      </c>
    </row>
    <row r="3545" spans="1:38" hidden="1" x14ac:dyDescent="0.2">
      <c r="A3545" s="2">
        <v>2026</v>
      </c>
      <c r="B3545" s="2">
        <v>3</v>
      </c>
      <c r="D3545" s="2" t="s">
        <v>2731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9"/>
        <v>0</v>
      </c>
      <c r="Z3545" s="2" t="s">
        <v>3237</v>
      </c>
      <c r="AA3545" s="2" t="s">
        <v>97</v>
      </c>
      <c r="AB3545" s="2" t="s">
        <v>77</v>
      </c>
      <c r="AC3545" s="2" t="s">
        <v>94</v>
      </c>
      <c r="AF3545" s="2">
        <f t="shared" si="436"/>
        <v>0</v>
      </c>
      <c r="AJ3545" s="2">
        <f t="shared" si="437"/>
        <v>0</v>
      </c>
      <c r="AK3545" s="2">
        <f t="shared" si="433"/>
        <v>0</v>
      </c>
      <c r="AL3545" s="5">
        <f t="shared" si="431"/>
        <v>0</v>
      </c>
    </row>
    <row r="3546" spans="1:38" hidden="1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2486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2742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9"/>
        <v>0</v>
      </c>
      <c r="Z3546" s="2" t="s">
        <v>3237</v>
      </c>
      <c r="AA3546" s="2" t="s">
        <v>97</v>
      </c>
      <c r="AB3546" s="2" t="s">
        <v>77</v>
      </c>
      <c r="AC3546" s="2" t="s">
        <v>94</v>
      </c>
      <c r="AF3546" s="2">
        <f t="shared" si="436"/>
        <v>0</v>
      </c>
      <c r="AJ3546" s="2">
        <f t="shared" si="437"/>
        <v>0</v>
      </c>
      <c r="AK3546" s="2">
        <f t="shared" si="433"/>
        <v>0</v>
      </c>
      <c r="AL3546" s="5">
        <f t="shared" si="431"/>
        <v>0</v>
      </c>
    </row>
    <row r="3547" spans="1:38" hidden="1" x14ac:dyDescent="0.2">
      <c r="A3547" s="2">
        <v>2026</v>
      </c>
      <c r="B3547" s="2">
        <v>3</v>
      </c>
      <c r="C3547" s="2" t="s">
        <v>3331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3237</v>
      </c>
      <c r="AA3547" s="2" t="s">
        <v>97</v>
      </c>
      <c r="AB3547" s="2" t="s">
        <v>77</v>
      </c>
      <c r="AC3547" s="2" t="s">
        <v>94</v>
      </c>
      <c r="AF3547" s="2">
        <f t="shared" si="436"/>
        <v>0</v>
      </c>
      <c r="AJ3547" s="2">
        <f t="shared" si="437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0">(T3548-W3548)/T3548</f>
        <v>0</v>
      </c>
      <c r="Z3548" s="2" t="s">
        <v>3237</v>
      </c>
      <c r="AA3548" s="2" t="s">
        <v>97</v>
      </c>
      <c r="AB3548" s="2" t="s">
        <v>77</v>
      </c>
      <c r="AC3548" s="2" t="s">
        <v>94</v>
      </c>
      <c r="AF3548" s="2">
        <f t="shared" si="436"/>
        <v>0</v>
      </c>
      <c r="AJ3548" s="2">
        <f t="shared" si="437"/>
        <v>0</v>
      </c>
      <c r="AK3548" s="2">
        <f t="shared" si="433"/>
        <v>0</v>
      </c>
      <c r="AL3548" s="5">
        <f t="shared" si="431"/>
        <v>0</v>
      </c>
    </row>
    <row r="3549" spans="1:38" hidden="1" x14ac:dyDescent="0.2">
      <c r="A3549" s="2">
        <v>2026</v>
      </c>
      <c r="B3549" s="2">
        <v>3</v>
      </c>
      <c r="D3549" s="2" t="s">
        <v>2737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0"/>
        <v>0</v>
      </c>
      <c r="Z3549" s="2" t="s">
        <v>3237</v>
      </c>
      <c r="AA3549" s="2" t="s">
        <v>97</v>
      </c>
      <c r="AB3549" s="2" t="s">
        <v>77</v>
      </c>
      <c r="AC3549" s="2" t="s">
        <v>94</v>
      </c>
      <c r="AF3549" s="2">
        <f t="shared" si="436"/>
        <v>0</v>
      </c>
      <c r="AJ3549" s="2">
        <f t="shared" si="437"/>
        <v>0</v>
      </c>
      <c r="AK3549" s="2">
        <f t="shared" si="433"/>
        <v>0</v>
      </c>
      <c r="AL3549" s="5">
        <f t="shared" si="431"/>
        <v>0</v>
      </c>
    </row>
    <row r="3550" spans="1:38" hidden="1" x14ac:dyDescent="0.2">
      <c r="A3550" s="2">
        <v>2026</v>
      </c>
      <c r="B3550" s="2">
        <v>3</v>
      </c>
      <c r="D3550" s="2" t="s">
        <v>2565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0"/>
        <v>0</v>
      </c>
      <c r="Z3550" s="2" t="s">
        <v>3237</v>
      </c>
      <c r="AA3550" s="2" t="s">
        <v>97</v>
      </c>
      <c r="AB3550" s="2" t="s">
        <v>77</v>
      </c>
      <c r="AC3550" s="2" t="s">
        <v>94</v>
      </c>
      <c r="AF3550" s="2">
        <f t="shared" si="436"/>
        <v>0</v>
      </c>
      <c r="AJ3550" s="2">
        <f t="shared" si="437"/>
        <v>0</v>
      </c>
      <c r="AK3550" s="2">
        <f t="shared" si="433"/>
        <v>0</v>
      </c>
      <c r="AL3550" s="5">
        <f t="shared" si="431"/>
        <v>0</v>
      </c>
    </row>
    <row r="3551" spans="1:38" hidden="1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0"/>
        <v>0</v>
      </c>
      <c r="Z3551" s="2" t="s">
        <v>3237</v>
      </c>
      <c r="AA3551" s="2" t="s">
        <v>97</v>
      </c>
      <c r="AB3551" s="2" t="s">
        <v>77</v>
      </c>
      <c r="AC3551" s="2" t="s">
        <v>94</v>
      </c>
      <c r="AF3551" s="2">
        <f t="shared" si="436"/>
        <v>0</v>
      </c>
      <c r="AJ3551" s="2">
        <f t="shared" si="437"/>
        <v>0</v>
      </c>
      <c r="AK3551" s="2">
        <f t="shared" si="433"/>
        <v>0</v>
      </c>
      <c r="AL3551" s="5">
        <f t="shared" si="431"/>
        <v>0</v>
      </c>
    </row>
    <row r="3552" spans="1:38" hidden="1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0"/>
        <v>0</v>
      </c>
      <c r="Z3552" s="2" t="s">
        <v>3237</v>
      </c>
      <c r="AA3552" s="2" t="s">
        <v>97</v>
      </c>
      <c r="AB3552" s="2" t="s">
        <v>77</v>
      </c>
      <c r="AC3552" s="2" t="s">
        <v>94</v>
      </c>
      <c r="AF3552" s="2">
        <f t="shared" si="436"/>
        <v>0</v>
      </c>
      <c r="AJ3552" s="2">
        <f t="shared" si="437"/>
        <v>0</v>
      </c>
      <c r="AK3552" s="2">
        <f t="shared" si="433"/>
        <v>0</v>
      </c>
      <c r="AL3552" s="5">
        <f t="shared" si="431"/>
        <v>0</v>
      </c>
    </row>
    <row r="3553" spans="1:38" hidden="1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0"/>
        <v>0</v>
      </c>
      <c r="Z3553" s="2" t="s">
        <v>3237</v>
      </c>
      <c r="AA3553" s="2" t="s">
        <v>97</v>
      </c>
      <c r="AB3553" s="2" t="s">
        <v>77</v>
      </c>
      <c r="AC3553" s="2" t="s">
        <v>94</v>
      </c>
      <c r="AF3553" s="2">
        <f t="shared" si="436"/>
        <v>0</v>
      </c>
      <c r="AJ3553" s="2">
        <f t="shared" si="437"/>
        <v>0</v>
      </c>
      <c r="AK3553" s="2">
        <f t="shared" si="433"/>
        <v>0</v>
      </c>
      <c r="AL3553" s="5">
        <f t="shared" si="431"/>
        <v>0</v>
      </c>
    </row>
    <row r="3554" spans="1:38" hidden="1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2718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0"/>
        <v>0</v>
      </c>
      <c r="Z3554" s="2" t="s">
        <v>3237</v>
      </c>
      <c r="AA3554" s="2" t="s">
        <v>97</v>
      </c>
      <c r="AB3554" s="2" t="s">
        <v>77</v>
      </c>
      <c r="AC3554" s="2" t="s">
        <v>94</v>
      </c>
      <c r="AF3554" s="2">
        <f t="shared" si="436"/>
        <v>0</v>
      </c>
      <c r="AJ3554" s="2">
        <f t="shared" si="437"/>
        <v>0</v>
      </c>
      <c r="AK3554" s="2">
        <f t="shared" si="433"/>
        <v>0</v>
      </c>
      <c r="AL3554" s="5">
        <f t="shared" si="431"/>
        <v>0</v>
      </c>
    </row>
    <row r="3555" spans="1:38" hidden="1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0"/>
        <v>0</v>
      </c>
      <c r="Z3555" s="2" t="s">
        <v>3237</v>
      </c>
      <c r="AA3555" s="2" t="s">
        <v>97</v>
      </c>
      <c r="AB3555" s="2" t="s">
        <v>77</v>
      </c>
      <c r="AC3555" s="2" t="s">
        <v>94</v>
      </c>
      <c r="AF3555" s="2">
        <f t="shared" si="436"/>
        <v>0</v>
      </c>
      <c r="AJ3555" s="2">
        <f t="shared" si="437"/>
        <v>0</v>
      </c>
      <c r="AK3555" s="2">
        <f t="shared" si="433"/>
        <v>0</v>
      </c>
      <c r="AL3555" s="5">
        <f t="shared" si="431"/>
        <v>0</v>
      </c>
    </row>
    <row r="3556" spans="1:38" hidden="1" x14ac:dyDescent="0.2">
      <c r="A3556" s="2">
        <v>2026</v>
      </c>
      <c r="B3556" s="2">
        <v>3</v>
      </c>
      <c r="D3556" s="2" t="s">
        <v>2722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0"/>
        <v>0</v>
      </c>
      <c r="Z3556" s="2" t="s">
        <v>3237</v>
      </c>
      <c r="AA3556" s="2" t="s">
        <v>97</v>
      </c>
      <c r="AB3556" s="2" t="s">
        <v>77</v>
      </c>
      <c r="AC3556" s="2" t="s">
        <v>94</v>
      </c>
      <c r="AF3556" s="2">
        <f t="shared" si="436"/>
        <v>0</v>
      </c>
      <c r="AJ3556" s="2">
        <f t="shared" si="437"/>
        <v>0</v>
      </c>
      <c r="AK3556" s="2">
        <f t="shared" si="433"/>
        <v>0</v>
      </c>
      <c r="AL3556" s="5">
        <f t="shared" si="431"/>
        <v>0</v>
      </c>
    </row>
    <row r="3557" spans="1:38" hidden="1" x14ac:dyDescent="0.2">
      <c r="A3557" s="2">
        <v>2026</v>
      </c>
      <c r="B3557" s="2">
        <v>3</v>
      </c>
      <c r="D3557" s="2" t="s">
        <v>2151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0"/>
        <v>0</v>
      </c>
      <c r="Z3557" s="2" t="s">
        <v>3237</v>
      </c>
      <c r="AA3557" s="2" t="s">
        <v>97</v>
      </c>
      <c r="AB3557" s="2" t="s">
        <v>77</v>
      </c>
      <c r="AC3557" s="2" t="s">
        <v>94</v>
      </c>
      <c r="AF3557" s="2">
        <f t="shared" si="436"/>
        <v>0</v>
      </c>
      <c r="AJ3557" s="2">
        <f t="shared" si="437"/>
        <v>0</v>
      </c>
      <c r="AK3557" s="2">
        <f t="shared" si="433"/>
        <v>0</v>
      </c>
      <c r="AL3557" s="5">
        <f t="shared" si="431"/>
        <v>0</v>
      </c>
    </row>
    <row r="3558" spans="1:38" hidden="1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0"/>
        <v>0</v>
      </c>
      <c r="Z3558" s="2" t="s">
        <v>3237</v>
      </c>
      <c r="AA3558" s="2" t="s">
        <v>97</v>
      </c>
      <c r="AB3558" s="2" t="s">
        <v>77</v>
      </c>
      <c r="AC3558" s="2" t="s">
        <v>94</v>
      </c>
      <c r="AF3558" s="2">
        <f t="shared" si="436"/>
        <v>0</v>
      </c>
      <c r="AJ3558" s="2">
        <f t="shared" si="437"/>
        <v>0</v>
      </c>
      <c r="AK3558" s="2">
        <f t="shared" si="433"/>
        <v>0</v>
      </c>
      <c r="AL3558" s="5">
        <f t="shared" si="431"/>
        <v>0</v>
      </c>
    </row>
    <row r="3559" spans="1:38" hidden="1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0"/>
        <v>0</v>
      </c>
      <c r="Z3559" s="2" t="s">
        <v>3237</v>
      </c>
      <c r="AA3559" s="2" t="s">
        <v>97</v>
      </c>
      <c r="AB3559" s="2" t="s">
        <v>77</v>
      </c>
      <c r="AC3559" s="2" t="s">
        <v>94</v>
      </c>
      <c r="AF3559" s="2">
        <f t="shared" si="436"/>
        <v>0</v>
      </c>
      <c r="AJ3559" s="2">
        <f t="shared" si="437"/>
        <v>0</v>
      </c>
      <c r="AK3559" s="2">
        <f t="shared" si="433"/>
        <v>0</v>
      </c>
      <c r="AL3559" s="5">
        <f t="shared" si="431"/>
        <v>0</v>
      </c>
    </row>
    <row r="3560" spans="1:38" hidden="1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0"/>
        <v>0</v>
      </c>
      <c r="Z3560" s="2" t="s">
        <v>3237</v>
      </c>
      <c r="AA3560" s="2" t="s">
        <v>97</v>
      </c>
      <c r="AB3560" s="2" t="s">
        <v>77</v>
      </c>
      <c r="AC3560" s="2" t="s">
        <v>94</v>
      </c>
      <c r="AF3560" s="2">
        <f t="shared" si="436"/>
        <v>0</v>
      </c>
      <c r="AJ3560" s="2">
        <f t="shared" si="437"/>
        <v>0</v>
      </c>
      <c r="AK3560" s="2">
        <f t="shared" si="433"/>
        <v>0</v>
      </c>
      <c r="AL3560" s="5">
        <f t="shared" si="431"/>
        <v>0</v>
      </c>
    </row>
    <row r="3561" spans="1:38" hidden="1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2781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0"/>
        <v>0</v>
      </c>
      <c r="Z3561" s="2" t="s">
        <v>3237</v>
      </c>
      <c r="AA3561" s="2" t="s">
        <v>97</v>
      </c>
      <c r="AB3561" s="2" t="s">
        <v>77</v>
      </c>
      <c r="AC3561" s="2" t="s">
        <v>94</v>
      </c>
      <c r="AF3561" s="2">
        <f t="shared" si="436"/>
        <v>0</v>
      </c>
      <c r="AJ3561" s="2">
        <f t="shared" si="437"/>
        <v>0</v>
      </c>
      <c r="AK3561" s="2">
        <f t="shared" si="433"/>
        <v>0</v>
      </c>
      <c r="AL3561" s="5">
        <f t="shared" si="431"/>
        <v>0</v>
      </c>
    </row>
    <row r="3562" spans="1:38" hidden="1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3143</v>
      </c>
      <c r="L3562" s="2" t="s">
        <v>178</v>
      </c>
      <c r="M3562" s="2" t="s">
        <v>41</v>
      </c>
      <c r="O3562" s="2" t="s">
        <v>2739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0"/>
        <v>0</v>
      </c>
      <c r="Z3562" s="2" t="s">
        <v>3237</v>
      </c>
      <c r="AA3562" s="2" t="s">
        <v>97</v>
      </c>
      <c r="AB3562" s="2" t="s">
        <v>77</v>
      </c>
      <c r="AC3562" s="2" t="s">
        <v>94</v>
      </c>
      <c r="AF3562" s="2">
        <f t="shared" si="436"/>
        <v>0</v>
      </c>
      <c r="AJ3562" s="2">
        <f t="shared" si="437"/>
        <v>0</v>
      </c>
      <c r="AK3562" s="2">
        <f t="shared" si="433"/>
        <v>0</v>
      </c>
      <c r="AL3562" s="5">
        <f t="shared" si="431"/>
        <v>0</v>
      </c>
    </row>
    <row r="3563" spans="1:38" hidden="1" x14ac:dyDescent="0.2">
      <c r="A3563" s="2">
        <v>2026</v>
      </c>
      <c r="B3563" s="2">
        <v>3</v>
      </c>
      <c r="D3563" s="2" t="s">
        <v>2733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0"/>
        <v>0</v>
      </c>
      <c r="Z3563" s="2" t="s">
        <v>3237</v>
      </c>
      <c r="AA3563" s="2" t="s">
        <v>97</v>
      </c>
      <c r="AB3563" s="2" t="s">
        <v>77</v>
      </c>
      <c r="AC3563" s="2" t="s">
        <v>94</v>
      </c>
      <c r="AF3563" s="2">
        <f t="shared" si="436"/>
        <v>0</v>
      </c>
      <c r="AJ3563" s="2">
        <f t="shared" si="437"/>
        <v>0</v>
      </c>
      <c r="AK3563" s="2">
        <f t="shared" si="433"/>
        <v>0</v>
      </c>
      <c r="AL3563" s="5">
        <f t="shared" si="431"/>
        <v>0</v>
      </c>
    </row>
    <row r="3564" spans="1:38" hidden="1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2419</v>
      </c>
      <c r="J3564" s="2" t="s">
        <v>2420</v>
      </c>
      <c r="L3564" s="2" t="s">
        <v>202</v>
      </c>
      <c r="M3564" s="2" t="s">
        <v>81</v>
      </c>
      <c r="O3564" s="2" t="s">
        <v>2726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0"/>
        <v>0</v>
      </c>
      <c r="Z3564" s="2" t="s">
        <v>3237</v>
      </c>
      <c r="AA3564" s="2" t="s">
        <v>97</v>
      </c>
      <c r="AB3564" s="2" t="s">
        <v>77</v>
      </c>
      <c r="AC3564" s="2" t="s">
        <v>94</v>
      </c>
      <c r="AF3564" s="2">
        <f t="shared" si="436"/>
        <v>0</v>
      </c>
      <c r="AJ3564" s="2">
        <f t="shared" si="437"/>
        <v>0</v>
      </c>
      <c r="AK3564" s="2">
        <f t="shared" si="433"/>
        <v>0</v>
      </c>
      <c r="AL3564" s="5">
        <f t="shared" si="431"/>
        <v>0</v>
      </c>
    </row>
    <row r="3565" spans="1:38" hidden="1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2402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0"/>
        <v>0</v>
      </c>
      <c r="Z3565" s="2" t="s">
        <v>3237</v>
      </c>
      <c r="AA3565" s="2" t="s">
        <v>97</v>
      </c>
      <c r="AB3565" s="2" t="s">
        <v>77</v>
      </c>
      <c r="AC3565" s="2" t="s">
        <v>94</v>
      </c>
      <c r="AF3565" s="2">
        <f t="shared" si="436"/>
        <v>0</v>
      </c>
      <c r="AJ3565" s="2">
        <f t="shared" si="437"/>
        <v>0</v>
      </c>
      <c r="AK3565" s="2">
        <f t="shared" si="433"/>
        <v>0</v>
      </c>
      <c r="AL3565" s="5">
        <f t="shared" si="431"/>
        <v>0</v>
      </c>
    </row>
    <row r="3566" spans="1:38" hidden="1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2716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0"/>
        <v>0</v>
      </c>
      <c r="Z3566" s="2" t="s">
        <v>3237</v>
      </c>
      <c r="AA3566" s="2" t="s">
        <v>97</v>
      </c>
      <c r="AB3566" s="2" t="s">
        <v>77</v>
      </c>
      <c r="AC3566" s="2" t="s">
        <v>94</v>
      </c>
      <c r="AF3566" s="2">
        <f t="shared" si="436"/>
        <v>0</v>
      </c>
      <c r="AG3566" s="2">
        <v>1.48</v>
      </c>
      <c r="AH3566" s="2">
        <v>1.48</v>
      </c>
      <c r="AJ3566" s="2">
        <f t="shared" si="437"/>
        <v>0</v>
      </c>
      <c r="AK3566" s="2">
        <f t="shared" si="433"/>
        <v>0</v>
      </c>
      <c r="AL3566" s="5">
        <f t="shared" si="431"/>
        <v>0</v>
      </c>
    </row>
    <row r="3567" spans="1:38" hidden="1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0"/>
        <v>0</v>
      </c>
      <c r="Z3567" s="2" t="s">
        <v>3237</v>
      </c>
      <c r="AA3567" s="2" t="s">
        <v>97</v>
      </c>
      <c r="AB3567" s="2" t="s">
        <v>77</v>
      </c>
      <c r="AC3567" s="2" t="s">
        <v>94</v>
      </c>
      <c r="AF3567" s="2">
        <f t="shared" si="436"/>
        <v>0</v>
      </c>
      <c r="AJ3567" s="2">
        <f t="shared" si="437"/>
        <v>0</v>
      </c>
      <c r="AK3567" s="2">
        <f t="shared" si="433"/>
        <v>0</v>
      </c>
      <c r="AL3567" s="5">
        <f t="shared" ref="AL3567:AL3630" si="441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2567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0"/>
        <v>0</v>
      </c>
      <c r="Z3568" s="2" t="s">
        <v>3237</v>
      </c>
      <c r="AA3568" s="2" t="s">
        <v>97</v>
      </c>
      <c r="AB3568" s="2" t="s">
        <v>77</v>
      </c>
      <c r="AC3568" s="2" t="s">
        <v>94</v>
      </c>
      <c r="AF3568" s="2">
        <f t="shared" si="436"/>
        <v>0</v>
      </c>
      <c r="AJ3568" s="2">
        <f t="shared" si="437"/>
        <v>0</v>
      </c>
      <c r="AK3568" s="2">
        <f t="shared" si="433"/>
        <v>0</v>
      </c>
      <c r="AL3568" s="5">
        <f t="shared" si="441"/>
        <v>0</v>
      </c>
    </row>
    <row r="3569" spans="1:38" hidden="1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0"/>
        <v>0</v>
      </c>
      <c r="Z3569" s="2" t="s">
        <v>3237</v>
      </c>
      <c r="AA3569" s="2" t="s">
        <v>97</v>
      </c>
      <c r="AB3569" s="2" t="s">
        <v>77</v>
      </c>
      <c r="AC3569" s="2" t="s">
        <v>94</v>
      </c>
      <c r="AF3569" s="2">
        <f t="shared" si="436"/>
        <v>0</v>
      </c>
      <c r="AJ3569" s="2">
        <f t="shared" si="437"/>
        <v>0</v>
      </c>
      <c r="AK3569" s="2">
        <f t="shared" si="433"/>
        <v>0</v>
      </c>
      <c r="AL3569" s="5">
        <f t="shared" si="441"/>
        <v>0</v>
      </c>
    </row>
    <row r="3570" spans="1:38" hidden="1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2717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0"/>
        <v>0</v>
      </c>
      <c r="Z3570" s="2" t="s">
        <v>3237</v>
      </c>
      <c r="AA3570" s="2" t="s">
        <v>97</v>
      </c>
      <c r="AB3570" s="2" t="s">
        <v>77</v>
      </c>
      <c r="AC3570" s="2" t="s">
        <v>94</v>
      </c>
      <c r="AF3570" s="2">
        <f t="shared" si="436"/>
        <v>0</v>
      </c>
      <c r="AG3570" s="2">
        <v>1.48</v>
      </c>
      <c r="AH3570" s="2">
        <v>1.48</v>
      </c>
      <c r="AJ3570" s="2">
        <f t="shared" si="437"/>
        <v>0</v>
      </c>
      <c r="AK3570" s="2">
        <f t="shared" si="433"/>
        <v>0</v>
      </c>
      <c r="AL3570" s="5">
        <f t="shared" si="441"/>
        <v>0</v>
      </c>
    </row>
    <row r="3571" spans="1:38" hidden="1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0"/>
        <v>0</v>
      </c>
      <c r="Z3571" s="2" t="s">
        <v>3237</v>
      </c>
      <c r="AA3571" s="2" t="s">
        <v>97</v>
      </c>
      <c r="AB3571" s="2" t="s">
        <v>77</v>
      </c>
      <c r="AC3571" s="2" t="s">
        <v>94</v>
      </c>
      <c r="AF3571" s="2">
        <f t="shared" si="436"/>
        <v>0</v>
      </c>
      <c r="AJ3571" s="2">
        <f t="shared" si="437"/>
        <v>0</v>
      </c>
      <c r="AK3571" s="2">
        <f t="shared" si="433"/>
        <v>0</v>
      </c>
      <c r="AL3571" s="5">
        <f t="shared" si="441"/>
        <v>0</v>
      </c>
    </row>
    <row r="3572" spans="1:38" hidden="1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2730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0"/>
        <v>0</v>
      </c>
      <c r="Z3572" s="2" t="s">
        <v>3237</v>
      </c>
      <c r="AA3572" s="2" t="s">
        <v>97</v>
      </c>
      <c r="AB3572" s="2" t="s">
        <v>77</v>
      </c>
      <c r="AC3572" s="2" t="s">
        <v>94</v>
      </c>
      <c r="AF3572" s="2">
        <f t="shared" si="436"/>
        <v>0</v>
      </c>
      <c r="AJ3572" s="2">
        <f t="shared" si="437"/>
        <v>0</v>
      </c>
      <c r="AK3572" s="2">
        <f t="shared" si="433"/>
        <v>0</v>
      </c>
      <c r="AL3572" s="5">
        <f t="shared" si="441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0"/>
        <v>1</v>
      </c>
      <c r="Z3573" s="2" t="s">
        <v>120</v>
      </c>
      <c r="AA3573" s="2" t="s">
        <v>3392</v>
      </c>
      <c r="AF3573" s="2">
        <f t="shared" si="436"/>
        <v>0</v>
      </c>
      <c r="AJ3573" s="2">
        <f t="shared" si="437"/>
        <v>0</v>
      </c>
      <c r="AK3573" s="2">
        <f t="shared" si="433"/>
        <v>576</v>
      </c>
      <c r="AL3573" s="5">
        <f t="shared" si="441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2707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0"/>
        <v>1</v>
      </c>
      <c r="Z3574" s="2" t="s">
        <v>120</v>
      </c>
      <c r="AA3574" s="2" t="s">
        <v>3392</v>
      </c>
      <c r="AF3574" s="2">
        <f t="shared" si="436"/>
        <v>0</v>
      </c>
      <c r="AJ3574" s="2">
        <f t="shared" si="437"/>
        <v>0</v>
      </c>
      <c r="AK3574" s="2">
        <f t="shared" ref="AK3574:AK3637" si="442">T3574-W3574</f>
        <v>200</v>
      </c>
      <c r="AL3574" s="5">
        <f t="shared" si="441"/>
        <v>1</v>
      </c>
    </row>
    <row r="3575" spans="1:38" hidden="1" x14ac:dyDescent="0.2">
      <c r="A3575" s="2">
        <v>2026</v>
      </c>
      <c r="B3575" s="2">
        <v>3</v>
      </c>
      <c r="C3575" s="2" t="s">
        <v>3438</v>
      </c>
      <c r="D3575" s="2" t="s">
        <v>2782</v>
      </c>
      <c r="E3575" s="2" t="s">
        <v>109</v>
      </c>
      <c r="F3575" s="2" t="s">
        <v>39</v>
      </c>
      <c r="L3575" s="2" t="s">
        <v>2446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0"/>
        <v>1</v>
      </c>
      <c r="Z3575" s="2" t="s">
        <v>105</v>
      </c>
      <c r="AA3575" s="2" t="s">
        <v>3440</v>
      </c>
      <c r="AB3575" s="2" t="s">
        <v>3441</v>
      </c>
      <c r="AC3575" s="2" t="s">
        <v>115</v>
      </c>
      <c r="AF3575" s="2">
        <f t="shared" si="436"/>
        <v>0</v>
      </c>
      <c r="AJ3575" s="2">
        <f t="shared" si="437"/>
        <v>0</v>
      </c>
      <c r="AK3575" s="2">
        <f t="shared" si="442"/>
        <v>180</v>
      </c>
      <c r="AL3575" s="5">
        <f t="shared" si="441"/>
        <v>1</v>
      </c>
    </row>
    <row r="3576" spans="1:38" hidden="1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0"/>
        <v>1</v>
      </c>
      <c r="Z3576" s="2" t="s">
        <v>120</v>
      </c>
      <c r="AA3576" s="2" t="s">
        <v>3392</v>
      </c>
      <c r="AF3576" s="2">
        <f t="shared" si="436"/>
        <v>0</v>
      </c>
      <c r="AJ3576" s="2">
        <f t="shared" si="437"/>
        <v>0</v>
      </c>
      <c r="AK3576" s="2">
        <f t="shared" si="442"/>
        <v>180</v>
      </c>
      <c r="AL3576" s="5">
        <f t="shared" si="441"/>
        <v>1</v>
      </c>
    </row>
    <row r="3577" spans="1:38" hidden="1" x14ac:dyDescent="0.2">
      <c r="A3577" s="2">
        <v>2026</v>
      </c>
      <c r="B3577" s="2">
        <v>3</v>
      </c>
      <c r="D3577" s="2" t="s">
        <v>2057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0"/>
        <v>1</v>
      </c>
      <c r="Z3577" s="2" t="s">
        <v>120</v>
      </c>
      <c r="AA3577" s="2" t="s">
        <v>3392</v>
      </c>
      <c r="AF3577" s="2">
        <f t="shared" si="436"/>
        <v>0</v>
      </c>
      <c r="AJ3577" s="2">
        <f t="shared" si="437"/>
        <v>0</v>
      </c>
      <c r="AK3577" s="2">
        <f t="shared" si="442"/>
        <v>67.2</v>
      </c>
      <c r="AL3577" s="5">
        <f t="shared" si="441"/>
        <v>1</v>
      </c>
    </row>
    <row r="3578" spans="1:38" hidden="1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2783</v>
      </c>
      <c r="P3578" s="2" t="s">
        <v>115</v>
      </c>
      <c r="Q3578" s="2" t="s">
        <v>2784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0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6"/>
        <v>0</v>
      </c>
      <c r="AG3578" s="2">
        <v>6.55</v>
      </c>
      <c r="AJ3578" s="2">
        <f t="shared" si="437"/>
        <v>0</v>
      </c>
      <c r="AK3578" s="2">
        <f t="shared" si="442"/>
        <v>12.439999999999998</v>
      </c>
      <c r="AL3578" s="5">
        <f t="shared" si="441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2785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0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6"/>
        <v>0</v>
      </c>
      <c r="AG3579" s="2">
        <v>1244.2444</v>
      </c>
      <c r="AJ3579" s="2">
        <f t="shared" si="437"/>
        <v>0</v>
      </c>
      <c r="AK3579" s="2">
        <f t="shared" si="442"/>
        <v>445.75559999999996</v>
      </c>
      <c r="AL3579" s="5">
        <f t="shared" si="441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2786</v>
      </c>
      <c r="P3580" s="2" t="s">
        <v>115</v>
      </c>
      <c r="Q3580" s="2" t="s">
        <v>2305</v>
      </c>
      <c r="R3580" s="2" t="s">
        <v>2306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3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6"/>
        <v>0</v>
      </c>
      <c r="AG3580" s="2">
        <v>136.38999999999999</v>
      </c>
      <c r="AH3580" s="2">
        <v>282.11399999999998</v>
      </c>
      <c r="AJ3580" s="2">
        <f t="shared" si="437"/>
        <v>0</v>
      </c>
      <c r="AK3580" s="2">
        <f t="shared" si="442"/>
        <v>117.51000000000002</v>
      </c>
      <c r="AL3580" s="5">
        <f t="shared" si="441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2057</v>
      </c>
      <c r="G3581" s="2">
        <v>514960337</v>
      </c>
      <c r="H3581" s="2" t="s">
        <v>291</v>
      </c>
      <c r="I3581" s="2" t="s">
        <v>2787</v>
      </c>
      <c r="M3581" s="2" t="s">
        <v>40</v>
      </c>
      <c r="O3581" s="2" t="s">
        <v>2788</v>
      </c>
      <c r="P3581" s="2" t="s">
        <v>115</v>
      </c>
      <c r="Q3581" s="2" t="s">
        <v>2010</v>
      </c>
      <c r="R3581" s="2" t="s">
        <v>2011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3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6"/>
        <v>0</v>
      </c>
      <c r="AG3581" s="2">
        <v>7.9024999999999999</v>
      </c>
      <c r="AJ3581" s="2">
        <f t="shared" si="437"/>
        <v>0</v>
      </c>
      <c r="AK3581" s="2">
        <f t="shared" si="442"/>
        <v>5.43</v>
      </c>
      <c r="AL3581" s="5">
        <f t="shared" si="441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3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6"/>
        <v>0</v>
      </c>
      <c r="AG3582" s="2">
        <v>11.246700000000001</v>
      </c>
      <c r="AJ3582" s="2">
        <f t="shared" si="437"/>
        <v>0</v>
      </c>
      <c r="AK3582" s="2">
        <f t="shared" si="442"/>
        <v>9.1433</v>
      </c>
      <c r="AL3582" s="5">
        <f t="shared" si="441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2789</v>
      </c>
      <c r="G3583" s="2">
        <v>219031614</v>
      </c>
      <c r="I3583" s="2" t="s">
        <v>2207</v>
      </c>
      <c r="M3583" s="2" t="s">
        <v>40</v>
      </c>
      <c r="O3583" s="2" t="s">
        <v>2790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3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6"/>
        <v>0</v>
      </c>
      <c r="AG3583" s="2">
        <v>35.931699999999999</v>
      </c>
      <c r="AJ3583" s="2">
        <f t="shared" si="437"/>
        <v>0</v>
      </c>
      <c r="AK3583" s="2">
        <f t="shared" si="442"/>
        <v>85.316600000000008</v>
      </c>
      <c r="AL3583" s="5">
        <f t="shared" si="441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2791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3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6"/>
        <v>0</v>
      </c>
      <c r="AG3584" s="2">
        <v>5.33</v>
      </c>
      <c r="AJ3584" s="2">
        <f t="shared" si="437"/>
        <v>0</v>
      </c>
      <c r="AK3584" s="2">
        <f t="shared" si="442"/>
        <v>17.91</v>
      </c>
      <c r="AL3584" s="5">
        <f t="shared" si="441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2792</v>
      </c>
      <c r="P3585" s="2" t="s">
        <v>115</v>
      </c>
      <c r="Q3585" s="2" t="s">
        <v>2793</v>
      </c>
      <c r="R3585" s="2" t="s">
        <v>2794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3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6"/>
        <v>0</v>
      </c>
      <c r="AG3585" s="2">
        <f>20.48+0.33</f>
        <v>20.81</v>
      </c>
      <c r="AJ3585" s="2">
        <f t="shared" si="437"/>
        <v>0</v>
      </c>
      <c r="AK3585" s="2">
        <f t="shared" si="442"/>
        <v>22.2</v>
      </c>
      <c r="AL3585" s="5">
        <f t="shared" si="441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2792</v>
      </c>
      <c r="P3586" s="2" t="s">
        <v>115</v>
      </c>
      <c r="Q3586" s="2" t="s">
        <v>2795</v>
      </c>
      <c r="R3586" s="2" t="s">
        <v>2495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3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6"/>
        <v>0</v>
      </c>
      <c r="AG3586" s="2">
        <f>63.89+1.02</f>
        <v>64.91</v>
      </c>
      <c r="AJ3586" s="2">
        <f t="shared" si="437"/>
        <v>0</v>
      </c>
      <c r="AK3586" s="2">
        <f t="shared" si="442"/>
        <v>69.259999999999991</v>
      </c>
      <c r="AL3586" s="5">
        <f t="shared" si="441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3"/>
        <v>0.5</v>
      </c>
      <c r="Z3587" s="2" t="s">
        <v>118</v>
      </c>
      <c r="AA3587" s="2" t="s">
        <v>191</v>
      </c>
      <c r="AF3587" s="2">
        <f t="shared" ref="AF3587:AF3650" si="444">AJ3587</f>
        <v>0</v>
      </c>
      <c r="AG3587" s="2">
        <f>W3587</f>
        <v>100</v>
      </c>
      <c r="AJ3587" s="2">
        <f t="shared" ref="AJ3587:AJ3650" si="445">AI3587*T3587</f>
        <v>0</v>
      </c>
      <c r="AK3587" s="2">
        <f t="shared" si="442"/>
        <v>100</v>
      </c>
      <c r="AL3587" s="5">
        <f t="shared" si="441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2484</v>
      </c>
      <c r="J3588" s="2" t="s">
        <v>3132</v>
      </c>
      <c r="K3588" s="2">
        <v>965864665</v>
      </c>
      <c r="L3588" s="2" t="s">
        <v>345</v>
      </c>
      <c r="M3588" s="2" t="s">
        <v>40</v>
      </c>
      <c r="O3588" s="2" t="s">
        <v>2796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3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4"/>
        <v>0</v>
      </c>
      <c r="AG3588" s="2">
        <v>183.26</v>
      </c>
      <c r="AJ3588" s="2">
        <f t="shared" si="445"/>
        <v>0</v>
      </c>
      <c r="AK3588" s="2">
        <f t="shared" si="442"/>
        <v>151.26999999999998</v>
      </c>
      <c r="AL3588" s="5">
        <f t="shared" si="441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2797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6">23.042*S3589</f>
        <v>46.084000000000003</v>
      </c>
      <c r="X3589" s="5">
        <f t="shared" si="443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4"/>
        <v>0</v>
      </c>
      <c r="AG3589" s="2">
        <v>22.2</v>
      </c>
      <c r="AJ3589" s="2">
        <f t="shared" si="445"/>
        <v>0</v>
      </c>
      <c r="AK3589" s="2">
        <f t="shared" si="442"/>
        <v>51.816000000000003</v>
      </c>
      <c r="AL3589" s="5">
        <f t="shared" si="441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2798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6"/>
        <v>23.042000000000002</v>
      </c>
      <c r="X3590" s="5">
        <f t="shared" si="443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4"/>
        <v>0</v>
      </c>
      <c r="AG3590" s="2">
        <v>22.2</v>
      </c>
      <c r="AJ3590" s="2">
        <f t="shared" si="445"/>
        <v>0</v>
      </c>
      <c r="AK3590" s="2">
        <f t="shared" si="442"/>
        <v>25.908000000000001</v>
      </c>
      <c r="AL3590" s="5">
        <f t="shared" si="441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2799</v>
      </c>
      <c r="R3591" s="2" t="s">
        <v>2800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3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4"/>
        <v>0</v>
      </c>
      <c r="AG3591" s="2">
        <f>249.84+4</f>
        <v>253.84</v>
      </c>
      <c r="AJ3591" s="2">
        <f t="shared" si="445"/>
        <v>0</v>
      </c>
      <c r="AK3591" s="2">
        <f t="shared" si="442"/>
        <v>270.81999999999994</v>
      </c>
      <c r="AL3591" s="5">
        <f t="shared" si="441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2327</v>
      </c>
      <c r="M3592" s="2" t="s">
        <v>40</v>
      </c>
      <c r="O3592" s="2" t="s">
        <v>2801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3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4"/>
        <v>0</v>
      </c>
      <c r="AG3592" s="2">
        <v>30.22</v>
      </c>
      <c r="AJ3592" s="2">
        <f t="shared" si="445"/>
        <v>0</v>
      </c>
      <c r="AK3592" s="2">
        <f t="shared" si="442"/>
        <v>33.24</v>
      </c>
      <c r="AL3592" s="5">
        <f t="shared" si="441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2774</v>
      </c>
      <c r="M3593" s="2" t="s">
        <v>40</v>
      </c>
      <c r="O3593" s="2" t="s">
        <v>2802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3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4"/>
        <v>0</v>
      </c>
      <c r="AG3593" s="2">
        <v>342.22</v>
      </c>
      <c r="AJ3593" s="2">
        <f t="shared" si="445"/>
        <v>0</v>
      </c>
      <c r="AK3593" s="2">
        <f t="shared" si="442"/>
        <v>354.09659999999997</v>
      </c>
      <c r="AL3593" s="5">
        <f t="shared" si="441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2803</v>
      </c>
      <c r="M3594" s="2" t="s">
        <v>40</v>
      </c>
      <c r="O3594" s="2" t="s">
        <v>2804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3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4"/>
        <v>0</v>
      </c>
      <c r="AG3594" s="2">
        <v>342.22</v>
      </c>
      <c r="AJ3594" s="2">
        <f t="shared" si="445"/>
        <v>0</v>
      </c>
      <c r="AK3594" s="2">
        <f t="shared" si="442"/>
        <v>354.09659999999997</v>
      </c>
      <c r="AL3594" s="5">
        <f t="shared" si="441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2805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2806</v>
      </c>
      <c r="J3595" s="2" t="s">
        <v>2807</v>
      </c>
      <c r="L3595" s="2" t="s">
        <v>202</v>
      </c>
      <c r="M3595" s="2" t="s">
        <v>40</v>
      </c>
      <c r="O3595" s="2" t="s">
        <v>2808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3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4"/>
        <v>0</v>
      </c>
      <c r="AG3595" s="2">
        <v>342.22</v>
      </c>
      <c r="AJ3595" s="2">
        <f t="shared" si="445"/>
        <v>0</v>
      </c>
      <c r="AK3595" s="2">
        <f t="shared" si="442"/>
        <v>354.09659999999997</v>
      </c>
      <c r="AL3595" s="5">
        <f t="shared" si="441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2809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3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4"/>
        <v>0</v>
      </c>
      <c r="AJ3596" s="2">
        <f t="shared" si="445"/>
        <v>0</v>
      </c>
      <c r="AK3596" s="2">
        <f t="shared" si="442"/>
        <v>352.72999999999996</v>
      </c>
      <c r="AL3596" s="5">
        <f t="shared" si="441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2612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2613</v>
      </c>
      <c r="K3597" s="2">
        <v>935402550</v>
      </c>
      <c r="L3597" s="2" t="s">
        <v>113</v>
      </c>
      <c r="M3597" s="2" t="s">
        <v>40</v>
      </c>
      <c r="O3597" s="2" t="s">
        <v>2614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3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4"/>
        <v>0</v>
      </c>
      <c r="AG3597" s="2">
        <v>346.57</v>
      </c>
      <c r="AJ3597" s="2">
        <f t="shared" si="445"/>
        <v>0</v>
      </c>
      <c r="AK3597" s="2">
        <f t="shared" si="442"/>
        <v>352.72999999999996</v>
      </c>
      <c r="AL3597" s="5">
        <f t="shared" si="441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2615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2616</v>
      </c>
      <c r="J3598" s="2" t="s">
        <v>2617</v>
      </c>
      <c r="K3598" s="2">
        <v>912183782</v>
      </c>
      <c r="L3598" s="2" t="s">
        <v>202</v>
      </c>
      <c r="M3598" s="2" t="s">
        <v>40</v>
      </c>
      <c r="O3598" s="2" t="s">
        <v>2618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3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4"/>
        <v>0</v>
      </c>
      <c r="AG3598" s="2">
        <v>346.57</v>
      </c>
      <c r="AJ3598" s="2">
        <f t="shared" si="445"/>
        <v>0</v>
      </c>
      <c r="AK3598" s="2">
        <f t="shared" si="442"/>
        <v>352.72999999999996</v>
      </c>
      <c r="AL3598" s="5">
        <f t="shared" si="441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2622</v>
      </c>
      <c r="M3599" s="2" t="s">
        <v>40</v>
      </c>
      <c r="O3599" s="2" t="s">
        <v>2810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3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4"/>
        <v>0</v>
      </c>
      <c r="AJ3599" s="2">
        <f t="shared" si="445"/>
        <v>0</v>
      </c>
      <c r="AK3599" s="2">
        <f t="shared" si="442"/>
        <v>352.72999999999996</v>
      </c>
      <c r="AL3599" s="5">
        <f t="shared" si="441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2783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3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4"/>
        <v>0</v>
      </c>
      <c r="AJ3600" s="2">
        <f t="shared" si="445"/>
        <v>0</v>
      </c>
      <c r="AK3600" s="2">
        <f t="shared" si="442"/>
        <v>229.38000000000005</v>
      </c>
      <c r="AL3600" s="5">
        <f t="shared" si="441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2811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3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4"/>
        <v>0</v>
      </c>
      <c r="AG3601" s="2">
        <f>167.92</f>
        <v>167.92</v>
      </c>
      <c r="AJ3601" s="2">
        <f t="shared" si="445"/>
        <v>0</v>
      </c>
      <c r="AK3601" s="2">
        <f t="shared" si="442"/>
        <v>188.89000000000001</v>
      </c>
      <c r="AL3601" s="5">
        <f t="shared" si="441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2803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3"/>
        <v>0.6</v>
      </c>
      <c r="Z3602" s="2" t="s">
        <v>118</v>
      </c>
      <c r="AA3602" s="2" t="s">
        <v>191</v>
      </c>
      <c r="AF3602" s="2">
        <f t="shared" si="444"/>
        <v>0</v>
      </c>
      <c r="AG3602" s="2">
        <f>W3602</f>
        <v>36.800000000000004</v>
      </c>
      <c r="AJ3602" s="2">
        <f t="shared" si="445"/>
        <v>0</v>
      </c>
      <c r="AK3602" s="2">
        <f t="shared" si="442"/>
        <v>55.199999999999996</v>
      </c>
      <c r="AL3602" s="5">
        <f t="shared" si="441"/>
        <v>0.6</v>
      </c>
    </row>
    <row r="3603" spans="1:38" hidden="1" x14ac:dyDescent="0.2">
      <c r="A3603" s="2">
        <v>2026</v>
      </c>
      <c r="B3603" s="2">
        <v>4</v>
      </c>
      <c r="D3603" s="2" t="s">
        <v>2291</v>
      </c>
      <c r="M3603" s="2" t="s">
        <v>40</v>
      </c>
      <c r="O3603" s="2" t="s">
        <v>2812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3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4"/>
        <v>0</v>
      </c>
      <c r="AG3603" s="2">
        <f>231.78+0.96</f>
        <v>232.74</v>
      </c>
      <c r="AJ3603" s="2">
        <f t="shared" si="445"/>
        <v>0</v>
      </c>
      <c r="AK3603" s="2">
        <f t="shared" si="442"/>
        <v>256.08</v>
      </c>
      <c r="AL3603" s="5">
        <f t="shared" si="441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2611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3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4"/>
        <v>0</v>
      </c>
      <c r="AG3604" s="2">
        <v>565.755</v>
      </c>
      <c r="AJ3604" s="2">
        <f t="shared" si="445"/>
        <v>0</v>
      </c>
      <c r="AK3604" s="2">
        <f t="shared" si="442"/>
        <v>1279.1445000000001</v>
      </c>
      <c r="AL3604" s="5">
        <f t="shared" si="441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2813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3"/>
        <v>0.66809046530951399</v>
      </c>
      <c r="Z3605" s="2" t="s">
        <v>118</v>
      </c>
      <c r="AF3605" s="2">
        <f t="shared" si="444"/>
        <v>0</v>
      </c>
      <c r="AG3605" s="2">
        <v>255.65</v>
      </c>
      <c r="AJ3605" s="2">
        <f t="shared" si="445"/>
        <v>0</v>
      </c>
      <c r="AK3605" s="2">
        <f t="shared" si="442"/>
        <v>514.59</v>
      </c>
      <c r="AL3605" s="5">
        <f t="shared" si="441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2814</v>
      </c>
      <c r="P3606" s="2" t="s">
        <v>115</v>
      </c>
      <c r="Q3606" s="2" t="s">
        <v>2494</v>
      </c>
      <c r="R3606" s="2" t="s">
        <v>2495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3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4"/>
        <v>0</v>
      </c>
      <c r="AG3606" s="2">
        <v>102.88249999999999</v>
      </c>
      <c r="AJ3606" s="2">
        <f t="shared" si="445"/>
        <v>0</v>
      </c>
      <c r="AK3606" s="2">
        <f t="shared" si="442"/>
        <v>112.075</v>
      </c>
      <c r="AL3606" s="5">
        <f t="shared" si="441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2811</v>
      </c>
      <c r="P3607" s="2" t="s">
        <v>115</v>
      </c>
      <c r="Q3607" s="2" t="s">
        <v>2815</v>
      </c>
      <c r="R3607" s="2" t="s">
        <v>2816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3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4"/>
        <v>0</v>
      </c>
      <c r="AG3607" s="2">
        <v>42.436799999999998</v>
      </c>
      <c r="AJ3607" s="2">
        <f t="shared" si="445"/>
        <v>0</v>
      </c>
      <c r="AK3607" s="2">
        <f t="shared" si="442"/>
        <v>46.603200000000008</v>
      </c>
      <c r="AL3607" s="5">
        <f t="shared" si="441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2817</v>
      </c>
      <c r="R3608" s="2" t="s">
        <v>2818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3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4"/>
        <v>0</v>
      </c>
      <c r="AG3608" s="2">
        <v>42.436799999999998</v>
      </c>
      <c r="AJ3608" s="2">
        <f t="shared" si="445"/>
        <v>0</v>
      </c>
      <c r="AK3608" s="2">
        <f t="shared" si="442"/>
        <v>11.613199999999999</v>
      </c>
      <c r="AL3608" s="5">
        <f t="shared" si="441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2792</v>
      </c>
      <c r="P3609" s="2" t="s">
        <v>115</v>
      </c>
      <c r="Q3609" s="2" t="s">
        <v>2819</v>
      </c>
      <c r="R3609" s="2" t="s">
        <v>2820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3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4"/>
        <v>0</v>
      </c>
      <c r="AG3609" s="2">
        <f>15.49+0.25</f>
        <v>15.74</v>
      </c>
      <c r="AJ3609" s="2">
        <f t="shared" si="445"/>
        <v>0</v>
      </c>
      <c r="AK3609" s="2">
        <f t="shared" si="442"/>
        <v>16.79</v>
      </c>
      <c r="AL3609" s="5">
        <f t="shared" si="441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2821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3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4"/>
        <v>0</v>
      </c>
      <c r="AG3610" s="2">
        <v>21.32</v>
      </c>
      <c r="AJ3610" s="2">
        <f t="shared" si="445"/>
        <v>0</v>
      </c>
      <c r="AK3610" s="2">
        <f t="shared" si="442"/>
        <v>25.270000000000003</v>
      </c>
      <c r="AL3610" s="5">
        <f t="shared" si="441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2822</v>
      </c>
      <c r="P3611" s="2" t="s">
        <v>115</v>
      </c>
      <c r="Q3611" s="2" t="s">
        <v>2823</v>
      </c>
      <c r="R3611" s="2" t="s">
        <v>2824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3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4"/>
        <v>0</v>
      </c>
      <c r="AG3611" s="2">
        <v>19.5167</v>
      </c>
      <c r="AJ3611" s="2">
        <f t="shared" si="445"/>
        <v>0</v>
      </c>
      <c r="AK3611" s="2">
        <f t="shared" si="442"/>
        <v>21.823300000000003</v>
      </c>
      <c r="AL3611" s="5">
        <f t="shared" si="441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2825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4"/>
        <v>0</v>
      </c>
      <c r="AJ3612" s="2">
        <f t="shared" si="445"/>
        <v>0</v>
      </c>
      <c r="AK3612" s="2">
        <f t="shared" si="442"/>
        <v>-83.46</v>
      </c>
      <c r="AL3612" s="5">
        <f t="shared" si="441"/>
        <v>1</v>
      </c>
    </row>
    <row r="3613" spans="1:38" hidden="1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7">(T3613-W3613)/T3613</f>
        <v>1</v>
      </c>
      <c r="Z3613" s="2" t="s">
        <v>118</v>
      </c>
      <c r="AF3613" s="2">
        <f t="shared" si="444"/>
        <v>0</v>
      </c>
      <c r="AJ3613" s="2">
        <f t="shared" si="445"/>
        <v>0</v>
      </c>
      <c r="AK3613" s="2">
        <f t="shared" si="442"/>
        <v>140.24</v>
      </c>
      <c r="AL3613" s="5">
        <f t="shared" si="441"/>
        <v>1</v>
      </c>
    </row>
    <row r="3614" spans="1:38" hidden="1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1910</v>
      </c>
      <c r="R3614" s="2" t="s">
        <v>1911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7"/>
        <v>1</v>
      </c>
      <c r="Z3614" s="2" t="s">
        <v>118</v>
      </c>
      <c r="AF3614" s="2">
        <f t="shared" si="444"/>
        <v>0</v>
      </c>
      <c r="AJ3614" s="2">
        <f t="shared" si="445"/>
        <v>0</v>
      </c>
      <c r="AK3614" s="2">
        <f t="shared" si="442"/>
        <v>1031.94</v>
      </c>
      <c r="AL3614" s="5">
        <f t="shared" si="441"/>
        <v>1</v>
      </c>
    </row>
    <row r="3615" spans="1:38" hidden="1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2510</v>
      </c>
      <c r="R3615" s="2" t="s">
        <v>2511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7"/>
        <v>1</v>
      </c>
      <c r="Z3615" s="2" t="s">
        <v>118</v>
      </c>
      <c r="AF3615" s="2">
        <f t="shared" si="444"/>
        <v>0</v>
      </c>
      <c r="AJ3615" s="2">
        <f t="shared" si="445"/>
        <v>0</v>
      </c>
      <c r="AK3615" s="2">
        <f t="shared" si="442"/>
        <v>1594.72</v>
      </c>
      <c r="AL3615" s="5">
        <f t="shared" si="441"/>
        <v>1</v>
      </c>
    </row>
    <row r="3616" spans="1:38" hidden="1" x14ac:dyDescent="0.2">
      <c r="A3616" s="2">
        <v>2026</v>
      </c>
      <c r="B3616" s="2">
        <v>4</v>
      </c>
      <c r="C3616" s="2" t="s">
        <v>3330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7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4"/>
        <v>0</v>
      </c>
      <c r="AJ3616" s="2">
        <f t="shared" si="445"/>
        <v>0</v>
      </c>
      <c r="AK3616" s="2">
        <f t="shared" si="442"/>
        <v>5320.6</v>
      </c>
      <c r="AL3616" s="5">
        <f t="shared" si="441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3270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2654</v>
      </c>
      <c r="L3617" s="2" t="s">
        <v>399</v>
      </c>
      <c r="M3617" s="2" t="s">
        <v>40</v>
      </c>
      <c r="O3617" s="2" t="s">
        <v>3271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7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4"/>
        <v>0</v>
      </c>
      <c r="AJ3617" s="2">
        <f t="shared" si="445"/>
        <v>0</v>
      </c>
      <c r="AK3617" s="2">
        <f t="shared" si="442"/>
        <v>4004.8500000000004</v>
      </c>
      <c r="AL3617" s="5">
        <f t="shared" si="441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3330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7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44"/>
        <v>0</v>
      </c>
      <c r="AG3618" s="2">
        <f>6193.4+275.33</f>
        <v>6468.73</v>
      </c>
      <c r="AJ3618" s="2">
        <f t="shared" si="445"/>
        <v>0</v>
      </c>
      <c r="AK3618" s="2">
        <f t="shared" si="442"/>
        <v>2461.2700000000004</v>
      </c>
      <c r="AL3618" s="5">
        <f t="shared" si="441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2826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7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44"/>
        <v>0</v>
      </c>
      <c r="AG3619" s="2">
        <v>6468.73</v>
      </c>
      <c r="AJ3619" s="2">
        <f t="shared" si="445"/>
        <v>0</v>
      </c>
      <c r="AK3619" s="2">
        <f t="shared" si="442"/>
        <v>2461.2700000000004</v>
      </c>
      <c r="AL3619" s="5">
        <f t="shared" si="441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3330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7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4"/>
        <v>0</v>
      </c>
      <c r="AG3620" s="2">
        <f>4893.23+171</f>
        <v>5064.2299999999996</v>
      </c>
      <c r="AJ3620" s="2">
        <f t="shared" si="445"/>
        <v>0</v>
      </c>
      <c r="AK3620" s="2">
        <f t="shared" si="442"/>
        <v>2275.7700000000004</v>
      </c>
      <c r="AL3620" s="5">
        <f t="shared" si="441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2827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7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4"/>
        <v>0</v>
      </c>
      <c r="AG3621" s="2">
        <f>4893.23+171</f>
        <v>5064.2299999999996</v>
      </c>
      <c r="AJ3621" s="2">
        <f t="shared" si="445"/>
        <v>0</v>
      </c>
      <c r="AK3621" s="2">
        <f t="shared" si="442"/>
        <v>1925.7700000000004</v>
      </c>
      <c r="AL3621" s="5">
        <f t="shared" si="441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2057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2787</v>
      </c>
      <c r="J3622" s="2" t="s">
        <v>2828</v>
      </c>
      <c r="K3622" s="2">
        <v>914732950</v>
      </c>
      <c r="L3622" s="2" t="s">
        <v>481</v>
      </c>
      <c r="M3622" s="2" t="s">
        <v>40</v>
      </c>
      <c r="O3622" s="2" t="s">
        <v>2829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7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44"/>
        <v>0</v>
      </c>
      <c r="AG3622" s="2">
        <v>10.15</v>
      </c>
      <c r="AJ3622" s="2">
        <f t="shared" si="445"/>
        <v>0</v>
      </c>
      <c r="AK3622" s="2">
        <f t="shared" si="442"/>
        <v>58.71</v>
      </c>
      <c r="AL3622" s="5">
        <f t="shared" si="441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2830</v>
      </c>
      <c r="R3623" s="2" t="s">
        <v>2831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7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44"/>
        <v>0</v>
      </c>
      <c r="AJ3623" s="2">
        <f t="shared" si="445"/>
        <v>0</v>
      </c>
      <c r="AK3623" s="2">
        <f t="shared" si="442"/>
        <v>9215</v>
      </c>
      <c r="AL3623" s="5">
        <f t="shared" si="441"/>
        <v>1</v>
      </c>
    </row>
    <row r="3624" spans="1:38" hidden="1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2832</v>
      </c>
      <c r="J3624" s="2" t="s">
        <v>2833</v>
      </c>
      <c r="L3624" s="2" t="s">
        <v>113</v>
      </c>
      <c r="M3624" s="2" t="s">
        <v>110</v>
      </c>
      <c r="O3624" s="2" t="s">
        <v>2834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7"/>
        <v>0.50380622837370237</v>
      </c>
      <c r="Z3624" s="2" t="s">
        <v>3237</v>
      </c>
      <c r="AA3624" s="2" t="s">
        <v>72</v>
      </c>
      <c r="AB3624" s="2" t="s">
        <v>120</v>
      </c>
      <c r="AC3624" s="2" t="s">
        <v>120</v>
      </c>
      <c r="AF3624" s="2">
        <f t="shared" si="444"/>
        <v>0</v>
      </c>
      <c r="AG3624" s="2">
        <v>14.34</v>
      </c>
      <c r="AJ3624" s="2">
        <f t="shared" si="445"/>
        <v>0</v>
      </c>
      <c r="AK3624" s="2">
        <f t="shared" si="442"/>
        <v>29.119999999999997</v>
      </c>
      <c r="AL3624" s="5">
        <f t="shared" si="441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2835</v>
      </c>
      <c r="R3625" s="2" t="s">
        <v>2836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7"/>
        <v>1</v>
      </c>
      <c r="Z3625" s="2" t="s">
        <v>3237</v>
      </c>
      <c r="AA3625" s="2" t="s">
        <v>579</v>
      </c>
      <c r="AB3625" s="2" t="s">
        <v>120</v>
      </c>
      <c r="AC3625" s="2" t="s">
        <v>1331</v>
      </c>
      <c r="AF3625" s="2">
        <f t="shared" si="444"/>
        <v>0</v>
      </c>
      <c r="AJ3625" s="2">
        <f t="shared" si="445"/>
        <v>0</v>
      </c>
      <c r="AK3625" s="2">
        <f t="shared" si="442"/>
        <v>11.2</v>
      </c>
      <c r="AL3625" s="5">
        <f t="shared" si="441"/>
        <v>1</v>
      </c>
    </row>
    <row r="3626" spans="1:38" hidden="1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2837</v>
      </c>
      <c r="R3626" s="2" t="s">
        <v>2838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7"/>
        <v>1</v>
      </c>
      <c r="Z3626" s="2" t="s">
        <v>3237</v>
      </c>
      <c r="AA3626" s="2" t="s">
        <v>579</v>
      </c>
      <c r="AB3626" s="2" t="s">
        <v>120</v>
      </c>
      <c r="AC3626" s="2" t="s">
        <v>1331</v>
      </c>
      <c r="AF3626" s="2">
        <f t="shared" si="444"/>
        <v>0</v>
      </c>
      <c r="AJ3626" s="2">
        <f t="shared" si="445"/>
        <v>0</v>
      </c>
      <c r="AK3626" s="2">
        <f t="shared" si="442"/>
        <v>88.8</v>
      </c>
      <c r="AL3626" s="5">
        <f t="shared" si="441"/>
        <v>1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2839</v>
      </c>
      <c r="P3627" s="2" t="s">
        <v>283</v>
      </c>
      <c r="Q3627" s="2" t="s">
        <v>1787</v>
      </c>
      <c r="R3627" s="2" t="s">
        <v>1788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7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44"/>
        <v>0</v>
      </c>
      <c r="AG3627" s="2">
        <v>1458</v>
      </c>
      <c r="AJ3627" s="2">
        <f t="shared" si="445"/>
        <v>0</v>
      </c>
      <c r="AK3627" s="2">
        <f t="shared" si="442"/>
        <v>532</v>
      </c>
      <c r="AL3627" s="5">
        <f t="shared" si="441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2840</v>
      </c>
      <c r="P3628" s="2" t="s">
        <v>283</v>
      </c>
      <c r="Q3628" s="2" t="s">
        <v>1787</v>
      </c>
      <c r="R3628" s="2" t="s">
        <v>1788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7"/>
        <v>1</v>
      </c>
      <c r="Z3628" s="2" t="s">
        <v>105</v>
      </c>
      <c r="AF3628" s="2">
        <f t="shared" si="444"/>
        <v>0</v>
      </c>
      <c r="AJ3628" s="2">
        <f t="shared" si="445"/>
        <v>0</v>
      </c>
      <c r="AK3628" s="2">
        <f t="shared" si="442"/>
        <v>1990</v>
      </c>
      <c r="AL3628" s="5">
        <f t="shared" si="441"/>
        <v>1</v>
      </c>
    </row>
    <row r="3629" spans="1:38" hidden="1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1787</v>
      </c>
      <c r="R3629" s="2" t="s">
        <v>1788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7"/>
        <v>1</v>
      </c>
      <c r="Z3629" s="2" t="s">
        <v>105</v>
      </c>
      <c r="AF3629" s="2">
        <f t="shared" si="444"/>
        <v>0</v>
      </c>
      <c r="AJ3629" s="2">
        <f t="shared" si="445"/>
        <v>0</v>
      </c>
      <c r="AK3629" s="2">
        <f t="shared" si="442"/>
        <v>1791</v>
      </c>
      <c r="AL3629" s="5">
        <f t="shared" si="441"/>
        <v>1</v>
      </c>
    </row>
    <row r="3630" spans="1:38" hidden="1" x14ac:dyDescent="0.2">
      <c r="A3630" s="2">
        <v>2026</v>
      </c>
      <c r="B3630" s="2">
        <v>4</v>
      </c>
      <c r="D3630" s="2" t="s">
        <v>2760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2761</v>
      </c>
      <c r="J3630" s="2" t="s">
        <v>2762</v>
      </c>
      <c r="K3630" s="2">
        <v>962332957</v>
      </c>
      <c r="L3630" s="2" t="s">
        <v>113</v>
      </c>
      <c r="M3630" s="2" t="s">
        <v>110</v>
      </c>
      <c r="O3630" s="2" t="s">
        <v>2841</v>
      </c>
      <c r="P3630" s="2" t="s">
        <v>283</v>
      </c>
      <c r="Q3630" s="2" t="s">
        <v>1787</v>
      </c>
      <c r="R3630" s="2" t="s">
        <v>1788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7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44"/>
        <v>0</v>
      </c>
      <c r="AG3630" s="2">
        <v>1458</v>
      </c>
      <c r="AJ3630" s="2">
        <f t="shared" si="445"/>
        <v>0</v>
      </c>
      <c r="AK3630" s="2">
        <f t="shared" si="442"/>
        <v>532</v>
      </c>
      <c r="AL3630" s="5">
        <f t="shared" si="441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2839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7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44"/>
        <v>0</v>
      </c>
      <c r="AG3631" s="2">
        <v>1578</v>
      </c>
      <c r="AJ3631" s="2">
        <f t="shared" si="445"/>
        <v>0</v>
      </c>
      <c r="AK3631" s="2">
        <f t="shared" si="442"/>
        <v>412</v>
      </c>
      <c r="AL3631" s="5">
        <f t="shared" ref="AL3631:AL3699" si="448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7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44"/>
        <v>0</v>
      </c>
      <c r="AJ3632" s="2">
        <f t="shared" si="445"/>
        <v>0</v>
      </c>
      <c r="AK3632" s="2">
        <f t="shared" si="442"/>
        <v>357</v>
      </c>
      <c r="AL3632" s="5">
        <f t="shared" si="448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1580</v>
      </c>
      <c r="E3633" s="2" t="s">
        <v>754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7"/>
        <v>1</v>
      </c>
      <c r="Z3633" s="2" t="s">
        <v>105</v>
      </c>
      <c r="AA3633" s="2" t="s">
        <v>1581</v>
      </c>
      <c r="AB3633" s="2" t="s">
        <v>389</v>
      </c>
      <c r="AC3633" s="2" t="s">
        <v>1331</v>
      </c>
      <c r="AF3633" s="2">
        <f t="shared" si="444"/>
        <v>0</v>
      </c>
      <c r="AJ3633" s="2">
        <f t="shared" si="445"/>
        <v>0</v>
      </c>
      <c r="AK3633" s="2">
        <f t="shared" si="442"/>
        <v>250</v>
      </c>
      <c r="AL3633" s="5">
        <f t="shared" si="448"/>
        <v>1</v>
      </c>
    </row>
    <row r="3634" spans="1:38" hidden="1" x14ac:dyDescent="0.2">
      <c r="A3634" s="2">
        <v>2026</v>
      </c>
      <c r="B3634" s="2">
        <v>4</v>
      </c>
      <c r="D3634" s="2" t="s">
        <v>2842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2843</v>
      </c>
      <c r="J3634" s="2" t="s">
        <v>2844</v>
      </c>
      <c r="K3634" s="2">
        <v>918896903</v>
      </c>
      <c r="L3634" s="2" t="s">
        <v>100</v>
      </c>
      <c r="M3634" s="2" t="s">
        <v>41</v>
      </c>
      <c r="O3634" s="2" t="s">
        <v>2845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7"/>
        <v>0.22680412371134015</v>
      </c>
      <c r="Z3634" s="2" t="s">
        <v>3237</v>
      </c>
      <c r="AA3634" s="2" t="s">
        <v>72</v>
      </c>
      <c r="AB3634" s="2" t="s">
        <v>120</v>
      </c>
      <c r="AC3634" s="2" t="s">
        <v>120</v>
      </c>
      <c r="AF3634" s="2">
        <f t="shared" si="444"/>
        <v>0</v>
      </c>
      <c r="AG3634" s="2">
        <v>299.25</v>
      </c>
      <c r="AJ3634" s="2">
        <f t="shared" si="445"/>
        <v>0</v>
      </c>
      <c r="AK3634" s="2">
        <f t="shared" si="442"/>
        <v>87.779999999999973</v>
      </c>
      <c r="AL3634" s="5">
        <f t="shared" si="448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2842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2843</v>
      </c>
      <c r="J3635" s="2" t="s">
        <v>2844</v>
      </c>
      <c r="K3635" s="2">
        <v>918896903</v>
      </c>
      <c r="L3635" s="2" t="s">
        <v>100</v>
      </c>
      <c r="M3635" s="2" t="s">
        <v>41</v>
      </c>
      <c r="O3635" s="2" t="s">
        <v>2845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7"/>
        <v>0.38144329896907209</v>
      </c>
      <c r="Z3635" s="2" t="s">
        <v>3237</v>
      </c>
      <c r="AA3635" s="2" t="s">
        <v>72</v>
      </c>
      <c r="AB3635" s="2" t="s">
        <v>120</v>
      </c>
      <c r="AC3635" s="2" t="s">
        <v>120</v>
      </c>
      <c r="AF3635" s="2">
        <f t="shared" si="444"/>
        <v>0</v>
      </c>
      <c r="AG3635" s="2">
        <v>77.400000000000006</v>
      </c>
      <c r="AJ3635" s="2">
        <f t="shared" si="445"/>
        <v>0</v>
      </c>
      <c r="AK3635" s="2">
        <f t="shared" si="442"/>
        <v>47.72999999999999</v>
      </c>
      <c r="AL3635" s="5">
        <f t="shared" si="448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2529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3237</v>
      </c>
      <c r="AA3636" s="2" t="s">
        <v>46</v>
      </c>
      <c r="AB3636" s="2" t="s">
        <v>61</v>
      </c>
      <c r="AC3636" s="2" t="s">
        <v>3343</v>
      </c>
      <c r="AF3636" s="2">
        <f t="shared" si="444"/>
        <v>0</v>
      </c>
      <c r="AJ3636" s="2">
        <f t="shared" si="445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3237</v>
      </c>
      <c r="AA3637" s="2" t="s">
        <v>46</v>
      </c>
      <c r="AB3637" s="2" t="s">
        <v>61</v>
      </c>
      <c r="AC3637" s="2" t="s">
        <v>3343</v>
      </c>
      <c r="AF3637" s="2">
        <f t="shared" si="444"/>
        <v>0</v>
      </c>
      <c r="AJ3637" s="2">
        <f t="shared" si="445"/>
        <v>0</v>
      </c>
      <c r="AK3637" s="2">
        <f t="shared" si="442"/>
        <v>109.80200000000002</v>
      </c>
      <c r="AL3637" s="5">
        <f t="shared" si="448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2529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3237</v>
      </c>
      <c r="AA3638" s="2" t="s">
        <v>46</v>
      </c>
      <c r="AB3638" s="2" t="s">
        <v>61</v>
      </c>
      <c r="AC3638" s="2" t="s">
        <v>3343</v>
      </c>
      <c r="AF3638" s="2">
        <f t="shared" si="444"/>
        <v>0</v>
      </c>
      <c r="AJ3638" s="2">
        <f t="shared" si="445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hidden="1" x14ac:dyDescent="0.2">
      <c r="A3639" s="2">
        <v>2026</v>
      </c>
      <c r="B3639" s="2">
        <v>4</v>
      </c>
      <c r="D3639" s="2" t="s">
        <v>2846</v>
      </c>
      <c r="E3639" s="2" t="s">
        <v>38</v>
      </c>
      <c r="G3639" s="2">
        <v>184822033</v>
      </c>
      <c r="I3639" s="2" t="s">
        <v>2847</v>
      </c>
      <c r="L3639" s="2" t="s">
        <v>462</v>
      </c>
      <c r="M3639" s="2" t="s">
        <v>110</v>
      </c>
      <c r="O3639" s="2" t="s">
        <v>2848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9">(T3639-W3639)/T3639</f>
        <v>0.42321428571428571</v>
      </c>
      <c r="Z3639" s="2" t="s">
        <v>3237</v>
      </c>
      <c r="AA3639" s="2" t="s">
        <v>46</v>
      </c>
      <c r="AB3639" s="2" t="s">
        <v>47</v>
      </c>
      <c r="AC3639" s="2" t="s">
        <v>48</v>
      </c>
      <c r="AF3639" s="2">
        <f t="shared" si="444"/>
        <v>0</v>
      </c>
      <c r="AG3639" s="2">
        <v>14.535</v>
      </c>
      <c r="AH3639" s="2">
        <v>25.2</v>
      </c>
      <c r="AJ3639" s="2">
        <f t="shared" si="445"/>
        <v>0</v>
      </c>
      <c r="AK3639" s="2">
        <f t="shared" ref="AK3639:AK3701" si="450">T3639-W3639</f>
        <v>10.664999999999999</v>
      </c>
      <c r="AL3639" s="5">
        <f t="shared" si="448"/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2849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9"/>
        <v>0.52380952380952384</v>
      </c>
      <c r="Z3640" s="2" t="s">
        <v>3237</v>
      </c>
      <c r="AA3640" s="2" t="s">
        <v>46</v>
      </c>
      <c r="AB3640" s="2" t="s">
        <v>47</v>
      </c>
      <c r="AC3640" s="2" t="s">
        <v>48</v>
      </c>
      <c r="AF3640" s="2">
        <f t="shared" si="444"/>
        <v>0</v>
      </c>
      <c r="AG3640" s="2">
        <v>10</v>
      </c>
      <c r="AH3640" s="2">
        <v>21</v>
      </c>
      <c r="AJ3640" s="2">
        <f t="shared" si="445"/>
        <v>0</v>
      </c>
      <c r="AK3640" s="2">
        <f t="shared" si="450"/>
        <v>11</v>
      </c>
      <c r="AL3640" s="5">
        <f t="shared" si="448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2846</v>
      </c>
      <c r="E3641" s="2" t="s">
        <v>38</v>
      </c>
      <c r="G3641" s="2">
        <v>184822033</v>
      </c>
      <c r="I3641" s="2" t="s">
        <v>2850</v>
      </c>
      <c r="L3641" s="2" t="s">
        <v>462</v>
      </c>
      <c r="M3641" s="2" t="s">
        <v>110</v>
      </c>
      <c r="O3641" s="2" t="s">
        <v>2851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49"/>
        <v>0.4919047619047619</v>
      </c>
      <c r="Z3641" s="2" t="s">
        <v>3237</v>
      </c>
      <c r="AA3641" s="2" t="s">
        <v>46</v>
      </c>
      <c r="AB3641" s="2" t="s">
        <v>47</v>
      </c>
      <c r="AC3641" s="2" t="s">
        <v>48</v>
      </c>
      <c r="AF3641" s="2">
        <f t="shared" si="444"/>
        <v>0</v>
      </c>
      <c r="AG3641" s="2">
        <v>10.67</v>
      </c>
      <c r="AH3641" s="2">
        <v>21</v>
      </c>
      <c r="AJ3641" s="2">
        <f t="shared" si="445"/>
        <v>0</v>
      </c>
      <c r="AK3641" s="2">
        <f t="shared" si="450"/>
        <v>10.33</v>
      </c>
      <c r="AL3641" s="5">
        <f t="shared" si="448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2852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9"/>
        <v>0.46762608695652175</v>
      </c>
      <c r="Z3642" s="2" t="s">
        <v>3237</v>
      </c>
      <c r="AA3642" s="2" t="s">
        <v>76</v>
      </c>
      <c r="AB3642" s="2" t="s">
        <v>77</v>
      </c>
      <c r="AC3642" s="2" t="s">
        <v>78</v>
      </c>
      <c r="AF3642" s="2">
        <f t="shared" si="444"/>
        <v>0</v>
      </c>
      <c r="AG3642" s="2">
        <v>122.446</v>
      </c>
      <c r="AH3642" s="2">
        <v>230</v>
      </c>
      <c r="AJ3642" s="2">
        <f t="shared" si="445"/>
        <v>0</v>
      </c>
      <c r="AK3642" s="2">
        <f t="shared" si="450"/>
        <v>107.554</v>
      </c>
      <c r="AL3642" s="5">
        <f t="shared" si="448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2852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9"/>
        <v>0</v>
      </c>
      <c r="Z3643" s="2" t="s">
        <v>3237</v>
      </c>
      <c r="AA3643" s="2" t="s">
        <v>97</v>
      </c>
      <c r="AB3643" s="2" t="s">
        <v>77</v>
      </c>
      <c r="AC3643" s="2" t="s">
        <v>94</v>
      </c>
      <c r="AF3643" s="2">
        <f t="shared" si="444"/>
        <v>0</v>
      </c>
      <c r="AG3643" s="2">
        <v>1.48</v>
      </c>
      <c r="AH3643" s="2">
        <v>1.48</v>
      </c>
      <c r="AJ3643" s="2">
        <f t="shared" si="445"/>
        <v>0</v>
      </c>
      <c r="AK3643" s="2">
        <f t="shared" si="450"/>
        <v>0</v>
      </c>
      <c r="AL3643" s="5">
        <f t="shared" si="448"/>
        <v>0</v>
      </c>
    </row>
    <row r="3644" spans="1:38" hidden="1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1">6.6267*S3644</f>
        <v>6.6266999999999996</v>
      </c>
      <c r="X3644" s="5">
        <f t="shared" si="449"/>
        <v>0.49025384615384621</v>
      </c>
      <c r="Z3644" s="2" t="s">
        <v>3237</v>
      </c>
      <c r="AA3644" s="2" t="s">
        <v>46</v>
      </c>
      <c r="AB3644" s="2" t="s">
        <v>47</v>
      </c>
      <c r="AC3644" s="2" t="s">
        <v>48</v>
      </c>
      <c r="AF3644" s="2">
        <f t="shared" si="444"/>
        <v>0</v>
      </c>
      <c r="AG3644" s="2">
        <v>6.6266999999999996</v>
      </c>
      <c r="AH3644" s="2">
        <v>12</v>
      </c>
      <c r="AJ3644" s="2">
        <f t="shared" si="445"/>
        <v>0</v>
      </c>
      <c r="AK3644" s="2">
        <f t="shared" si="450"/>
        <v>6.3733000000000004</v>
      </c>
      <c r="AL3644" s="5">
        <f t="shared" si="448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1"/>
        <v>19.880099999999999</v>
      </c>
      <c r="X3645" s="5">
        <f t="shared" si="449"/>
        <v>0.49025384615384621</v>
      </c>
      <c r="Z3645" s="2" t="s">
        <v>3237</v>
      </c>
      <c r="AA3645" s="2" t="s">
        <v>46</v>
      </c>
      <c r="AB3645" s="2" t="s">
        <v>47</v>
      </c>
      <c r="AC3645" s="2" t="s">
        <v>48</v>
      </c>
      <c r="AF3645" s="2">
        <f t="shared" si="444"/>
        <v>0</v>
      </c>
      <c r="AG3645" s="2">
        <v>6.6266999999999996</v>
      </c>
      <c r="AH3645" s="2">
        <v>12</v>
      </c>
      <c r="AJ3645" s="2">
        <f t="shared" si="445"/>
        <v>0</v>
      </c>
      <c r="AK3645" s="2">
        <f t="shared" si="450"/>
        <v>19.119900000000001</v>
      </c>
      <c r="AL3645" s="5">
        <f t="shared" si="448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2546</v>
      </c>
      <c r="L3646" s="2" t="s">
        <v>100</v>
      </c>
      <c r="M3646" s="2" t="s">
        <v>81</v>
      </c>
      <c r="O3646" s="2" t="s">
        <v>2853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1"/>
        <v>6.6266999999999996</v>
      </c>
      <c r="X3646" s="5">
        <f t="shared" si="449"/>
        <v>0.65485937500000002</v>
      </c>
      <c r="Z3646" s="2" t="s">
        <v>3237</v>
      </c>
      <c r="AA3646" s="2" t="s">
        <v>46</v>
      </c>
      <c r="AB3646" s="2" t="s">
        <v>47</v>
      </c>
      <c r="AC3646" s="2" t="s">
        <v>48</v>
      </c>
      <c r="AF3646" s="2">
        <f t="shared" si="444"/>
        <v>0</v>
      </c>
      <c r="AG3646" s="2">
        <v>6.6266999999999996</v>
      </c>
      <c r="AH3646" s="2">
        <v>12</v>
      </c>
      <c r="AJ3646" s="2">
        <f t="shared" si="445"/>
        <v>0</v>
      </c>
      <c r="AK3646" s="2">
        <f t="shared" si="450"/>
        <v>12.5733</v>
      </c>
      <c r="AL3646" s="5">
        <f t="shared" si="448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2854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1"/>
        <v>6.6266999999999996</v>
      </c>
      <c r="X3647" s="5">
        <f t="shared" si="449"/>
        <v>0.44777500000000003</v>
      </c>
      <c r="Z3647" s="2" t="s">
        <v>3237</v>
      </c>
      <c r="AA3647" s="2" t="s">
        <v>46</v>
      </c>
      <c r="AB3647" s="2" t="s">
        <v>47</v>
      </c>
      <c r="AC3647" s="2" t="s">
        <v>48</v>
      </c>
      <c r="AF3647" s="2">
        <f t="shared" si="444"/>
        <v>0</v>
      </c>
      <c r="AG3647" s="2">
        <v>6.6266999999999996</v>
      </c>
      <c r="AH3647" s="2">
        <v>12</v>
      </c>
      <c r="AJ3647" s="2">
        <f t="shared" si="445"/>
        <v>0</v>
      </c>
      <c r="AK3647" s="2">
        <f t="shared" si="450"/>
        <v>5.3733000000000004</v>
      </c>
      <c r="AL3647" s="5">
        <f t="shared" si="448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1"/>
        <v>13.253399999999999</v>
      </c>
      <c r="X3648" s="5">
        <f t="shared" si="449"/>
        <v>0.44777500000000003</v>
      </c>
      <c r="Z3648" s="2" t="s">
        <v>3237</v>
      </c>
      <c r="AA3648" s="2" t="s">
        <v>46</v>
      </c>
      <c r="AB3648" s="2" t="s">
        <v>47</v>
      </c>
      <c r="AC3648" s="2" t="s">
        <v>48</v>
      </c>
      <c r="AF3648" s="2">
        <f t="shared" si="444"/>
        <v>0</v>
      </c>
      <c r="AG3648" s="2">
        <v>6.6266999999999996</v>
      </c>
      <c r="AH3648" s="2">
        <v>12</v>
      </c>
      <c r="AJ3648" s="2">
        <f t="shared" si="445"/>
        <v>0</v>
      </c>
      <c r="AK3648" s="2">
        <f t="shared" si="450"/>
        <v>10.746600000000001</v>
      </c>
      <c r="AL3648" s="5">
        <f t="shared" si="448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2855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1"/>
        <v>13.253399999999999</v>
      </c>
      <c r="X3649" s="5">
        <f t="shared" si="449"/>
        <v>0.44777500000000003</v>
      </c>
      <c r="Z3649" s="2" t="s">
        <v>3237</v>
      </c>
      <c r="AA3649" s="2" t="s">
        <v>46</v>
      </c>
      <c r="AB3649" s="2" t="s">
        <v>47</v>
      </c>
      <c r="AC3649" s="2" t="s">
        <v>48</v>
      </c>
      <c r="AF3649" s="2">
        <f t="shared" si="444"/>
        <v>0</v>
      </c>
      <c r="AG3649" s="2">
        <v>6.6266999999999996</v>
      </c>
      <c r="AH3649" s="2">
        <v>12</v>
      </c>
      <c r="AJ3649" s="2">
        <f t="shared" si="445"/>
        <v>0</v>
      </c>
      <c r="AK3649" s="2">
        <f t="shared" si="450"/>
        <v>10.746600000000001</v>
      </c>
      <c r="AL3649" s="5">
        <f t="shared" si="448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49"/>
        <v>0.71491228070175439</v>
      </c>
      <c r="Z3650" s="2" t="s">
        <v>3237</v>
      </c>
      <c r="AA3650" s="2" t="s">
        <v>46</v>
      </c>
      <c r="AB3650" s="2" t="s">
        <v>47</v>
      </c>
      <c r="AC3650" s="2" t="s">
        <v>48</v>
      </c>
      <c r="AF3650" s="2">
        <f t="shared" si="444"/>
        <v>0</v>
      </c>
      <c r="AJ3650" s="2">
        <f t="shared" si="445"/>
        <v>0</v>
      </c>
      <c r="AK3650" s="2">
        <f t="shared" si="450"/>
        <v>48.900000000000006</v>
      </c>
      <c r="AL3650" s="5">
        <f t="shared" si="448"/>
        <v>0.71491228070175439</v>
      </c>
    </row>
    <row r="3651" spans="1:38" hidden="1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2">11.295*S3651</f>
        <v>11.295</v>
      </c>
      <c r="X3651" s="5">
        <f t="shared" si="449"/>
        <v>0.68624999999999992</v>
      </c>
      <c r="Z3651" s="2" t="s">
        <v>3237</v>
      </c>
      <c r="AA3651" s="2" t="s">
        <v>46</v>
      </c>
      <c r="AB3651" s="2" t="s">
        <v>47</v>
      </c>
      <c r="AC3651" s="2" t="s">
        <v>48</v>
      </c>
      <c r="AF3651" s="2">
        <f t="shared" ref="AF3651:AF3714" si="453">AJ3651</f>
        <v>0</v>
      </c>
      <c r="AJ3651" s="2">
        <f t="shared" ref="AJ3651:AJ3714" si="454">AI3651*T3651</f>
        <v>0</v>
      </c>
      <c r="AK3651" s="2">
        <f t="shared" si="450"/>
        <v>24.704999999999998</v>
      </c>
      <c r="AL3651" s="5">
        <f t="shared" si="448"/>
        <v>0.68624999999999992</v>
      </c>
    </row>
    <row r="3652" spans="1:38" hidden="1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2"/>
        <v>22.59</v>
      </c>
      <c r="X3652" s="5">
        <f t="shared" si="449"/>
        <v>0.68624999999999992</v>
      </c>
      <c r="Z3652" s="2" t="s">
        <v>3237</v>
      </c>
      <c r="AA3652" s="2" t="s">
        <v>46</v>
      </c>
      <c r="AB3652" s="2" t="s">
        <v>47</v>
      </c>
      <c r="AC3652" s="2" t="s">
        <v>48</v>
      </c>
      <c r="AF3652" s="2">
        <f t="shared" si="453"/>
        <v>0</v>
      </c>
      <c r="AJ3652" s="2">
        <f t="shared" si="454"/>
        <v>0</v>
      </c>
      <c r="AK3652" s="2">
        <f t="shared" si="450"/>
        <v>49.41</v>
      </c>
      <c r="AL3652" s="5">
        <f t="shared" si="448"/>
        <v>0.68624999999999992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2856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9"/>
        <v>0.46762608695652175</v>
      </c>
      <c r="Z3653" s="2" t="s">
        <v>3237</v>
      </c>
      <c r="AA3653" s="2" t="s">
        <v>76</v>
      </c>
      <c r="AB3653" s="2" t="s">
        <v>77</v>
      </c>
      <c r="AC3653" s="2" t="s">
        <v>78</v>
      </c>
      <c r="AF3653" s="2">
        <f t="shared" si="453"/>
        <v>0</v>
      </c>
      <c r="AG3653" s="2">
        <v>122.446</v>
      </c>
      <c r="AH3653" s="2">
        <v>230</v>
      </c>
      <c r="AJ3653" s="2">
        <f t="shared" si="454"/>
        <v>0</v>
      </c>
      <c r="AK3653" s="2">
        <f t="shared" si="450"/>
        <v>107.554</v>
      </c>
      <c r="AL3653" s="5">
        <f t="shared" si="448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2857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9"/>
        <v>0.31428571428571428</v>
      </c>
      <c r="Z3654" s="2" t="s">
        <v>3237</v>
      </c>
      <c r="AA3654" s="2" t="s">
        <v>46</v>
      </c>
      <c r="AB3654" s="2" t="s">
        <v>47</v>
      </c>
      <c r="AC3654" s="2" t="s">
        <v>48</v>
      </c>
      <c r="AF3654" s="2">
        <f t="shared" si="453"/>
        <v>0</v>
      </c>
      <c r="AG3654" s="2">
        <v>14.4</v>
      </c>
      <c r="AH3654" s="2">
        <v>21</v>
      </c>
      <c r="AJ3654" s="2">
        <f t="shared" si="454"/>
        <v>0</v>
      </c>
      <c r="AK3654" s="2">
        <f t="shared" si="450"/>
        <v>6.6</v>
      </c>
      <c r="AL3654" s="5">
        <f t="shared" si="448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2856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9"/>
        <v>0</v>
      </c>
      <c r="Z3655" s="2" t="s">
        <v>3237</v>
      </c>
      <c r="AA3655" s="2" t="s">
        <v>97</v>
      </c>
      <c r="AB3655" s="2" t="s">
        <v>77</v>
      </c>
      <c r="AC3655" s="2" t="s">
        <v>94</v>
      </c>
      <c r="AF3655" s="2">
        <f t="shared" si="453"/>
        <v>0</v>
      </c>
      <c r="AG3655" s="2">
        <v>1.48</v>
      </c>
      <c r="AH3655" s="2">
        <v>1.48</v>
      </c>
      <c r="AJ3655" s="2">
        <f t="shared" si="454"/>
        <v>0</v>
      </c>
      <c r="AK3655" s="2">
        <f t="shared" si="450"/>
        <v>0</v>
      </c>
      <c r="AL3655" s="5">
        <f t="shared" si="448"/>
        <v>0</v>
      </c>
    </row>
    <row r="3656" spans="1:38" hidden="1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9"/>
        <v>0.58491111111111116</v>
      </c>
      <c r="Z3656" s="2" t="s">
        <v>3237</v>
      </c>
      <c r="AA3656" s="2" t="s">
        <v>46</v>
      </c>
      <c r="AB3656" s="2" t="s">
        <v>47</v>
      </c>
      <c r="AC3656" s="2" t="s">
        <v>48</v>
      </c>
      <c r="AF3656" s="2">
        <f t="shared" si="453"/>
        <v>0</v>
      </c>
      <c r="AG3656" s="2">
        <v>3.7357999999999998</v>
      </c>
      <c r="AH3656" s="2">
        <v>9</v>
      </c>
      <c r="AJ3656" s="2">
        <f t="shared" si="454"/>
        <v>0</v>
      </c>
      <c r="AK3656" s="2">
        <f t="shared" si="450"/>
        <v>5.2642000000000007</v>
      </c>
      <c r="AL3656" s="5">
        <f t="shared" si="448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2854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9"/>
        <v>0.58491111111111116</v>
      </c>
      <c r="Z3657" s="2" t="s">
        <v>3237</v>
      </c>
      <c r="AA3657" s="2" t="s">
        <v>46</v>
      </c>
      <c r="AB3657" s="2" t="s">
        <v>47</v>
      </c>
      <c r="AC3657" s="2" t="s">
        <v>48</v>
      </c>
      <c r="AF3657" s="2">
        <f t="shared" si="453"/>
        <v>0</v>
      </c>
      <c r="AG3657" s="2">
        <v>3.7357999999999998</v>
      </c>
      <c r="AH3657" s="2">
        <v>9</v>
      </c>
      <c r="AJ3657" s="2">
        <f t="shared" si="454"/>
        <v>0</v>
      </c>
      <c r="AK3657" s="2">
        <f t="shared" si="450"/>
        <v>5.2642000000000007</v>
      </c>
      <c r="AL3657" s="5">
        <f t="shared" si="448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2846</v>
      </c>
      <c r="E3658" s="2" t="s">
        <v>38</v>
      </c>
      <c r="G3658" s="2">
        <v>184822033</v>
      </c>
      <c r="I3658" s="2" t="s">
        <v>2850</v>
      </c>
      <c r="L3658" s="2" t="s">
        <v>462</v>
      </c>
      <c r="M3658" s="2" t="s">
        <v>110</v>
      </c>
      <c r="O3658" s="2" t="s">
        <v>2848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9"/>
        <v>0.50950925925925927</v>
      </c>
      <c r="Z3658" s="2" t="s">
        <v>3237</v>
      </c>
      <c r="AA3658" s="2" t="s">
        <v>46</v>
      </c>
      <c r="AB3658" s="2" t="s">
        <v>47</v>
      </c>
      <c r="AC3658" s="2" t="s">
        <v>48</v>
      </c>
      <c r="AF3658" s="2">
        <f t="shared" si="453"/>
        <v>0</v>
      </c>
      <c r="AG3658" s="2">
        <v>5.2972999999999999</v>
      </c>
      <c r="AH3658" s="2">
        <v>10.8</v>
      </c>
      <c r="AJ3658" s="2">
        <f t="shared" si="454"/>
        <v>0</v>
      </c>
      <c r="AK3658" s="2">
        <f t="shared" si="450"/>
        <v>5.5027000000000008</v>
      </c>
      <c r="AL3658" s="5">
        <f t="shared" si="448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2849</v>
      </c>
      <c r="P3659" s="2" t="s">
        <v>43</v>
      </c>
      <c r="Q3659" s="2" t="s">
        <v>2858</v>
      </c>
      <c r="R3659" s="2" t="s">
        <v>2859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9"/>
        <v>0.57566666666666666</v>
      </c>
      <c r="Z3659" s="2" t="s">
        <v>3237</v>
      </c>
      <c r="AA3659" s="2" t="s">
        <v>46</v>
      </c>
      <c r="AB3659" s="2" t="s">
        <v>47</v>
      </c>
      <c r="AC3659" s="2" t="s">
        <v>48</v>
      </c>
      <c r="AF3659" s="2">
        <f t="shared" si="453"/>
        <v>0</v>
      </c>
      <c r="AG3659" s="2">
        <v>12.73</v>
      </c>
      <c r="AH3659" s="2">
        <v>30</v>
      </c>
      <c r="AJ3659" s="2">
        <f t="shared" si="454"/>
        <v>0</v>
      </c>
      <c r="AK3659" s="2">
        <f t="shared" si="450"/>
        <v>17.27</v>
      </c>
      <c r="AL3659" s="5">
        <f t="shared" si="448"/>
        <v>0.57566666666666666</v>
      </c>
    </row>
    <row r="3660" spans="1:38" hidden="1" x14ac:dyDescent="0.2">
      <c r="A3660" s="2">
        <v>2026</v>
      </c>
      <c r="B3660" s="2">
        <v>4</v>
      </c>
      <c r="D3660" s="2" t="s">
        <v>1895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49"/>
        <v>0.47233333333333333</v>
      </c>
      <c r="Z3660" s="2" t="s">
        <v>3237</v>
      </c>
      <c r="AA3660" s="2" t="s">
        <v>46</v>
      </c>
      <c r="AB3660" s="2" t="s">
        <v>57</v>
      </c>
      <c r="AC3660" s="2" t="s">
        <v>58</v>
      </c>
      <c r="AF3660" s="2">
        <f t="shared" si="453"/>
        <v>0</v>
      </c>
      <c r="AJ3660" s="2">
        <f t="shared" si="454"/>
        <v>0</v>
      </c>
      <c r="AK3660" s="2">
        <f t="shared" si="450"/>
        <v>14.17</v>
      </c>
      <c r="AL3660" s="5">
        <f t="shared" si="448"/>
        <v>0.47233333333333333</v>
      </c>
    </row>
    <row r="3661" spans="1:38" hidden="1" x14ac:dyDescent="0.2">
      <c r="A3661" s="2">
        <v>2026</v>
      </c>
      <c r="B3661" s="2">
        <v>4</v>
      </c>
      <c r="D3661" s="2" t="s">
        <v>2524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2525</v>
      </c>
      <c r="J3661" s="2" t="s">
        <v>2526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49"/>
        <v>0.47734374999999996</v>
      </c>
      <c r="Z3661" s="2" t="s">
        <v>3237</v>
      </c>
      <c r="AA3661" s="2" t="s">
        <v>46</v>
      </c>
      <c r="AB3661" s="2" t="s">
        <v>57</v>
      </c>
      <c r="AC3661" s="2" t="s">
        <v>58</v>
      </c>
      <c r="AF3661" s="2">
        <f t="shared" si="453"/>
        <v>0</v>
      </c>
      <c r="AJ3661" s="2">
        <f t="shared" si="454"/>
        <v>0</v>
      </c>
      <c r="AK3661" s="2">
        <f t="shared" si="450"/>
        <v>9.1649999999999991</v>
      </c>
      <c r="AL3661" s="5">
        <f t="shared" si="448"/>
        <v>0.47734374999999996</v>
      </c>
    </row>
    <row r="3662" spans="1:38" hidden="1" x14ac:dyDescent="0.2">
      <c r="A3662" s="2">
        <v>2026</v>
      </c>
      <c r="B3662" s="2">
        <v>4</v>
      </c>
      <c r="D3662" s="2" t="s">
        <v>2524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2525</v>
      </c>
      <c r="J3662" s="2" t="s">
        <v>2526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49"/>
        <v>0.46823076923076917</v>
      </c>
      <c r="Z3662" s="2" t="s">
        <v>3237</v>
      </c>
      <c r="AA3662" s="2" t="s">
        <v>46</v>
      </c>
      <c r="AB3662" s="2" t="s">
        <v>57</v>
      </c>
      <c r="AC3662" s="2" t="s">
        <v>58</v>
      </c>
      <c r="AF3662" s="2">
        <f t="shared" si="453"/>
        <v>0</v>
      </c>
      <c r="AJ3662" s="2">
        <f t="shared" si="454"/>
        <v>0</v>
      </c>
      <c r="AK3662" s="2">
        <f t="shared" si="450"/>
        <v>10.956599999999998</v>
      </c>
      <c r="AL3662" s="5">
        <f t="shared" si="448"/>
        <v>0.46823076923076917</v>
      </c>
    </row>
    <row r="3663" spans="1:38" hidden="1" x14ac:dyDescent="0.2">
      <c r="A3663" s="2">
        <v>2026</v>
      </c>
      <c r="B3663" s="2">
        <v>3</v>
      </c>
      <c r="D3663" s="2" t="s">
        <v>2860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9"/>
        <v>0.44777500000000003</v>
      </c>
      <c r="Z3663" s="2" t="s">
        <v>3237</v>
      </c>
      <c r="AA3663" s="2" t="s">
        <v>46</v>
      </c>
      <c r="AB3663" s="2" t="s">
        <v>47</v>
      </c>
      <c r="AC3663" s="2" t="s">
        <v>48</v>
      </c>
      <c r="AF3663" s="2">
        <f t="shared" si="453"/>
        <v>0</v>
      </c>
      <c r="AG3663" s="2">
        <v>6.6266999999999996</v>
      </c>
      <c r="AH3663" s="2">
        <v>12</v>
      </c>
      <c r="AJ3663" s="2">
        <f t="shared" si="454"/>
        <v>0</v>
      </c>
      <c r="AK3663" s="2">
        <f t="shared" si="450"/>
        <v>5.3733000000000004</v>
      </c>
      <c r="AL3663" s="5">
        <f t="shared" si="448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9"/>
        <v>0.49849305555555556</v>
      </c>
      <c r="Z3664" s="2" t="s">
        <v>3237</v>
      </c>
      <c r="AA3664" s="2" t="s">
        <v>46</v>
      </c>
      <c r="AB3664" s="2" t="s">
        <v>57</v>
      </c>
      <c r="AC3664" s="2" t="s">
        <v>58</v>
      </c>
      <c r="AF3664" s="2">
        <f t="shared" si="453"/>
        <v>0</v>
      </c>
      <c r="AG3664" s="2">
        <v>7.2217000000000002</v>
      </c>
      <c r="AH3664" s="2">
        <v>14.4</v>
      </c>
      <c r="AJ3664" s="2">
        <f t="shared" si="454"/>
        <v>0</v>
      </c>
      <c r="AK3664" s="2">
        <f t="shared" si="450"/>
        <v>7.1783000000000001</v>
      </c>
      <c r="AL3664" s="5">
        <f t="shared" si="448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2861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9"/>
        <v>0.49849305555555556</v>
      </c>
      <c r="Z3665" s="2" t="s">
        <v>3237</v>
      </c>
      <c r="AA3665" s="2" t="s">
        <v>46</v>
      </c>
      <c r="AB3665" s="2" t="s">
        <v>57</v>
      </c>
      <c r="AC3665" s="2" t="s">
        <v>58</v>
      </c>
      <c r="AF3665" s="2">
        <f t="shared" si="453"/>
        <v>0</v>
      </c>
      <c r="AG3665" s="2">
        <v>7.2217000000000002</v>
      </c>
      <c r="AH3665" s="2">
        <v>14.4</v>
      </c>
      <c r="AJ3665" s="2">
        <f t="shared" si="454"/>
        <v>0</v>
      </c>
      <c r="AK3665" s="2">
        <f t="shared" si="450"/>
        <v>7.1783000000000001</v>
      </c>
      <c r="AL3665" s="5">
        <f t="shared" si="448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5">9.075*S3666</f>
        <v>9.0749999999999993</v>
      </c>
      <c r="X3666" s="5">
        <f t="shared" si="449"/>
        <v>0.47844827586206895</v>
      </c>
      <c r="Z3666" s="2" t="s">
        <v>3237</v>
      </c>
      <c r="AA3666" s="2" t="s">
        <v>46</v>
      </c>
      <c r="AB3666" s="2" t="s">
        <v>57</v>
      </c>
      <c r="AC3666" s="2" t="s">
        <v>58</v>
      </c>
      <c r="AF3666" s="2">
        <f t="shared" si="453"/>
        <v>0</v>
      </c>
      <c r="AJ3666" s="2">
        <f t="shared" si="454"/>
        <v>0</v>
      </c>
      <c r="AK3666" s="2">
        <f t="shared" si="450"/>
        <v>8.3249999999999993</v>
      </c>
      <c r="AL3666" s="5">
        <f t="shared" si="448"/>
        <v>0.47844827586206895</v>
      </c>
    </row>
    <row r="3667" spans="1:38" hidden="1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2861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5"/>
        <v>9.0749999999999993</v>
      </c>
      <c r="X3667" s="5">
        <f t="shared" si="449"/>
        <v>0.47844827586206895</v>
      </c>
      <c r="Z3667" s="2" t="s">
        <v>3237</v>
      </c>
      <c r="AA3667" s="2" t="s">
        <v>46</v>
      </c>
      <c r="AB3667" s="2" t="s">
        <v>57</v>
      </c>
      <c r="AC3667" s="2" t="s">
        <v>58</v>
      </c>
      <c r="AF3667" s="2">
        <f t="shared" si="453"/>
        <v>0</v>
      </c>
      <c r="AJ3667" s="2">
        <f t="shared" si="454"/>
        <v>0</v>
      </c>
      <c r="AK3667" s="2">
        <f t="shared" si="450"/>
        <v>8.3249999999999993</v>
      </c>
      <c r="AL3667" s="5">
        <f t="shared" si="448"/>
        <v>0.47844827586206895</v>
      </c>
    </row>
    <row r="3668" spans="1:38" hidden="1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9"/>
        <v>1</v>
      </c>
      <c r="Z3668" s="2" t="s">
        <v>3237</v>
      </c>
      <c r="AA3668" s="2" t="s">
        <v>46</v>
      </c>
      <c r="AB3668" s="2" t="s">
        <v>57</v>
      </c>
      <c r="AC3668" s="2" t="s">
        <v>58</v>
      </c>
      <c r="AF3668" s="2">
        <f t="shared" si="453"/>
        <v>0</v>
      </c>
      <c r="AJ3668" s="2">
        <f t="shared" si="454"/>
        <v>0</v>
      </c>
      <c r="AK3668" s="2">
        <f t="shared" si="450"/>
        <v>21</v>
      </c>
      <c r="AL3668" s="5">
        <f t="shared" si="448"/>
        <v>1</v>
      </c>
    </row>
    <row r="3669" spans="1:38" hidden="1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2861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9"/>
        <v>1</v>
      </c>
      <c r="Z3669" s="2" t="s">
        <v>3237</v>
      </c>
      <c r="AA3669" s="2" t="s">
        <v>46</v>
      </c>
      <c r="AB3669" s="2" t="s">
        <v>57</v>
      </c>
      <c r="AC3669" s="2" t="s">
        <v>58</v>
      </c>
      <c r="AF3669" s="2">
        <f t="shared" si="453"/>
        <v>0</v>
      </c>
      <c r="AJ3669" s="2">
        <f t="shared" si="454"/>
        <v>0</v>
      </c>
      <c r="AK3669" s="2">
        <f t="shared" si="450"/>
        <v>21</v>
      </c>
      <c r="AL3669" s="5">
        <f t="shared" si="448"/>
        <v>1</v>
      </c>
    </row>
    <row r="3670" spans="1:38" hidden="1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2862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9"/>
        <v>1</v>
      </c>
      <c r="Z3670" s="2" t="s">
        <v>3237</v>
      </c>
      <c r="AA3670" s="2" t="s">
        <v>46</v>
      </c>
      <c r="AB3670" s="2" t="s">
        <v>57</v>
      </c>
      <c r="AC3670" s="2" t="s">
        <v>58</v>
      </c>
      <c r="AF3670" s="2">
        <f t="shared" si="453"/>
        <v>0</v>
      </c>
      <c r="AJ3670" s="2">
        <f t="shared" si="454"/>
        <v>0</v>
      </c>
      <c r="AK3670" s="2">
        <f t="shared" si="450"/>
        <v>50.4</v>
      </c>
      <c r="AL3670" s="5">
        <f t="shared" si="448"/>
        <v>1</v>
      </c>
    </row>
    <row r="3671" spans="1:38" hidden="1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2861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6">(T3671-W3671)/T3671</f>
        <v>1</v>
      </c>
      <c r="Z3671" s="2" t="s">
        <v>3237</v>
      </c>
      <c r="AA3671" s="2" t="s">
        <v>46</v>
      </c>
      <c r="AB3671" s="2" t="s">
        <v>57</v>
      </c>
      <c r="AC3671" s="2" t="s">
        <v>58</v>
      </c>
      <c r="AF3671" s="2">
        <f t="shared" si="453"/>
        <v>0</v>
      </c>
      <c r="AJ3671" s="2">
        <f t="shared" si="454"/>
        <v>0</v>
      </c>
      <c r="AK3671" s="2">
        <f t="shared" si="450"/>
        <v>25.2</v>
      </c>
      <c r="AL3671" s="5">
        <f t="shared" si="448"/>
        <v>1</v>
      </c>
    </row>
    <row r="3672" spans="1:38" hidden="1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2862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6"/>
        <v>1</v>
      </c>
      <c r="Z3672" s="2" t="s">
        <v>3237</v>
      </c>
      <c r="AA3672" s="2" t="s">
        <v>46</v>
      </c>
      <c r="AB3672" s="2" t="s">
        <v>57</v>
      </c>
      <c r="AC3672" s="2" t="s">
        <v>58</v>
      </c>
      <c r="AF3672" s="2">
        <f t="shared" si="453"/>
        <v>0</v>
      </c>
      <c r="AJ3672" s="2">
        <f t="shared" si="454"/>
        <v>0</v>
      </c>
      <c r="AK3672" s="2">
        <f t="shared" si="450"/>
        <v>60</v>
      </c>
      <c r="AL3672" s="5">
        <f t="shared" si="448"/>
        <v>1</v>
      </c>
    </row>
    <row r="3673" spans="1:38" hidden="1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2861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6"/>
        <v>1</v>
      </c>
      <c r="Z3673" s="2" t="s">
        <v>3237</v>
      </c>
      <c r="AA3673" s="2" t="s">
        <v>46</v>
      </c>
      <c r="AB3673" s="2" t="s">
        <v>57</v>
      </c>
      <c r="AC3673" s="2" t="s">
        <v>58</v>
      </c>
      <c r="AF3673" s="2">
        <f t="shared" si="453"/>
        <v>0</v>
      </c>
      <c r="AJ3673" s="2">
        <f t="shared" si="454"/>
        <v>0</v>
      </c>
      <c r="AK3673" s="2">
        <f t="shared" si="450"/>
        <v>30</v>
      </c>
      <c r="AL3673" s="5">
        <f t="shared" si="448"/>
        <v>1</v>
      </c>
    </row>
    <row r="3674" spans="1:38" hidden="1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2862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6"/>
        <v>1</v>
      </c>
      <c r="Z3674" s="2" t="s">
        <v>3237</v>
      </c>
      <c r="AA3674" s="2" t="s">
        <v>46</v>
      </c>
      <c r="AB3674" s="2" t="s">
        <v>57</v>
      </c>
      <c r="AC3674" s="2" t="s">
        <v>58</v>
      </c>
      <c r="AF3674" s="2">
        <f t="shared" si="453"/>
        <v>0</v>
      </c>
      <c r="AJ3674" s="2">
        <f t="shared" si="454"/>
        <v>0</v>
      </c>
      <c r="AK3674" s="2">
        <f t="shared" si="450"/>
        <v>36</v>
      </c>
      <c r="AL3674" s="5">
        <f t="shared" si="448"/>
        <v>1</v>
      </c>
    </row>
    <row r="3675" spans="1:38" hidden="1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2861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6"/>
        <v>1</v>
      </c>
      <c r="Z3675" s="2" t="s">
        <v>3237</v>
      </c>
      <c r="AA3675" s="2" t="s">
        <v>46</v>
      </c>
      <c r="AB3675" s="2" t="s">
        <v>57</v>
      </c>
      <c r="AC3675" s="2" t="s">
        <v>58</v>
      </c>
      <c r="AF3675" s="2">
        <f t="shared" si="453"/>
        <v>0</v>
      </c>
      <c r="AJ3675" s="2">
        <f t="shared" si="454"/>
        <v>0</v>
      </c>
      <c r="AK3675" s="2">
        <f t="shared" si="450"/>
        <v>18</v>
      </c>
      <c r="AL3675" s="5">
        <f t="shared" si="448"/>
        <v>1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7">10.6*S3676</f>
        <v>31.799999999999997</v>
      </c>
      <c r="X3676" s="5">
        <f t="shared" si="456"/>
        <v>0.41111111111111115</v>
      </c>
      <c r="Z3676" s="2" t="s">
        <v>3237</v>
      </c>
      <c r="AA3676" s="2" t="s">
        <v>46</v>
      </c>
      <c r="AB3676" s="2" t="s">
        <v>57</v>
      </c>
      <c r="AC3676" s="2" t="s">
        <v>58</v>
      </c>
      <c r="AF3676" s="2">
        <f t="shared" si="453"/>
        <v>0</v>
      </c>
      <c r="AG3676" s="2">
        <v>10.6</v>
      </c>
      <c r="AH3676" s="2">
        <v>18</v>
      </c>
      <c r="AJ3676" s="2">
        <f t="shared" si="454"/>
        <v>0</v>
      </c>
      <c r="AK3676" s="2">
        <f t="shared" si="450"/>
        <v>22.200000000000003</v>
      </c>
      <c r="AL3676" s="5">
        <f t="shared" si="448"/>
        <v>0.41111111111111115</v>
      </c>
    </row>
    <row r="3677" spans="1:38" hidden="1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7"/>
        <v>21.2</v>
      </c>
      <c r="X3677" s="5">
        <f t="shared" si="456"/>
        <v>0.41111111111111115</v>
      </c>
      <c r="Z3677" s="2" t="s">
        <v>3237</v>
      </c>
      <c r="AA3677" s="2" t="s">
        <v>46</v>
      </c>
      <c r="AB3677" s="2" t="s">
        <v>57</v>
      </c>
      <c r="AC3677" s="2" t="s">
        <v>58</v>
      </c>
      <c r="AF3677" s="2">
        <f t="shared" si="453"/>
        <v>0</v>
      </c>
      <c r="AG3677" s="2">
        <v>10.6</v>
      </c>
      <c r="AH3677" s="2">
        <v>18</v>
      </c>
      <c r="AJ3677" s="2">
        <f t="shared" si="454"/>
        <v>0</v>
      </c>
      <c r="AK3677" s="2">
        <f t="shared" si="450"/>
        <v>14.8</v>
      </c>
      <c r="AL3677" s="5">
        <f t="shared" si="448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7"/>
        <v>10.6</v>
      </c>
      <c r="X3678" s="5">
        <f t="shared" si="456"/>
        <v>0.41111111111111115</v>
      </c>
      <c r="Z3678" s="2" t="s">
        <v>3237</v>
      </c>
      <c r="AA3678" s="2" t="s">
        <v>46</v>
      </c>
      <c r="AB3678" s="2" t="s">
        <v>57</v>
      </c>
      <c r="AC3678" s="2" t="s">
        <v>58</v>
      </c>
      <c r="AF3678" s="2">
        <f t="shared" si="453"/>
        <v>0</v>
      </c>
      <c r="AG3678" s="2">
        <v>10.6</v>
      </c>
      <c r="AH3678" s="2">
        <v>18</v>
      </c>
      <c r="AJ3678" s="2">
        <f t="shared" si="454"/>
        <v>0</v>
      </c>
      <c r="AK3678" s="2">
        <f t="shared" si="450"/>
        <v>7.4</v>
      </c>
      <c r="AL3678" s="5">
        <f t="shared" si="448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7"/>
        <v>106</v>
      </c>
      <c r="X3679" s="5">
        <f t="shared" si="456"/>
        <v>0.29333333333333333</v>
      </c>
      <c r="Z3679" s="2" t="s">
        <v>3237</v>
      </c>
      <c r="AA3679" s="2" t="s">
        <v>46</v>
      </c>
      <c r="AB3679" s="2" t="s">
        <v>57</v>
      </c>
      <c r="AC3679" s="2" t="s">
        <v>58</v>
      </c>
      <c r="AF3679" s="2">
        <f t="shared" si="453"/>
        <v>0</v>
      </c>
      <c r="AG3679" s="2">
        <v>10.6</v>
      </c>
      <c r="AH3679" s="2">
        <v>18</v>
      </c>
      <c r="AJ3679" s="2">
        <f t="shared" si="454"/>
        <v>0</v>
      </c>
      <c r="AK3679" s="2">
        <f t="shared" si="450"/>
        <v>44</v>
      </c>
      <c r="AL3679" s="5">
        <f t="shared" si="448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7"/>
        <v>106</v>
      </c>
      <c r="X3680" s="5">
        <f t="shared" si="456"/>
        <v>0.29333333333333333</v>
      </c>
      <c r="Z3680" s="2" t="s">
        <v>3237</v>
      </c>
      <c r="AA3680" s="2" t="s">
        <v>46</v>
      </c>
      <c r="AB3680" s="2" t="s">
        <v>57</v>
      </c>
      <c r="AC3680" s="2" t="s">
        <v>58</v>
      </c>
      <c r="AF3680" s="2">
        <f t="shared" si="453"/>
        <v>0</v>
      </c>
      <c r="AG3680" s="2">
        <v>10.6</v>
      </c>
      <c r="AH3680" s="2">
        <v>18</v>
      </c>
      <c r="AJ3680" s="2">
        <f t="shared" si="454"/>
        <v>0</v>
      </c>
      <c r="AK3680" s="2">
        <f t="shared" si="450"/>
        <v>44</v>
      </c>
      <c r="AL3680" s="5">
        <f t="shared" si="448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2863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7"/>
        <v>10.6</v>
      </c>
      <c r="X3681" s="5">
        <f t="shared" si="456"/>
        <v>0.41111111111111115</v>
      </c>
      <c r="Z3681" s="2" t="s">
        <v>3237</v>
      </c>
      <c r="AA3681" s="2" t="s">
        <v>46</v>
      </c>
      <c r="AB3681" s="2" t="s">
        <v>57</v>
      </c>
      <c r="AC3681" s="2" t="s">
        <v>58</v>
      </c>
      <c r="AF3681" s="2">
        <f t="shared" si="453"/>
        <v>0</v>
      </c>
      <c r="AG3681" s="2">
        <v>10.6</v>
      </c>
      <c r="AH3681" s="2">
        <v>18</v>
      </c>
      <c r="AJ3681" s="2">
        <f t="shared" si="454"/>
        <v>0</v>
      </c>
      <c r="AK3681" s="2">
        <f t="shared" si="450"/>
        <v>7.4</v>
      </c>
      <c r="AL3681" s="5">
        <f t="shared" si="448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2864</v>
      </c>
      <c r="P3682" s="2" t="s">
        <v>43</v>
      </c>
      <c r="Q3682" s="2" t="s">
        <v>2865</v>
      </c>
      <c r="R3682" s="2" t="s">
        <v>2866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6"/>
        <v>1</v>
      </c>
      <c r="Z3682" s="2" t="s">
        <v>3237</v>
      </c>
      <c r="AA3682" s="2" t="s">
        <v>46</v>
      </c>
      <c r="AB3682" s="2" t="s">
        <v>91</v>
      </c>
      <c r="AC3682" s="2" t="s">
        <v>58</v>
      </c>
      <c r="AF3682" s="2">
        <f t="shared" si="453"/>
        <v>0</v>
      </c>
      <c r="AJ3682" s="2">
        <f t="shared" si="454"/>
        <v>0</v>
      </c>
      <c r="AK3682" s="2">
        <f t="shared" si="450"/>
        <v>9.6</v>
      </c>
      <c r="AL3682" s="5">
        <f t="shared" si="448"/>
        <v>1</v>
      </c>
    </row>
    <row r="3683" spans="1:38" hidden="1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2867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6"/>
        <v>0.49808399999999997</v>
      </c>
      <c r="Z3683" s="2" t="s">
        <v>3237</v>
      </c>
      <c r="AA3683" s="2" t="s">
        <v>46</v>
      </c>
      <c r="AB3683" s="2" t="s">
        <v>91</v>
      </c>
      <c r="AC3683" s="2" t="s">
        <v>58</v>
      </c>
      <c r="AF3683" s="2">
        <f t="shared" si="453"/>
        <v>0</v>
      </c>
      <c r="AJ3683" s="2">
        <f t="shared" si="454"/>
        <v>0</v>
      </c>
      <c r="AK3683" s="2">
        <f t="shared" si="450"/>
        <v>49.808399999999999</v>
      </c>
      <c r="AL3683" s="5">
        <f t="shared" si="448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2868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6"/>
        <v>0.29692307692307701</v>
      </c>
      <c r="Z3684" s="2" t="s">
        <v>3237</v>
      </c>
      <c r="AA3684" s="2" t="s">
        <v>46</v>
      </c>
      <c r="AB3684" s="2" t="s">
        <v>61</v>
      </c>
      <c r="AC3684" s="2" t="s">
        <v>58</v>
      </c>
      <c r="AF3684" s="2">
        <f t="shared" si="453"/>
        <v>0</v>
      </c>
      <c r="AG3684" s="2">
        <v>9.14</v>
      </c>
      <c r="AH3684" s="2">
        <v>16</v>
      </c>
      <c r="AJ3684" s="2">
        <f t="shared" si="454"/>
        <v>0</v>
      </c>
      <c r="AK3684" s="2">
        <f t="shared" si="450"/>
        <v>3.8600000000000012</v>
      </c>
      <c r="AL3684" s="5">
        <f t="shared" si="448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2869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6"/>
        <v>0.29692307692307701</v>
      </c>
      <c r="Z3685" s="2" t="s">
        <v>3237</v>
      </c>
      <c r="AA3685" s="2" t="s">
        <v>46</v>
      </c>
      <c r="AB3685" s="2" t="s">
        <v>61</v>
      </c>
      <c r="AC3685" s="2" t="s">
        <v>58</v>
      </c>
      <c r="AF3685" s="2">
        <f t="shared" si="453"/>
        <v>0</v>
      </c>
      <c r="AG3685" s="2">
        <v>9.14</v>
      </c>
      <c r="AH3685" s="2">
        <v>16</v>
      </c>
      <c r="AJ3685" s="2">
        <f t="shared" si="454"/>
        <v>0</v>
      </c>
      <c r="AK3685" s="2">
        <f t="shared" si="450"/>
        <v>7.7200000000000024</v>
      </c>
      <c r="AL3685" s="5">
        <f t="shared" si="448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8">0.082*S3686</f>
        <v>82</v>
      </c>
      <c r="X3686" s="5">
        <f t="shared" si="456"/>
        <v>0.25454545454545452</v>
      </c>
      <c r="Z3686" s="2" t="s">
        <v>3237</v>
      </c>
      <c r="AA3686" s="2" t="s">
        <v>46</v>
      </c>
      <c r="AB3686" s="2" t="s">
        <v>61</v>
      </c>
      <c r="AC3686" s="2" t="s">
        <v>58</v>
      </c>
      <c r="AF3686" s="2">
        <f t="shared" si="453"/>
        <v>0</v>
      </c>
      <c r="AG3686" s="2">
        <v>8.1999999999999993</v>
      </c>
      <c r="AH3686" s="2">
        <v>13</v>
      </c>
      <c r="AJ3686" s="2">
        <f t="shared" si="454"/>
        <v>0</v>
      </c>
      <c r="AK3686" s="2">
        <f t="shared" si="450"/>
        <v>28</v>
      </c>
      <c r="AL3686" s="5">
        <f t="shared" si="448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2870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8"/>
        <v>82</v>
      </c>
      <c r="X3687" s="5">
        <f t="shared" si="456"/>
        <v>0.25454545454545452</v>
      </c>
      <c r="Z3687" s="2" t="s">
        <v>3237</v>
      </c>
      <c r="AA3687" s="2" t="s">
        <v>46</v>
      </c>
      <c r="AB3687" s="2" t="s">
        <v>61</v>
      </c>
      <c r="AC3687" s="2" t="s">
        <v>58</v>
      </c>
      <c r="AF3687" s="2">
        <f t="shared" si="453"/>
        <v>0</v>
      </c>
      <c r="AG3687" s="2">
        <v>8.1999999999999993</v>
      </c>
      <c r="AH3687" s="2">
        <v>13</v>
      </c>
      <c r="AJ3687" s="2">
        <f t="shared" si="454"/>
        <v>0</v>
      </c>
      <c r="AK3687" s="2">
        <f t="shared" si="450"/>
        <v>28</v>
      </c>
      <c r="AL3687" s="5">
        <f t="shared" si="448"/>
        <v>0.25454545454545452</v>
      </c>
    </row>
    <row r="3688" spans="1:38" hidden="1" x14ac:dyDescent="0.2">
      <c r="A3688" s="2">
        <v>2026</v>
      </c>
      <c r="B3688" s="2">
        <v>4</v>
      </c>
      <c r="D3688" s="2" t="s">
        <v>1895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8"/>
        <v>41</v>
      </c>
      <c r="X3688" s="5">
        <f t="shared" si="456"/>
        <v>0.36923076923076925</v>
      </c>
      <c r="Z3688" s="2" t="s">
        <v>3237</v>
      </c>
      <c r="AA3688" s="2" t="s">
        <v>46</v>
      </c>
      <c r="AB3688" s="2" t="s">
        <v>61</v>
      </c>
      <c r="AC3688" s="2" t="s">
        <v>58</v>
      </c>
      <c r="AF3688" s="2">
        <f t="shared" si="453"/>
        <v>0</v>
      </c>
      <c r="AG3688" s="2">
        <v>8.1999999999999993</v>
      </c>
      <c r="AH3688" s="2">
        <v>13</v>
      </c>
      <c r="AJ3688" s="2">
        <f t="shared" si="454"/>
        <v>0</v>
      </c>
      <c r="AK3688" s="2">
        <f t="shared" si="450"/>
        <v>24</v>
      </c>
      <c r="AL3688" s="5">
        <f t="shared" si="448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8"/>
        <v>32.800000000000004</v>
      </c>
      <c r="X3689" s="5">
        <f t="shared" si="456"/>
        <v>0.36923076923076914</v>
      </c>
      <c r="Z3689" s="2" t="s">
        <v>3237</v>
      </c>
      <c r="AA3689" s="2" t="s">
        <v>46</v>
      </c>
      <c r="AB3689" s="2" t="s">
        <v>61</v>
      </c>
      <c r="AC3689" s="2" t="s">
        <v>58</v>
      </c>
      <c r="AF3689" s="2">
        <f t="shared" si="453"/>
        <v>0</v>
      </c>
      <c r="AG3689" s="2">
        <v>8.1999999999999993</v>
      </c>
      <c r="AH3689" s="2">
        <v>13</v>
      </c>
      <c r="AJ3689" s="2">
        <f t="shared" si="454"/>
        <v>0</v>
      </c>
      <c r="AK3689" s="2">
        <f t="shared" si="450"/>
        <v>19.199999999999996</v>
      </c>
      <c r="AL3689" s="5">
        <f t="shared" si="448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8"/>
        <v>82</v>
      </c>
      <c r="X3690" s="5">
        <f t="shared" si="456"/>
        <v>0.25454545454545452</v>
      </c>
      <c r="Z3690" s="2" t="s">
        <v>3237</v>
      </c>
      <c r="AA3690" s="2" t="s">
        <v>46</v>
      </c>
      <c r="AB3690" s="2" t="s">
        <v>61</v>
      </c>
      <c r="AC3690" s="2" t="s">
        <v>58</v>
      </c>
      <c r="AF3690" s="2">
        <f t="shared" si="453"/>
        <v>0</v>
      </c>
      <c r="AG3690" s="2">
        <v>8.1999999999999993</v>
      </c>
      <c r="AH3690" s="2">
        <v>13</v>
      </c>
      <c r="AJ3690" s="2">
        <f t="shared" si="454"/>
        <v>0</v>
      </c>
      <c r="AK3690" s="2">
        <f t="shared" si="450"/>
        <v>28</v>
      </c>
      <c r="AL3690" s="5">
        <f t="shared" si="448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8"/>
        <v>82</v>
      </c>
      <c r="X3691" s="5">
        <f t="shared" si="456"/>
        <v>0.25454545454545452</v>
      </c>
      <c r="Z3691" s="2" t="s">
        <v>3237</v>
      </c>
      <c r="AA3691" s="2" t="s">
        <v>46</v>
      </c>
      <c r="AB3691" s="2" t="s">
        <v>61</v>
      </c>
      <c r="AC3691" s="2" t="s">
        <v>58</v>
      </c>
      <c r="AF3691" s="2">
        <f t="shared" si="453"/>
        <v>0</v>
      </c>
      <c r="AG3691" s="2">
        <v>8.1999999999999993</v>
      </c>
      <c r="AH3691" s="2">
        <v>13</v>
      </c>
      <c r="AJ3691" s="2">
        <f t="shared" si="454"/>
        <v>0</v>
      </c>
      <c r="AK3691" s="2">
        <f t="shared" si="450"/>
        <v>28</v>
      </c>
      <c r="AL3691" s="5">
        <f t="shared" si="448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2863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8"/>
        <v>16.400000000000002</v>
      </c>
      <c r="X3692" s="5">
        <f t="shared" si="456"/>
        <v>0.36923076923076914</v>
      </c>
      <c r="Z3692" s="2" t="s">
        <v>3237</v>
      </c>
      <c r="AA3692" s="2" t="s">
        <v>46</v>
      </c>
      <c r="AB3692" s="2" t="s">
        <v>61</v>
      </c>
      <c r="AC3692" s="2" t="s">
        <v>58</v>
      </c>
      <c r="AF3692" s="2">
        <f t="shared" si="453"/>
        <v>0</v>
      </c>
      <c r="AG3692" s="2">
        <v>8.1999999999999993</v>
      </c>
      <c r="AH3692" s="2">
        <v>13</v>
      </c>
      <c r="AJ3692" s="2">
        <f t="shared" si="454"/>
        <v>0</v>
      </c>
      <c r="AK3692" s="2">
        <f t="shared" si="450"/>
        <v>9.5999999999999979</v>
      </c>
      <c r="AL3692" s="5">
        <f t="shared" si="448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2857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9">0.0914*S3693</f>
        <v>45.699999999999996</v>
      </c>
      <c r="X3693" s="5">
        <f t="shared" si="456"/>
        <v>0.3471428571428572</v>
      </c>
      <c r="Z3693" s="2" t="s">
        <v>3237</v>
      </c>
      <c r="AA3693" s="2" t="s">
        <v>46</v>
      </c>
      <c r="AB3693" s="2" t="s">
        <v>61</v>
      </c>
      <c r="AC3693" s="2" t="s">
        <v>58</v>
      </c>
      <c r="AF3693" s="2">
        <f t="shared" si="453"/>
        <v>0</v>
      </c>
      <c r="AJ3693" s="2">
        <f t="shared" si="454"/>
        <v>0</v>
      </c>
      <c r="AK3693" s="2">
        <f t="shared" si="450"/>
        <v>24.300000000000004</v>
      </c>
      <c r="AL3693" s="5">
        <f t="shared" si="448"/>
        <v>0.3471428571428572</v>
      </c>
    </row>
    <row r="3694" spans="1:38" hidden="1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2533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9"/>
        <v>9.1399999999999988</v>
      </c>
      <c r="X3694" s="5">
        <f t="shared" si="456"/>
        <v>0.34714285714285725</v>
      </c>
      <c r="Z3694" s="2" t="s">
        <v>3237</v>
      </c>
      <c r="AA3694" s="2" t="s">
        <v>46</v>
      </c>
      <c r="AB3694" s="2" t="s">
        <v>61</v>
      </c>
      <c r="AC3694" s="2" t="s">
        <v>58</v>
      </c>
      <c r="AF3694" s="2">
        <f t="shared" si="453"/>
        <v>0</v>
      </c>
      <c r="AJ3694" s="2">
        <f t="shared" si="454"/>
        <v>0</v>
      </c>
      <c r="AK3694" s="2">
        <f t="shared" si="450"/>
        <v>4.8600000000000012</v>
      </c>
      <c r="AL3694" s="5">
        <f t="shared" si="448"/>
        <v>0.34714285714285725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6"/>
        <v>1</v>
      </c>
      <c r="Z3695" s="2" t="s">
        <v>3237</v>
      </c>
      <c r="AA3695" s="2" t="s">
        <v>46</v>
      </c>
      <c r="AB3695" s="2" t="s">
        <v>91</v>
      </c>
      <c r="AC3695" s="2" t="s">
        <v>58</v>
      </c>
      <c r="AF3695" s="2">
        <f t="shared" si="453"/>
        <v>0</v>
      </c>
      <c r="AJ3695" s="2">
        <f t="shared" si="454"/>
        <v>0</v>
      </c>
      <c r="AK3695" s="2">
        <f t="shared" si="450"/>
        <v>18</v>
      </c>
      <c r="AL3695" s="5">
        <f t="shared" si="448"/>
        <v>1</v>
      </c>
    </row>
    <row r="3696" spans="1:38" hidden="1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2857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6"/>
        <v>1</v>
      </c>
      <c r="Z3696" s="2" t="s">
        <v>3237</v>
      </c>
      <c r="AA3696" s="2" t="s">
        <v>46</v>
      </c>
      <c r="AB3696" s="2" t="s">
        <v>47</v>
      </c>
      <c r="AC3696" s="2" t="s">
        <v>48</v>
      </c>
      <c r="AF3696" s="2">
        <f t="shared" si="453"/>
        <v>0</v>
      </c>
      <c r="AJ3696" s="2">
        <f t="shared" si="454"/>
        <v>0</v>
      </c>
      <c r="AK3696" s="2">
        <f t="shared" si="450"/>
        <v>42</v>
      </c>
      <c r="AL3696" s="5">
        <f t="shared" si="448"/>
        <v>1</v>
      </c>
    </row>
    <row r="3697" spans="1:38" hidden="1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2857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6"/>
        <v>0.54166666666666663</v>
      </c>
      <c r="Z3697" s="2" t="s">
        <v>3237</v>
      </c>
      <c r="AA3697" s="2" t="s">
        <v>46</v>
      </c>
      <c r="AB3697" s="2" t="s">
        <v>47</v>
      </c>
      <c r="AC3697" s="2" t="s">
        <v>48</v>
      </c>
      <c r="AF3697" s="2">
        <f t="shared" si="453"/>
        <v>0</v>
      </c>
      <c r="AJ3697" s="2">
        <f t="shared" si="454"/>
        <v>0</v>
      </c>
      <c r="AK3697" s="2">
        <f t="shared" si="450"/>
        <v>26</v>
      </c>
      <c r="AL3697" s="5">
        <f t="shared" si="448"/>
        <v>0.54166666666666663</v>
      </c>
    </row>
    <row r="3698" spans="1:38" hidden="1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2533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6"/>
        <v>0.62926666666666664</v>
      </c>
      <c r="Z3698" s="2" t="s">
        <v>3237</v>
      </c>
      <c r="AA3698" s="2" t="s">
        <v>46</v>
      </c>
      <c r="AB3698" s="2" t="s">
        <v>61</v>
      </c>
      <c r="AC3698" s="2" t="s">
        <v>58</v>
      </c>
      <c r="AF3698" s="2">
        <f t="shared" si="453"/>
        <v>0</v>
      </c>
      <c r="AG3698" s="2">
        <v>1.1122000000000001</v>
      </c>
      <c r="AH3698" s="2">
        <v>3</v>
      </c>
      <c r="AJ3698" s="2">
        <f t="shared" si="454"/>
        <v>0</v>
      </c>
      <c r="AK3698" s="2">
        <f t="shared" si="450"/>
        <v>15.102399999999999</v>
      </c>
      <c r="AL3698" s="5">
        <f t="shared" si="448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6"/>
        <v>0.5295333333333333</v>
      </c>
      <c r="Z3699" s="2" t="s">
        <v>3237</v>
      </c>
      <c r="AA3699" s="2" t="s">
        <v>46</v>
      </c>
      <c r="AB3699" s="2" t="s">
        <v>61</v>
      </c>
      <c r="AC3699" s="2" t="s">
        <v>58</v>
      </c>
      <c r="AF3699" s="2">
        <f t="shared" si="453"/>
        <v>0</v>
      </c>
      <c r="AG3699" s="2">
        <v>1.4114</v>
      </c>
      <c r="AH3699" s="2">
        <v>3</v>
      </c>
      <c r="AJ3699" s="2">
        <f t="shared" si="454"/>
        <v>0</v>
      </c>
      <c r="AK3699" s="2">
        <f t="shared" si="450"/>
        <v>63.543999999999997</v>
      </c>
      <c r="AL3699" s="5">
        <f t="shared" si="448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2529</v>
      </c>
      <c r="P3700" s="2" t="s">
        <v>43</v>
      </c>
      <c r="Q3700" s="2" t="s">
        <v>2386</v>
      </c>
      <c r="R3700" s="2" t="s">
        <v>2387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3237</v>
      </c>
      <c r="AA3700" s="2" t="s">
        <v>46</v>
      </c>
      <c r="AB3700" s="2" t="s">
        <v>91</v>
      </c>
      <c r="AC3700" s="2" t="s">
        <v>58</v>
      </c>
      <c r="AF3700" s="2">
        <f t="shared" si="453"/>
        <v>0</v>
      </c>
      <c r="AJ3700" s="2">
        <f t="shared" si="454"/>
        <v>0</v>
      </c>
      <c r="AK3700" s="2">
        <f>T3700+(W3700)</f>
        <v>-60</v>
      </c>
      <c r="AL3700" s="18">
        <f>SIGN(T3700)*((ABS(T3700)-W3700)/ABS(T3700))</f>
        <v>-1</v>
      </c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2871</v>
      </c>
      <c r="P3701" s="2" t="s">
        <v>43</v>
      </c>
      <c r="Q3701" s="2" t="s">
        <v>2872</v>
      </c>
      <c r="R3701" s="2" t="s">
        <v>2873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0">(T3701-W3701)/T3701</f>
        <v>0.25811111111111118</v>
      </c>
      <c r="Z3701" s="2" t="s">
        <v>3237</v>
      </c>
      <c r="AA3701" s="2" t="s">
        <v>46</v>
      </c>
      <c r="AB3701" s="2" t="s">
        <v>68</v>
      </c>
      <c r="AC3701" s="2" t="s">
        <v>58</v>
      </c>
      <c r="AF3701" s="2">
        <f t="shared" si="453"/>
        <v>0</v>
      </c>
      <c r="AG3701" s="2">
        <v>16.692499999999999</v>
      </c>
      <c r="AH3701" s="2">
        <v>27.6</v>
      </c>
      <c r="AJ3701" s="2">
        <f t="shared" si="454"/>
        <v>0</v>
      </c>
      <c r="AK3701" s="2">
        <f t="shared" si="450"/>
        <v>11.615000000000002</v>
      </c>
      <c r="AL3701" s="5">
        <f t="shared" ref="AL3701:AL3732" si="461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2857</v>
      </c>
      <c r="P3702" s="2" t="s">
        <v>43</v>
      </c>
      <c r="Q3702" s="2" t="s">
        <v>2872</v>
      </c>
      <c r="R3702" s="2" t="s">
        <v>2873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0"/>
        <v>0.27423913043478265</v>
      </c>
      <c r="Z3702" s="2" t="s">
        <v>3237</v>
      </c>
      <c r="AA3702" s="2" t="s">
        <v>46</v>
      </c>
      <c r="AB3702" s="2" t="s">
        <v>68</v>
      </c>
      <c r="AC3702" s="2" t="s">
        <v>58</v>
      </c>
      <c r="AF3702" s="2">
        <f t="shared" si="453"/>
        <v>0</v>
      </c>
      <c r="AG3702" s="2">
        <v>16.692499999999999</v>
      </c>
      <c r="AH3702" s="2">
        <v>27.6</v>
      </c>
      <c r="AJ3702" s="2">
        <f t="shared" si="454"/>
        <v>0</v>
      </c>
      <c r="AK3702" s="2">
        <f t="shared" ref="AK3702:AK3765" si="462">T3702-W3702</f>
        <v>6.307500000000001</v>
      </c>
      <c r="AL3702" s="5">
        <f t="shared" si="461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2874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0"/>
        <v>1</v>
      </c>
      <c r="Z3703" s="2" t="s">
        <v>3237</v>
      </c>
      <c r="AA3703" s="2" t="s">
        <v>46</v>
      </c>
      <c r="AB3703" s="2" t="s">
        <v>61</v>
      </c>
      <c r="AC3703" s="2" t="s">
        <v>58</v>
      </c>
      <c r="AF3703" s="2">
        <f t="shared" si="453"/>
        <v>0</v>
      </c>
      <c r="AJ3703" s="2">
        <f t="shared" si="454"/>
        <v>0</v>
      </c>
      <c r="AK3703" s="2">
        <f t="shared" si="462"/>
        <v>552</v>
      </c>
      <c r="AL3703" s="5">
        <f t="shared" si="461"/>
        <v>1</v>
      </c>
    </row>
    <row r="3704" spans="1:38" hidden="1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2874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0"/>
        <v>1</v>
      </c>
      <c r="Z3704" s="2" t="s">
        <v>3237</v>
      </c>
      <c r="AA3704" s="2" t="s">
        <v>46</v>
      </c>
      <c r="AB3704" s="2" t="s">
        <v>61</v>
      </c>
      <c r="AC3704" s="2" t="s">
        <v>58</v>
      </c>
      <c r="AF3704" s="2">
        <f t="shared" si="453"/>
        <v>0</v>
      </c>
      <c r="AJ3704" s="2">
        <f t="shared" si="454"/>
        <v>0</v>
      </c>
      <c r="AK3704" s="2">
        <f t="shared" si="462"/>
        <v>552</v>
      </c>
      <c r="AL3704" s="5">
        <f t="shared" si="461"/>
        <v>1</v>
      </c>
    </row>
    <row r="3705" spans="1:38" hidden="1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0"/>
        <v>0.46722222222222226</v>
      </c>
      <c r="Z3705" s="2" t="s">
        <v>3237</v>
      </c>
      <c r="AA3705" s="2" t="s">
        <v>46</v>
      </c>
      <c r="AB3705" s="2" t="s">
        <v>61</v>
      </c>
      <c r="AC3705" s="2" t="s">
        <v>58</v>
      </c>
      <c r="AF3705" s="2">
        <f t="shared" si="453"/>
        <v>0</v>
      </c>
      <c r="AJ3705" s="2">
        <f t="shared" si="454"/>
        <v>0</v>
      </c>
      <c r="AK3705" s="2">
        <f t="shared" si="462"/>
        <v>6.7280000000000006</v>
      </c>
      <c r="AL3705" s="5">
        <f t="shared" si="461"/>
        <v>0.46722222222222226</v>
      </c>
    </row>
    <row r="3706" spans="1:38" hidden="1" x14ac:dyDescent="0.2">
      <c r="A3706" s="2">
        <v>2026</v>
      </c>
      <c r="B3706" s="2">
        <v>4</v>
      </c>
      <c r="D3706" s="2" t="s">
        <v>1895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0"/>
        <v>0.46925333333333336</v>
      </c>
      <c r="Z3706" s="2" t="s">
        <v>3237</v>
      </c>
      <c r="AA3706" s="2" t="s">
        <v>46</v>
      </c>
      <c r="AB3706" s="2" t="s">
        <v>68</v>
      </c>
      <c r="AC3706" s="2" t="s">
        <v>58</v>
      </c>
      <c r="AF3706" s="2">
        <f t="shared" si="453"/>
        <v>0</v>
      </c>
      <c r="AG3706" s="2">
        <v>7.9611999999999998</v>
      </c>
      <c r="AH3706" s="2">
        <v>14.4</v>
      </c>
      <c r="AJ3706" s="2">
        <f t="shared" si="454"/>
        <v>0</v>
      </c>
      <c r="AK3706" s="2">
        <f t="shared" si="462"/>
        <v>28.155200000000001</v>
      </c>
      <c r="AL3706" s="5">
        <f t="shared" si="461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3">15.0203*S3707</f>
        <v>15.020300000000001</v>
      </c>
      <c r="X3707" s="5">
        <f t="shared" si="460"/>
        <v>0.45578623188405798</v>
      </c>
      <c r="Z3707" s="2" t="s">
        <v>3237</v>
      </c>
      <c r="AA3707" s="2" t="s">
        <v>46</v>
      </c>
      <c r="AB3707" s="2" t="s">
        <v>68</v>
      </c>
      <c r="AC3707" s="2" t="s">
        <v>58</v>
      </c>
      <c r="AF3707" s="2">
        <f t="shared" si="453"/>
        <v>0</v>
      </c>
      <c r="AG3707" s="2">
        <v>15.020300000000001</v>
      </c>
      <c r="AH3707" s="2">
        <v>27.6</v>
      </c>
      <c r="AJ3707" s="2">
        <f t="shared" si="454"/>
        <v>0</v>
      </c>
      <c r="AK3707" s="2">
        <f t="shared" si="462"/>
        <v>12.579700000000001</v>
      </c>
      <c r="AL3707" s="5">
        <f t="shared" si="461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3"/>
        <v>45.060900000000004</v>
      </c>
      <c r="X3708" s="5">
        <f t="shared" si="460"/>
        <v>0.37415416666666662</v>
      </c>
      <c r="Z3708" s="2" t="s">
        <v>3237</v>
      </c>
      <c r="AA3708" s="2" t="s">
        <v>46</v>
      </c>
      <c r="AB3708" s="2" t="s">
        <v>68</v>
      </c>
      <c r="AC3708" s="2" t="s">
        <v>58</v>
      </c>
      <c r="AF3708" s="2">
        <f t="shared" si="453"/>
        <v>0</v>
      </c>
      <c r="AG3708" s="2">
        <v>15.020300000000001</v>
      </c>
      <c r="AH3708" s="2">
        <v>27.6</v>
      </c>
      <c r="AJ3708" s="2">
        <f t="shared" si="454"/>
        <v>0</v>
      </c>
      <c r="AK3708" s="2">
        <f t="shared" si="462"/>
        <v>26.939099999999996</v>
      </c>
      <c r="AL3708" s="5">
        <f t="shared" si="461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3"/>
        <v>15.020300000000001</v>
      </c>
      <c r="X3709" s="5">
        <f t="shared" si="460"/>
        <v>0.45578623188405798</v>
      </c>
      <c r="Z3709" s="2" t="s">
        <v>3237</v>
      </c>
      <c r="AA3709" s="2" t="s">
        <v>46</v>
      </c>
      <c r="AB3709" s="2" t="s">
        <v>68</v>
      </c>
      <c r="AC3709" s="2" t="s">
        <v>58</v>
      </c>
      <c r="AF3709" s="2">
        <f t="shared" si="453"/>
        <v>0</v>
      </c>
      <c r="AG3709" s="2">
        <v>15.020300000000001</v>
      </c>
      <c r="AH3709" s="2">
        <v>27.6</v>
      </c>
      <c r="AJ3709" s="2">
        <f t="shared" si="454"/>
        <v>0</v>
      </c>
      <c r="AK3709" s="2">
        <f t="shared" si="462"/>
        <v>12.579700000000001</v>
      </c>
      <c r="AL3709" s="5">
        <f t="shared" si="461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3"/>
        <v>150.203</v>
      </c>
      <c r="X3710" s="5">
        <f t="shared" si="460"/>
        <v>0.30138139534883718</v>
      </c>
      <c r="Z3710" s="2" t="s">
        <v>3237</v>
      </c>
      <c r="AA3710" s="2" t="s">
        <v>46</v>
      </c>
      <c r="AB3710" s="2" t="s">
        <v>68</v>
      </c>
      <c r="AC3710" s="2" t="s">
        <v>58</v>
      </c>
      <c r="AF3710" s="2">
        <f t="shared" si="453"/>
        <v>0</v>
      </c>
      <c r="AG3710" s="2">
        <v>15.020300000000001</v>
      </c>
      <c r="AH3710" s="2">
        <v>27.6</v>
      </c>
      <c r="AJ3710" s="2">
        <f t="shared" si="454"/>
        <v>0</v>
      </c>
      <c r="AK3710" s="2">
        <f t="shared" si="462"/>
        <v>64.796999999999997</v>
      </c>
      <c r="AL3710" s="5">
        <f t="shared" si="461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2875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3"/>
        <v>15.020300000000001</v>
      </c>
      <c r="X3711" s="5">
        <f t="shared" si="460"/>
        <v>0.45578623188405798</v>
      </c>
      <c r="Z3711" s="2" t="s">
        <v>3237</v>
      </c>
      <c r="AA3711" s="2" t="s">
        <v>46</v>
      </c>
      <c r="AB3711" s="2" t="s">
        <v>68</v>
      </c>
      <c r="AC3711" s="2" t="s">
        <v>58</v>
      </c>
      <c r="AF3711" s="2">
        <f t="shared" si="453"/>
        <v>0</v>
      </c>
      <c r="AG3711" s="2">
        <v>15.020300000000001</v>
      </c>
      <c r="AH3711" s="2">
        <v>27.6</v>
      </c>
      <c r="AJ3711" s="2">
        <f t="shared" si="454"/>
        <v>0</v>
      </c>
      <c r="AK3711" s="2">
        <f t="shared" si="462"/>
        <v>12.579700000000001</v>
      </c>
      <c r="AL3711" s="5">
        <f t="shared" si="461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3"/>
        <v>600.81200000000001</v>
      </c>
      <c r="X3712" s="5">
        <f t="shared" si="460"/>
        <v>0.28474761904761903</v>
      </c>
      <c r="Z3712" s="2" t="s">
        <v>3237</v>
      </c>
      <c r="AA3712" s="2" t="s">
        <v>46</v>
      </c>
      <c r="AB3712" s="2" t="s">
        <v>68</v>
      </c>
      <c r="AC3712" s="2" t="s">
        <v>58</v>
      </c>
      <c r="AF3712" s="2">
        <f t="shared" si="453"/>
        <v>0</v>
      </c>
      <c r="AG3712" s="2">
        <v>15.020300000000001</v>
      </c>
      <c r="AH3712" s="2">
        <v>27.6</v>
      </c>
      <c r="AJ3712" s="2">
        <f t="shared" si="454"/>
        <v>0</v>
      </c>
      <c r="AK3712" s="2">
        <f t="shared" si="462"/>
        <v>239.18799999999999</v>
      </c>
      <c r="AL3712" s="5">
        <f t="shared" si="461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0"/>
        <v>0.40610714285714283</v>
      </c>
      <c r="Z3713" s="2" t="s">
        <v>3237</v>
      </c>
      <c r="AA3713" s="2" t="s">
        <v>46</v>
      </c>
      <c r="AB3713" s="2" t="s">
        <v>68</v>
      </c>
      <c r="AC3713" s="2" t="s">
        <v>58</v>
      </c>
      <c r="AF3713" s="2">
        <f t="shared" si="453"/>
        <v>0</v>
      </c>
      <c r="AG3713" s="2">
        <v>8.3145000000000007</v>
      </c>
      <c r="AH3713" s="2">
        <v>15</v>
      </c>
      <c r="AJ3713" s="2">
        <f t="shared" si="454"/>
        <v>0</v>
      </c>
      <c r="AK3713" s="2">
        <f t="shared" si="462"/>
        <v>11.370999999999999</v>
      </c>
      <c r="AL3713" s="5">
        <f t="shared" si="461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2524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2525</v>
      </c>
      <c r="J3714" s="2" t="s">
        <v>2526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0"/>
        <v>0.44569999999999993</v>
      </c>
      <c r="Z3714" s="2" t="s">
        <v>3237</v>
      </c>
      <c r="AA3714" s="2" t="s">
        <v>46</v>
      </c>
      <c r="AB3714" s="2" t="s">
        <v>68</v>
      </c>
      <c r="AC3714" s="2" t="s">
        <v>58</v>
      </c>
      <c r="AF3714" s="2">
        <f t="shared" si="453"/>
        <v>0</v>
      </c>
      <c r="AG3714" s="2">
        <v>8.3145000000000007</v>
      </c>
      <c r="AH3714" s="2">
        <v>15</v>
      </c>
      <c r="AJ3714" s="2">
        <f t="shared" si="454"/>
        <v>0</v>
      </c>
      <c r="AK3714" s="2">
        <f t="shared" si="462"/>
        <v>6.6854999999999993</v>
      </c>
      <c r="AL3714" s="5">
        <f t="shared" si="461"/>
        <v>0.44569999999999993</v>
      </c>
    </row>
    <row r="3715" spans="1:38" hidden="1" x14ac:dyDescent="0.2">
      <c r="A3715" s="2">
        <v>2026</v>
      </c>
      <c r="B3715" s="2">
        <v>4</v>
      </c>
      <c r="D3715" s="2" t="s">
        <v>1895</v>
      </c>
      <c r="M3715" s="2" t="s">
        <v>81</v>
      </c>
      <c r="O3715" s="2" t="s">
        <v>2876</v>
      </c>
      <c r="P3715" s="2" t="s">
        <v>43</v>
      </c>
      <c r="Q3715" s="2" t="s">
        <v>2877</v>
      </c>
      <c r="R3715" s="2" t="s">
        <v>2878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0"/>
        <v>0.40366666666666667</v>
      </c>
      <c r="Z3715" s="2" t="s">
        <v>3237</v>
      </c>
      <c r="AA3715" s="2" t="s">
        <v>46</v>
      </c>
      <c r="AB3715" s="2" t="s">
        <v>91</v>
      </c>
      <c r="AC3715" s="2" t="s">
        <v>58</v>
      </c>
      <c r="AF3715" s="2">
        <f t="shared" ref="AF3715:AF3778" si="464">AJ3715</f>
        <v>0</v>
      </c>
      <c r="AG3715" s="2">
        <v>35.78</v>
      </c>
      <c r="AH3715" s="2">
        <v>63.6</v>
      </c>
      <c r="AJ3715" s="2">
        <f t="shared" ref="AJ3715:AJ3778" si="465">AI3715*T3715</f>
        <v>0</v>
      </c>
      <c r="AK3715" s="2">
        <f t="shared" si="462"/>
        <v>24.22</v>
      </c>
      <c r="AL3715" s="5">
        <f t="shared" si="461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3330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3241</v>
      </c>
      <c r="Q3716" s="2" t="s">
        <v>2879</v>
      </c>
      <c r="R3716" s="2" t="s">
        <v>2880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0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3241</v>
      </c>
      <c r="AF3716" s="2">
        <f t="shared" si="464"/>
        <v>0</v>
      </c>
      <c r="AJ3716" s="2">
        <f t="shared" si="465"/>
        <v>0</v>
      </c>
      <c r="AK3716" s="2">
        <f t="shared" si="462"/>
        <v>7073.38</v>
      </c>
      <c r="AL3716" s="5">
        <f t="shared" si="461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2881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3237</v>
      </c>
      <c r="AA3717" s="2" t="s">
        <v>76</v>
      </c>
      <c r="AB3717" s="2" t="s">
        <v>77</v>
      </c>
      <c r="AC3717" s="2" t="s">
        <v>40</v>
      </c>
      <c r="AF3717" s="2">
        <f t="shared" si="464"/>
        <v>0</v>
      </c>
      <c r="AJ3717" s="2">
        <f t="shared" si="465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0"/>
        <v>0.42947272727272723</v>
      </c>
      <c r="Z3718" s="2" t="s">
        <v>3237</v>
      </c>
      <c r="AA3718" s="2" t="s">
        <v>76</v>
      </c>
      <c r="AB3718" s="2" t="s">
        <v>77</v>
      </c>
      <c r="AC3718" s="2" t="s">
        <v>78</v>
      </c>
      <c r="AF3718" s="2">
        <f t="shared" si="464"/>
        <v>0</v>
      </c>
      <c r="AG3718" s="2">
        <v>125.51600000000001</v>
      </c>
      <c r="AH3718" s="2">
        <v>220</v>
      </c>
      <c r="AJ3718" s="2">
        <f t="shared" si="465"/>
        <v>0</v>
      </c>
      <c r="AK3718" s="2">
        <f t="shared" si="462"/>
        <v>94.483999999999995</v>
      </c>
      <c r="AL3718" s="5">
        <f t="shared" si="461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0"/>
        <v>0.42947272727272723</v>
      </c>
      <c r="Z3719" s="2" t="s">
        <v>3237</v>
      </c>
      <c r="AA3719" s="2" t="s">
        <v>76</v>
      </c>
      <c r="AB3719" s="2" t="s">
        <v>77</v>
      </c>
      <c r="AC3719" s="2" t="s">
        <v>78</v>
      </c>
      <c r="AF3719" s="2">
        <f t="shared" si="464"/>
        <v>0</v>
      </c>
      <c r="AG3719" s="2">
        <v>125.51600000000001</v>
      </c>
      <c r="AH3719" s="2">
        <v>220</v>
      </c>
      <c r="AJ3719" s="2">
        <f t="shared" si="465"/>
        <v>0</v>
      </c>
      <c r="AK3719" s="2">
        <f t="shared" si="462"/>
        <v>94.483999999999995</v>
      </c>
      <c r="AL3719" s="5">
        <f t="shared" si="461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0"/>
        <v>0.42947272727272723</v>
      </c>
      <c r="Z3720" s="2" t="s">
        <v>3237</v>
      </c>
      <c r="AA3720" s="2" t="s">
        <v>76</v>
      </c>
      <c r="AB3720" s="2" t="s">
        <v>77</v>
      </c>
      <c r="AC3720" s="2" t="s">
        <v>78</v>
      </c>
      <c r="AF3720" s="2">
        <f t="shared" si="464"/>
        <v>0</v>
      </c>
      <c r="AG3720" s="2">
        <v>125.51600000000001</v>
      </c>
      <c r="AH3720" s="2">
        <v>220</v>
      </c>
      <c r="AJ3720" s="2">
        <f t="shared" si="465"/>
        <v>0</v>
      </c>
      <c r="AK3720" s="2">
        <f t="shared" si="462"/>
        <v>94.483999999999995</v>
      </c>
      <c r="AL3720" s="5">
        <f t="shared" si="461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0"/>
        <v>0.42947272727272723</v>
      </c>
      <c r="Z3721" s="2" t="s">
        <v>3237</v>
      </c>
      <c r="AA3721" s="2" t="s">
        <v>76</v>
      </c>
      <c r="AB3721" s="2" t="s">
        <v>77</v>
      </c>
      <c r="AC3721" s="2" t="s">
        <v>78</v>
      </c>
      <c r="AF3721" s="2">
        <f t="shared" si="464"/>
        <v>0</v>
      </c>
      <c r="AG3721" s="2">
        <v>125.51600000000001</v>
      </c>
      <c r="AH3721" s="2">
        <v>220</v>
      </c>
      <c r="AJ3721" s="2">
        <f t="shared" si="465"/>
        <v>0</v>
      </c>
      <c r="AK3721" s="2">
        <f t="shared" si="462"/>
        <v>94.483999999999995</v>
      </c>
      <c r="AL3721" s="5">
        <f t="shared" si="461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2882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0"/>
        <v>0.42947272727272723</v>
      </c>
      <c r="Z3722" s="2" t="s">
        <v>3237</v>
      </c>
      <c r="AA3722" s="2" t="s">
        <v>76</v>
      </c>
      <c r="AB3722" s="2" t="s">
        <v>77</v>
      </c>
      <c r="AC3722" s="2" t="s">
        <v>78</v>
      </c>
      <c r="AF3722" s="2">
        <f t="shared" si="464"/>
        <v>0</v>
      </c>
      <c r="AG3722" s="2">
        <v>125.51600000000001</v>
      </c>
      <c r="AH3722" s="2">
        <v>220</v>
      </c>
      <c r="AJ3722" s="2">
        <f t="shared" si="465"/>
        <v>0</v>
      </c>
      <c r="AK3722" s="2">
        <f t="shared" si="462"/>
        <v>188.96799999999999</v>
      </c>
      <c r="AL3722" s="5">
        <f t="shared" si="461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0"/>
        <v>0.42947272727272723</v>
      </c>
      <c r="Z3723" s="2" t="s">
        <v>3237</v>
      </c>
      <c r="AA3723" s="2" t="s">
        <v>76</v>
      </c>
      <c r="AB3723" s="2" t="s">
        <v>77</v>
      </c>
      <c r="AC3723" s="2" t="s">
        <v>78</v>
      </c>
      <c r="AF3723" s="2">
        <f t="shared" si="464"/>
        <v>0</v>
      </c>
      <c r="AG3723" s="2">
        <v>125.51600000000001</v>
      </c>
      <c r="AH3723" s="2">
        <v>220</v>
      </c>
      <c r="AJ3723" s="2">
        <f t="shared" si="465"/>
        <v>0</v>
      </c>
      <c r="AK3723" s="2">
        <f t="shared" si="462"/>
        <v>94.483999999999995</v>
      </c>
      <c r="AL3723" s="5">
        <f t="shared" si="461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2883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0"/>
        <v>0.41182755388940956</v>
      </c>
      <c r="Z3724" s="2" t="s">
        <v>3237</v>
      </c>
      <c r="AA3724" s="2" t="s">
        <v>76</v>
      </c>
      <c r="AB3724" s="2" t="s">
        <v>77</v>
      </c>
      <c r="AC3724" s="2" t="s">
        <v>78</v>
      </c>
      <c r="AF3724" s="2">
        <f t="shared" si="464"/>
        <v>0</v>
      </c>
      <c r="AG3724" s="2">
        <v>125.51600000000001</v>
      </c>
      <c r="AH3724" s="2">
        <v>220</v>
      </c>
      <c r="AJ3724" s="2">
        <f t="shared" si="465"/>
        <v>0</v>
      </c>
      <c r="AK3724" s="2">
        <f t="shared" si="462"/>
        <v>87.884</v>
      </c>
      <c r="AL3724" s="5">
        <f t="shared" si="461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1963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0"/>
        <v>0.42947272727272723</v>
      </c>
      <c r="Z3725" s="2" t="s">
        <v>3237</v>
      </c>
      <c r="AA3725" s="2" t="s">
        <v>76</v>
      </c>
      <c r="AB3725" s="2" t="s">
        <v>77</v>
      </c>
      <c r="AC3725" s="2" t="s">
        <v>78</v>
      </c>
      <c r="AF3725" s="2">
        <f t="shared" si="464"/>
        <v>0</v>
      </c>
      <c r="AG3725" s="2">
        <v>125.51600000000001</v>
      </c>
      <c r="AH3725" s="2">
        <v>220</v>
      </c>
      <c r="AJ3725" s="2">
        <f t="shared" si="465"/>
        <v>0</v>
      </c>
      <c r="AK3725" s="2">
        <f t="shared" si="462"/>
        <v>94.483999999999995</v>
      </c>
      <c r="AL3725" s="5">
        <f t="shared" si="461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2884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0"/>
        <v>0.52504545454545459</v>
      </c>
      <c r="Z3726" s="2" t="s">
        <v>3237</v>
      </c>
      <c r="AA3726" s="2" t="s">
        <v>76</v>
      </c>
      <c r="AB3726" s="2" t="s">
        <v>77</v>
      </c>
      <c r="AC3726" s="2" t="s">
        <v>78</v>
      </c>
      <c r="AF3726" s="2">
        <f t="shared" si="464"/>
        <v>0</v>
      </c>
      <c r="AG3726" s="2">
        <v>104.49</v>
      </c>
      <c r="AH3726" s="2">
        <v>220</v>
      </c>
      <c r="AJ3726" s="2">
        <f t="shared" si="465"/>
        <v>0</v>
      </c>
      <c r="AK3726" s="2">
        <f t="shared" si="462"/>
        <v>115.51</v>
      </c>
      <c r="AL3726" s="5">
        <f t="shared" si="461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2885</v>
      </c>
      <c r="M3727" s="2" t="s">
        <v>41</v>
      </c>
      <c r="P3727" s="2" t="s">
        <v>73</v>
      </c>
      <c r="Q3727" s="2" t="s">
        <v>2886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0"/>
        <v>0.47704545454545455</v>
      </c>
      <c r="Z3727" s="2" t="s">
        <v>3237</v>
      </c>
      <c r="AA3727" s="2" t="s">
        <v>76</v>
      </c>
      <c r="AB3727" s="2" t="s">
        <v>77</v>
      </c>
      <c r="AC3727" s="2" t="s">
        <v>78</v>
      </c>
      <c r="AF3727" s="2">
        <f t="shared" si="464"/>
        <v>0</v>
      </c>
      <c r="AG3727" s="2">
        <v>115.05</v>
      </c>
      <c r="AJ3727" s="2">
        <f t="shared" si="465"/>
        <v>0</v>
      </c>
      <c r="AK3727" s="2">
        <f t="shared" si="462"/>
        <v>104.95</v>
      </c>
      <c r="AL3727" s="5">
        <f t="shared" si="461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2402</v>
      </c>
      <c r="L3728" s="2" t="s">
        <v>178</v>
      </c>
      <c r="M3728" s="2" t="s">
        <v>41</v>
      </c>
      <c r="O3728" s="2" t="s">
        <v>2887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0"/>
        <v>0.37426086956521742</v>
      </c>
      <c r="Z3728" s="2" t="s">
        <v>3237</v>
      </c>
      <c r="AA3728" s="2" t="s">
        <v>76</v>
      </c>
      <c r="AB3728" s="2" t="s">
        <v>77</v>
      </c>
      <c r="AC3728" s="2" t="s">
        <v>78</v>
      </c>
      <c r="AF3728" s="2">
        <f t="shared" si="464"/>
        <v>0</v>
      </c>
      <c r="AG3728" s="2">
        <v>143.91999999999999</v>
      </c>
      <c r="AJ3728" s="2">
        <f t="shared" si="465"/>
        <v>0</v>
      </c>
      <c r="AK3728" s="2">
        <f t="shared" si="462"/>
        <v>86.080000000000013</v>
      </c>
      <c r="AL3728" s="5">
        <f t="shared" si="461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2888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0"/>
        <v>0.39365217391304347</v>
      </c>
      <c r="Z3729" s="2" t="s">
        <v>3237</v>
      </c>
      <c r="AA3729" s="2" t="s">
        <v>76</v>
      </c>
      <c r="AB3729" s="2" t="s">
        <v>77</v>
      </c>
      <c r="AC3729" s="2" t="s">
        <v>78</v>
      </c>
      <c r="AF3729" s="2">
        <f t="shared" si="464"/>
        <v>0</v>
      </c>
      <c r="AJ3729" s="2">
        <f t="shared" si="465"/>
        <v>0</v>
      </c>
      <c r="AK3729" s="2">
        <f t="shared" si="462"/>
        <v>90.539999999999992</v>
      </c>
      <c r="AL3729" s="5">
        <f t="shared" si="461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0"/>
        <v>0.41681818181818175</v>
      </c>
      <c r="Z3730" s="2" t="s">
        <v>3237</v>
      </c>
      <c r="AA3730" s="2" t="s">
        <v>76</v>
      </c>
      <c r="AB3730" s="2" t="s">
        <v>77</v>
      </c>
      <c r="AC3730" s="2" t="s">
        <v>78</v>
      </c>
      <c r="AF3730" s="2">
        <f t="shared" si="464"/>
        <v>0</v>
      </c>
      <c r="AJ3730" s="2">
        <f t="shared" si="465"/>
        <v>0</v>
      </c>
      <c r="AK3730" s="2">
        <f t="shared" si="462"/>
        <v>91.699999999999989</v>
      </c>
      <c r="AL3730" s="5">
        <f t="shared" si="461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2889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0"/>
        <v>0.38559155621011287</v>
      </c>
      <c r="Z3731" s="2" t="s">
        <v>3237</v>
      </c>
      <c r="AA3731" s="2" t="s">
        <v>76</v>
      </c>
      <c r="AB3731" s="2" t="s">
        <v>77</v>
      </c>
      <c r="AC3731" s="2" t="s">
        <v>78</v>
      </c>
      <c r="AF3731" s="2">
        <f t="shared" si="464"/>
        <v>0</v>
      </c>
      <c r="AG3731" s="2">
        <v>105.59</v>
      </c>
      <c r="AJ3731" s="2">
        <f t="shared" si="465"/>
        <v>0</v>
      </c>
      <c r="AK3731" s="2">
        <f t="shared" si="462"/>
        <v>78.544999999999987</v>
      </c>
      <c r="AL3731" s="5">
        <f t="shared" si="461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2890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0"/>
        <v>0.4575909090909091</v>
      </c>
      <c r="Z3732" s="2" t="s">
        <v>3237</v>
      </c>
      <c r="AA3732" s="2" t="s">
        <v>76</v>
      </c>
      <c r="AB3732" s="2" t="s">
        <v>77</v>
      </c>
      <c r="AC3732" s="2" t="s">
        <v>78</v>
      </c>
      <c r="AF3732" s="2">
        <f t="shared" si="464"/>
        <v>0</v>
      </c>
      <c r="AG3732" s="2">
        <v>119.33</v>
      </c>
      <c r="AH3732" s="2">
        <v>220</v>
      </c>
      <c r="AJ3732" s="2">
        <f t="shared" si="465"/>
        <v>0</v>
      </c>
      <c r="AK3732" s="2">
        <f t="shared" si="462"/>
        <v>100.67</v>
      </c>
      <c r="AL3732" s="5">
        <f t="shared" si="461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2891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0"/>
        <v>0.48486363636363639</v>
      </c>
      <c r="Z3733" s="2" t="s">
        <v>3237</v>
      </c>
      <c r="AA3733" s="2" t="s">
        <v>76</v>
      </c>
      <c r="AB3733" s="2" t="s">
        <v>77</v>
      </c>
      <c r="AC3733" s="2" t="s">
        <v>78</v>
      </c>
      <c r="AF3733" s="2">
        <f t="shared" si="464"/>
        <v>0</v>
      </c>
      <c r="AG3733" s="2">
        <v>113.33</v>
      </c>
      <c r="AH3733" s="2">
        <v>220</v>
      </c>
      <c r="AJ3733" s="2">
        <f t="shared" si="465"/>
        <v>0</v>
      </c>
      <c r="AK3733" s="2">
        <f t="shared" si="462"/>
        <v>106.67</v>
      </c>
      <c r="AL3733" s="5">
        <f t="shared" ref="AL3733:AL3764" si="466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0"/>
        <v>0.44006916996047435</v>
      </c>
      <c r="Z3734" s="2" t="s">
        <v>3237</v>
      </c>
      <c r="AA3734" s="2" t="s">
        <v>76</v>
      </c>
      <c r="AB3734" s="2" t="s">
        <v>77</v>
      </c>
      <c r="AC3734" s="2" t="s">
        <v>78</v>
      </c>
      <c r="AF3734" s="2">
        <f t="shared" si="464"/>
        <v>0</v>
      </c>
      <c r="AG3734" s="2">
        <v>113.33</v>
      </c>
      <c r="AH3734" s="2">
        <v>220</v>
      </c>
      <c r="AJ3734" s="2">
        <f t="shared" si="465"/>
        <v>0</v>
      </c>
      <c r="AK3734" s="2">
        <f t="shared" si="462"/>
        <v>89.070000000000007</v>
      </c>
      <c r="AL3734" s="5">
        <f t="shared" si="466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2892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0"/>
        <v>0.49099999999999999</v>
      </c>
      <c r="Z3735" s="2" t="s">
        <v>3237</v>
      </c>
      <c r="AA3735" s="2" t="s">
        <v>76</v>
      </c>
      <c r="AB3735" s="2" t="s">
        <v>77</v>
      </c>
      <c r="AC3735" s="2" t="s">
        <v>78</v>
      </c>
      <c r="AF3735" s="2">
        <f t="shared" si="464"/>
        <v>0</v>
      </c>
      <c r="AG3735" s="2">
        <v>111.98</v>
      </c>
      <c r="AH3735" s="2">
        <v>210</v>
      </c>
      <c r="AJ3735" s="2">
        <f t="shared" si="465"/>
        <v>0</v>
      </c>
      <c r="AK3735" s="2">
        <f t="shared" si="462"/>
        <v>108.02</v>
      </c>
      <c r="AL3735" s="5">
        <f t="shared" si="466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2567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0"/>
        <v>0.37336666666666662</v>
      </c>
      <c r="Z3736" s="2" t="s">
        <v>3237</v>
      </c>
      <c r="AA3736" s="2" t="s">
        <v>76</v>
      </c>
      <c r="AB3736" s="2" t="s">
        <v>77</v>
      </c>
      <c r="AC3736" s="2" t="s">
        <v>78</v>
      </c>
      <c r="AF3736" s="2">
        <f t="shared" si="464"/>
        <v>0</v>
      </c>
      <c r="AG3736" s="2">
        <v>187.99</v>
      </c>
      <c r="AJ3736" s="2">
        <f t="shared" si="465"/>
        <v>0</v>
      </c>
      <c r="AK3736" s="2">
        <f t="shared" si="462"/>
        <v>112.00999999999999</v>
      </c>
      <c r="AL3736" s="5">
        <f t="shared" si="466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2893</v>
      </c>
      <c r="P3737" s="2" t="s">
        <v>1041</v>
      </c>
      <c r="Q3737" s="2" t="s">
        <v>2894</v>
      </c>
      <c r="R3737" s="2" t="s">
        <v>2895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0"/>
        <v>0.49359999999999998</v>
      </c>
      <c r="Z3737" s="2" t="s">
        <v>3237</v>
      </c>
      <c r="AA3737" s="2" t="s">
        <v>76</v>
      </c>
      <c r="AB3737" s="2" t="s">
        <v>77</v>
      </c>
      <c r="AC3737" s="2" t="s">
        <v>1041</v>
      </c>
      <c r="AF3737" s="2">
        <f t="shared" si="464"/>
        <v>0</v>
      </c>
      <c r="AJ3737" s="2">
        <f t="shared" si="465"/>
        <v>0</v>
      </c>
      <c r="AK3737" s="2">
        <f t="shared" si="462"/>
        <v>172.76</v>
      </c>
      <c r="AL3737" s="5">
        <f t="shared" si="466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2896</v>
      </c>
      <c r="P3738" s="2" t="s">
        <v>1041</v>
      </c>
      <c r="Q3738" s="2" t="s">
        <v>2897</v>
      </c>
      <c r="R3738" s="2" t="s">
        <v>2898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0"/>
        <v>0.33851921274601693</v>
      </c>
      <c r="Z3738" s="2" t="s">
        <v>3237</v>
      </c>
      <c r="AA3738" s="2" t="s">
        <v>76</v>
      </c>
      <c r="AB3738" s="2" t="s">
        <v>77</v>
      </c>
      <c r="AC3738" s="2" t="s">
        <v>1041</v>
      </c>
      <c r="AF3738" s="2">
        <f t="shared" si="464"/>
        <v>0</v>
      </c>
      <c r="AG3738" s="2">
        <v>141.16</v>
      </c>
      <c r="AJ3738" s="2">
        <f t="shared" si="465"/>
        <v>0</v>
      </c>
      <c r="AK3738" s="2">
        <f t="shared" si="462"/>
        <v>72.240000000000009</v>
      </c>
      <c r="AL3738" s="5">
        <f t="shared" si="466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3166</v>
      </c>
      <c r="L3739" s="2" t="s">
        <v>113</v>
      </c>
      <c r="M3739" s="2" t="s">
        <v>81</v>
      </c>
      <c r="O3739" s="2" t="s">
        <v>3168</v>
      </c>
      <c r="P3739" s="2" t="s">
        <v>1041</v>
      </c>
      <c r="Q3739" s="2" t="s">
        <v>2899</v>
      </c>
      <c r="R3739" s="2" t="s">
        <v>2900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0"/>
        <v>0.45652173913043476</v>
      </c>
      <c r="Z3739" s="2" t="s">
        <v>3237</v>
      </c>
      <c r="AA3739" s="2" t="s">
        <v>76</v>
      </c>
      <c r="AB3739" s="2" t="s">
        <v>77</v>
      </c>
      <c r="AC3739" s="2" t="s">
        <v>1041</v>
      </c>
      <c r="AF3739" s="2">
        <f t="shared" si="464"/>
        <v>0</v>
      </c>
      <c r="AG3739" s="2">
        <v>115</v>
      </c>
      <c r="AJ3739" s="2">
        <f t="shared" si="465"/>
        <v>0</v>
      </c>
      <c r="AK3739" s="2">
        <f t="shared" si="462"/>
        <v>483</v>
      </c>
      <c r="AL3739" s="5">
        <f t="shared" si="466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2534</v>
      </c>
      <c r="G3740" s="2">
        <v>503687014</v>
      </c>
      <c r="L3740" s="2" t="s">
        <v>134</v>
      </c>
      <c r="M3740" s="2" t="s">
        <v>110</v>
      </c>
      <c r="O3740" s="2" t="s">
        <v>3167</v>
      </c>
      <c r="P3740" s="2" t="s">
        <v>1041</v>
      </c>
      <c r="Q3740" s="2" t="s">
        <v>2899</v>
      </c>
      <c r="R3740" s="2" t="s">
        <v>2900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0"/>
        <v>0.47727272727272729</v>
      </c>
      <c r="Z3740" s="2" t="s">
        <v>3237</v>
      </c>
      <c r="AA3740" s="2" t="s">
        <v>76</v>
      </c>
      <c r="AB3740" s="2" t="s">
        <v>77</v>
      </c>
      <c r="AC3740" s="2" t="s">
        <v>1041</v>
      </c>
      <c r="AF3740" s="2">
        <f t="shared" si="464"/>
        <v>0</v>
      </c>
      <c r="AG3740" s="2">
        <v>115</v>
      </c>
      <c r="AJ3740" s="2">
        <f t="shared" si="465"/>
        <v>0</v>
      </c>
      <c r="AK3740" s="2">
        <f t="shared" si="462"/>
        <v>105</v>
      </c>
      <c r="AL3740" s="5">
        <f t="shared" si="466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2567</v>
      </c>
      <c r="M3741" s="2" t="s">
        <v>81</v>
      </c>
      <c r="O3741" s="2" t="s">
        <v>3172</v>
      </c>
      <c r="P3741" s="2" t="s">
        <v>1041</v>
      </c>
      <c r="Q3741" s="2" t="s">
        <v>2901</v>
      </c>
      <c r="R3741" s="2" t="s">
        <v>2902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0"/>
        <v>0.45994871794871794</v>
      </c>
      <c r="Z3741" s="2" t="s">
        <v>3237</v>
      </c>
      <c r="AA3741" s="2" t="s">
        <v>76</v>
      </c>
      <c r="AB3741" s="2" t="s">
        <v>77</v>
      </c>
      <c r="AC3741" s="2" t="s">
        <v>1041</v>
      </c>
      <c r="AF3741" s="2">
        <f t="shared" si="464"/>
        <v>0</v>
      </c>
      <c r="AJ3741" s="2">
        <f t="shared" si="465"/>
        <v>0</v>
      </c>
      <c r="AK3741" s="2">
        <f t="shared" si="462"/>
        <v>179.38</v>
      </c>
      <c r="AL3741" s="5">
        <f t="shared" si="466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2903</v>
      </c>
      <c r="P3742" s="2" t="s">
        <v>1041</v>
      </c>
      <c r="Q3742" s="2" t="s">
        <v>2747</v>
      </c>
      <c r="R3742" s="2" t="s">
        <v>2748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0"/>
        <v>0.44215657741559949</v>
      </c>
      <c r="Z3742" s="2" t="s">
        <v>3237</v>
      </c>
      <c r="AA3742" s="2" t="s">
        <v>76</v>
      </c>
      <c r="AB3742" s="2" t="s">
        <v>77</v>
      </c>
      <c r="AC3742" s="2" t="s">
        <v>1041</v>
      </c>
      <c r="AF3742" s="2">
        <f t="shared" si="464"/>
        <v>0</v>
      </c>
      <c r="AG3742" s="2">
        <v>153.34</v>
      </c>
      <c r="AJ3742" s="2">
        <f t="shared" si="465"/>
        <v>0</v>
      </c>
      <c r="AK3742" s="2">
        <f t="shared" si="462"/>
        <v>121.53999999999999</v>
      </c>
      <c r="AL3742" s="5">
        <f t="shared" si="466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2747</v>
      </c>
      <c r="R3743" s="2" t="s">
        <v>2748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3237</v>
      </c>
      <c r="AA3743" s="2" t="s">
        <v>76</v>
      </c>
      <c r="AB3743" s="2" t="s">
        <v>77</v>
      </c>
      <c r="AC3743" s="2" t="s">
        <v>1041</v>
      </c>
      <c r="AF3743" s="2">
        <f t="shared" si="464"/>
        <v>0</v>
      </c>
      <c r="AJ3743" s="2">
        <f t="shared" si="465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1979</v>
      </c>
      <c r="R3744" s="2" t="s">
        <v>1980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7">(T3744-W3744)/T3744</f>
        <v>1</v>
      </c>
      <c r="Z3744" s="2" t="s">
        <v>3237</v>
      </c>
      <c r="AA3744" s="2" t="s">
        <v>88</v>
      </c>
      <c r="AB3744" s="2" t="s">
        <v>91</v>
      </c>
      <c r="AC3744" s="2" t="s">
        <v>85</v>
      </c>
      <c r="AF3744" s="2">
        <f t="shared" si="464"/>
        <v>0</v>
      </c>
      <c r="AJ3744" s="2">
        <f t="shared" si="465"/>
        <v>0</v>
      </c>
      <c r="AK3744" s="2">
        <f t="shared" si="462"/>
        <v>14</v>
      </c>
      <c r="AL3744" s="5">
        <f t="shared" si="466"/>
        <v>1</v>
      </c>
    </row>
    <row r="3745" spans="1:38" hidden="1" x14ac:dyDescent="0.2">
      <c r="A3745" s="2">
        <v>2026</v>
      </c>
      <c r="B3745" s="2">
        <v>3</v>
      </c>
      <c r="D3745" s="2" t="s">
        <v>2860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7"/>
        <v>0.41111111111111115</v>
      </c>
      <c r="Z3745" s="2" t="s">
        <v>3237</v>
      </c>
      <c r="AA3745" s="2" t="s">
        <v>46</v>
      </c>
      <c r="AB3745" s="2" t="s">
        <v>57</v>
      </c>
      <c r="AC3745" s="2" t="s">
        <v>58</v>
      </c>
      <c r="AF3745" s="2">
        <f t="shared" si="464"/>
        <v>0</v>
      </c>
      <c r="AG3745" s="2">
        <v>10.6</v>
      </c>
      <c r="AH3745" s="2">
        <v>18</v>
      </c>
      <c r="AJ3745" s="2">
        <f t="shared" si="465"/>
        <v>0</v>
      </c>
      <c r="AK3745" s="2">
        <f t="shared" si="462"/>
        <v>7.4</v>
      </c>
      <c r="AL3745" s="5">
        <f t="shared" si="466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7"/>
        <v>0.42833333333333329</v>
      </c>
      <c r="Z3746" s="2" t="s">
        <v>3237</v>
      </c>
      <c r="AA3746" s="2" t="s">
        <v>88</v>
      </c>
      <c r="AB3746" s="2" t="s">
        <v>91</v>
      </c>
      <c r="AC3746" s="2" t="s">
        <v>85</v>
      </c>
      <c r="AF3746" s="2">
        <f t="shared" si="464"/>
        <v>0</v>
      </c>
      <c r="AJ3746" s="2">
        <f t="shared" si="465"/>
        <v>0</v>
      </c>
      <c r="AK3746" s="2">
        <f t="shared" si="462"/>
        <v>5.14</v>
      </c>
      <c r="AL3746" s="5">
        <f t="shared" si="466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7"/>
        <v>0.42833333333333329</v>
      </c>
      <c r="Z3747" s="2" t="s">
        <v>3237</v>
      </c>
      <c r="AA3747" s="2" t="s">
        <v>88</v>
      </c>
      <c r="AB3747" s="2" t="s">
        <v>91</v>
      </c>
      <c r="AC3747" s="2" t="s">
        <v>85</v>
      </c>
      <c r="AF3747" s="2">
        <f t="shared" si="464"/>
        <v>0</v>
      </c>
      <c r="AJ3747" s="2">
        <f t="shared" si="465"/>
        <v>0</v>
      </c>
      <c r="AK3747" s="2">
        <f t="shared" si="462"/>
        <v>5.14</v>
      </c>
      <c r="AL3747" s="5">
        <f t="shared" si="466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2546</v>
      </c>
      <c r="L3748" s="2" t="s">
        <v>100</v>
      </c>
      <c r="M3748" s="2" t="s">
        <v>81</v>
      </c>
      <c r="O3748" s="2" t="s">
        <v>2853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7"/>
        <v>0.51</v>
      </c>
      <c r="Z3748" s="2" t="s">
        <v>3237</v>
      </c>
      <c r="AA3748" s="2" t="s">
        <v>88</v>
      </c>
      <c r="AB3748" s="2" t="s">
        <v>91</v>
      </c>
      <c r="AC3748" s="2" t="s">
        <v>85</v>
      </c>
      <c r="AF3748" s="2">
        <f t="shared" si="464"/>
        <v>0</v>
      </c>
      <c r="AG3748" s="2">
        <v>2.94</v>
      </c>
      <c r="AJ3748" s="2">
        <f t="shared" si="465"/>
        <v>0</v>
      </c>
      <c r="AK3748" s="2">
        <f t="shared" si="462"/>
        <v>6.12</v>
      </c>
      <c r="AL3748" s="5">
        <f t="shared" si="466"/>
        <v>0.51</v>
      </c>
    </row>
    <row r="3749" spans="1:38" hidden="1" x14ac:dyDescent="0.2">
      <c r="A3749" s="2">
        <v>2026</v>
      </c>
      <c r="B3749" s="2">
        <v>4</v>
      </c>
      <c r="D3749" s="2" t="s">
        <v>2854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7"/>
        <v>0.76666666666666672</v>
      </c>
      <c r="Z3749" s="2" t="s">
        <v>3237</v>
      </c>
      <c r="AA3749" s="2" t="s">
        <v>88</v>
      </c>
      <c r="AB3749" s="2" t="s">
        <v>91</v>
      </c>
      <c r="AC3749" s="2" t="s">
        <v>85</v>
      </c>
      <c r="AF3749" s="2">
        <f t="shared" si="464"/>
        <v>0</v>
      </c>
      <c r="AJ3749" s="2">
        <f t="shared" si="465"/>
        <v>0</v>
      </c>
      <c r="AK3749" s="2">
        <f t="shared" si="462"/>
        <v>9.66</v>
      </c>
      <c r="AL3749" s="5">
        <f t="shared" si="466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7"/>
        <v>1</v>
      </c>
      <c r="Z3750" s="2" t="s">
        <v>3237</v>
      </c>
      <c r="AA3750" s="2" t="s">
        <v>88</v>
      </c>
      <c r="AB3750" s="2" t="s">
        <v>91</v>
      </c>
      <c r="AC3750" s="2" t="s">
        <v>85</v>
      </c>
      <c r="AF3750" s="2">
        <f t="shared" si="464"/>
        <v>0</v>
      </c>
      <c r="AJ3750" s="2">
        <f t="shared" si="465"/>
        <v>0</v>
      </c>
      <c r="AK3750" s="2">
        <f t="shared" si="462"/>
        <v>8.4</v>
      </c>
      <c r="AL3750" s="5">
        <f t="shared" si="466"/>
        <v>1</v>
      </c>
    </row>
    <row r="3751" spans="1:38" hidden="1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2546</v>
      </c>
      <c r="L3751" s="2" t="s">
        <v>100</v>
      </c>
      <c r="M3751" s="2" t="s">
        <v>81</v>
      </c>
      <c r="O3751" s="2" t="s">
        <v>2853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7"/>
        <v>0.65206944444444448</v>
      </c>
      <c r="Z3751" s="2" t="s">
        <v>3237</v>
      </c>
      <c r="AA3751" s="2" t="s">
        <v>88</v>
      </c>
      <c r="AB3751" s="2" t="s">
        <v>91</v>
      </c>
      <c r="AC3751" s="2" t="s">
        <v>85</v>
      </c>
      <c r="AF3751" s="2">
        <f t="shared" si="464"/>
        <v>0</v>
      </c>
      <c r="AG3751" s="2">
        <v>2.5051000000000001</v>
      </c>
      <c r="AJ3751" s="2">
        <f t="shared" si="465"/>
        <v>0</v>
      </c>
      <c r="AK3751" s="2">
        <f t="shared" si="462"/>
        <v>4.6949000000000005</v>
      </c>
      <c r="AL3751" s="5">
        <f t="shared" si="466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2854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7"/>
        <v>1</v>
      </c>
      <c r="Z3752" s="2" t="s">
        <v>3237</v>
      </c>
      <c r="AA3752" s="2" t="s">
        <v>88</v>
      </c>
      <c r="AB3752" s="2" t="s">
        <v>91</v>
      </c>
      <c r="AC3752" s="2" t="s">
        <v>85</v>
      </c>
      <c r="AF3752" s="2">
        <f t="shared" si="464"/>
        <v>0</v>
      </c>
      <c r="AJ3752" s="2">
        <f t="shared" si="465"/>
        <v>0</v>
      </c>
      <c r="AK3752" s="2">
        <f t="shared" si="462"/>
        <v>12.6</v>
      </c>
      <c r="AL3752" s="5">
        <f t="shared" si="466"/>
        <v>1</v>
      </c>
    </row>
    <row r="3753" spans="1:38" hidden="1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2904</v>
      </c>
      <c r="P3753" s="2" t="s">
        <v>2905</v>
      </c>
      <c r="Q3753" s="2" t="s">
        <v>2906</v>
      </c>
      <c r="R3753" s="2" t="s">
        <v>2907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7"/>
        <v>0.25</v>
      </c>
      <c r="Z3753" s="2" t="s">
        <v>3237</v>
      </c>
      <c r="AA3753" s="2" t="s">
        <v>72</v>
      </c>
      <c r="AB3753" s="2" t="s">
        <v>2905</v>
      </c>
      <c r="AC3753" s="2" t="s">
        <v>2905</v>
      </c>
      <c r="AF3753" s="2">
        <f t="shared" si="464"/>
        <v>0</v>
      </c>
      <c r="AG3753" s="2">
        <v>149.25</v>
      </c>
      <c r="AJ3753" s="2">
        <f t="shared" si="465"/>
        <v>0</v>
      </c>
      <c r="AK3753" s="2">
        <f t="shared" si="462"/>
        <v>49.75</v>
      </c>
      <c r="AL3753" s="5">
        <f t="shared" si="466"/>
        <v>0.25</v>
      </c>
    </row>
    <row r="3754" spans="1:38" hidden="1" x14ac:dyDescent="0.2">
      <c r="A3754" s="2">
        <v>2026</v>
      </c>
      <c r="B3754" s="2">
        <v>4</v>
      </c>
      <c r="D3754" s="2" t="s">
        <v>2908</v>
      </c>
      <c r="P3754" s="2" t="s">
        <v>40</v>
      </c>
      <c r="Q3754" s="2" t="s">
        <v>2909</v>
      </c>
      <c r="R3754" s="2" t="s">
        <v>2910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7"/>
        <v>1</v>
      </c>
      <c r="Z3754" s="2" t="s">
        <v>105</v>
      </c>
      <c r="AF3754" s="2">
        <f t="shared" si="464"/>
        <v>0</v>
      </c>
      <c r="AJ3754" s="2">
        <f t="shared" si="465"/>
        <v>0</v>
      </c>
      <c r="AK3754" s="2">
        <f t="shared" si="462"/>
        <v>1219.51</v>
      </c>
      <c r="AL3754" s="5">
        <f t="shared" si="466"/>
        <v>1</v>
      </c>
    </row>
    <row r="3755" spans="1:38" hidden="1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2911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7"/>
        <v>1</v>
      </c>
      <c r="Z3755" s="2" t="s">
        <v>118</v>
      </c>
      <c r="AA3755" s="2" t="s">
        <v>318</v>
      </c>
      <c r="AF3755" s="2">
        <f t="shared" si="464"/>
        <v>0</v>
      </c>
      <c r="AJ3755" s="2">
        <f t="shared" si="465"/>
        <v>0</v>
      </c>
      <c r="AK3755" s="2">
        <f t="shared" si="462"/>
        <v>1099</v>
      </c>
      <c r="AL3755" s="5">
        <f t="shared" si="466"/>
        <v>1</v>
      </c>
    </row>
    <row r="3756" spans="1:38" hidden="1" x14ac:dyDescent="0.2">
      <c r="A3756" s="2">
        <v>2026</v>
      </c>
      <c r="B3756" s="2">
        <v>4</v>
      </c>
      <c r="D3756" s="2" t="s">
        <v>2803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7"/>
        <v>0.5</v>
      </c>
      <c r="Z3756" s="2" t="s">
        <v>118</v>
      </c>
      <c r="AA3756" s="2" t="s">
        <v>191</v>
      </c>
      <c r="AF3756" s="2">
        <f t="shared" si="464"/>
        <v>0</v>
      </c>
      <c r="AG3756" s="2">
        <f>W3756</f>
        <v>27.5</v>
      </c>
      <c r="AJ3756" s="2">
        <f t="shared" si="465"/>
        <v>0</v>
      </c>
      <c r="AK3756" s="2">
        <f t="shared" si="462"/>
        <v>27.5</v>
      </c>
      <c r="AL3756" s="5">
        <f t="shared" si="466"/>
        <v>0.5</v>
      </c>
    </row>
    <row r="3757" spans="1:38" hidden="1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7"/>
        <v>0.6</v>
      </c>
      <c r="Z3757" s="2" t="s">
        <v>118</v>
      </c>
      <c r="AA3757" s="2" t="s">
        <v>191</v>
      </c>
      <c r="AF3757" s="2">
        <f t="shared" si="464"/>
        <v>0</v>
      </c>
      <c r="AG3757" s="2">
        <f>W3757</f>
        <v>25.200000000000003</v>
      </c>
      <c r="AJ3757" s="2">
        <f t="shared" si="465"/>
        <v>0</v>
      </c>
      <c r="AK3757" s="2">
        <f t="shared" si="462"/>
        <v>37.799999999999997</v>
      </c>
      <c r="AL3757" s="5">
        <f t="shared" si="466"/>
        <v>0.6</v>
      </c>
    </row>
    <row r="3758" spans="1:38" hidden="1" x14ac:dyDescent="0.2">
      <c r="A3758" s="2">
        <v>2026</v>
      </c>
      <c r="B3758" s="2">
        <v>3</v>
      </c>
      <c r="D3758" s="2" t="s">
        <v>2860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7"/>
        <v>0.36923076923076914</v>
      </c>
      <c r="Z3758" s="2" t="s">
        <v>3237</v>
      </c>
      <c r="AA3758" s="2" t="s">
        <v>46</v>
      </c>
      <c r="AB3758" s="2" t="s">
        <v>61</v>
      </c>
      <c r="AC3758" s="2" t="s">
        <v>58</v>
      </c>
      <c r="AF3758" s="2">
        <f t="shared" si="464"/>
        <v>0</v>
      </c>
      <c r="AG3758" s="2">
        <v>8.1999999999999993</v>
      </c>
      <c r="AH3758" s="2">
        <v>13</v>
      </c>
      <c r="AJ3758" s="2">
        <f t="shared" si="465"/>
        <v>0</v>
      </c>
      <c r="AK3758" s="2">
        <f t="shared" si="462"/>
        <v>9.5999999999999979</v>
      </c>
      <c r="AL3758" s="5">
        <f t="shared" si="466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7"/>
        <v>0.5</v>
      </c>
      <c r="Z3759" s="2" t="s">
        <v>118</v>
      </c>
      <c r="AA3759" s="2" t="s">
        <v>191</v>
      </c>
      <c r="AF3759" s="2">
        <f t="shared" si="464"/>
        <v>0</v>
      </c>
      <c r="AG3759" s="2">
        <f t="shared" ref="AG3759:AG3783" si="468">W3759</f>
        <v>34.375</v>
      </c>
      <c r="AJ3759" s="2">
        <f t="shared" si="465"/>
        <v>0</v>
      </c>
      <c r="AK3759" s="2">
        <f t="shared" si="462"/>
        <v>34.375</v>
      </c>
      <c r="AL3759" s="5">
        <f t="shared" si="466"/>
        <v>0.5</v>
      </c>
    </row>
    <row r="3760" spans="1:38" hidden="1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7"/>
        <v>0.6</v>
      </c>
      <c r="Z3760" s="2" t="s">
        <v>118</v>
      </c>
      <c r="AA3760" s="2" t="s">
        <v>191</v>
      </c>
      <c r="AF3760" s="2">
        <f t="shared" si="464"/>
        <v>0</v>
      </c>
      <c r="AG3760" s="2">
        <f t="shared" si="468"/>
        <v>20</v>
      </c>
      <c r="AJ3760" s="2">
        <f t="shared" si="465"/>
        <v>0</v>
      </c>
      <c r="AK3760" s="2">
        <f t="shared" si="462"/>
        <v>30</v>
      </c>
      <c r="AL3760" s="5">
        <f t="shared" si="466"/>
        <v>0.6</v>
      </c>
    </row>
    <row r="3761" spans="1:38" hidden="1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7"/>
        <v>0.5</v>
      </c>
      <c r="Z3761" s="2" t="s">
        <v>118</v>
      </c>
      <c r="AA3761" s="2" t="s">
        <v>191</v>
      </c>
      <c r="AF3761" s="2">
        <f t="shared" si="464"/>
        <v>0</v>
      </c>
      <c r="AG3761" s="2">
        <f t="shared" si="468"/>
        <v>25</v>
      </c>
      <c r="AJ3761" s="2">
        <f t="shared" si="465"/>
        <v>0</v>
      </c>
      <c r="AK3761" s="2">
        <f t="shared" si="462"/>
        <v>25</v>
      </c>
      <c r="AL3761" s="5">
        <f t="shared" si="466"/>
        <v>0.5</v>
      </c>
    </row>
    <row r="3762" spans="1:38" hidden="1" x14ac:dyDescent="0.2">
      <c r="A3762" s="2">
        <v>2026</v>
      </c>
      <c r="B3762" s="2">
        <v>3</v>
      </c>
      <c r="D3762" s="2" t="s">
        <v>2057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7"/>
        <v>0.60000000000000009</v>
      </c>
      <c r="Z3762" s="2" t="s">
        <v>118</v>
      </c>
      <c r="AA3762" s="2" t="s">
        <v>191</v>
      </c>
      <c r="AF3762" s="2">
        <f t="shared" si="464"/>
        <v>0</v>
      </c>
      <c r="AG3762" s="2">
        <f t="shared" si="468"/>
        <v>45.6</v>
      </c>
      <c r="AJ3762" s="2">
        <f t="shared" si="465"/>
        <v>0</v>
      </c>
      <c r="AK3762" s="2">
        <f t="shared" si="462"/>
        <v>68.400000000000006</v>
      </c>
      <c r="AL3762" s="5">
        <f t="shared" si="466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2057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7"/>
        <v>0.5</v>
      </c>
      <c r="Z3763" s="2" t="s">
        <v>118</v>
      </c>
      <c r="AA3763" s="2" t="s">
        <v>191</v>
      </c>
      <c r="AF3763" s="2">
        <f t="shared" si="464"/>
        <v>0</v>
      </c>
      <c r="AG3763" s="2">
        <f t="shared" si="468"/>
        <v>100</v>
      </c>
      <c r="AJ3763" s="2">
        <f t="shared" si="465"/>
        <v>0</v>
      </c>
      <c r="AK3763" s="2">
        <f t="shared" si="462"/>
        <v>100</v>
      </c>
      <c r="AL3763" s="5">
        <f t="shared" si="466"/>
        <v>0.5</v>
      </c>
    </row>
    <row r="3764" spans="1:38" hidden="1" x14ac:dyDescent="0.2">
      <c r="A3764" s="2">
        <v>2026</v>
      </c>
      <c r="B3764" s="2">
        <v>4</v>
      </c>
      <c r="D3764" s="2" t="s">
        <v>2057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7"/>
        <v>0.6</v>
      </c>
      <c r="Z3764" s="2" t="s">
        <v>118</v>
      </c>
      <c r="AA3764" s="2" t="s">
        <v>191</v>
      </c>
      <c r="AF3764" s="2">
        <f t="shared" si="464"/>
        <v>0</v>
      </c>
      <c r="AG3764" s="2">
        <f t="shared" si="468"/>
        <v>58.800000000000004</v>
      </c>
      <c r="AJ3764" s="2">
        <f t="shared" si="465"/>
        <v>0</v>
      </c>
      <c r="AK3764" s="2">
        <f t="shared" si="462"/>
        <v>88.199999999999989</v>
      </c>
      <c r="AL3764" s="5">
        <f t="shared" si="466"/>
        <v>0.6</v>
      </c>
    </row>
    <row r="3765" spans="1:38" hidden="1" x14ac:dyDescent="0.2">
      <c r="A3765" s="2">
        <v>2026</v>
      </c>
      <c r="B3765" s="2">
        <v>4</v>
      </c>
      <c r="D3765" s="2" t="s">
        <v>2057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9">T3765*50%</f>
        <v>34.375</v>
      </c>
      <c r="X3765" s="5">
        <f t="shared" si="467"/>
        <v>0.5</v>
      </c>
      <c r="Z3765" s="2" t="s">
        <v>118</v>
      </c>
      <c r="AA3765" s="2" t="s">
        <v>191</v>
      </c>
      <c r="AF3765" s="2">
        <f t="shared" si="464"/>
        <v>0</v>
      </c>
      <c r="AG3765" s="2">
        <f t="shared" si="468"/>
        <v>34.375</v>
      </c>
      <c r="AJ3765" s="2">
        <f t="shared" si="465"/>
        <v>0</v>
      </c>
      <c r="AK3765" s="2">
        <f t="shared" si="462"/>
        <v>34.375</v>
      </c>
      <c r="AL3765" s="5">
        <f t="shared" ref="AL3765:AL3795" si="470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2912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9"/>
        <v>31.45</v>
      </c>
      <c r="X3766" s="5">
        <f t="shared" si="467"/>
        <v>0.5</v>
      </c>
      <c r="Z3766" s="2" t="s">
        <v>118</v>
      </c>
      <c r="AA3766" s="2" t="s">
        <v>191</v>
      </c>
      <c r="AF3766" s="2">
        <f t="shared" si="464"/>
        <v>0</v>
      </c>
      <c r="AG3766" s="2">
        <f t="shared" si="468"/>
        <v>31.45</v>
      </c>
      <c r="AJ3766" s="2">
        <f t="shared" si="465"/>
        <v>0</v>
      </c>
      <c r="AK3766" s="2">
        <f t="shared" ref="AK3766:AK3829" si="471">T3766-W3766</f>
        <v>31.45</v>
      </c>
      <c r="AL3766" s="5">
        <f t="shared" si="470"/>
        <v>0.5</v>
      </c>
    </row>
    <row r="3767" spans="1:38" hidden="1" x14ac:dyDescent="0.2">
      <c r="A3767" s="2">
        <v>2026</v>
      </c>
      <c r="B3767" s="2">
        <v>4</v>
      </c>
      <c r="D3767" s="2" t="s">
        <v>2913</v>
      </c>
      <c r="E3767" s="2" t="s">
        <v>38</v>
      </c>
      <c r="G3767" s="2">
        <v>506272524</v>
      </c>
      <c r="H3767" s="2" t="s">
        <v>40</v>
      </c>
      <c r="I3767" s="2" t="s">
        <v>2914</v>
      </c>
      <c r="J3767" s="2" t="s">
        <v>2915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64"/>
        <v>0</v>
      </c>
      <c r="AG3767" s="2">
        <f t="shared" si="468"/>
        <v>0</v>
      </c>
      <c r="AJ3767" s="2">
        <f t="shared" si="465"/>
        <v>0</v>
      </c>
      <c r="AK3767" s="2">
        <f t="shared" si="471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2913</v>
      </c>
      <c r="E3768" s="2" t="s">
        <v>38</v>
      </c>
      <c r="G3768" s="2">
        <v>506272524</v>
      </c>
      <c r="H3768" s="2" t="s">
        <v>40</v>
      </c>
      <c r="I3768" s="2" t="s">
        <v>2914</v>
      </c>
      <c r="J3768" s="2" t="s">
        <v>2915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64"/>
        <v>0</v>
      </c>
      <c r="AG3768" s="2">
        <f t="shared" si="468"/>
        <v>27.5</v>
      </c>
      <c r="AJ3768" s="2">
        <f t="shared" si="465"/>
        <v>0</v>
      </c>
      <c r="AK3768" s="2">
        <f t="shared" si="471"/>
        <v>27.5</v>
      </c>
      <c r="AL3768" s="5">
        <f t="shared" si="470"/>
        <v>0.5</v>
      </c>
    </row>
    <row r="3769" spans="1:38" hidden="1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2623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64"/>
        <v>0</v>
      </c>
      <c r="AG3769" s="2">
        <f t="shared" si="468"/>
        <v>65.600000000000009</v>
      </c>
      <c r="AJ3769" s="2">
        <f t="shared" si="465"/>
        <v>0</v>
      </c>
      <c r="AK3769" s="2">
        <f t="shared" si="471"/>
        <v>98.399999999999991</v>
      </c>
      <c r="AL3769" s="5">
        <f t="shared" si="470"/>
        <v>0.6</v>
      </c>
    </row>
    <row r="3770" spans="1:38" hidden="1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2623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64"/>
        <v>0</v>
      </c>
      <c r="AG3770" s="2">
        <f t="shared" si="468"/>
        <v>41.25</v>
      </c>
      <c r="AJ3770" s="2">
        <f t="shared" si="465"/>
        <v>0</v>
      </c>
      <c r="AK3770" s="2">
        <f t="shared" si="471"/>
        <v>41.25</v>
      </c>
      <c r="AL3770" s="5">
        <f t="shared" si="470"/>
        <v>0.5</v>
      </c>
    </row>
    <row r="3771" spans="1:38" hidden="1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2345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F3771" s="2">
        <f t="shared" si="464"/>
        <v>0</v>
      </c>
      <c r="AG3771" s="2">
        <f t="shared" si="468"/>
        <v>0</v>
      </c>
      <c r="AJ3771" s="2">
        <f t="shared" si="465"/>
        <v>0</v>
      </c>
      <c r="AK3771" s="2">
        <f t="shared" si="471"/>
        <v>0</v>
      </c>
      <c r="AL3771" s="5">
        <v>-1</v>
      </c>
    </row>
    <row r="3772" spans="1:38" hidden="1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2345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F3772" s="2">
        <f t="shared" si="464"/>
        <v>0</v>
      </c>
      <c r="AG3772" s="2">
        <f t="shared" si="468"/>
        <v>0</v>
      </c>
      <c r="AJ3772" s="2">
        <f t="shared" si="465"/>
        <v>0</v>
      </c>
      <c r="AK3772" s="2">
        <f t="shared" si="471"/>
        <v>0</v>
      </c>
      <c r="AL3772" s="5">
        <v>-1</v>
      </c>
    </row>
    <row r="3773" spans="1:38" hidden="1" x14ac:dyDescent="0.2">
      <c r="A3773" s="2">
        <v>2026</v>
      </c>
      <c r="B3773" s="2">
        <v>4</v>
      </c>
      <c r="D3773" s="2" t="s">
        <v>2916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2">(T3773-W3773)/T3773</f>
        <v>0.6</v>
      </c>
      <c r="Z3773" s="2" t="s">
        <v>118</v>
      </c>
      <c r="AA3773" s="2" t="s">
        <v>191</v>
      </c>
      <c r="AF3773" s="2">
        <f t="shared" si="464"/>
        <v>0</v>
      </c>
      <c r="AG3773" s="2">
        <f t="shared" si="468"/>
        <v>60.400000000000006</v>
      </c>
      <c r="AJ3773" s="2">
        <f t="shared" si="465"/>
        <v>0</v>
      </c>
      <c r="AK3773" s="2">
        <f t="shared" si="471"/>
        <v>90.6</v>
      </c>
      <c r="AL3773" s="5">
        <f t="shared" si="470"/>
        <v>0.6</v>
      </c>
    </row>
    <row r="3774" spans="1:38" hidden="1" x14ac:dyDescent="0.2">
      <c r="A3774" s="2">
        <v>2026</v>
      </c>
      <c r="B3774" s="2">
        <v>4</v>
      </c>
      <c r="D3774" s="2" t="s">
        <v>2916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2"/>
        <v>0.5</v>
      </c>
      <c r="Z3774" s="2" t="s">
        <v>118</v>
      </c>
      <c r="AA3774" s="2" t="s">
        <v>191</v>
      </c>
      <c r="AF3774" s="2">
        <f t="shared" si="464"/>
        <v>0</v>
      </c>
      <c r="AG3774" s="2">
        <f t="shared" si="468"/>
        <v>82.5</v>
      </c>
      <c r="AJ3774" s="2">
        <f t="shared" si="465"/>
        <v>0</v>
      </c>
      <c r="AK3774" s="2">
        <f t="shared" si="471"/>
        <v>82.5</v>
      </c>
      <c r="AL3774" s="5">
        <f t="shared" si="470"/>
        <v>0.5</v>
      </c>
    </row>
    <row r="3775" spans="1:38" hidden="1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2680</v>
      </c>
      <c r="J3775" s="2" t="s">
        <v>2681</v>
      </c>
      <c r="K3775" s="2">
        <v>962939747</v>
      </c>
      <c r="L3775" s="2" t="s">
        <v>100</v>
      </c>
      <c r="M3775" s="2" t="s">
        <v>40</v>
      </c>
      <c r="O3775" s="2" t="s">
        <v>2917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2"/>
        <v>0.6</v>
      </c>
      <c r="Z3775" s="2" t="s">
        <v>118</v>
      </c>
      <c r="AA3775" s="2" t="s">
        <v>191</v>
      </c>
      <c r="AF3775" s="2">
        <f t="shared" si="464"/>
        <v>0</v>
      </c>
      <c r="AG3775" s="2">
        <f t="shared" si="468"/>
        <v>20</v>
      </c>
      <c r="AJ3775" s="2">
        <f t="shared" si="465"/>
        <v>0</v>
      </c>
      <c r="AK3775" s="2">
        <f t="shared" si="471"/>
        <v>30</v>
      </c>
      <c r="AL3775" s="5">
        <f t="shared" si="470"/>
        <v>0.6</v>
      </c>
    </row>
    <row r="3776" spans="1:38" hidden="1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2680</v>
      </c>
      <c r="J3776" s="2" t="s">
        <v>2681</v>
      </c>
      <c r="K3776" s="2">
        <v>962939747</v>
      </c>
      <c r="L3776" s="2" t="s">
        <v>100</v>
      </c>
      <c r="M3776" s="2" t="s">
        <v>40</v>
      </c>
      <c r="O3776" s="2" t="s">
        <v>2917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2"/>
        <v>0.5</v>
      </c>
      <c r="Z3776" s="2" t="s">
        <v>118</v>
      </c>
      <c r="AA3776" s="2" t="s">
        <v>191</v>
      </c>
      <c r="AF3776" s="2">
        <f t="shared" si="464"/>
        <v>0</v>
      </c>
      <c r="AG3776" s="2">
        <f t="shared" si="468"/>
        <v>25</v>
      </c>
      <c r="AJ3776" s="2">
        <f t="shared" si="465"/>
        <v>0</v>
      </c>
      <c r="AK3776" s="2">
        <f t="shared" si="471"/>
        <v>25</v>
      </c>
      <c r="AL3776" s="5">
        <f t="shared" si="470"/>
        <v>0.5</v>
      </c>
    </row>
    <row r="3777" spans="1:38" hidden="1" x14ac:dyDescent="0.2">
      <c r="A3777" s="2">
        <v>2026</v>
      </c>
      <c r="B3777" s="2">
        <v>1</v>
      </c>
      <c r="D3777" s="2" t="s">
        <v>2342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2"/>
        <v>0.6</v>
      </c>
      <c r="Z3777" s="2" t="s">
        <v>118</v>
      </c>
      <c r="AA3777" s="2" t="s">
        <v>191</v>
      </c>
      <c r="AF3777" s="2">
        <f t="shared" si="464"/>
        <v>0</v>
      </c>
      <c r="AG3777" s="2">
        <f t="shared" si="468"/>
        <v>22</v>
      </c>
      <c r="AJ3777" s="2">
        <f t="shared" si="465"/>
        <v>0</v>
      </c>
      <c r="AK3777" s="2">
        <f t="shared" si="471"/>
        <v>33</v>
      </c>
      <c r="AL3777" s="5">
        <f t="shared" si="470"/>
        <v>0.6</v>
      </c>
    </row>
    <row r="3778" spans="1:38" hidden="1" x14ac:dyDescent="0.2">
      <c r="A3778" s="2">
        <v>2026</v>
      </c>
      <c r="B3778" s="2">
        <v>1</v>
      </c>
      <c r="D3778" s="2" t="s">
        <v>2342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2"/>
        <v>0.5</v>
      </c>
      <c r="Z3778" s="2" t="s">
        <v>118</v>
      </c>
      <c r="AA3778" s="2" t="s">
        <v>191</v>
      </c>
      <c r="AF3778" s="2">
        <f t="shared" si="464"/>
        <v>0</v>
      </c>
      <c r="AG3778" s="2">
        <f t="shared" si="468"/>
        <v>50</v>
      </c>
      <c r="AJ3778" s="2">
        <f t="shared" si="465"/>
        <v>0</v>
      </c>
      <c r="AK3778" s="2">
        <f t="shared" si="471"/>
        <v>50</v>
      </c>
      <c r="AL3778" s="5">
        <f t="shared" si="470"/>
        <v>0.5</v>
      </c>
    </row>
    <row r="3779" spans="1:38" hidden="1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73">AJ3779</f>
        <v>0</v>
      </c>
      <c r="AG3779" s="2">
        <f t="shared" si="468"/>
        <v>0</v>
      </c>
      <c r="AJ3779" s="2">
        <f t="shared" ref="AJ3779:AJ3842" si="474">AI3779*T3779</f>
        <v>0</v>
      </c>
      <c r="AK3779" s="2">
        <f t="shared" si="471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73"/>
        <v>0</v>
      </c>
      <c r="AG3780" s="2">
        <f t="shared" si="468"/>
        <v>0</v>
      </c>
      <c r="AJ3780" s="2">
        <f t="shared" si="474"/>
        <v>0</v>
      </c>
      <c r="AK3780" s="2">
        <f t="shared" si="471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2335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5">(T3781-W3781)/T3781</f>
        <v>0.6</v>
      </c>
      <c r="Z3781" s="2" t="s">
        <v>118</v>
      </c>
      <c r="AA3781" s="2" t="s">
        <v>191</v>
      </c>
      <c r="AF3781" s="2">
        <f t="shared" si="473"/>
        <v>0</v>
      </c>
      <c r="AG3781" s="2">
        <f t="shared" si="468"/>
        <v>20</v>
      </c>
      <c r="AJ3781" s="2">
        <f t="shared" si="474"/>
        <v>0</v>
      </c>
      <c r="AK3781" s="2">
        <f t="shared" si="471"/>
        <v>30</v>
      </c>
      <c r="AL3781" s="5">
        <f t="shared" si="470"/>
        <v>0.6</v>
      </c>
    </row>
    <row r="3782" spans="1:38" hidden="1" x14ac:dyDescent="0.2">
      <c r="A3782" s="2">
        <v>2026</v>
      </c>
      <c r="B3782" s="2">
        <v>1</v>
      </c>
      <c r="D3782" s="2" t="s">
        <v>2335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5"/>
        <v>0.5</v>
      </c>
      <c r="Z3782" s="2" t="s">
        <v>118</v>
      </c>
      <c r="AA3782" s="2" t="s">
        <v>191</v>
      </c>
      <c r="AF3782" s="2">
        <f t="shared" si="473"/>
        <v>0</v>
      </c>
      <c r="AG3782" s="2">
        <f t="shared" si="468"/>
        <v>25</v>
      </c>
      <c r="AJ3782" s="2">
        <f t="shared" si="474"/>
        <v>0</v>
      </c>
      <c r="AK3782" s="2">
        <f t="shared" si="471"/>
        <v>25</v>
      </c>
      <c r="AL3782" s="5">
        <f t="shared" si="470"/>
        <v>0.5</v>
      </c>
    </row>
    <row r="3783" spans="1:38" hidden="1" x14ac:dyDescent="0.2">
      <c r="A3783" s="2">
        <v>2026</v>
      </c>
      <c r="B3783" s="2">
        <v>2</v>
      </c>
      <c r="D3783" s="2" t="s">
        <v>2335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73"/>
        <v>0</v>
      </c>
      <c r="AG3783" s="2">
        <f t="shared" si="468"/>
        <v>-20</v>
      </c>
      <c r="AJ3783" s="2">
        <f t="shared" si="474"/>
        <v>0</v>
      </c>
      <c r="AK3783" s="2">
        <f t="shared" si="471"/>
        <v>-30</v>
      </c>
    </row>
    <row r="3784" spans="1:38" hidden="1" x14ac:dyDescent="0.2">
      <c r="A3784" s="2">
        <v>2026</v>
      </c>
      <c r="B3784" s="2">
        <v>3</v>
      </c>
      <c r="D3784" s="2" t="s">
        <v>2860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5"/>
        <v>1</v>
      </c>
      <c r="Z3784" s="2" t="s">
        <v>170</v>
      </c>
      <c r="AA3784" s="2" t="s">
        <v>170</v>
      </c>
      <c r="AF3784" s="2">
        <f t="shared" si="473"/>
        <v>0</v>
      </c>
      <c r="AJ3784" s="2">
        <f t="shared" si="474"/>
        <v>0</v>
      </c>
      <c r="AK3784" s="2">
        <f t="shared" si="471"/>
        <v>8</v>
      </c>
      <c r="AL3784" s="5">
        <f t="shared" si="470"/>
        <v>1</v>
      </c>
    </row>
    <row r="3785" spans="1:38" hidden="1" x14ac:dyDescent="0.2">
      <c r="A3785" s="2">
        <v>2026</v>
      </c>
      <c r="B3785" s="2">
        <v>2</v>
      </c>
      <c r="D3785" s="2" t="s">
        <v>2335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73"/>
        <v>0</v>
      </c>
      <c r="AG3785" s="2">
        <f t="shared" ref="AG3785:AG3809" si="476">W3785</f>
        <v>0</v>
      </c>
      <c r="AJ3785" s="2">
        <f t="shared" si="474"/>
        <v>0</v>
      </c>
      <c r="AK3785" s="2">
        <f t="shared" si="471"/>
        <v>-50</v>
      </c>
      <c r="AL3785" s="5">
        <f t="shared" si="470"/>
        <v>1</v>
      </c>
    </row>
    <row r="3786" spans="1:38" hidden="1" x14ac:dyDescent="0.2">
      <c r="A3786" s="2">
        <v>2026</v>
      </c>
      <c r="B3786" s="2">
        <v>2</v>
      </c>
      <c r="D3786" s="2" t="s">
        <v>2490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5"/>
        <v>0.6</v>
      </c>
      <c r="Z3786" s="2" t="s">
        <v>118</v>
      </c>
      <c r="AA3786" s="2" t="s">
        <v>191</v>
      </c>
      <c r="AF3786" s="2">
        <f t="shared" si="473"/>
        <v>0</v>
      </c>
      <c r="AG3786" s="2">
        <f t="shared" si="476"/>
        <v>20</v>
      </c>
      <c r="AJ3786" s="2">
        <f t="shared" si="474"/>
        <v>0</v>
      </c>
      <c r="AK3786" s="2">
        <f t="shared" si="471"/>
        <v>30</v>
      </c>
      <c r="AL3786" s="5">
        <f t="shared" si="470"/>
        <v>0.6</v>
      </c>
    </row>
    <row r="3787" spans="1:38" hidden="1" x14ac:dyDescent="0.2">
      <c r="A3787" s="2">
        <v>2026</v>
      </c>
      <c r="B3787" s="2">
        <v>2</v>
      </c>
      <c r="D3787" s="2" t="s">
        <v>2490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5"/>
        <v>0.5</v>
      </c>
      <c r="Z3787" s="2" t="s">
        <v>118</v>
      </c>
      <c r="AA3787" s="2" t="s">
        <v>191</v>
      </c>
      <c r="AF3787" s="2">
        <f t="shared" si="473"/>
        <v>0</v>
      </c>
      <c r="AG3787" s="2">
        <f t="shared" si="476"/>
        <v>25</v>
      </c>
      <c r="AJ3787" s="2">
        <f t="shared" si="474"/>
        <v>0</v>
      </c>
      <c r="AK3787" s="2">
        <f t="shared" si="471"/>
        <v>25</v>
      </c>
      <c r="AL3787" s="5">
        <f t="shared" si="470"/>
        <v>0.5</v>
      </c>
    </row>
    <row r="3788" spans="1:38" hidden="1" x14ac:dyDescent="0.2">
      <c r="A3788" s="2">
        <v>2026</v>
      </c>
      <c r="B3788" s="2">
        <v>4</v>
      </c>
      <c r="D3788" s="2" t="s">
        <v>2789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5"/>
        <v>0.6</v>
      </c>
      <c r="Z3788" s="2" t="s">
        <v>118</v>
      </c>
      <c r="AA3788" s="2" t="s">
        <v>191</v>
      </c>
      <c r="AF3788" s="2">
        <f t="shared" si="473"/>
        <v>0</v>
      </c>
      <c r="AG3788" s="2">
        <f t="shared" si="476"/>
        <v>22</v>
      </c>
      <c r="AJ3788" s="2">
        <f t="shared" si="474"/>
        <v>0</v>
      </c>
      <c r="AK3788" s="2">
        <f t="shared" si="471"/>
        <v>33</v>
      </c>
      <c r="AL3788" s="5">
        <f t="shared" si="470"/>
        <v>0.6</v>
      </c>
    </row>
    <row r="3789" spans="1:38" hidden="1" x14ac:dyDescent="0.2">
      <c r="A3789" s="2">
        <v>2026</v>
      </c>
      <c r="B3789" s="2">
        <v>4</v>
      </c>
      <c r="D3789" s="2" t="s">
        <v>2789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5"/>
        <v>0.5</v>
      </c>
      <c r="Z3789" s="2" t="s">
        <v>118</v>
      </c>
      <c r="AA3789" s="2" t="s">
        <v>191</v>
      </c>
      <c r="AF3789" s="2">
        <f t="shared" si="473"/>
        <v>0</v>
      </c>
      <c r="AG3789" s="2">
        <f t="shared" si="476"/>
        <v>27.5</v>
      </c>
      <c r="AJ3789" s="2">
        <f t="shared" si="474"/>
        <v>0</v>
      </c>
      <c r="AK3789" s="2">
        <f t="shared" si="471"/>
        <v>27.5</v>
      </c>
      <c r="AL3789" s="5">
        <f t="shared" si="470"/>
        <v>0.5</v>
      </c>
    </row>
    <row r="3790" spans="1:38" hidden="1" x14ac:dyDescent="0.2">
      <c r="A3790" s="2">
        <v>2026</v>
      </c>
      <c r="B3790" s="2">
        <v>4</v>
      </c>
      <c r="D3790" s="2" t="s">
        <v>2291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5"/>
        <v>0.6</v>
      </c>
      <c r="Z3790" s="2" t="s">
        <v>118</v>
      </c>
      <c r="AA3790" s="2" t="s">
        <v>191</v>
      </c>
      <c r="AF3790" s="2">
        <f t="shared" si="473"/>
        <v>0</v>
      </c>
      <c r="AG3790" s="2">
        <f t="shared" si="476"/>
        <v>33.200000000000003</v>
      </c>
      <c r="AJ3790" s="2">
        <f t="shared" si="474"/>
        <v>0</v>
      </c>
      <c r="AK3790" s="2">
        <f t="shared" si="471"/>
        <v>49.8</v>
      </c>
      <c r="AL3790" s="5">
        <f t="shared" si="470"/>
        <v>0.6</v>
      </c>
    </row>
    <row r="3791" spans="1:38" hidden="1" x14ac:dyDescent="0.2">
      <c r="A3791" s="2">
        <v>2026</v>
      </c>
      <c r="B3791" s="2">
        <v>4</v>
      </c>
      <c r="D3791" s="2" t="s">
        <v>2291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5"/>
        <v>0.5</v>
      </c>
      <c r="Z3791" s="2" t="s">
        <v>118</v>
      </c>
      <c r="AA3791" s="2" t="s">
        <v>191</v>
      </c>
      <c r="AF3791" s="2">
        <f t="shared" si="473"/>
        <v>0</v>
      </c>
      <c r="AG3791" s="2">
        <f t="shared" si="476"/>
        <v>20.625</v>
      </c>
      <c r="AJ3791" s="2">
        <f t="shared" si="474"/>
        <v>0</v>
      </c>
      <c r="AK3791" s="2">
        <f t="shared" si="471"/>
        <v>20.625</v>
      </c>
      <c r="AL3791" s="5">
        <f t="shared" si="470"/>
        <v>0.5</v>
      </c>
    </row>
    <row r="3792" spans="1:38" hidden="1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5"/>
        <v>0.6</v>
      </c>
      <c r="Z3792" s="2" t="s">
        <v>118</v>
      </c>
      <c r="AA3792" s="2" t="s">
        <v>191</v>
      </c>
      <c r="AF3792" s="2">
        <f t="shared" si="473"/>
        <v>0</v>
      </c>
      <c r="AG3792" s="2">
        <f t="shared" si="476"/>
        <v>25.200000000000003</v>
      </c>
      <c r="AJ3792" s="2">
        <f t="shared" si="474"/>
        <v>0</v>
      </c>
      <c r="AK3792" s="2">
        <f t="shared" si="471"/>
        <v>37.799999999999997</v>
      </c>
      <c r="AL3792" s="5">
        <f t="shared" si="470"/>
        <v>0.6</v>
      </c>
    </row>
    <row r="3793" spans="1:38" hidden="1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73"/>
        <v>0</v>
      </c>
      <c r="AG3793" s="2">
        <f t="shared" si="476"/>
        <v>0</v>
      </c>
      <c r="AJ3793" s="2">
        <f t="shared" si="474"/>
        <v>0</v>
      </c>
      <c r="AK3793" s="2">
        <f t="shared" si="471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7">(T3794-W3794)/T3794</f>
        <v>0.6</v>
      </c>
      <c r="Z3794" s="2" t="s">
        <v>118</v>
      </c>
      <c r="AA3794" s="2" t="s">
        <v>191</v>
      </c>
      <c r="AF3794" s="2">
        <f t="shared" si="473"/>
        <v>0</v>
      </c>
      <c r="AG3794" s="2">
        <f t="shared" si="476"/>
        <v>228.8</v>
      </c>
      <c r="AJ3794" s="2">
        <f t="shared" si="474"/>
        <v>0</v>
      </c>
      <c r="AK3794" s="2">
        <f t="shared" si="471"/>
        <v>343.2</v>
      </c>
      <c r="AL3794" s="5">
        <f t="shared" si="470"/>
        <v>0.6</v>
      </c>
    </row>
    <row r="3795" spans="1:38" hidden="1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7"/>
        <v>0.5</v>
      </c>
      <c r="Z3795" s="2" t="s">
        <v>118</v>
      </c>
      <c r="AA3795" s="2" t="s">
        <v>191</v>
      </c>
      <c r="AF3795" s="2">
        <f t="shared" si="473"/>
        <v>0</v>
      </c>
      <c r="AG3795" s="2">
        <f t="shared" si="476"/>
        <v>50</v>
      </c>
      <c r="AJ3795" s="2">
        <f t="shared" si="474"/>
        <v>0</v>
      </c>
      <c r="AK3795" s="2">
        <f t="shared" si="471"/>
        <v>50</v>
      </c>
      <c r="AL3795" s="5">
        <f t="shared" si="470"/>
        <v>0.5</v>
      </c>
    </row>
    <row r="3796" spans="1:38" hidden="1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73"/>
        <v>0</v>
      </c>
      <c r="AG3796" s="2">
        <f t="shared" si="476"/>
        <v>-114.4</v>
      </c>
      <c r="AJ3796" s="2">
        <f t="shared" si="474"/>
        <v>0</v>
      </c>
      <c r="AK3796" s="2">
        <f t="shared" si="471"/>
        <v>-171.6</v>
      </c>
    </row>
    <row r="3797" spans="1:38" hidden="1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73"/>
        <v>0</v>
      </c>
      <c r="AG3797" s="2">
        <f t="shared" si="476"/>
        <v>0</v>
      </c>
      <c r="AJ3797" s="2">
        <f t="shared" si="474"/>
        <v>0</v>
      </c>
      <c r="AK3797" s="2">
        <f t="shared" si="471"/>
        <v>-50</v>
      </c>
    </row>
    <row r="3798" spans="1:38" hidden="1" x14ac:dyDescent="0.2">
      <c r="A3798" s="2">
        <v>2026</v>
      </c>
      <c r="B3798" s="2">
        <v>3</v>
      </c>
      <c r="D3798" s="2" t="s">
        <v>2632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7"/>
        <v>0.6</v>
      </c>
      <c r="Z3798" s="2" t="s">
        <v>118</v>
      </c>
      <c r="AA3798" s="2" t="s">
        <v>191</v>
      </c>
      <c r="AF3798" s="2">
        <f t="shared" si="473"/>
        <v>0</v>
      </c>
      <c r="AG3798" s="2">
        <f t="shared" si="476"/>
        <v>71.2</v>
      </c>
      <c r="AJ3798" s="2">
        <f t="shared" si="474"/>
        <v>0</v>
      </c>
      <c r="AK3798" s="2">
        <f t="shared" si="471"/>
        <v>106.8</v>
      </c>
      <c r="AL3798" s="5">
        <f t="shared" ref="AL3798:AL3828" si="478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2632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7"/>
        <v>0.5</v>
      </c>
      <c r="Z3799" s="2" t="s">
        <v>118</v>
      </c>
      <c r="AA3799" s="2" t="s">
        <v>191</v>
      </c>
      <c r="AF3799" s="2">
        <f t="shared" si="473"/>
        <v>0</v>
      </c>
      <c r="AG3799" s="2">
        <f t="shared" si="476"/>
        <v>41.25</v>
      </c>
      <c r="AJ3799" s="2">
        <f t="shared" si="474"/>
        <v>0</v>
      </c>
      <c r="AK3799" s="2">
        <f t="shared" si="471"/>
        <v>41.25</v>
      </c>
      <c r="AL3799" s="5">
        <f t="shared" si="478"/>
        <v>0.5</v>
      </c>
    </row>
    <row r="3800" spans="1:38" hidden="1" x14ac:dyDescent="0.2">
      <c r="A3800" s="2">
        <v>2026</v>
      </c>
      <c r="B3800" s="2">
        <v>2</v>
      </c>
      <c r="D3800" s="2" t="s">
        <v>2499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7"/>
        <v>0.6</v>
      </c>
      <c r="Z3800" s="2" t="s">
        <v>118</v>
      </c>
      <c r="AA3800" s="2" t="s">
        <v>191</v>
      </c>
      <c r="AF3800" s="2">
        <f t="shared" si="473"/>
        <v>0</v>
      </c>
      <c r="AG3800" s="2">
        <f t="shared" si="476"/>
        <v>22</v>
      </c>
      <c r="AJ3800" s="2">
        <f t="shared" si="474"/>
        <v>0</v>
      </c>
      <c r="AK3800" s="2">
        <f t="shared" si="471"/>
        <v>33</v>
      </c>
      <c r="AL3800" s="5">
        <f t="shared" si="478"/>
        <v>0.6</v>
      </c>
    </row>
    <row r="3801" spans="1:38" hidden="1" x14ac:dyDescent="0.2">
      <c r="A3801" s="2">
        <v>2026</v>
      </c>
      <c r="B3801" s="2">
        <v>2</v>
      </c>
      <c r="D3801" s="2" t="s">
        <v>2499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7"/>
        <v>0.5</v>
      </c>
      <c r="Z3801" s="2" t="s">
        <v>118</v>
      </c>
      <c r="AA3801" s="2" t="s">
        <v>191</v>
      </c>
      <c r="AF3801" s="2">
        <f t="shared" si="473"/>
        <v>0</v>
      </c>
      <c r="AG3801" s="2">
        <f t="shared" si="476"/>
        <v>27.5</v>
      </c>
      <c r="AJ3801" s="2">
        <f t="shared" si="474"/>
        <v>0</v>
      </c>
      <c r="AK3801" s="2">
        <f t="shared" si="471"/>
        <v>27.5</v>
      </c>
      <c r="AL3801" s="5">
        <f t="shared" si="478"/>
        <v>0.5</v>
      </c>
    </row>
    <row r="3802" spans="1:38" hidden="1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7"/>
        <v>0.6</v>
      </c>
      <c r="Z3802" s="2" t="s">
        <v>118</v>
      </c>
      <c r="AA3802" s="2" t="s">
        <v>191</v>
      </c>
      <c r="AF3802" s="2">
        <f t="shared" si="473"/>
        <v>0</v>
      </c>
      <c r="AG3802" s="2">
        <f t="shared" si="476"/>
        <v>31.6</v>
      </c>
      <c r="AJ3802" s="2">
        <f t="shared" si="474"/>
        <v>0</v>
      </c>
      <c r="AK3802" s="2">
        <f t="shared" si="471"/>
        <v>47.4</v>
      </c>
      <c r="AL3802" s="5">
        <f t="shared" si="478"/>
        <v>0.6</v>
      </c>
    </row>
    <row r="3803" spans="1:38" hidden="1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7"/>
        <v>0.5</v>
      </c>
      <c r="Z3803" s="2" t="s">
        <v>118</v>
      </c>
      <c r="AA3803" s="2" t="s">
        <v>191</v>
      </c>
      <c r="AF3803" s="2">
        <f t="shared" si="473"/>
        <v>0</v>
      </c>
      <c r="AG3803" s="2">
        <f t="shared" si="476"/>
        <v>50</v>
      </c>
      <c r="AJ3803" s="2">
        <f t="shared" si="474"/>
        <v>0</v>
      </c>
      <c r="AK3803" s="2">
        <f t="shared" si="471"/>
        <v>50</v>
      </c>
      <c r="AL3803" s="5">
        <f t="shared" si="478"/>
        <v>0.5</v>
      </c>
    </row>
    <row r="3804" spans="1:38" hidden="1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7"/>
        <v>0.6</v>
      </c>
      <c r="Z3804" s="2" t="s">
        <v>118</v>
      </c>
      <c r="AA3804" s="2" t="s">
        <v>191</v>
      </c>
      <c r="AF3804" s="2">
        <f t="shared" si="473"/>
        <v>0</v>
      </c>
      <c r="AG3804" s="2">
        <f t="shared" si="476"/>
        <v>33.200000000000003</v>
      </c>
      <c r="AJ3804" s="2">
        <f t="shared" si="474"/>
        <v>0</v>
      </c>
      <c r="AK3804" s="2">
        <f t="shared" si="471"/>
        <v>49.8</v>
      </c>
      <c r="AL3804" s="5">
        <f t="shared" si="478"/>
        <v>0.6</v>
      </c>
    </row>
    <row r="3805" spans="1:38" hidden="1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7"/>
        <v>0.5</v>
      </c>
      <c r="Z3805" s="2" t="s">
        <v>118</v>
      </c>
      <c r="AA3805" s="2" t="s">
        <v>191</v>
      </c>
      <c r="AF3805" s="2">
        <f t="shared" si="473"/>
        <v>0</v>
      </c>
      <c r="AG3805" s="2">
        <f t="shared" si="476"/>
        <v>27.5</v>
      </c>
      <c r="AJ3805" s="2">
        <f t="shared" si="474"/>
        <v>0</v>
      </c>
      <c r="AK3805" s="2">
        <f t="shared" si="471"/>
        <v>27.5</v>
      </c>
      <c r="AL3805" s="5">
        <f t="shared" si="478"/>
        <v>0.5</v>
      </c>
    </row>
    <row r="3806" spans="1:38" hidden="1" x14ac:dyDescent="0.2">
      <c r="A3806" s="2">
        <v>2026</v>
      </c>
      <c r="B3806" s="2">
        <v>4</v>
      </c>
      <c r="D3806" s="2" t="s">
        <v>2805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2806</v>
      </c>
      <c r="J3806" s="2" t="s">
        <v>2807</v>
      </c>
      <c r="L3806" s="2" t="s">
        <v>202</v>
      </c>
      <c r="M3806" s="2" t="s">
        <v>40</v>
      </c>
      <c r="O3806" s="2" t="s">
        <v>2808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7"/>
        <v>0.59999999999999987</v>
      </c>
      <c r="Z3806" s="2" t="s">
        <v>118</v>
      </c>
      <c r="AA3806" s="2" t="s">
        <v>191</v>
      </c>
      <c r="AF3806" s="2">
        <f t="shared" si="473"/>
        <v>0</v>
      </c>
      <c r="AG3806" s="2">
        <f t="shared" si="476"/>
        <v>24.400000000000002</v>
      </c>
      <c r="AJ3806" s="2">
        <f t="shared" si="474"/>
        <v>0</v>
      </c>
      <c r="AK3806" s="2">
        <f t="shared" si="471"/>
        <v>36.599999999999994</v>
      </c>
      <c r="AL3806" s="5">
        <f t="shared" si="478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2805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2806</v>
      </c>
      <c r="J3807" s="2" t="s">
        <v>2807</v>
      </c>
      <c r="L3807" s="2" t="s">
        <v>202</v>
      </c>
      <c r="M3807" s="2" t="s">
        <v>40</v>
      </c>
      <c r="O3807" s="2" t="s">
        <v>2808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7"/>
        <v>0.5</v>
      </c>
      <c r="Z3807" s="2" t="s">
        <v>118</v>
      </c>
      <c r="AA3807" s="2" t="s">
        <v>191</v>
      </c>
      <c r="AF3807" s="2">
        <f t="shared" si="473"/>
        <v>0</v>
      </c>
      <c r="AG3807" s="2">
        <f t="shared" si="476"/>
        <v>27.5</v>
      </c>
      <c r="AJ3807" s="2">
        <f t="shared" si="474"/>
        <v>0</v>
      </c>
      <c r="AK3807" s="2">
        <f t="shared" si="471"/>
        <v>27.5</v>
      </c>
      <c r="AL3807" s="5">
        <f t="shared" si="478"/>
        <v>0.5</v>
      </c>
    </row>
    <row r="3808" spans="1:38" hidden="1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2302</v>
      </c>
      <c r="J3808" s="2" t="s">
        <v>2303</v>
      </c>
      <c r="K3808" s="2">
        <v>965790183</v>
      </c>
      <c r="L3808" s="2" t="s">
        <v>178</v>
      </c>
      <c r="M3808" s="2" t="s">
        <v>40</v>
      </c>
      <c r="O3808" s="2" t="s">
        <v>2918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7"/>
        <v>0.60000000000000009</v>
      </c>
      <c r="Z3808" s="2" t="s">
        <v>118</v>
      </c>
      <c r="AA3808" s="2" t="s">
        <v>191</v>
      </c>
      <c r="AF3808" s="2">
        <f t="shared" si="473"/>
        <v>0</v>
      </c>
      <c r="AG3808" s="2">
        <f t="shared" si="476"/>
        <v>26.8</v>
      </c>
      <c r="AJ3808" s="2">
        <f t="shared" si="474"/>
        <v>0</v>
      </c>
      <c r="AK3808" s="2">
        <f t="shared" si="471"/>
        <v>40.200000000000003</v>
      </c>
      <c r="AL3808" s="5">
        <f t="shared" si="478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2302</v>
      </c>
      <c r="J3809" s="2" t="s">
        <v>2303</v>
      </c>
      <c r="K3809" s="2">
        <v>965790183</v>
      </c>
      <c r="L3809" s="2" t="s">
        <v>178</v>
      </c>
      <c r="M3809" s="2" t="s">
        <v>40</v>
      </c>
      <c r="O3809" s="2" t="s">
        <v>2918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7"/>
        <v>0.5</v>
      </c>
      <c r="Z3809" s="2" t="s">
        <v>118</v>
      </c>
      <c r="AA3809" s="2" t="s">
        <v>191</v>
      </c>
      <c r="AF3809" s="2">
        <f t="shared" si="473"/>
        <v>0</v>
      </c>
      <c r="AG3809" s="2">
        <f t="shared" si="476"/>
        <v>27.5</v>
      </c>
      <c r="AJ3809" s="2">
        <f t="shared" si="474"/>
        <v>0</v>
      </c>
      <c r="AK3809" s="2">
        <f t="shared" si="471"/>
        <v>27.5</v>
      </c>
      <c r="AL3809" s="5">
        <f t="shared" si="478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7"/>
        <v>1</v>
      </c>
      <c r="Z3810" s="2" t="s">
        <v>170</v>
      </c>
      <c r="AA3810" s="2" t="s">
        <v>170</v>
      </c>
      <c r="AF3810" s="2">
        <f t="shared" si="473"/>
        <v>0</v>
      </c>
      <c r="AJ3810" s="2">
        <f t="shared" si="474"/>
        <v>0</v>
      </c>
      <c r="AK3810" s="2">
        <f t="shared" si="471"/>
        <v>120</v>
      </c>
      <c r="AL3810" s="5">
        <f t="shared" si="478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7"/>
        <v>1</v>
      </c>
      <c r="Z3811" s="2" t="s">
        <v>170</v>
      </c>
      <c r="AA3811" s="2" t="s">
        <v>170</v>
      </c>
      <c r="AF3811" s="2">
        <f t="shared" si="473"/>
        <v>0</v>
      </c>
      <c r="AJ3811" s="2">
        <f t="shared" si="474"/>
        <v>0</v>
      </c>
      <c r="AK3811" s="2">
        <f t="shared" si="471"/>
        <v>5</v>
      </c>
      <c r="AL3811" s="5">
        <f t="shared" si="478"/>
        <v>1</v>
      </c>
    </row>
    <row r="3812" spans="1:38" hidden="1" x14ac:dyDescent="0.2">
      <c r="A3812" s="2">
        <v>2026</v>
      </c>
      <c r="B3812" s="2">
        <v>4</v>
      </c>
      <c r="D3812" s="2" t="s">
        <v>2057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7"/>
        <v>1</v>
      </c>
      <c r="Z3812" s="2" t="s">
        <v>170</v>
      </c>
      <c r="AA3812" s="2" t="s">
        <v>170</v>
      </c>
      <c r="AF3812" s="2">
        <f t="shared" si="473"/>
        <v>0</v>
      </c>
      <c r="AJ3812" s="2">
        <f t="shared" si="474"/>
        <v>0</v>
      </c>
      <c r="AK3812" s="2">
        <f t="shared" si="471"/>
        <v>5</v>
      </c>
      <c r="AL3812" s="5">
        <f t="shared" si="478"/>
        <v>1</v>
      </c>
    </row>
    <row r="3813" spans="1:38" hidden="1" x14ac:dyDescent="0.2">
      <c r="A3813" s="2">
        <v>2026</v>
      </c>
      <c r="B3813" s="2">
        <v>4</v>
      </c>
      <c r="D3813" s="2" t="s">
        <v>2534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7"/>
        <v>0.23333333333333334</v>
      </c>
      <c r="Z3813" s="2" t="s">
        <v>170</v>
      </c>
      <c r="AA3813" s="2" t="s">
        <v>170</v>
      </c>
      <c r="AF3813" s="2">
        <f t="shared" si="473"/>
        <v>0</v>
      </c>
      <c r="AJ3813" s="2">
        <f t="shared" si="474"/>
        <v>0</v>
      </c>
      <c r="AK3813" s="2">
        <f t="shared" si="471"/>
        <v>7</v>
      </c>
      <c r="AL3813" s="5">
        <f t="shared" si="478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2875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7"/>
        <v>1</v>
      </c>
      <c r="Z3814" s="2" t="s">
        <v>170</v>
      </c>
      <c r="AA3814" s="2" t="s">
        <v>170</v>
      </c>
      <c r="AF3814" s="2">
        <f t="shared" si="473"/>
        <v>0</v>
      </c>
      <c r="AJ3814" s="2">
        <f t="shared" si="474"/>
        <v>0</v>
      </c>
      <c r="AK3814" s="2">
        <f t="shared" si="471"/>
        <v>8</v>
      </c>
      <c r="AL3814" s="5">
        <f t="shared" si="478"/>
        <v>1</v>
      </c>
    </row>
    <row r="3815" spans="1:38" hidden="1" x14ac:dyDescent="0.2">
      <c r="A3815" s="2">
        <v>2026</v>
      </c>
      <c r="B3815" s="2">
        <v>4</v>
      </c>
      <c r="D3815" s="2" t="s">
        <v>2567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7"/>
        <v>1</v>
      </c>
      <c r="Z3815" s="2" t="s">
        <v>170</v>
      </c>
      <c r="AA3815" s="2" t="s">
        <v>170</v>
      </c>
      <c r="AF3815" s="2">
        <f t="shared" si="473"/>
        <v>0</v>
      </c>
      <c r="AJ3815" s="2">
        <f t="shared" si="474"/>
        <v>0</v>
      </c>
      <c r="AK3815" s="2">
        <f t="shared" si="471"/>
        <v>15</v>
      </c>
      <c r="AL3815" s="5">
        <f t="shared" si="478"/>
        <v>1</v>
      </c>
    </row>
    <row r="3816" spans="1:38" hidden="1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2896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7"/>
        <v>0.23333333333333334</v>
      </c>
      <c r="Z3816" s="2" t="s">
        <v>170</v>
      </c>
      <c r="AA3816" s="2" t="s">
        <v>170</v>
      </c>
      <c r="AF3816" s="2">
        <f t="shared" si="473"/>
        <v>0</v>
      </c>
      <c r="AG3816" s="2">
        <v>23</v>
      </c>
      <c r="AJ3816" s="2">
        <f t="shared" si="474"/>
        <v>0</v>
      </c>
      <c r="AK3816" s="2">
        <f t="shared" si="471"/>
        <v>7</v>
      </c>
      <c r="AL3816" s="5">
        <f t="shared" si="478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3"/>
        <v>0</v>
      </c>
      <c r="AJ3817" s="2">
        <f t="shared" si="474"/>
        <v>0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2890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7"/>
        <v>2.000401846171453E-16</v>
      </c>
      <c r="Z3818" s="2" t="s">
        <v>3237</v>
      </c>
      <c r="AA3818" s="2" t="s">
        <v>97</v>
      </c>
      <c r="AB3818" s="2" t="s">
        <v>77</v>
      </c>
      <c r="AC3818" s="2" t="s">
        <v>94</v>
      </c>
      <c r="AF3818" s="2">
        <f t="shared" si="473"/>
        <v>0</v>
      </c>
      <c r="AJ3818" s="2">
        <f t="shared" si="474"/>
        <v>0</v>
      </c>
      <c r="AK3818" s="2">
        <f t="shared" si="471"/>
        <v>0</v>
      </c>
      <c r="AL3818" s="5">
        <f t="shared" si="478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2891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7"/>
        <v>0</v>
      </c>
      <c r="Z3819" s="2" t="s">
        <v>3237</v>
      </c>
      <c r="AA3819" s="2" t="s">
        <v>97</v>
      </c>
      <c r="AB3819" s="2" t="s">
        <v>77</v>
      </c>
      <c r="AC3819" s="2" t="s">
        <v>94</v>
      </c>
      <c r="AF3819" s="2">
        <f t="shared" si="473"/>
        <v>0</v>
      </c>
      <c r="AG3819" s="2">
        <v>1.48</v>
      </c>
      <c r="AH3819" s="2">
        <v>1.48</v>
      </c>
      <c r="AJ3819" s="2">
        <f t="shared" si="474"/>
        <v>0</v>
      </c>
      <c r="AK3819" s="2">
        <f t="shared" si="471"/>
        <v>0</v>
      </c>
      <c r="AL3819" s="5">
        <f t="shared" si="478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7"/>
        <v>0</v>
      </c>
      <c r="Z3820" s="2" t="s">
        <v>3237</v>
      </c>
      <c r="AA3820" s="2" t="s">
        <v>97</v>
      </c>
      <c r="AB3820" s="2" t="s">
        <v>77</v>
      </c>
      <c r="AC3820" s="2" t="s">
        <v>94</v>
      </c>
      <c r="AF3820" s="2">
        <f t="shared" si="473"/>
        <v>0</v>
      </c>
      <c r="AJ3820" s="2">
        <f t="shared" si="474"/>
        <v>0</v>
      </c>
      <c r="AK3820" s="2">
        <f t="shared" si="471"/>
        <v>0</v>
      </c>
      <c r="AL3820" s="5">
        <f t="shared" si="478"/>
        <v>0</v>
      </c>
    </row>
    <row r="3821" spans="1:38" hidden="1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7"/>
        <v>0</v>
      </c>
      <c r="Z3821" s="2" t="s">
        <v>3237</v>
      </c>
      <c r="AA3821" s="2" t="s">
        <v>97</v>
      </c>
      <c r="AB3821" s="2" t="s">
        <v>77</v>
      </c>
      <c r="AC3821" s="2" t="s">
        <v>94</v>
      </c>
      <c r="AF3821" s="2">
        <f t="shared" si="473"/>
        <v>0</v>
      </c>
      <c r="AJ3821" s="2">
        <f t="shared" si="474"/>
        <v>0</v>
      </c>
      <c r="AK3821" s="2">
        <f t="shared" si="471"/>
        <v>0</v>
      </c>
      <c r="AL3821" s="5">
        <f t="shared" si="478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2893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7"/>
        <v>0</v>
      </c>
      <c r="Z3822" s="2" t="s">
        <v>3237</v>
      </c>
      <c r="AA3822" s="2" t="s">
        <v>97</v>
      </c>
      <c r="AB3822" s="2" t="s">
        <v>77</v>
      </c>
      <c r="AC3822" s="2" t="s">
        <v>94</v>
      </c>
      <c r="AF3822" s="2">
        <f t="shared" si="473"/>
        <v>0</v>
      </c>
      <c r="AJ3822" s="2">
        <f t="shared" si="474"/>
        <v>0</v>
      </c>
      <c r="AK3822" s="2">
        <f t="shared" si="471"/>
        <v>0</v>
      </c>
      <c r="AL3822" s="5">
        <f t="shared" si="478"/>
        <v>0</v>
      </c>
    </row>
    <row r="3823" spans="1:38" hidden="1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7"/>
        <v>0</v>
      </c>
      <c r="Z3823" s="2" t="s">
        <v>3237</v>
      </c>
      <c r="AA3823" s="2" t="s">
        <v>97</v>
      </c>
      <c r="AB3823" s="2" t="s">
        <v>77</v>
      </c>
      <c r="AC3823" s="2" t="s">
        <v>94</v>
      </c>
      <c r="AF3823" s="2">
        <f t="shared" si="473"/>
        <v>0</v>
      </c>
      <c r="AG3823" s="2">
        <v>1.48</v>
      </c>
      <c r="AH3823" s="2">
        <v>1.48</v>
      </c>
      <c r="AJ3823" s="2">
        <f t="shared" si="474"/>
        <v>0</v>
      </c>
      <c r="AK3823" s="2">
        <f t="shared" si="471"/>
        <v>0</v>
      </c>
      <c r="AL3823" s="5">
        <f t="shared" si="478"/>
        <v>0</v>
      </c>
    </row>
    <row r="3824" spans="1:38" hidden="1" x14ac:dyDescent="0.2">
      <c r="A3824" s="2">
        <v>2026</v>
      </c>
      <c r="B3824" s="2">
        <v>4</v>
      </c>
      <c r="D3824" s="2" t="s">
        <v>2885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7"/>
        <v>0</v>
      </c>
      <c r="Z3824" s="2" t="s">
        <v>3237</v>
      </c>
      <c r="AA3824" s="2" t="s">
        <v>97</v>
      </c>
      <c r="AB3824" s="2" t="s">
        <v>77</v>
      </c>
      <c r="AC3824" s="2" t="s">
        <v>94</v>
      </c>
      <c r="AF3824" s="2">
        <f t="shared" si="473"/>
        <v>0</v>
      </c>
      <c r="AJ3824" s="2">
        <f t="shared" si="474"/>
        <v>0</v>
      </c>
      <c r="AK3824" s="2">
        <f t="shared" si="471"/>
        <v>0</v>
      </c>
      <c r="AL3824" s="5">
        <f t="shared" si="478"/>
        <v>0</v>
      </c>
    </row>
    <row r="3825" spans="1:38" hidden="1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2903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7"/>
        <v>0</v>
      </c>
      <c r="Z3825" s="2" t="s">
        <v>3237</v>
      </c>
      <c r="AA3825" s="2" t="s">
        <v>97</v>
      </c>
      <c r="AB3825" s="2" t="s">
        <v>77</v>
      </c>
      <c r="AC3825" s="2" t="s">
        <v>94</v>
      </c>
      <c r="AF3825" s="2">
        <f t="shared" si="473"/>
        <v>0</v>
      </c>
      <c r="AG3825" s="2">
        <v>1.48</v>
      </c>
      <c r="AH3825" s="2">
        <v>1.48</v>
      </c>
      <c r="AJ3825" s="2">
        <f t="shared" si="474"/>
        <v>0</v>
      </c>
      <c r="AK3825" s="2">
        <f t="shared" si="471"/>
        <v>0</v>
      </c>
      <c r="AL3825" s="5">
        <f t="shared" si="478"/>
        <v>0</v>
      </c>
    </row>
    <row r="3826" spans="1:38" hidden="1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2881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9">SIGN(T3826)*((ABS(T3826)-W3826)/ABS(T3826))</f>
        <v>0</v>
      </c>
      <c r="Z3826" s="2" t="s">
        <v>3237</v>
      </c>
      <c r="AA3826" s="2" t="s">
        <v>97</v>
      </c>
      <c r="AB3826" s="2" t="s">
        <v>77</v>
      </c>
      <c r="AC3826" s="2" t="s">
        <v>94</v>
      </c>
      <c r="AF3826" s="2">
        <f t="shared" si="473"/>
        <v>0</v>
      </c>
      <c r="AJ3826" s="2">
        <f t="shared" si="474"/>
        <v>0</v>
      </c>
      <c r="AK3826" s="2">
        <f t="shared" ref="AK3826:AK3827" si="480">T3826+(W3826)</f>
        <v>0</v>
      </c>
      <c r="AL3826" s="18">
        <f t="shared" ref="AL3826:AL3827" si="481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9"/>
        <v>0</v>
      </c>
      <c r="Z3827" s="2" t="s">
        <v>3237</v>
      </c>
      <c r="AA3827" s="2" t="s">
        <v>97</v>
      </c>
      <c r="AB3827" s="2" t="s">
        <v>77</v>
      </c>
      <c r="AC3827" s="2" t="s">
        <v>94</v>
      </c>
      <c r="AF3827" s="2">
        <f t="shared" si="473"/>
        <v>0</v>
      </c>
      <c r="AJ3827" s="2">
        <f t="shared" si="474"/>
        <v>0</v>
      </c>
      <c r="AK3827" s="2">
        <f t="shared" si="480"/>
        <v>0</v>
      </c>
      <c r="AL3827" s="18">
        <f t="shared" si="481"/>
        <v>0</v>
      </c>
    </row>
    <row r="3828" spans="1:38" hidden="1" x14ac:dyDescent="0.2">
      <c r="A3828" s="2">
        <v>2026</v>
      </c>
      <c r="B3828" s="2">
        <v>4</v>
      </c>
      <c r="D3828" s="2" t="s">
        <v>2888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2">(T3828-W3828)/T3828</f>
        <v>0</v>
      </c>
      <c r="Z3828" s="2" t="s">
        <v>3237</v>
      </c>
      <c r="AA3828" s="2" t="s">
        <v>97</v>
      </c>
      <c r="AB3828" s="2" t="s">
        <v>77</v>
      </c>
      <c r="AC3828" s="2" t="s">
        <v>94</v>
      </c>
      <c r="AF3828" s="2">
        <f t="shared" si="473"/>
        <v>0</v>
      </c>
      <c r="AJ3828" s="2">
        <f t="shared" si="474"/>
        <v>0</v>
      </c>
      <c r="AK3828" s="2">
        <f t="shared" si="471"/>
        <v>0</v>
      </c>
      <c r="AL3828" s="5">
        <f t="shared" si="478"/>
        <v>0</v>
      </c>
    </row>
    <row r="3829" spans="1:38" hidden="1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2"/>
        <v>0</v>
      </c>
      <c r="Z3829" s="2" t="s">
        <v>3237</v>
      </c>
      <c r="AA3829" s="2" t="s">
        <v>97</v>
      </c>
      <c r="AB3829" s="2" t="s">
        <v>77</v>
      </c>
      <c r="AC3829" s="2" t="s">
        <v>94</v>
      </c>
      <c r="AF3829" s="2">
        <f t="shared" si="473"/>
        <v>0</v>
      </c>
      <c r="AG3829" s="2">
        <v>1.48</v>
      </c>
      <c r="AH3829" s="2">
        <v>1.48</v>
      </c>
      <c r="AJ3829" s="2">
        <f t="shared" si="474"/>
        <v>0</v>
      </c>
      <c r="AK3829" s="2">
        <f t="shared" si="471"/>
        <v>0</v>
      </c>
      <c r="AL3829" s="5">
        <f t="shared" ref="AL3829:AL3844" si="483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2"/>
        <v>0</v>
      </c>
      <c r="Z3830" s="2" t="s">
        <v>3237</v>
      </c>
      <c r="AA3830" s="2" t="s">
        <v>97</v>
      </c>
      <c r="AB3830" s="2" t="s">
        <v>77</v>
      </c>
      <c r="AC3830" s="2" t="s">
        <v>94</v>
      </c>
      <c r="AF3830" s="2">
        <f t="shared" si="473"/>
        <v>0</v>
      </c>
      <c r="AJ3830" s="2">
        <f t="shared" si="474"/>
        <v>0</v>
      </c>
      <c r="AK3830" s="2">
        <f t="shared" ref="AK3830:AK3893" si="484">T3830-W3830</f>
        <v>0</v>
      </c>
      <c r="AL3830" s="5">
        <f t="shared" si="483"/>
        <v>0</v>
      </c>
    </row>
    <row r="3831" spans="1:38" hidden="1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2"/>
        <v>0</v>
      </c>
      <c r="Z3831" s="2" t="s">
        <v>3237</v>
      </c>
      <c r="AA3831" s="2" t="s">
        <v>97</v>
      </c>
      <c r="AB3831" s="2" t="s">
        <v>77</v>
      </c>
      <c r="AC3831" s="2" t="s">
        <v>94</v>
      </c>
      <c r="AF3831" s="2">
        <f t="shared" si="473"/>
        <v>0</v>
      </c>
      <c r="AJ3831" s="2">
        <f t="shared" si="474"/>
        <v>0</v>
      </c>
      <c r="AK3831" s="2">
        <f t="shared" si="484"/>
        <v>0</v>
      </c>
      <c r="AL3831" s="5">
        <f t="shared" si="483"/>
        <v>0</v>
      </c>
    </row>
    <row r="3832" spans="1:38" hidden="1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2892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2"/>
        <v>0</v>
      </c>
      <c r="Z3832" s="2" t="s">
        <v>3237</v>
      </c>
      <c r="AA3832" s="2" t="s">
        <v>97</v>
      </c>
      <c r="AB3832" s="2" t="s">
        <v>77</v>
      </c>
      <c r="AC3832" s="2" t="s">
        <v>94</v>
      </c>
      <c r="AF3832" s="2">
        <f t="shared" si="473"/>
        <v>0</v>
      </c>
      <c r="AG3832" s="2">
        <v>1.48</v>
      </c>
      <c r="AH3832" s="2">
        <v>1.48</v>
      </c>
      <c r="AJ3832" s="2">
        <f t="shared" si="474"/>
        <v>0</v>
      </c>
      <c r="AK3832" s="2">
        <f t="shared" si="484"/>
        <v>0</v>
      </c>
      <c r="AL3832" s="5">
        <f t="shared" si="483"/>
        <v>0</v>
      </c>
    </row>
    <row r="3833" spans="1:38" hidden="1" x14ac:dyDescent="0.2">
      <c r="A3833" s="2">
        <v>2026</v>
      </c>
      <c r="B3833" s="2">
        <v>4</v>
      </c>
      <c r="D3833" s="2" t="s">
        <v>2534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2"/>
        <v>0</v>
      </c>
      <c r="Z3833" s="2" t="s">
        <v>3237</v>
      </c>
      <c r="AA3833" s="2" t="s">
        <v>97</v>
      </c>
      <c r="AB3833" s="2" t="s">
        <v>77</v>
      </c>
      <c r="AC3833" s="2" t="s">
        <v>94</v>
      </c>
      <c r="AF3833" s="2">
        <f t="shared" si="473"/>
        <v>0</v>
      </c>
      <c r="AJ3833" s="2">
        <f t="shared" si="474"/>
        <v>0</v>
      </c>
      <c r="AK3833" s="2">
        <f t="shared" si="484"/>
        <v>0</v>
      </c>
      <c r="AL3833" s="5">
        <f t="shared" si="483"/>
        <v>0</v>
      </c>
    </row>
    <row r="3834" spans="1:38" hidden="1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2402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2"/>
        <v>0</v>
      </c>
      <c r="Z3834" s="2" t="s">
        <v>3237</v>
      </c>
      <c r="AA3834" s="2" t="s">
        <v>97</v>
      </c>
      <c r="AB3834" s="2" t="s">
        <v>77</v>
      </c>
      <c r="AC3834" s="2" t="s">
        <v>94</v>
      </c>
      <c r="AF3834" s="2">
        <f t="shared" si="473"/>
        <v>0</v>
      </c>
      <c r="AJ3834" s="2">
        <f t="shared" si="474"/>
        <v>0</v>
      </c>
      <c r="AK3834" s="2">
        <f t="shared" si="484"/>
        <v>0</v>
      </c>
      <c r="AL3834" s="5">
        <f t="shared" si="483"/>
        <v>0</v>
      </c>
    </row>
    <row r="3835" spans="1:38" hidden="1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2884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2"/>
        <v>0</v>
      </c>
      <c r="Z3835" s="2" t="s">
        <v>3237</v>
      </c>
      <c r="AA3835" s="2" t="s">
        <v>97</v>
      </c>
      <c r="AB3835" s="2" t="s">
        <v>77</v>
      </c>
      <c r="AC3835" s="2" t="s">
        <v>94</v>
      </c>
      <c r="AF3835" s="2">
        <f t="shared" si="473"/>
        <v>0</v>
      </c>
      <c r="AG3835" s="2">
        <v>1.48</v>
      </c>
      <c r="AH3835" s="2">
        <v>1.48</v>
      </c>
      <c r="AJ3835" s="2">
        <f t="shared" si="474"/>
        <v>0</v>
      </c>
      <c r="AK3835" s="2">
        <f t="shared" si="484"/>
        <v>0</v>
      </c>
      <c r="AL3835" s="5">
        <f t="shared" si="483"/>
        <v>0</v>
      </c>
    </row>
    <row r="3836" spans="1:38" hidden="1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2"/>
        <v>0</v>
      </c>
      <c r="Z3836" s="2" t="s">
        <v>3237</v>
      </c>
      <c r="AA3836" s="2" t="s">
        <v>97</v>
      </c>
      <c r="AB3836" s="2" t="s">
        <v>77</v>
      </c>
      <c r="AC3836" s="2" t="s">
        <v>94</v>
      </c>
      <c r="AF3836" s="2">
        <f t="shared" si="473"/>
        <v>0</v>
      </c>
      <c r="AJ3836" s="2">
        <f t="shared" si="474"/>
        <v>0</v>
      </c>
      <c r="AK3836" s="2">
        <f t="shared" si="484"/>
        <v>0</v>
      </c>
      <c r="AL3836" s="5">
        <f t="shared" si="483"/>
        <v>0</v>
      </c>
    </row>
    <row r="3837" spans="1:38" hidden="1" x14ac:dyDescent="0.2">
      <c r="A3837" s="2">
        <v>2026</v>
      </c>
      <c r="B3837" s="2">
        <v>4</v>
      </c>
      <c r="D3837" s="2" t="s">
        <v>2567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2"/>
        <v>0</v>
      </c>
      <c r="Z3837" s="2" t="s">
        <v>3237</v>
      </c>
      <c r="AA3837" s="2" t="s">
        <v>97</v>
      </c>
      <c r="AB3837" s="2" t="s">
        <v>77</v>
      </c>
      <c r="AC3837" s="2" t="s">
        <v>94</v>
      </c>
      <c r="AF3837" s="2">
        <f t="shared" si="473"/>
        <v>0</v>
      </c>
      <c r="AJ3837" s="2">
        <f t="shared" si="474"/>
        <v>0</v>
      </c>
      <c r="AK3837" s="2">
        <f t="shared" si="484"/>
        <v>0</v>
      </c>
      <c r="AL3837" s="5">
        <f t="shared" si="483"/>
        <v>0</v>
      </c>
    </row>
    <row r="3838" spans="1:38" hidden="1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2919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2"/>
        <v>0</v>
      </c>
      <c r="Z3838" s="2" t="s">
        <v>3237</v>
      </c>
      <c r="AA3838" s="2" t="s">
        <v>97</v>
      </c>
      <c r="AB3838" s="2" t="s">
        <v>77</v>
      </c>
      <c r="AC3838" s="2" t="s">
        <v>94</v>
      </c>
      <c r="AF3838" s="2">
        <f t="shared" si="473"/>
        <v>0</v>
      </c>
      <c r="AG3838" s="2">
        <v>1.48</v>
      </c>
      <c r="AH3838" s="2">
        <v>1.48</v>
      </c>
      <c r="AJ3838" s="2">
        <f t="shared" si="474"/>
        <v>0</v>
      </c>
      <c r="AK3838" s="2">
        <f t="shared" si="484"/>
        <v>0</v>
      </c>
      <c r="AL3838" s="5">
        <f t="shared" si="483"/>
        <v>0</v>
      </c>
    </row>
    <row r="3839" spans="1:38" hidden="1" x14ac:dyDescent="0.2">
      <c r="A3839" s="2">
        <v>2026</v>
      </c>
      <c r="B3839" s="2">
        <v>4</v>
      </c>
      <c r="D3839" s="2" t="s">
        <v>1963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2"/>
        <v>0</v>
      </c>
      <c r="Z3839" s="2" t="s">
        <v>3237</v>
      </c>
      <c r="AA3839" s="2" t="s">
        <v>97</v>
      </c>
      <c r="AB3839" s="2" t="s">
        <v>77</v>
      </c>
      <c r="AC3839" s="2" t="s">
        <v>94</v>
      </c>
      <c r="AF3839" s="2">
        <f t="shared" si="473"/>
        <v>0</v>
      </c>
      <c r="AJ3839" s="2">
        <f t="shared" si="474"/>
        <v>0</v>
      </c>
      <c r="AK3839" s="2">
        <f t="shared" si="484"/>
        <v>0</v>
      </c>
      <c r="AL3839" s="5">
        <f t="shared" si="483"/>
        <v>0</v>
      </c>
    </row>
    <row r="3840" spans="1:38" hidden="1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2911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3"/>
        <v>0</v>
      </c>
      <c r="AJ3840" s="2">
        <f t="shared" si="474"/>
        <v>0</v>
      </c>
      <c r="AK3840" s="2">
        <f t="shared" si="484"/>
        <v>0</v>
      </c>
      <c r="AL3840" s="5" t="e">
        <f t="shared" si="483"/>
        <v>#DIV/0!</v>
      </c>
    </row>
    <row r="3841" spans="1:38" hidden="1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3392</v>
      </c>
      <c r="AF3841" s="2">
        <f t="shared" si="473"/>
        <v>0</v>
      </c>
      <c r="AJ3841" s="2">
        <f t="shared" si="474"/>
        <v>0</v>
      </c>
      <c r="AK3841" s="2">
        <f t="shared" si="484"/>
        <v>72.37</v>
      </c>
      <c r="AL3841" s="5">
        <f t="shared" si="483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2920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3237</v>
      </c>
      <c r="AA3842" s="2" t="s">
        <v>120</v>
      </c>
      <c r="AF3842" s="2">
        <f t="shared" si="473"/>
        <v>0</v>
      </c>
      <c r="AJ3842" s="2">
        <f t="shared" si="474"/>
        <v>0</v>
      </c>
      <c r="AK3842" s="2">
        <f t="shared" si="484"/>
        <v>286.36</v>
      </c>
      <c r="AL3842" s="5">
        <f t="shared" si="483"/>
        <v>1</v>
      </c>
    </row>
    <row r="3843" spans="1:38" hidden="1" x14ac:dyDescent="0.2">
      <c r="A3843" s="2">
        <v>2026</v>
      </c>
      <c r="B3843" s="2">
        <v>4</v>
      </c>
      <c r="D3843" s="2" t="s">
        <v>2916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3392</v>
      </c>
      <c r="AF3843" s="2">
        <f t="shared" ref="AF3843:AF3906" si="485">AJ3843</f>
        <v>0</v>
      </c>
      <c r="AJ3843" s="2">
        <f t="shared" ref="AJ3843:AJ3906" si="486">AI3843*T3843</f>
        <v>0</v>
      </c>
      <c r="AK3843" s="2">
        <f t="shared" si="484"/>
        <v>75.25</v>
      </c>
      <c r="AL3843" s="5">
        <f t="shared" si="483"/>
        <v>1</v>
      </c>
    </row>
    <row r="3844" spans="1:38" hidden="1" x14ac:dyDescent="0.2">
      <c r="A3844" s="2">
        <v>2026</v>
      </c>
      <c r="B3844" s="2">
        <v>5</v>
      </c>
      <c r="C3844" s="2" t="s">
        <v>3382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1948</v>
      </c>
      <c r="R3844" s="2" t="s">
        <v>1949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3237</v>
      </c>
      <c r="AA3844" s="2" t="s">
        <v>156</v>
      </c>
      <c r="AB3844" s="2" t="s">
        <v>1949</v>
      </c>
      <c r="AC3844" s="2" t="s">
        <v>153</v>
      </c>
      <c r="AF3844" s="2">
        <f t="shared" si="485"/>
        <v>0</v>
      </c>
      <c r="AJ3844" s="2">
        <f t="shared" si="486"/>
        <v>0</v>
      </c>
      <c r="AK3844" s="2">
        <f t="shared" si="484"/>
        <v>8.4</v>
      </c>
      <c r="AL3844" s="5">
        <f t="shared" si="483"/>
        <v>0.42000000000000004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3237</v>
      </c>
      <c r="AA3845" s="2" t="s">
        <v>46</v>
      </c>
      <c r="AB3845" s="2" t="s">
        <v>47</v>
      </c>
      <c r="AC3845" s="2" t="s">
        <v>48</v>
      </c>
      <c r="AF3845" s="2">
        <f t="shared" si="485"/>
        <v>0</v>
      </c>
      <c r="AG3845" s="2">
        <v>6.6266999999999996</v>
      </c>
      <c r="AH3845" s="2">
        <v>12</v>
      </c>
      <c r="AJ3845" s="2">
        <f t="shared" si="486"/>
        <v>0</v>
      </c>
      <c r="AK3845" s="2">
        <f t="shared" si="484"/>
        <v>-6.6266999999999996</v>
      </c>
      <c r="AL3845" s="18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7">(T3846-W3846)/T3846</f>
        <v>0.24822695035460993</v>
      </c>
      <c r="Z3846" s="2" t="s">
        <v>3237</v>
      </c>
      <c r="AA3846" s="2" t="s">
        <v>46</v>
      </c>
      <c r="AB3846" s="2" t="s">
        <v>57</v>
      </c>
      <c r="AC3846" s="2" t="s">
        <v>58</v>
      </c>
      <c r="AF3846" s="2">
        <f t="shared" si="485"/>
        <v>0</v>
      </c>
      <c r="AG3846" s="2">
        <v>10.6</v>
      </c>
      <c r="AH3846" s="2">
        <v>18</v>
      </c>
      <c r="AJ3846" s="2">
        <f t="shared" si="486"/>
        <v>0</v>
      </c>
      <c r="AK3846" s="2">
        <f t="shared" si="484"/>
        <v>17.5</v>
      </c>
      <c r="AL3846" s="5">
        <f t="shared" ref="AL3846:AL3877" si="488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7"/>
        <v>0.30212765957446802</v>
      </c>
      <c r="Z3847" s="2" t="s">
        <v>3237</v>
      </c>
      <c r="AA3847" s="2" t="s">
        <v>46</v>
      </c>
      <c r="AB3847" s="2" t="s">
        <v>61</v>
      </c>
      <c r="AC3847" s="2" t="s">
        <v>58</v>
      </c>
      <c r="AF3847" s="2">
        <f t="shared" si="485"/>
        <v>0</v>
      </c>
      <c r="AG3847" s="2">
        <v>8.1999999999999993</v>
      </c>
      <c r="AH3847" s="2">
        <v>13</v>
      </c>
      <c r="AJ3847" s="2">
        <f t="shared" si="486"/>
        <v>0</v>
      </c>
      <c r="AK3847" s="2">
        <f t="shared" si="484"/>
        <v>14.199999999999996</v>
      </c>
      <c r="AL3847" s="5">
        <f t="shared" si="488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7"/>
        <v>0.5243888888888889</v>
      </c>
      <c r="Z3848" s="2" t="s">
        <v>3237</v>
      </c>
      <c r="AA3848" s="2" t="s">
        <v>46</v>
      </c>
      <c r="AB3848" s="2" t="s">
        <v>61</v>
      </c>
      <c r="AC3848" s="2" t="s">
        <v>58</v>
      </c>
      <c r="AF3848" s="2">
        <f t="shared" si="485"/>
        <v>0</v>
      </c>
      <c r="AG3848" s="2">
        <v>0.85609999999999997</v>
      </c>
      <c r="AH3848" s="2">
        <v>1.8</v>
      </c>
      <c r="AJ3848" s="2">
        <f t="shared" si="486"/>
        <v>0</v>
      </c>
      <c r="AK3848" s="2">
        <f t="shared" si="484"/>
        <v>18.878</v>
      </c>
      <c r="AL3848" s="5">
        <f t="shared" si="488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7"/>
        <v>0.62926666666666664</v>
      </c>
      <c r="Z3849" s="2" t="s">
        <v>3237</v>
      </c>
      <c r="AA3849" s="2" t="s">
        <v>46</v>
      </c>
      <c r="AB3849" s="2" t="s">
        <v>61</v>
      </c>
      <c r="AC3849" s="2" t="s">
        <v>58</v>
      </c>
      <c r="AF3849" s="2">
        <f t="shared" si="485"/>
        <v>0</v>
      </c>
      <c r="AG3849" s="2">
        <v>1.1122000000000001</v>
      </c>
      <c r="AH3849" s="2">
        <v>3</v>
      </c>
      <c r="AJ3849" s="2">
        <f t="shared" si="486"/>
        <v>0</v>
      </c>
      <c r="AK3849" s="2">
        <f t="shared" si="484"/>
        <v>32.092599999999997</v>
      </c>
      <c r="AL3849" s="5">
        <f t="shared" si="488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7"/>
        <v>0.35396559139784944</v>
      </c>
      <c r="Z3850" s="2" t="s">
        <v>3237</v>
      </c>
      <c r="AA3850" s="2" t="s">
        <v>46</v>
      </c>
      <c r="AB3850" s="2" t="s">
        <v>68</v>
      </c>
      <c r="AC3850" s="2" t="s">
        <v>58</v>
      </c>
      <c r="AF3850" s="2">
        <f t="shared" si="485"/>
        <v>0</v>
      </c>
      <c r="AG3850" s="2">
        <v>15.020300000000001</v>
      </c>
      <c r="AH3850" s="2">
        <v>27.6</v>
      </c>
      <c r="AJ3850" s="2">
        <f t="shared" si="486"/>
        <v>0</v>
      </c>
      <c r="AK3850" s="2">
        <f t="shared" si="484"/>
        <v>32.918799999999997</v>
      </c>
      <c r="AL3850" s="5">
        <f t="shared" si="488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2921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7"/>
        <v>0.47936318238081005</v>
      </c>
      <c r="Z3851" s="2" t="s">
        <v>3237</v>
      </c>
      <c r="AA3851" s="2" t="s">
        <v>76</v>
      </c>
      <c r="AB3851" s="2" t="s">
        <v>77</v>
      </c>
      <c r="AC3851" s="2" t="s">
        <v>78</v>
      </c>
      <c r="AF3851" s="2">
        <f t="shared" si="485"/>
        <v>0</v>
      </c>
      <c r="AJ3851" s="2">
        <f t="shared" si="486"/>
        <v>0</v>
      </c>
      <c r="AK3851" s="2">
        <f t="shared" si="484"/>
        <v>112.30999999999999</v>
      </c>
      <c r="AL3851" s="5">
        <f t="shared" si="488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2922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7"/>
        <v>0.46581160100729863</v>
      </c>
      <c r="Z3852" s="2" t="s">
        <v>3237</v>
      </c>
      <c r="AA3852" s="2" t="s">
        <v>76</v>
      </c>
      <c r="AB3852" s="2" t="s">
        <v>77</v>
      </c>
      <c r="AC3852" s="2" t="s">
        <v>78</v>
      </c>
      <c r="AF3852" s="2">
        <f t="shared" si="485"/>
        <v>0</v>
      </c>
      <c r="AJ3852" s="2">
        <f t="shared" si="486"/>
        <v>0</v>
      </c>
      <c r="AK3852" s="2">
        <f t="shared" si="484"/>
        <v>109.13499999999999</v>
      </c>
      <c r="AL3852" s="5">
        <f t="shared" si="488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2923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7"/>
        <v>0.12538571428571429</v>
      </c>
      <c r="Z3853" s="2" t="s">
        <v>3237</v>
      </c>
      <c r="AA3853" s="2" t="s">
        <v>76</v>
      </c>
      <c r="AB3853" s="2" t="s">
        <v>77</v>
      </c>
      <c r="AC3853" s="2" t="s">
        <v>78</v>
      </c>
      <c r="AF3853" s="2">
        <f t="shared" si="485"/>
        <v>0</v>
      </c>
      <c r="AG3853" s="2">
        <v>122.446</v>
      </c>
      <c r="AH3853" s="2">
        <v>230</v>
      </c>
      <c r="AJ3853" s="2">
        <f t="shared" si="486"/>
        <v>0</v>
      </c>
      <c r="AK3853" s="2">
        <f t="shared" si="484"/>
        <v>17.554000000000002</v>
      </c>
      <c r="AL3853" s="5">
        <f t="shared" si="488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2924</v>
      </c>
      <c r="R3854" s="2" t="s">
        <v>2925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7"/>
        <v>1</v>
      </c>
      <c r="Z3854" s="2" t="s">
        <v>3237</v>
      </c>
      <c r="AA3854" s="2" t="s">
        <v>1044</v>
      </c>
      <c r="AB3854" s="2" t="s">
        <v>1274</v>
      </c>
      <c r="AC3854" s="2" t="s">
        <v>1382</v>
      </c>
      <c r="AF3854" s="2">
        <f t="shared" si="485"/>
        <v>0</v>
      </c>
      <c r="AJ3854" s="2">
        <f t="shared" si="486"/>
        <v>0</v>
      </c>
      <c r="AK3854" s="2">
        <f t="shared" si="484"/>
        <v>479.67</v>
      </c>
      <c r="AL3854" s="5">
        <f t="shared" si="488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2926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7"/>
        <v>2.000401846171453E-16</v>
      </c>
      <c r="Z3855" s="2" t="s">
        <v>3237</v>
      </c>
      <c r="AA3855" s="2" t="s">
        <v>97</v>
      </c>
      <c r="AB3855" s="2" t="s">
        <v>77</v>
      </c>
      <c r="AC3855" s="2" t="s">
        <v>94</v>
      </c>
      <c r="AF3855" s="2">
        <f t="shared" si="485"/>
        <v>0</v>
      </c>
      <c r="AJ3855" s="2">
        <f t="shared" si="486"/>
        <v>0</v>
      </c>
      <c r="AK3855" s="2">
        <f t="shared" si="484"/>
        <v>0</v>
      </c>
      <c r="AL3855" s="5">
        <f t="shared" si="488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2927</v>
      </c>
      <c r="R3856" s="2" t="s">
        <v>2928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7"/>
        <v>1</v>
      </c>
      <c r="Z3856" s="2" t="s">
        <v>120</v>
      </c>
      <c r="AA3856" s="2" t="s">
        <v>2929</v>
      </c>
      <c r="AF3856" s="2">
        <f t="shared" si="485"/>
        <v>0</v>
      </c>
      <c r="AJ3856" s="2">
        <f t="shared" si="486"/>
        <v>0</v>
      </c>
      <c r="AK3856" s="2">
        <f t="shared" si="484"/>
        <v>200</v>
      </c>
      <c r="AL3856" s="5">
        <f t="shared" si="488"/>
        <v>1</v>
      </c>
    </row>
    <row r="3857" spans="1:38" hidden="1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7"/>
        <v>0.41111111111111115</v>
      </c>
      <c r="Z3857" s="2" t="s">
        <v>3237</v>
      </c>
      <c r="AA3857" s="2" t="s">
        <v>46</v>
      </c>
      <c r="AB3857" s="2" t="s">
        <v>57</v>
      </c>
      <c r="AC3857" s="2" t="s">
        <v>58</v>
      </c>
      <c r="AF3857" s="2">
        <f t="shared" si="485"/>
        <v>0</v>
      </c>
      <c r="AG3857" s="2">
        <v>10.6</v>
      </c>
      <c r="AH3857" s="2">
        <v>18</v>
      </c>
      <c r="AJ3857" s="2">
        <f t="shared" si="486"/>
        <v>0</v>
      </c>
      <c r="AK3857" s="2">
        <f t="shared" si="484"/>
        <v>14.8</v>
      </c>
      <c r="AL3857" s="5">
        <f t="shared" si="488"/>
        <v>0.41111111111111115</v>
      </c>
    </row>
    <row r="3858" spans="1:38" hidden="1" x14ac:dyDescent="0.2">
      <c r="A3858" s="2">
        <v>2026</v>
      </c>
      <c r="B3858" s="2">
        <v>5</v>
      </c>
      <c r="C3858" s="2" t="s">
        <v>3382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3381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7"/>
        <v>0.58173666666666668</v>
      </c>
      <c r="Z3858" s="2" t="s">
        <v>3237</v>
      </c>
      <c r="AA3858" s="2" t="s">
        <v>46</v>
      </c>
      <c r="AB3858" s="2" t="s">
        <v>91</v>
      </c>
      <c r="AC3858" s="2" t="s">
        <v>58</v>
      </c>
      <c r="AF3858" s="2">
        <f t="shared" si="485"/>
        <v>0</v>
      </c>
      <c r="AJ3858" s="2">
        <f t="shared" si="486"/>
        <v>0</v>
      </c>
      <c r="AK3858" s="2">
        <f t="shared" si="484"/>
        <v>34.904200000000003</v>
      </c>
      <c r="AL3858" s="5">
        <f t="shared" si="488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2930</v>
      </c>
      <c r="P3859" s="2" t="s">
        <v>283</v>
      </c>
      <c r="Q3859" s="2" t="s">
        <v>2132</v>
      </c>
      <c r="R3859" s="2" t="s">
        <v>2133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7"/>
        <v>0.39115929941618016</v>
      </c>
      <c r="Z3859" s="2" t="s">
        <v>3237</v>
      </c>
      <c r="AA3859" s="2" t="s">
        <v>72</v>
      </c>
      <c r="AB3859" s="2" t="s">
        <v>1607</v>
      </c>
      <c r="AC3859" s="2" t="s">
        <v>1607</v>
      </c>
      <c r="AF3859" s="2">
        <f t="shared" si="485"/>
        <v>0</v>
      </c>
      <c r="AG3859" s="2">
        <v>73</v>
      </c>
      <c r="AJ3859" s="2">
        <f t="shared" si="486"/>
        <v>0</v>
      </c>
      <c r="AK3859" s="2">
        <f t="shared" si="484"/>
        <v>46.900000000000006</v>
      </c>
      <c r="AL3859" s="5">
        <f t="shared" si="488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2930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7"/>
        <v>0.34958766583004658</v>
      </c>
      <c r="Z3860" s="2" t="s">
        <v>3237</v>
      </c>
      <c r="AA3860" s="2" t="s">
        <v>72</v>
      </c>
      <c r="AB3860" s="2" t="s">
        <v>120</v>
      </c>
      <c r="AC3860" s="2" t="s">
        <v>120</v>
      </c>
      <c r="AF3860" s="2">
        <f t="shared" si="485"/>
        <v>0</v>
      </c>
      <c r="AG3860" s="2">
        <v>18.14</v>
      </c>
      <c r="AJ3860" s="2">
        <f t="shared" si="486"/>
        <v>0</v>
      </c>
      <c r="AK3860" s="2">
        <f t="shared" si="484"/>
        <v>9.75</v>
      </c>
      <c r="AL3860" s="5">
        <f t="shared" si="488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2930</v>
      </c>
      <c r="P3861" s="2" t="s">
        <v>43</v>
      </c>
      <c r="Q3861" s="2" t="s">
        <v>2931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7"/>
        <v>0.51574074074074072</v>
      </c>
      <c r="Z3861" s="2" t="s">
        <v>3237</v>
      </c>
      <c r="AA3861" s="2" t="s">
        <v>46</v>
      </c>
      <c r="AB3861" s="2" t="s">
        <v>91</v>
      </c>
      <c r="AC3861" s="2" t="s">
        <v>58</v>
      </c>
      <c r="AF3861" s="2">
        <f t="shared" si="485"/>
        <v>0</v>
      </c>
      <c r="AG3861" s="2">
        <v>5.23</v>
      </c>
      <c r="AH3861" s="2">
        <v>10.8</v>
      </c>
      <c r="AJ3861" s="2">
        <f t="shared" si="486"/>
        <v>0</v>
      </c>
      <c r="AK3861" s="2">
        <f t="shared" si="484"/>
        <v>5.57</v>
      </c>
      <c r="AL3861" s="5">
        <f t="shared" si="488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2930</v>
      </c>
      <c r="P3862" s="2" t="s">
        <v>43</v>
      </c>
      <c r="Q3862" s="2" t="s">
        <v>2932</v>
      </c>
      <c r="R3862" s="2" t="s">
        <v>2933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7"/>
        <v>0.73055555555555551</v>
      </c>
      <c r="Z3862" s="2" t="s">
        <v>3237</v>
      </c>
      <c r="AA3862" s="2" t="s">
        <v>46</v>
      </c>
      <c r="AB3862" s="2" t="s">
        <v>91</v>
      </c>
      <c r="AC3862" s="2" t="s">
        <v>58</v>
      </c>
      <c r="AF3862" s="2">
        <f t="shared" si="485"/>
        <v>0</v>
      </c>
      <c r="AG3862" s="2">
        <v>0.97</v>
      </c>
      <c r="AH3862" s="2">
        <v>6</v>
      </c>
      <c r="AJ3862" s="2">
        <f t="shared" si="486"/>
        <v>0</v>
      </c>
      <c r="AK3862" s="2">
        <f t="shared" si="484"/>
        <v>10.52</v>
      </c>
      <c r="AL3862" s="5">
        <f t="shared" si="488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2930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7"/>
        <v>0.53121428571428575</v>
      </c>
      <c r="Z3863" s="2" t="s">
        <v>3237</v>
      </c>
      <c r="AA3863" s="2" t="s">
        <v>46</v>
      </c>
      <c r="AB3863" s="2" t="s">
        <v>57</v>
      </c>
      <c r="AC3863" s="2" t="s">
        <v>58</v>
      </c>
      <c r="AF3863" s="2">
        <f t="shared" si="485"/>
        <v>0</v>
      </c>
      <c r="AG3863" s="2">
        <v>5.9066999999999998</v>
      </c>
      <c r="AH3863" s="2">
        <v>12.6</v>
      </c>
      <c r="AJ3863" s="2">
        <f t="shared" si="486"/>
        <v>0</v>
      </c>
      <c r="AK3863" s="2">
        <f t="shared" si="484"/>
        <v>6.6932999999999998</v>
      </c>
      <c r="AL3863" s="5">
        <f t="shared" si="488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2930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7"/>
        <v>0.49849305555555556</v>
      </c>
      <c r="Z3864" s="2" t="s">
        <v>3237</v>
      </c>
      <c r="AA3864" s="2" t="s">
        <v>46</v>
      </c>
      <c r="AB3864" s="2" t="s">
        <v>57</v>
      </c>
      <c r="AC3864" s="2" t="s">
        <v>58</v>
      </c>
      <c r="AF3864" s="2">
        <f t="shared" si="485"/>
        <v>0</v>
      </c>
      <c r="AG3864" s="2">
        <v>7.2217000000000002</v>
      </c>
      <c r="AH3864" s="2">
        <v>14.4</v>
      </c>
      <c r="AJ3864" s="2">
        <f t="shared" si="486"/>
        <v>0</v>
      </c>
      <c r="AK3864" s="2">
        <f t="shared" si="484"/>
        <v>7.1783000000000001</v>
      </c>
      <c r="AL3864" s="5">
        <f t="shared" si="488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2930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7"/>
        <v>0.47844827586206895</v>
      </c>
      <c r="Z3865" s="2" t="s">
        <v>3237</v>
      </c>
      <c r="AA3865" s="2" t="s">
        <v>46</v>
      </c>
      <c r="AB3865" s="2" t="s">
        <v>57</v>
      </c>
      <c r="AC3865" s="2" t="s">
        <v>58</v>
      </c>
      <c r="AF3865" s="2">
        <f t="shared" si="485"/>
        <v>0</v>
      </c>
      <c r="AJ3865" s="2">
        <f t="shared" si="486"/>
        <v>0</v>
      </c>
      <c r="AK3865" s="2">
        <f t="shared" si="484"/>
        <v>8.3249999999999993</v>
      </c>
      <c r="AL3865" s="5">
        <f t="shared" si="488"/>
        <v>0.47844827586206895</v>
      </c>
    </row>
    <row r="3866" spans="1:38" hidden="1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2930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7"/>
        <v>1</v>
      </c>
      <c r="Z3866" s="2" t="s">
        <v>3237</v>
      </c>
      <c r="AA3866" s="2" t="s">
        <v>46</v>
      </c>
      <c r="AB3866" s="2" t="s">
        <v>57</v>
      </c>
      <c r="AC3866" s="2" t="s">
        <v>58</v>
      </c>
      <c r="AF3866" s="2">
        <f t="shared" si="485"/>
        <v>0</v>
      </c>
      <c r="AJ3866" s="2">
        <f t="shared" si="486"/>
        <v>0</v>
      </c>
      <c r="AK3866" s="2">
        <f t="shared" si="484"/>
        <v>21</v>
      </c>
      <c r="AL3866" s="5">
        <f t="shared" si="488"/>
        <v>1</v>
      </c>
    </row>
    <row r="3867" spans="1:38" hidden="1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2930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7"/>
        <v>1</v>
      </c>
      <c r="Z3867" s="2" t="s">
        <v>3237</v>
      </c>
      <c r="AA3867" s="2" t="s">
        <v>46</v>
      </c>
      <c r="AB3867" s="2" t="s">
        <v>57</v>
      </c>
      <c r="AC3867" s="2" t="s">
        <v>58</v>
      </c>
      <c r="AF3867" s="2">
        <f t="shared" si="485"/>
        <v>0</v>
      </c>
      <c r="AJ3867" s="2">
        <f t="shared" si="486"/>
        <v>0</v>
      </c>
      <c r="AK3867" s="2">
        <f t="shared" si="484"/>
        <v>25.2</v>
      </c>
      <c r="AL3867" s="5">
        <f t="shared" si="488"/>
        <v>1</v>
      </c>
    </row>
    <row r="3868" spans="1:38" hidden="1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2930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7"/>
        <v>1</v>
      </c>
      <c r="Z3868" s="2" t="s">
        <v>3237</v>
      </c>
      <c r="AA3868" s="2" t="s">
        <v>46</v>
      </c>
      <c r="AB3868" s="2" t="s">
        <v>57</v>
      </c>
      <c r="AC3868" s="2" t="s">
        <v>58</v>
      </c>
      <c r="AF3868" s="2">
        <f t="shared" si="485"/>
        <v>0</v>
      </c>
      <c r="AJ3868" s="2">
        <f t="shared" si="486"/>
        <v>0</v>
      </c>
      <c r="AK3868" s="2">
        <f t="shared" si="484"/>
        <v>30</v>
      </c>
      <c r="AL3868" s="5">
        <f t="shared" si="488"/>
        <v>1</v>
      </c>
    </row>
    <row r="3869" spans="1:38" hidden="1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2930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7"/>
        <v>1</v>
      </c>
      <c r="Z3869" s="2" t="s">
        <v>3237</v>
      </c>
      <c r="AA3869" s="2" t="s">
        <v>46</v>
      </c>
      <c r="AB3869" s="2" t="s">
        <v>57</v>
      </c>
      <c r="AC3869" s="2" t="s">
        <v>58</v>
      </c>
      <c r="AF3869" s="2">
        <f t="shared" si="485"/>
        <v>0</v>
      </c>
      <c r="AJ3869" s="2">
        <f t="shared" si="486"/>
        <v>0</v>
      </c>
      <c r="AK3869" s="2">
        <f t="shared" si="484"/>
        <v>18</v>
      </c>
      <c r="AL3869" s="5">
        <f t="shared" si="488"/>
        <v>1</v>
      </c>
    </row>
    <row r="3870" spans="1:38" hidden="1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2930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7"/>
        <v>1</v>
      </c>
      <c r="Z3870" s="2" t="s">
        <v>3237</v>
      </c>
      <c r="AA3870" s="2" t="s">
        <v>46</v>
      </c>
      <c r="AB3870" s="2" t="s">
        <v>57</v>
      </c>
      <c r="AC3870" s="2" t="s">
        <v>58</v>
      </c>
      <c r="AF3870" s="2">
        <f t="shared" si="485"/>
        <v>0</v>
      </c>
      <c r="AJ3870" s="2">
        <f t="shared" si="486"/>
        <v>0</v>
      </c>
      <c r="AK3870" s="2">
        <f t="shared" si="484"/>
        <v>19.8</v>
      </c>
      <c r="AL3870" s="5">
        <f t="shared" si="488"/>
        <v>1</v>
      </c>
    </row>
    <row r="3871" spans="1:38" hidden="1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2930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7"/>
        <v>1</v>
      </c>
      <c r="Z3871" s="2" t="s">
        <v>3237</v>
      </c>
      <c r="AA3871" s="2" t="s">
        <v>46</v>
      </c>
      <c r="AB3871" s="2" t="s">
        <v>57</v>
      </c>
      <c r="AC3871" s="2" t="s">
        <v>58</v>
      </c>
      <c r="AF3871" s="2">
        <f t="shared" si="485"/>
        <v>0</v>
      </c>
      <c r="AJ3871" s="2">
        <f t="shared" si="486"/>
        <v>0</v>
      </c>
      <c r="AK3871" s="2">
        <f t="shared" si="484"/>
        <v>22.8</v>
      </c>
      <c r="AL3871" s="5">
        <f t="shared" si="488"/>
        <v>1</v>
      </c>
    </row>
    <row r="3872" spans="1:38" hidden="1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2930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7"/>
        <v>0.47041666666666665</v>
      </c>
      <c r="Z3872" s="2" t="s">
        <v>3237</v>
      </c>
      <c r="AA3872" s="2" t="s">
        <v>46</v>
      </c>
      <c r="AB3872" s="2" t="s">
        <v>57</v>
      </c>
      <c r="AC3872" s="2" t="s">
        <v>58</v>
      </c>
      <c r="AF3872" s="2">
        <f t="shared" si="485"/>
        <v>0</v>
      </c>
      <c r="AJ3872" s="2">
        <f t="shared" si="486"/>
        <v>0</v>
      </c>
      <c r="AK3872" s="2">
        <f t="shared" si="484"/>
        <v>11.29</v>
      </c>
      <c r="AL3872" s="5">
        <f t="shared" si="488"/>
        <v>0.47041666666666665</v>
      </c>
    </row>
    <row r="3873" spans="1:38" hidden="1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2930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7"/>
        <v>0.26896551724137929</v>
      </c>
      <c r="Z3873" s="2" t="s">
        <v>3237</v>
      </c>
      <c r="AA3873" s="2" t="s">
        <v>46</v>
      </c>
      <c r="AB3873" s="2" t="s">
        <v>57</v>
      </c>
      <c r="AC3873" s="2" t="s">
        <v>58</v>
      </c>
      <c r="AF3873" s="2">
        <f t="shared" si="485"/>
        <v>0</v>
      </c>
      <c r="AG3873" s="2">
        <v>10.6</v>
      </c>
      <c r="AH3873" s="2">
        <v>18</v>
      </c>
      <c r="AJ3873" s="2">
        <f t="shared" si="486"/>
        <v>0</v>
      </c>
      <c r="AK3873" s="2">
        <f t="shared" si="484"/>
        <v>39</v>
      </c>
      <c r="AL3873" s="5">
        <f t="shared" si="488"/>
        <v>0.26896551724137929</v>
      </c>
    </row>
    <row r="3874" spans="1:38" hidden="1" x14ac:dyDescent="0.2">
      <c r="A3874" s="2">
        <v>2026</v>
      </c>
      <c r="B3874" s="2">
        <v>5</v>
      </c>
      <c r="C3874" s="2" t="s">
        <v>3384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2930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7"/>
        <v>0.49808399999999997</v>
      </c>
      <c r="Z3874" s="2" t="s">
        <v>3237</v>
      </c>
      <c r="AA3874" s="2" t="s">
        <v>46</v>
      </c>
      <c r="AB3874" s="2" t="s">
        <v>91</v>
      </c>
      <c r="AC3874" s="2" t="s">
        <v>58</v>
      </c>
      <c r="AF3874" s="2">
        <f t="shared" si="485"/>
        <v>0</v>
      </c>
      <c r="AG3874" s="2">
        <v>25.094999999999999</v>
      </c>
      <c r="AH3874" s="2">
        <v>66</v>
      </c>
      <c r="AJ3874" s="2">
        <f t="shared" si="486"/>
        <v>0</v>
      </c>
      <c r="AK3874" s="2">
        <f t="shared" si="484"/>
        <v>24.904199999999999</v>
      </c>
      <c r="AL3874" s="5">
        <f t="shared" si="488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2930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7"/>
        <v>0.29692307692307701</v>
      </c>
      <c r="Z3875" s="2" t="s">
        <v>3237</v>
      </c>
      <c r="AA3875" s="2" t="s">
        <v>46</v>
      </c>
      <c r="AB3875" s="2" t="s">
        <v>61</v>
      </c>
      <c r="AC3875" s="2" t="s">
        <v>58</v>
      </c>
      <c r="AF3875" s="2">
        <f t="shared" si="485"/>
        <v>0</v>
      </c>
      <c r="AG3875" s="2">
        <v>9.14</v>
      </c>
      <c r="AH3875" s="2">
        <v>16</v>
      </c>
      <c r="AJ3875" s="2">
        <f t="shared" si="486"/>
        <v>0</v>
      </c>
      <c r="AK3875" s="2">
        <f t="shared" si="484"/>
        <v>3.8600000000000012</v>
      </c>
      <c r="AL3875" s="5">
        <f t="shared" si="488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2930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7"/>
        <v>0.36923076923076914</v>
      </c>
      <c r="Z3876" s="2" t="s">
        <v>3237</v>
      </c>
      <c r="AA3876" s="2" t="s">
        <v>46</v>
      </c>
      <c r="AB3876" s="2" t="s">
        <v>61</v>
      </c>
      <c r="AC3876" s="2" t="s">
        <v>58</v>
      </c>
      <c r="AF3876" s="2">
        <f t="shared" si="485"/>
        <v>0</v>
      </c>
      <c r="AG3876" s="2">
        <v>8.1999999999999993</v>
      </c>
      <c r="AH3876" s="2">
        <v>13</v>
      </c>
      <c r="AJ3876" s="2">
        <f t="shared" si="486"/>
        <v>0</v>
      </c>
      <c r="AK3876" s="2">
        <f t="shared" si="484"/>
        <v>19.199999999999996</v>
      </c>
      <c r="AL3876" s="5">
        <f t="shared" si="488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2930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7"/>
        <v>0.29692307692307701</v>
      </c>
      <c r="Z3877" s="2" t="s">
        <v>3237</v>
      </c>
      <c r="AA3877" s="2" t="s">
        <v>46</v>
      </c>
      <c r="AB3877" s="2" t="s">
        <v>61</v>
      </c>
      <c r="AC3877" s="2" t="s">
        <v>58</v>
      </c>
      <c r="AF3877" s="2">
        <f t="shared" si="485"/>
        <v>0</v>
      </c>
      <c r="AJ3877" s="2">
        <f t="shared" si="486"/>
        <v>0</v>
      </c>
      <c r="AK3877" s="2">
        <f t="shared" si="484"/>
        <v>3.8600000000000012</v>
      </c>
      <c r="AL3877" s="5">
        <f t="shared" si="488"/>
        <v>0.29692307692307701</v>
      </c>
    </row>
    <row r="3878" spans="1:38" hidden="1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2930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9">(T3878-W3878)/T3878</f>
        <v>0.5243888888888889</v>
      </c>
      <c r="Z3878" s="2" t="s">
        <v>3237</v>
      </c>
      <c r="AA3878" s="2" t="s">
        <v>46</v>
      </c>
      <c r="AB3878" s="2" t="s">
        <v>61</v>
      </c>
      <c r="AC3878" s="2" t="s">
        <v>58</v>
      </c>
      <c r="AF3878" s="2">
        <f t="shared" si="485"/>
        <v>0</v>
      </c>
      <c r="AG3878" s="2">
        <v>0.85609999999999997</v>
      </c>
      <c r="AH3878" s="2">
        <v>1.8</v>
      </c>
      <c r="AJ3878" s="2">
        <f t="shared" si="486"/>
        <v>0</v>
      </c>
      <c r="AK3878" s="2">
        <f t="shared" si="484"/>
        <v>7.5512000000000006</v>
      </c>
      <c r="AL3878" s="5">
        <f t="shared" ref="AL3878:AL3909" si="490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2930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9"/>
        <v>0.62926666666666664</v>
      </c>
      <c r="Z3879" s="2" t="s">
        <v>3237</v>
      </c>
      <c r="AA3879" s="2" t="s">
        <v>46</v>
      </c>
      <c r="AB3879" s="2" t="s">
        <v>61</v>
      </c>
      <c r="AC3879" s="2" t="s">
        <v>58</v>
      </c>
      <c r="AF3879" s="2">
        <f t="shared" si="485"/>
        <v>0</v>
      </c>
      <c r="AG3879" s="2">
        <v>1.1122000000000001</v>
      </c>
      <c r="AH3879" s="2">
        <v>3</v>
      </c>
      <c r="AJ3879" s="2">
        <f t="shared" si="486"/>
        <v>0</v>
      </c>
      <c r="AK3879" s="2">
        <f t="shared" si="484"/>
        <v>15.102399999999999</v>
      </c>
      <c r="AL3879" s="5">
        <f t="shared" si="490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2930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9"/>
        <v>0.5295333333333333</v>
      </c>
      <c r="Z3880" s="2" t="s">
        <v>3237</v>
      </c>
      <c r="AA3880" s="2" t="s">
        <v>46</v>
      </c>
      <c r="AB3880" s="2" t="s">
        <v>61</v>
      </c>
      <c r="AC3880" s="2" t="s">
        <v>58</v>
      </c>
      <c r="AF3880" s="2">
        <f t="shared" si="485"/>
        <v>0</v>
      </c>
      <c r="AG3880" s="2">
        <v>1.4114</v>
      </c>
      <c r="AH3880" s="2">
        <v>3</v>
      </c>
      <c r="AJ3880" s="2">
        <f t="shared" si="486"/>
        <v>0</v>
      </c>
      <c r="AK3880" s="2">
        <f t="shared" si="484"/>
        <v>6.3544</v>
      </c>
      <c r="AL3880" s="5">
        <f t="shared" si="490"/>
        <v>0.5295333333333333</v>
      </c>
    </row>
    <row r="3881" spans="1:38" hidden="1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2930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9"/>
        <v>1</v>
      </c>
      <c r="Z3881" s="2" t="s">
        <v>3237</v>
      </c>
      <c r="AA3881" s="2" t="s">
        <v>46</v>
      </c>
      <c r="AB3881" s="2" t="s">
        <v>61</v>
      </c>
      <c r="AC3881" s="2" t="s">
        <v>58</v>
      </c>
      <c r="AF3881" s="2">
        <f t="shared" si="485"/>
        <v>0</v>
      </c>
      <c r="AJ3881" s="2">
        <f t="shared" si="486"/>
        <v>0</v>
      </c>
      <c r="AK3881" s="2">
        <f t="shared" si="484"/>
        <v>12</v>
      </c>
      <c r="AL3881" s="5">
        <f t="shared" si="490"/>
        <v>1</v>
      </c>
    </row>
    <row r="3882" spans="1:38" hidden="1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2930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9"/>
        <v>0.34694347826086952</v>
      </c>
      <c r="Z3882" s="2" t="s">
        <v>3237</v>
      </c>
      <c r="AA3882" s="2" t="s">
        <v>46</v>
      </c>
      <c r="AB3882" s="2" t="s">
        <v>68</v>
      </c>
      <c r="AC3882" s="2" t="s">
        <v>58</v>
      </c>
      <c r="AF3882" s="2">
        <f t="shared" si="485"/>
        <v>0</v>
      </c>
      <c r="AG3882" s="2">
        <v>15.020300000000001</v>
      </c>
      <c r="AH3882" s="2">
        <v>27.6</v>
      </c>
      <c r="AJ3882" s="2">
        <f t="shared" si="486"/>
        <v>0</v>
      </c>
      <c r="AK3882" s="2">
        <f t="shared" si="484"/>
        <v>7.9796999999999993</v>
      </c>
      <c r="AL3882" s="5">
        <f t="shared" si="490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2930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9"/>
        <v>0.36042307692307685</v>
      </c>
      <c r="Z3883" s="2" t="s">
        <v>3237</v>
      </c>
      <c r="AA3883" s="2" t="s">
        <v>46</v>
      </c>
      <c r="AB3883" s="2" t="s">
        <v>68</v>
      </c>
      <c r="AC3883" s="2" t="s">
        <v>58</v>
      </c>
      <c r="AF3883" s="2">
        <f t="shared" si="485"/>
        <v>0</v>
      </c>
      <c r="AG3883" s="2">
        <v>8.3145000000000007</v>
      </c>
      <c r="AH3883" s="2">
        <v>15</v>
      </c>
      <c r="AJ3883" s="2">
        <f t="shared" si="486"/>
        <v>0</v>
      </c>
      <c r="AK3883" s="2">
        <f t="shared" si="484"/>
        <v>4.6854999999999993</v>
      </c>
      <c r="AL3883" s="5">
        <f t="shared" si="490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2930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9"/>
        <v>1</v>
      </c>
      <c r="Z3884" s="2" t="s">
        <v>3237</v>
      </c>
      <c r="AA3884" s="2" t="s">
        <v>88</v>
      </c>
      <c r="AB3884" s="2" t="s">
        <v>91</v>
      </c>
      <c r="AC3884" s="2" t="s">
        <v>85</v>
      </c>
      <c r="AF3884" s="2">
        <f t="shared" si="485"/>
        <v>0</v>
      </c>
      <c r="AJ3884" s="2">
        <f t="shared" si="486"/>
        <v>0</v>
      </c>
      <c r="AK3884" s="2">
        <f t="shared" si="484"/>
        <v>13.2</v>
      </c>
      <c r="AL3884" s="5">
        <f t="shared" si="490"/>
        <v>1</v>
      </c>
    </row>
    <row r="3885" spans="1:38" hidden="1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2930</v>
      </c>
      <c r="P3885" s="2" t="s">
        <v>2905</v>
      </c>
      <c r="Q3885" s="2" t="s">
        <v>2934</v>
      </c>
      <c r="R3885" s="2" t="s">
        <v>2935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9"/>
        <v>0.15454545454545454</v>
      </c>
      <c r="Z3885" s="2" t="s">
        <v>3237</v>
      </c>
      <c r="AA3885" s="2" t="s">
        <v>72</v>
      </c>
      <c r="AB3885" s="2" t="s">
        <v>2905</v>
      </c>
      <c r="AC3885" s="2" t="s">
        <v>2905</v>
      </c>
      <c r="AF3885" s="2">
        <f t="shared" si="485"/>
        <v>0</v>
      </c>
      <c r="AG3885" s="2">
        <v>139.5</v>
      </c>
      <c r="AJ3885" s="2">
        <f t="shared" si="486"/>
        <v>0</v>
      </c>
      <c r="AK3885" s="2">
        <f t="shared" si="484"/>
        <v>25.5</v>
      </c>
      <c r="AL3885" s="5">
        <f t="shared" si="490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2936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9"/>
        <v>0.58491111111111116</v>
      </c>
      <c r="Z3886" s="2" t="s">
        <v>3237</v>
      </c>
      <c r="AA3886" s="2" t="s">
        <v>46</v>
      </c>
      <c r="AB3886" s="2" t="s">
        <v>47</v>
      </c>
      <c r="AC3886" s="2" t="s">
        <v>48</v>
      </c>
      <c r="AF3886" s="2">
        <f t="shared" si="485"/>
        <v>0</v>
      </c>
      <c r="AG3886" s="2">
        <v>3.7357999999999998</v>
      </c>
      <c r="AH3886" s="2">
        <v>9</v>
      </c>
      <c r="AJ3886" s="2">
        <f t="shared" si="486"/>
        <v>0</v>
      </c>
      <c r="AK3886" s="2">
        <f t="shared" si="484"/>
        <v>21.056800000000003</v>
      </c>
      <c r="AL3886" s="5">
        <f t="shared" si="490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312</v>
      </c>
      <c r="E3887" s="2" t="s">
        <v>2454</v>
      </c>
      <c r="F3887" s="2" t="s">
        <v>39</v>
      </c>
      <c r="G3887" s="2">
        <v>505814030</v>
      </c>
      <c r="H3887" s="2" t="s">
        <v>291</v>
      </c>
      <c r="I3887" s="2" t="s">
        <v>2455</v>
      </c>
      <c r="J3887" s="2" t="s">
        <v>2456</v>
      </c>
      <c r="L3887" s="2" t="s">
        <v>340</v>
      </c>
      <c r="M3887" s="2" t="s">
        <v>81</v>
      </c>
      <c r="O3887" s="2" t="s">
        <v>2937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9"/>
        <v>0.36923076923076914</v>
      </c>
      <c r="Z3887" s="2" t="s">
        <v>3237</v>
      </c>
      <c r="AA3887" s="2" t="s">
        <v>46</v>
      </c>
      <c r="AB3887" s="2" t="s">
        <v>61</v>
      </c>
      <c r="AC3887" s="2" t="s">
        <v>58</v>
      </c>
      <c r="AF3887" s="2">
        <f t="shared" si="485"/>
        <v>0</v>
      </c>
      <c r="AG3887" s="2">
        <v>8.1999999999999993</v>
      </c>
      <c r="AH3887" s="2">
        <v>13</v>
      </c>
      <c r="AJ3887" s="2">
        <f t="shared" si="486"/>
        <v>0</v>
      </c>
      <c r="AK3887" s="2">
        <f t="shared" si="484"/>
        <v>4.7999999999999989</v>
      </c>
      <c r="AL3887" s="5">
        <f t="shared" si="490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312</v>
      </c>
      <c r="E3888" s="2" t="s">
        <v>2454</v>
      </c>
      <c r="F3888" s="2" t="s">
        <v>39</v>
      </c>
      <c r="G3888" s="2">
        <v>505814030</v>
      </c>
      <c r="H3888" s="2" t="s">
        <v>291</v>
      </c>
      <c r="I3888" s="2" t="s">
        <v>2455</v>
      </c>
      <c r="J3888" s="2" t="s">
        <v>2456</v>
      </c>
      <c r="L3888" s="2" t="s">
        <v>340</v>
      </c>
      <c r="M3888" s="2" t="s">
        <v>81</v>
      </c>
      <c r="O3888" s="2" t="s">
        <v>2937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9"/>
        <v>0.34694347826086952</v>
      </c>
      <c r="Z3888" s="2" t="s">
        <v>3237</v>
      </c>
      <c r="AA3888" s="2" t="s">
        <v>46</v>
      </c>
      <c r="AB3888" s="2" t="s">
        <v>68</v>
      </c>
      <c r="AC3888" s="2" t="s">
        <v>58</v>
      </c>
      <c r="AF3888" s="2">
        <f t="shared" si="485"/>
        <v>0</v>
      </c>
      <c r="AG3888" s="2">
        <v>15.020300000000001</v>
      </c>
      <c r="AH3888" s="2">
        <v>27.6</v>
      </c>
      <c r="AJ3888" s="2">
        <f t="shared" si="486"/>
        <v>0</v>
      </c>
      <c r="AK3888" s="2">
        <f t="shared" si="484"/>
        <v>7.9796999999999993</v>
      </c>
      <c r="AL3888" s="5">
        <f t="shared" si="490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2454</v>
      </c>
      <c r="F3889" s="2" t="s">
        <v>39</v>
      </c>
      <c r="G3889" s="2">
        <v>505814030</v>
      </c>
      <c r="H3889" s="2" t="s">
        <v>291</v>
      </c>
      <c r="I3889" s="2" t="s">
        <v>2455</v>
      </c>
      <c r="J3889" s="2" t="s">
        <v>2456</v>
      </c>
      <c r="L3889" s="2" t="s">
        <v>340</v>
      </c>
      <c r="M3889" s="2" t="s">
        <v>81</v>
      </c>
      <c r="O3889" s="2" t="s">
        <v>2937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9"/>
        <v>1</v>
      </c>
      <c r="Z3889" s="2" t="s">
        <v>170</v>
      </c>
      <c r="AA3889" s="2" t="s">
        <v>170</v>
      </c>
      <c r="AF3889" s="2">
        <f t="shared" si="485"/>
        <v>0</v>
      </c>
      <c r="AJ3889" s="2">
        <f t="shared" si="486"/>
        <v>0</v>
      </c>
      <c r="AK3889" s="2">
        <f t="shared" si="484"/>
        <v>5</v>
      </c>
      <c r="AL3889" s="5">
        <f t="shared" si="490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3241</v>
      </c>
      <c r="Q3890" s="2" t="s">
        <v>1794</v>
      </c>
      <c r="R3890" s="2" t="s">
        <v>1795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9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3241</v>
      </c>
      <c r="AF3890" s="2">
        <f t="shared" si="485"/>
        <v>0</v>
      </c>
      <c r="AJ3890" s="2">
        <f t="shared" si="486"/>
        <v>0</v>
      </c>
      <c r="AK3890" s="2">
        <f t="shared" si="484"/>
        <v>1649.08</v>
      </c>
      <c r="AL3890" s="5">
        <f t="shared" si="490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9"/>
        <v>0.59999999999999987</v>
      </c>
      <c r="Z3891" s="2" t="s">
        <v>118</v>
      </c>
      <c r="AA3891" s="2" t="s">
        <v>191</v>
      </c>
      <c r="AF3891" s="2">
        <f t="shared" si="485"/>
        <v>0</v>
      </c>
      <c r="AG3891" s="2">
        <f>W3891</f>
        <v>95.100000000000009</v>
      </c>
      <c r="AJ3891" s="2">
        <f t="shared" si="486"/>
        <v>0</v>
      </c>
      <c r="AK3891" s="2">
        <f t="shared" si="484"/>
        <v>142.64999999999998</v>
      </c>
      <c r="AL3891" s="5">
        <f t="shared" si="490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9"/>
        <v>0.5</v>
      </c>
      <c r="Z3892" s="2" t="s">
        <v>118</v>
      </c>
      <c r="AA3892" s="2" t="s">
        <v>191</v>
      </c>
      <c r="AF3892" s="2">
        <f t="shared" si="485"/>
        <v>0</v>
      </c>
      <c r="AG3892" s="2">
        <f>W3892</f>
        <v>27.5</v>
      </c>
      <c r="AJ3892" s="2">
        <f t="shared" si="486"/>
        <v>0</v>
      </c>
      <c r="AK3892" s="2">
        <f t="shared" si="484"/>
        <v>27.5</v>
      </c>
      <c r="AL3892" s="5">
        <f t="shared" si="490"/>
        <v>0.5</v>
      </c>
    </row>
    <row r="3893" spans="1:38" hidden="1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9"/>
        <v>1</v>
      </c>
      <c r="Z3893" s="2" t="s">
        <v>120</v>
      </c>
      <c r="AA3893" s="2" t="s">
        <v>3392</v>
      </c>
      <c r="AF3893" s="2">
        <f t="shared" si="485"/>
        <v>0</v>
      </c>
      <c r="AJ3893" s="2">
        <f t="shared" si="486"/>
        <v>0</v>
      </c>
      <c r="AK3893" s="2">
        <f t="shared" si="484"/>
        <v>297.5</v>
      </c>
      <c r="AL3893" s="5">
        <f t="shared" si="490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2938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9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5"/>
        <v>0</v>
      </c>
      <c r="AJ3894" s="2">
        <f t="shared" si="486"/>
        <v>0</v>
      </c>
      <c r="AK3894" s="2">
        <f t="shared" ref="AK3894:AK3950" si="491">T3894-W3894</f>
        <v>146.92000000000002</v>
      </c>
      <c r="AL3894" s="5">
        <f t="shared" si="490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2939</v>
      </c>
      <c r="J3895" s="2" t="s">
        <v>2940</v>
      </c>
      <c r="K3895" s="2">
        <v>915170083</v>
      </c>
      <c r="L3895" s="2" t="s">
        <v>462</v>
      </c>
      <c r="M3895" s="2" t="s">
        <v>81</v>
      </c>
      <c r="O3895" s="2" t="s">
        <v>2941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9"/>
        <v>0.47191304347826091</v>
      </c>
      <c r="Z3895" s="2" t="s">
        <v>3237</v>
      </c>
      <c r="AA3895" s="2" t="s">
        <v>76</v>
      </c>
      <c r="AB3895" s="2" t="s">
        <v>77</v>
      </c>
      <c r="AC3895" s="2" t="s">
        <v>78</v>
      </c>
      <c r="AF3895" s="2">
        <f t="shared" si="485"/>
        <v>0</v>
      </c>
      <c r="AG3895" s="2">
        <v>121.46</v>
      </c>
      <c r="AH3895" s="2">
        <v>210</v>
      </c>
      <c r="AJ3895" s="2">
        <f t="shared" si="486"/>
        <v>0</v>
      </c>
      <c r="AK3895" s="2">
        <f t="shared" si="491"/>
        <v>108.54</v>
      </c>
      <c r="AL3895" s="5">
        <f t="shared" si="490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9"/>
        <v>0</v>
      </c>
      <c r="Z3896" s="2" t="s">
        <v>3237</v>
      </c>
      <c r="AA3896" s="2" t="s">
        <v>97</v>
      </c>
      <c r="AB3896" s="2" t="s">
        <v>77</v>
      </c>
      <c r="AC3896" s="2" t="s">
        <v>94</v>
      </c>
      <c r="AF3896" s="2">
        <f t="shared" si="485"/>
        <v>0</v>
      </c>
      <c r="AJ3896" s="2">
        <f t="shared" si="486"/>
        <v>0</v>
      </c>
      <c r="AK3896" s="2">
        <f t="shared" si="491"/>
        <v>0</v>
      </c>
      <c r="AL3896" s="5">
        <f t="shared" si="490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2942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9"/>
        <v>0.43388888888888894</v>
      </c>
      <c r="Z3897" s="2" t="s">
        <v>3237</v>
      </c>
      <c r="AA3897" s="2" t="s">
        <v>76</v>
      </c>
      <c r="AB3897" s="2" t="s">
        <v>77</v>
      </c>
      <c r="AC3897" s="2" t="s">
        <v>78</v>
      </c>
      <c r="AF3897" s="2">
        <f t="shared" si="485"/>
        <v>0</v>
      </c>
      <c r="AJ3897" s="2">
        <f t="shared" si="486"/>
        <v>0</v>
      </c>
      <c r="AK3897" s="2">
        <f t="shared" si="491"/>
        <v>117.15</v>
      </c>
      <c r="AL3897" s="5">
        <f t="shared" si="490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2942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9"/>
        <v>0</v>
      </c>
      <c r="Z3898" s="2" t="s">
        <v>3237</v>
      </c>
      <c r="AA3898" s="2" t="s">
        <v>97</v>
      </c>
      <c r="AB3898" s="2" t="s">
        <v>77</v>
      </c>
      <c r="AC3898" s="2" t="s">
        <v>94</v>
      </c>
      <c r="AF3898" s="2">
        <f t="shared" si="485"/>
        <v>0</v>
      </c>
      <c r="AJ3898" s="2">
        <f t="shared" si="486"/>
        <v>0</v>
      </c>
      <c r="AK3898" s="2">
        <f t="shared" si="491"/>
        <v>0</v>
      </c>
      <c r="AL3898" s="5">
        <f t="shared" si="490"/>
        <v>0</v>
      </c>
    </row>
    <row r="3899" spans="1:38" hidden="1" x14ac:dyDescent="0.2">
      <c r="A3899" s="2">
        <v>2026</v>
      </c>
      <c r="B3899" s="2">
        <v>5</v>
      </c>
      <c r="D3899" s="2" t="s">
        <v>2943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9"/>
        <v>0.4142857142857142</v>
      </c>
      <c r="Z3899" s="2" t="s">
        <v>3237</v>
      </c>
      <c r="AA3899" s="2" t="s">
        <v>46</v>
      </c>
      <c r="AB3899" s="2" t="s">
        <v>61</v>
      </c>
      <c r="AC3899" s="2" t="s">
        <v>58</v>
      </c>
      <c r="AF3899" s="2">
        <f t="shared" si="485"/>
        <v>0</v>
      </c>
      <c r="AG3899" s="2">
        <v>8.1999999999999993</v>
      </c>
      <c r="AH3899" s="2">
        <v>13</v>
      </c>
      <c r="AJ3899" s="2">
        <f t="shared" si="486"/>
        <v>0</v>
      </c>
      <c r="AK3899" s="2">
        <f t="shared" si="491"/>
        <v>5.7999999999999989</v>
      </c>
      <c r="AL3899" s="5">
        <f t="shared" si="490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9"/>
        <v>0.41111111111111115</v>
      </c>
      <c r="Z3900" s="2" t="s">
        <v>3237</v>
      </c>
      <c r="AA3900" s="2" t="s">
        <v>46</v>
      </c>
      <c r="AB3900" s="2" t="s">
        <v>57</v>
      </c>
      <c r="AC3900" s="2" t="s">
        <v>58</v>
      </c>
      <c r="AF3900" s="2">
        <f t="shared" si="485"/>
        <v>0</v>
      </c>
      <c r="AG3900" s="2">
        <v>10.6</v>
      </c>
      <c r="AH3900" s="2">
        <v>18</v>
      </c>
      <c r="AJ3900" s="2">
        <f t="shared" si="486"/>
        <v>0</v>
      </c>
      <c r="AK3900" s="2">
        <f t="shared" si="491"/>
        <v>14.8</v>
      </c>
      <c r="AL3900" s="5">
        <f t="shared" si="490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2944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9"/>
        <v>0.42947272727272723</v>
      </c>
      <c r="Z3901" s="2" t="s">
        <v>3237</v>
      </c>
      <c r="AA3901" s="2" t="s">
        <v>76</v>
      </c>
      <c r="AB3901" s="2" t="s">
        <v>77</v>
      </c>
      <c r="AC3901" s="2" t="s">
        <v>78</v>
      </c>
      <c r="AF3901" s="2">
        <f t="shared" si="485"/>
        <v>0</v>
      </c>
      <c r="AG3901" s="2">
        <v>125.51600000000001</v>
      </c>
      <c r="AH3901" s="2">
        <v>220</v>
      </c>
      <c r="AJ3901" s="2">
        <f t="shared" si="486"/>
        <v>0</v>
      </c>
      <c r="AK3901" s="2">
        <f t="shared" si="491"/>
        <v>94.483999999999995</v>
      </c>
      <c r="AL3901" s="5">
        <f t="shared" si="490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2944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9"/>
        <v>0.45375609756097557</v>
      </c>
      <c r="Z3902" s="2" t="s">
        <v>3237</v>
      </c>
      <c r="AA3902" s="2" t="s">
        <v>76</v>
      </c>
      <c r="AB3902" s="2" t="s">
        <v>77</v>
      </c>
      <c r="AC3902" s="2" t="s">
        <v>78</v>
      </c>
      <c r="AF3902" s="2">
        <f t="shared" si="485"/>
        <v>0</v>
      </c>
      <c r="AG3902" s="2">
        <v>111.98</v>
      </c>
      <c r="AH3902" s="2">
        <v>210</v>
      </c>
      <c r="AJ3902" s="2">
        <f t="shared" si="486"/>
        <v>0</v>
      </c>
      <c r="AK3902" s="2">
        <f t="shared" si="491"/>
        <v>93.02</v>
      </c>
      <c r="AL3902" s="5">
        <f t="shared" si="490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2944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9"/>
        <v>0</v>
      </c>
      <c r="Z3903" s="2" t="s">
        <v>3237</v>
      </c>
      <c r="AA3903" s="2" t="s">
        <v>97</v>
      </c>
      <c r="AB3903" s="2" t="s">
        <v>77</v>
      </c>
      <c r="AC3903" s="2" t="s">
        <v>94</v>
      </c>
      <c r="AF3903" s="2">
        <f t="shared" si="485"/>
        <v>0</v>
      </c>
      <c r="AG3903" s="2">
        <v>1.48</v>
      </c>
      <c r="AH3903" s="2">
        <v>1.48</v>
      </c>
      <c r="AJ3903" s="2">
        <f t="shared" si="486"/>
        <v>0</v>
      </c>
      <c r="AK3903" s="2">
        <f t="shared" si="491"/>
        <v>0</v>
      </c>
      <c r="AL3903" s="5">
        <f t="shared" si="490"/>
        <v>0</v>
      </c>
    </row>
    <row r="3904" spans="1:38" hidden="1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9"/>
        <v>0.39011111111111113</v>
      </c>
      <c r="Z3904" s="2" t="s">
        <v>3237</v>
      </c>
      <c r="AA3904" s="2" t="s">
        <v>72</v>
      </c>
      <c r="AB3904" s="2" t="s">
        <v>1607</v>
      </c>
      <c r="AC3904" s="2" t="s">
        <v>1607</v>
      </c>
      <c r="AF3904" s="2">
        <f t="shared" si="485"/>
        <v>0</v>
      </c>
      <c r="AJ3904" s="2">
        <f t="shared" si="486"/>
        <v>0</v>
      </c>
      <c r="AK3904" s="2">
        <f t="shared" si="491"/>
        <v>17.555</v>
      </c>
      <c r="AL3904" s="5">
        <f t="shared" si="490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2565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2945</v>
      </c>
      <c r="J3905" s="2" t="s">
        <v>2946</v>
      </c>
      <c r="K3905" s="2">
        <v>962004672</v>
      </c>
      <c r="L3905" s="2" t="s">
        <v>399</v>
      </c>
      <c r="M3905" s="2" t="s">
        <v>81</v>
      </c>
      <c r="O3905" s="2" t="s">
        <v>2947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9"/>
        <v>0.52504545454545459</v>
      </c>
      <c r="Z3905" s="2" t="s">
        <v>3237</v>
      </c>
      <c r="AA3905" s="2" t="s">
        <v>76</v>
      </c>
      <c r="AB3905" s="2" t="s">
        <v>77</v>
      </c>
      <c r="AC3905" s="2" t="s">
        <v>78</v>
      </c>
      <c r="AF3905" s="2">
        <f t="shared" si="485"/>
        <v>0</v>
      </c>
      <c r="AG3905" s="2">
        <v>104.49</v>
      </c>
      <c r="AH3905" s="2">
        <v>220</v>
      </c>
      <c r="AJ3905" s="2">
        <f t="shared" si="486"/>
        <v>0</v>
      </c>
      <c r="AK3905" s="2">
        <f t="shared" si="491"/>
        <v>115.51</v>
      </c>
      <c r="AL3905" s="5">
        <f t="shared" si="490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2565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9"/>
        <v>1</v>
      </c>
      <c r="Z3906" s="2" t="s">
        <v>3237</v>
      </c>
      <c r="AA3906" s="2" t="s">
        <v>97</v>
      </c>
      <c r="AB3906" s="2" t="s">
        <v>77</v>
      </c>
      <c r="AC3906" s="2" t="s">
        <v>94</v>
      </c>
      <c r="AF3906" s="2">
        <f t="shared" si="485"/>
        <v>0</v>
      </c>
      <c r="AJ3906" s="2">
        <f t="shared" si="486"/>
        <v>0</v>
      </c>
      <c r="AK3906" s="2">
        <f t="shared" si="491"/>
        <v>1.48</v>
      </c>
      <c r="AL3906" s="5">
        <f t="shared" si="490"/>
        <v>1</v>
      </c>
    </row>
    <row r="3907" spans="1:38" hidden="1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2948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9"/>
        <v>0.31428571428571428</v>
      </c>
      <c r="Z3907" s="2" t="s">
        <v>3237</v>
      </c>
      <c r="AA3907" s="2" t="s">
        <v>46</v>
      </c>
      <c r="AB3907" s="2" t="s">
        <v>47</v>
      </c>
      <c r="AC3907" s="2" t="s">
        <v>48</v>
      </c>
      <c r="AF3907" s="2">
        <f t="shared" ref="AF3907:AF3970" si="492">AJ3907</f>
        <v>0</v>
      </c>
      <c r="AG3907" s="2">
        <v>14.4</v>
      </c>
      <c r="AH3907" s="2">
        <v>21</v>
      </c>
      <c r="AJ3907" s="2">
        <f t="shared" ref="AJ3907:AJ3970" si="493">AI3907*T3907</f>
        <v>0</v>
      </c>
      <c r="AK3907" s="2">
        <f t="shared" si="491"/>
        <v>6.6</v>
      </c>
      <c r="AL3907" s="5">
        <f t="shared" si="490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2949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9"/>
        <v>0.29333333333333333</v>
      </c>
      <c r="Z3908" s="2" t="s">
        <v>3237</v>
      </c>
      <c r="AA3908" s="2" t="s">
        <v>46</v>
      </c>
      <c r="AB3908" s="2" t="s">
        <v>57</v>
      </c>
      <c r="AC3908" s="2" t="s">
        <v>58</v>
      </c>
      <c r="AF3908" s="2">
        <f t="shared" si="492"/>
        <v>0</v>
      </c>
      <c r="AG3908" s="2">
        <v>10.6</v>
      </c>
      <c r="AH3908" s="2">
        <v>18</v>
      </c>
      <c r="AJ3908" s="2">
        <f t="shared" si="493"/>
        <v>0</v>
      </c>
      <c r="AK3908" s="2">
        <f t="shared" si="491"/>
        <v>44</v>
      </c>
      <c r="AL3908" s="5">
        <f t="shared" si="490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2948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9"/>
        <v>0.38692653061224486</v>
      </c>
      <c r="Z3909" s="2" t="s">
        <v>3237</v>
      </c>
      <c r="AA3909" s="2" t="s">
        <v>46</v>
      </c>
      <c r="AB3909" s="2" t="s">
        <v>68</v>
      </c>
      <c r="AC3909" s="2" t="s">
        <v>58</v>
      </c>
      <c r="AF3909" s="2">
        <f t="shared" si="492"/>
        <v>0</v>
      </c>
      <c r="AG3909" s="2">
        <v>15.020300000000001</v>
      </c>
      <c r="AH3909" s="2">
        <v>27.6</v>
      </c>
      <c r="AJ3909" s="2">
        <f t="shared" si="493"/>
        <v>0</v>
      </c>
      <c r="AK3909" s="2">
        <f t="shared" si="491"/>
        <v>9.4796999999999993</v>
      </c>
      <c r="AL3909" s="5">
        <f t="shared" si="490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2950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4">(T3910-W3910)/T3910</f>
        <v>1</v>
      </c>
      <c r="Z3910" s="2" t="s">
        <v>118</v>
      </c>
      <c r="AA3910" s="2" t="s">
        <v>1314</v>
      </c>
      <c r="AF3910" s="2">
        <f t="shared" si="492"/>
        <v>0</v>
      </c>
      <c r="AJ3910" s="2">
        <f t="shared" si="493"/>
        <v>0</v>
      </c>
      <c r="AK3910" s="2">
        <f t="shared" si="491"/>
        <v>104.83</v>
      </c>
      <c r="AL3910" s="5">
        <f t="shared" ref="AL3910:AL3940" si="495">(T3910-W3910)/T3910</f>
        <v>1</v>
      </c>
    </row>
    <row r="3911" spans="1:38" hidden="1" x14ac:dyDescent="0.2">
      <c r="A3911" s="2">
        <v>2026</v>
      </c>
      <c r="B3911" s="2">
        <v>5</v>
      </c>
      <c r="D3911" s="2" t="s">
        <v>2951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4"/>
        <v>0.29333333333333333</v>
      </c>
      <c r="Z3911" s="2" t="s">
        <v>3237</v>
      </c>
      <c r="AA3911" s="2" t="s">
        <v>46</v>
      </c>
      <c r="AB3911" s="2" t="s">
        <v>57</v>
      </c>
      <c r="AC3911" s="2" t="s">
        <v>58</v>
      </c>
      <c r="AF3911" s="2">
        <f t="shared" si="492"/>
        <v>0</v>
      </c>
      <c r="AG3911" s="2">
        <v>10.6</v>
      </c>
      <c r="AH3911" s="2">
        <v>18</v>
      </c>
      <c r="AJ3911" s="2">
        <f t="shared" si="493"/>
        <v>0</v>
      </c>
      <c r="AK3911" s="2">
        <f t="shared" si="491"/>
        <v>44</v>
      </c>
      <c r="AL3911" s="5">
        <f t="shared" si="495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2239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4"/>
        <v>0.25454545454545452</v>
      </c>
      <c r="Z3912" s="2" t="s">
        <v>3237</v>
      </c>
      <c r="AA3912" s="2" t="s">
        <v>46</v>
      </c>
      <c r="AB3912" s="2" t="s">
        <v>61</v>
      </c>
      <c r="AC3912" s="2" t="s">
        <v>58</v>
      </c>
      <c r="AF3912" s="2">
        <f t="shared" si="492"/>
        <v>0</v>
      </c>
      <c r="AG3912" s="2">
        <v>8.1999999999999993</v>
      </c>
      <c r="AH3912" s="2">
        <v>13</v>
      </c>
      <c r="AJ3912" s="2">
        <f t="shared" si="493"/>
        <v>0</v>
      </c>
      <c r="AK3912" s="2">
        <f t="shared" si="491"/>
        <v>28</v>
      </c>
      <c r="AL3912" s="5">
        <f t="shared" si="495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2239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4"/>
        <v>1</v>
      </c>
      <c r="Z3913" s="2" t="s">
        <v>170</v>
      </c>
      <c r="AA3913" s="2" t="s">
        <v>170</v>
      </c>
      <c r="AF3913" s="2">
        <f t="shared" si="492"/>
        <v>0</v>
      </c>
      <c r="AJ3913" s="2">
        <f t="shared" si="493"/>
        <v>0</v>
      </c>
      <c r="AK3913" s="2">
        <f t="shared" si="491"/>
        <v>5</v>
      </c>
      <c r="AL3913" s="5">
        <f t="shared" si="495"/>
        <v>1</v>
      </c>
    </row>
    <row r="3914" spans="1:38" hidden="1" x14ac:dyDescent="0.2">
      <c r="A3914" s="2">
        <v>2026</v>
      </c>
      <c r="B3914" s="2">
        <v>5</v>
      </c>
      <c r="D3914" s="2" t="s">
        <v>2952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4"/>
        <v>0.33938947368421052</v>
      </c>
      <c r="Z3914" s="2" t="s">
        <v>3237</v>
      </c>
      <c r="AA3914" s="2" t="s">
        <v>76</v>
      </c>
      <c r="AB3914" s="2" t="s">
        <v>77</v>
      </c>
      <c r="AC3914" s="2" t="s">
        <v>78</v>
      </c>
      <c r="AF3914" s="2">
        <f t="shared" si="492"/>
        <v>0</v>
      </c>
      <c r="AG3914" s="2">
        <v>125.51600000000001</v>
      </c>
      <c r="AH3914" s="2">
        <v>220</v>
      </c>
      <c r="AJ3914" s="2">
        <f t="shared" si="493"/>
        <v>0</v>
      </c>
      <c r="AK3914" s="2">
        <f t="shared" si="491"/>
        <v>64.483999999999995</v>
      </c>
      <c r="AL3914" s="5">
        <f t="shared" si="495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2952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92"/>
        <v>0</v>
      </c>
      <c r="AJ3915" s="2">
        <f t="shared" si="493"/>
        <v>0</v>
      </c>
      <c r="AK3915" s="2">
        <f t="shared" si="491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D3916" s="2" t="s">
        <v>2952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4"/>
        <v>0</v>
      </c>
      <c r="Z3916" s="2" t="s">
        <v>3237</v>
      </c>
      <c r="AA3916" s="2" t="s">
        <v>97</v>
      </c>
      <c r="AB3916" s="2" t="s">
        <v>77</v>
      </c>
      <c r="AC3916" s="2" t="s">
        <v>94</v>
      </c>
      <c r="AF3916" s="2">
        <f t="shared" si="492"/>
        <v>0</v>
      </c>
      <c r="AJ3916" s="2">
        <f t="shared" si="493"/>
        <v>0</v>
      </c>
      <c r="AK3916" s="2">
        <f t="shared" si="491"/>
        <v>0</v>
      </c>
      <c r="AL3916" s="5">
        <f t="shared" si="495"/>
        <v>0</v>
      </c>
    </row>
    <row r="3917" spans="1:38" hidden="1" x14ac:dyDescent="0.2">
      <c r="A3917" s="2">
        <v>2026</v>
      </c>
      <c r="B3917" s="2">
        <v>5</v>
      </c>
      <c r="D3917" s="2" t="s">
        <v>2885</v>
      </c>
      <c r="G3917" s="2">
        <v>506647188</v>
      </c>
      <c r="I3917" s="2" t="s">
        <v>2953</v>
      </c>
      <c r="M3917" s="2" t="s">
        <v>40</v>
      </c>
      <c r="O3917" s="2" t="s">
        <v>2954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4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2"/>
        <v>0</v>
      </c>
      <c r="AG3917" s="2">
        <v>35.931699999999999</v>
      </c>
      <c r="AJ3917" s="2">
        <f t="shared" si="493"/>
        <v>0</v>
      </c>
      <c r="AK3917" s="2">
        <f t="shared" si="491"/>
        <v>69.596600000000009</v>
      </c>
      <c r="AL3917" s="5">
        <f t="shared" si="495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2885</v>
      </c>
      <c r="M3918" s="2" t="s">
        <v>40</v>
      </c>
      <c r="O3918" s="2" t="s">
        <v>2954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4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2"/>
        <v>0</v>
      </c>
      <c r="AG3918" s="2">
        <v>5.33</v>
      </c>
      <c r="AJ3918" s="2">
        <f t="shared" si="493"/>
        <v>0</v>
      </c>
      <c r="AK3918" s="2">
        <f t="shared" si="491"/>
        <v>60.230000000000004</v>
      </c>
      <c r="AL3918" s="5">
        <f t="shared" si="495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2139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92"/>
        <v>0</v>
      </c>
      <c r="AG3919" s="2">
        <f>W3919</f>
        <v>-27.400000000000002</v>
      </c>
      <c r="AJ3919" s="2">
        <f t="shared" si="493"/>
        <v>0</v>
      </c>
      <c r="AK3919" s="2">
        <f t="shared" si="491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2139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92"/>
        <v>0</v>
      </c>
      <c r="AG3920" s="2">
        <f>W3920</f>
        <v>0</v>
      </c>
      <c r="AJ3920" s="2">
        <f t="shared" si="493"/>
        <v>0</v>
      </c>
      <c r="AK3920" s="2">
        <f t="shared" si="491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2955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4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2"/>
        <v>0</v>
      </c>
      <c r="AJ3921" s="2">
        <f t="shared" si="493"/>
        <v>0</v>
      </c>
      <c r="AK3921" s="2">
        <f t="shared" si="491"/>
        <v>146.92000000000002</v>
      </c>
      <c r="AL3921" s="5">
        <f t="shared" si="495"/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2956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4"/>
        <v>0.29333333333333333</v>
      </c>
      <c r="Z3922" s="2" t="s">
        <v>3237</v>
      </c>
      <c r="AA3922" s="2" t="s">
        <v>46</v>
      </c>
      <c r="AB3922" s="2" t="s">
        <v>57</v>
      </c>
      <c r="AC3922" s="2" t="s">
        <v>58</v>
      </c>
      <c r="AF3922" s="2">
        <f t="shared" si="492"/>
        <v>0</v>
      </c>
      <c r="AG3922" s="2">
        <v>10.6</v>
      </c>
      <c r="AH3922" s="2">
        <v>18</v>
      </c>
      <c r="AJ3922" s="2">
        <f t="shared" si="493"/>
        <v>0</v>
      </c>
      <c r="AK3922" s="2">
        <f t="shared" si="491"/>
        <v>17.600000000000001</v>
      </c>
      <c r="AL3922" s="5">
        <f t="shared" si="495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2957</v>
      </c>
      <c r="P3923" s="2" t="s">
        <v>43</v>
      </c>
      <c r="Q3923" s="2" t="s">
        <v>2877</v>
      </c>
      <c r="R3923" s="2" t="s">
        <v>2878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4"/>
        <v>0.28439999999999999</v>
      </c>
      <c r="Z3923" s="2" t="s">
        <v>3237</v>
      </c>
      <c r="AA3923" s="2" t="s">
        <v>46</v>
      </c>
      <c r="AB3923" s="2" t="s">
        <v>91</v>
      </c>
      <c r="AC3923" s="2" t="s">
        <v>58</v>
      </c>
      <c r="AF3923" s="2">
        <f t="shared" si="492"/>
        <v>0</v>
      </c>
      <c r="AJ3923" s="2">
        <f t="shared" si="493"/>
        <v>0</v>
      </c>
      <c r="AK3923" s="2">
        <f t="shared" si="491"/>
        <v>14.219999999999999</v>
      </c>
      <c r="AL3923" s="5">
        <f t="shared" si="495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2958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2"/>
        <v>0</v>
      </c>
      <c r="AG3924" s="2">
        <v>35.931699999999999</v>
      </c>
      <c r="AJ3924" s="2">
        <f t="shared" si="493"/>
        <v>0</v>
      </c>
      <c r="AK3924" s="2">
        <f t="shared" si="491"/>
        <v>85.316600000000008</v>
      </c>
      <c r="AL3924" s="5">
        <f t="shared" si="495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4"/>
        <v>0.45578623188405798</v>
      </c>
      <c r="Z3925" s="2" t="s">
        <v>3237</v>
      </c>
      <c r="AA3925" s="2" t="s">
        <v>46</v>
      </c>
      <c r="AB3925" s="2" t="s">
        <v>68</v>
      </c>
      <c r="AC3925" s="2" t="s">
        <v>58</v>
      </c>
      <c r="AF3925" s="2">
        <f t="shared" si="492"/>
        <v>0</v>
      </c>
      <c r="AG3925" s="2">
        <v>15.020300000000001</v>
      </c>
      <c r="AH3925" s="2">
        <v>27.6</v>
      </c>
      <c r="AJ3925" s="2">
        <f t="shared" si="493"/>
        <v>0</v>
      </c>
      <c r="AK3925" s="2">
        <f t="shared" si="491"/>
        <v>12.579700000000001</v>
      </c>
      <c r="AL3925" s="5">
        <f t="shared" si="495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2959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2960</v>
      </c>
      <c r="J3926" s="2" t="s">
        <v>2961</v>
      </c>
      <c r="K3926" s="2">
        <v>962543971</v>
      </c>
      <c r="L3926" s="2" t="s">
        <v>134</v>
      </c>
      <c r="M3926" s="2" t="s">
        <v>110</v>
      </c>
      <c r="O3926" s="2" t="s">
        <v>2962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4"/>
        <v>0.42639130434782607</v>
      </c>
      <c r="Z3926" s="2" t="s">
        <v>3237</v>
      </c>
      <c r="AA3926" s="2" t="s">
        <v>76</v>
      </c>
      <c r="AB3926" s="2" t="s">
        <v>77</v>
      </c>
      <c r="AC3926" s="2" t="s">
        <v>78</v>
      </c>
      <c r="AF3926" s="2">
        <f t="shared" si="492"/>
        <v>0</v>
      </c>
      <c r="AG3926" s="2">
        <v>131.93</v>
      </c>
      <c r="AH3926" s="2">
        <v>220</v>
      </c>
      <c r="AJ3926" s="2">
        <f t="shared" si="493"/>
        <v>0</v>
      </c>
      <c r="AK3926" s="2">
        <f t="shared" si="491"/>
        <v>98.07</v>
      </c>
      <c r="AL3926" s="5">
        <f t="shared" si="495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2959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4"/>
        <v>0</v>
      </c>
      <c r="Z3927" s="2" t="s">
        <v>3237</v>
      </c>
      <c r="AA3927" s="2" t="s">
        <v>97</v>
      </c>
      <c r="AB3927" s="2" t="s">
        <v>77</v>
      </c>
      <c r="AC3927" s="2" t="s">
        <v>94</v>
      </c>
      <c r="AF3927" s="2">
        <f t="shared" si="492"/>
        <v>0</v>
      </c>
      <c r="AJ3927" s="2">
        <f t="shared" si="493"/>
        <v>0</v>
      </c>
      <c r="AK3927" s="2">
        <f t="shared" si="491"/>
        <v>0</v>
      </c>
      <c r="AL3927" s="5">
        <f t="shared" si="495"/>
        <v>0</v>
      </c>
    </row>
    <row r="3928" spans="1:38" hidden="1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2963</v>
      </c>
      <c r="P3928" s="2" t="s">
        <v>43</v>
      </c>
      <c r="Q3928" s="2" t="s">
        <v>2931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4"/>
        <v>0.65133333333333332</v>
      </c>
      <c r="Z3928" s="2" t="s">
        <v>3237</v>
      </c>
      <c r="AA3928" s="2" t="s">
        <v>46</v>
      </c>
      <c r="AB3928" s="2" t="s">
        <v>91</v>
      </c>
      <c r="AC3928" s="2" t="s">
        <v>58</v>
      </c>
      <c r="AF3928" s="2">
        <f t="shared" si="492"/>
        <v>0</v>
      </c>
      <c r="AG3928" s="2">
        <v>5.23</v>
      </c>
      <c r="AH3928" s="2">
        <v>10.8</v>
      </c>
      <c r="AJ3928" s="2">
        <f t="shared" si="493"/>
        <v>0</v>
      </c>
      <c r="AK3928" s="2">
        <f t="shared" si="491"/>
        <v>9.77</v>
      </c>
      <c r="AL3928" s="5">
        <f t="shared" si="495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2963</v>
      </c>
      <c r="P3929" s="2" t="s">
        <v>43</v>
      </c>
      <c r="Q3929" s="2" t="s">
        <v>2932</v>
      </c>
      <c r="R3929" s="2" t="s">
        <v>2933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4"/>
        <v>0.80600000000000005</v>
      </c>
      <c r="Z3929" s="2" t="s">
        <v>3237</v>
      </c>
      <c r="AA3929" s="2" t="s">
        <v>46</v>
      </c>
      <c r="AB3929" s="2" t="s">
        <v>91</v>
      </c>
      <c r="AC3929" s="2" t="s">
        <v>58</v>
      </c>
      <c r="AF3929" s="2">
        <f t="shared" si="492"/>
        <v>0</v>
      </c>
      <c r="AG3929" s="2">
        <v>0.97</v>
      </c>
      <c r="AH3929" s="2">
        <v>6</v>
      </c>
      <c r="AJ3929" s="2">
        <f t="shared" si="493"/>
        <v>0</v>
      </c>
      <c r="AK3929" s="2">
        <f t="shared" si="491"/>
        <v>4.03</v>
      </c>
      <c r="AL3929" s="5">
        <f t="shared" si="495"/>
        <v>0.80600000000000005</v>
      </c>
    </row>
    <row r="3930" spans="1:38" hidden="1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4"/>
        <v>0.58491111111111116</v>
      </c>
      <c r="Z3930" s="2" t="s">
        <v>3237</v>
      </c>
      <c r="AA3930" s="2" t="s">
        <v>46</v>
      </c>
      <c r="AB3930" s="2" t="s">
        <v>47</v>
      </c>
      <c r="AC3930" s="2" t="s">
        <v>48</v>
      </c>
      <c r="AF3930" s="2">
        <f t="shared" si="492"/>
        <v>0</v>
      </c>
      <c r="AG3930" s="2">
        <v>3.7357999999999998</v>
      </c>
      <c r="AH3930" s="2">
        <v>9</v>
      </c>
      <c r="AJ3930" s="2">
        <f t="shared" si="493"/>
        <v>0</v>
      </c>
      <c r="AK3930" s="2">
        <f t="shared" si="491"/>
        <v>5.2642000000000007</v>
      </c>
      <c r="AL3930" s="5">
        <f t="shared" si="495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4"/>
        <v>0.41111111111111109</v>
      </c>
      <c r="Z3931" s="2" t="s">
        <v>3237</v>
      </c>
      <c r="AA3931" s="2" t="s">
        <v>46</v>
      </c>
      <c r="AB3931" s="2" t="s">
        <v>57</v>
      </c>
      <c r="AC3931" s="2" t="s">
        <v>58</v>
      </c>
      <c r="AF3931" s="2">
        <f t="shared" si="492"/>
        <v>0</v>
      </c>
      <c r="AG3931" s="2">
        <v>10.6</v>
      </c>
      <c r="AH3931" s="2">
        <v>18</v>
      </c>
      <c r="AJ3931" s="2">
        <f t="shared" si="493"/>
        <v>0</v>
      </c>
      <c r="AK3931" s="2">
        <f t="shared" si="491"/>
        <v>37</v>
      </c>
      <c r="AL3931" s="5">
        <f t="shared" si="495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4"/>
        <v>0.24885496183206102</v>
      </c>
      <c r="Z3932" s="2" t="s">
        <v>3237</v>
      </c>
      <c r="AA3932" s="2" t="s">
        <v>46</v>
      </c>
      <c r="AB3932" s="2" t="s">
        <v>61</v>
      </c>
      <c r="AC3932" s="2" t="s">
        <v>58</v>
      </c>
      <c r="AF3932" s="2">
        <f t="shared" si="492"/>
        <v>0</v>
      </c>
      <c r="AG3932" s="2">
        <v>8.1999999999999993</v>
      </c>
      <c r="AH3932" s="2">
        <v>13</v>
      </c>
      <c r="AJ3932" s="2">
        <f t="shared" si="493"/>
        <v>0</v>
      </c>
      <c r="AK3932" s="2">
        <f t="shared" si="491"/>
        <v>32.599999999999994</v>
      </c>
      <c r="AL3932" s="5">
        <f t="shared" si="495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4"/>
        <v>0.42875000000000008</v>
      </c>
      <c r="Z3933" s="2" t="s">
        <v>3237</v>
      </c>
      <c r="AA3933" s="2" t="s">
        <v>46</v>
      </c>
      <c r="AB3933" s="2" t="s">
        <v>61</v>
      </c>
      <c r="AC3933" s="2" t="s">
        <v>58</v>
      </c>
      <c r="AF3933" s="2">
        <f t="shared" si="492"/>
        <v>0</v>
      </c>
      <c r="AJ3933" s="2">
        <f t="shared" si="493"/>
        <v>0</v>
      </c>
      <c r="AK3933" s="2">
        <f t="shared" si="491"/>
        <v>6.8600000000000012</v>
      </c>
      <c r="AL3933" s="5">
        <f t="shared" si="495"/>
        <v>0.42875000000000008</v>
      </c>
    </row>
    <row r="3934" spans="1:38" hidden="1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4"/>
        <v>0.36923076923076914</v>
      </c>
      <c r="Z3934" s="2" t="s">
        <v>3237</v>
      </c>
      <c r="AA3934" s="2" t="s">
        <v>46</v>
      </c>
      <c r="AB3934" s="2" t="s">
        <v>61</v>
      </c>
      <c r="AC3934" s="2" t="s">
        <v>58</v>
      </c>
      <c r="AF3934" s="2">
        <f t="shared" si="492"/>
        <v>0</v>
      </c>
      <c r="AG3934" s="2">
        <v>8.1999999999999993</v>
      </c>
      <c r="AH3934" s="2">
        <v>13</v>
      </c>
      <c r="AJ3934" s="2">
        <f t="shared" si="493"/>
        <v>0</v>
      </c>
      <c r="AK3934" s="2">
        <f t="shared" si="491"/>
        <v>4.7999999999999989</v>
      </c>
      <c r="AL3934" s="5">
        <f t="shared" si="495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4"/>
        <v>0.42947272727272723</v>
      </c>
      <c r="Z3935" s="2" t="s">
        <v>3237</v>
      </c>
      <c r="AA3935" s="2" t="s">
        <v>76</v>
      </c>
      <c r="AB3935" s="2" t="s">
        <v>77</v>
      </c>
      <c r="AC3935" s="2" t="s">
        <v>78</v>
      </c>
      <c r="AF3935" s="2">
        <f t="shared" si="492"/>
        <v>0</v>
      </c>
      <c r="AG3935" s="2">
        <v>125.51600000000001</v>
      </c>
      <c r="AH3935" s="2">
        <v>220</v>
      </c>
      <c r="AJ3935" s="2">
        <f t="shared" si="493"/>
        <v>0</v>
      </c>
      <c r="AK3935" s="2">
        <f t="shared" si="491"/>
        <v>94.483999999999995</v>
      </c>
      <c r="AL3935" s="5">
        <f t="shared" si="495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4"/>
        <v>1</v>
      </c>
      <c r="Z3936" s="2" t="s">
        <v>3237</v>
      </c>
      <c r="AA3936" s="2" t="s">
        <v>97</v>
      </c>
      <c r="AB3936" s="2" t="s">
        <v>77</v>
      </c>
      <c r="AC3936" s="2" t="s">
        <v>94</v>
      </c>
      <c r="AF3936" s="2">
        <f t="shared" si="492"/>
        <v>0</v>
      </c>
      <c r="AJ3936" s="2">
        <f t="shared" si="493"/>
        <v>0</v>
      </c>
      <c r="AK3936" s="2">
        <f t="shared" si="491"/>
        <v>1.48</v>
      </c>
      <c r="AL3936" s="5">
        <f t="shared" si="495"/>
        <v>1</v>
      </c>
    </row>
    <row r="3937" spans="1:38" hidden="1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2964</v>
      </c>
      <c r="P3937" s="2" t="s">
        <v>1041</v>
      </c>
      <c r="Q3937" s="2" t="s">
        <v>2965</v>
      </c>
      <c r="R3937" s="2" t="s">
        <v>2966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4"/>
        <v>0.35232383808095952</v>
      </c>
      <c r="Z3937" s="2" t="s">
        <v>3237</v>
      </c>
      <c r="AA3937" s="2" t="s">
        <v>76</v>
      </c>
      <c r="AB3937" s="2" t="s">
        <v>77</v>
      </c>
      <c r="AC3937" s="2" t="s">
        <v>1041</v>
      </c>
      <c r="AF3937" s="2">
        <f t="shared" si="492"/>
        <v>0</v>
      </c>
      <c r="AJ3937" s="2">
        <f t="shared" si="493"/>
        <v>0</v>
      </c>
      <c r="AK3937" s="2">
        <f t="shared" si="491"/>
        <v>94</v>
      </c>
      <c r="AL3937" s="5">
        <f t="shared" si="495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2964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4"/>
        <v>0</v>
      </c>
      <c r="Z3938" s="2" t="s">
        <v>3237</v>
      </c>
      <c r="AA3938" s="2" t="s">
        <v>97</v>
      </c>
      <c r="AB3938" s="2" t="s">
        <v>77</v>
      </c>
      <c r="AC3938" s="2" t="s">
        <v>94</v>
      </c>
      <c r="AF3938" s="2">
        <f t="shared" si="492"/>
        <v>0</v>
      </c>
      <c r="AG3938" s="2">
        <v>1.48</v>
      </c>
      <c r="AH3938" s="2">
        <v>1.48</v>
      </c>
      <c r="AJ3938" s="2">
        <f t="shared" si="493"/>
        <v>0</v>
      </c>
      <c r="AK3938" s="2">
        <f t="shared" si="491"/>
        <v>0</v>
      </c>
      <c r="AL3938" s="5">
        <f t="shared" si="495"/>
        <v>0</v>
      </c>
    </row>
    <row r="3939" spans="1:38" hidden="1" x14ac:dyDescent="0.2">
      <c r="A3939" s="2">
        <v>2026</v>
      </c>
      <c r="B3939" s="2">
        <v>5</v>
      </c>
      <c r="D3939" s="2" t="s">
        <v>1909</v>
      </c>
      <c r="G3939" s="2">
        <v>505757486</v>
      </c>
      <c r="I3939" s="2" t="s">
        <v>2967</v>
      </c>
      <c r="M3939" s="2" t="s">
        <v>81</v>
      </c>
      <c r="O3939" s="2" t="s">
        <v>2968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4"/>
        <v>0.38066770186335414</v>
      </c>
      <c r="Z3939" s="2" t="s">
        <v>3237</v>
      </c>
      <c r="AA3939" s="2" t="s">
        <v>76</v>
      </c>
      <c r="AB3939" s="2" t="s">
        <v>77</v>
      </c>
      <c r="AC3939" s="2" t="s">
        <v>78</v>
      </c>
      <c r="AF3939" s="2">
        <f t="shared" si="492"/>
        <v>0</v>
      </c>
      <c r="AG3939" s="2">
        <f>144.14+15.4</f>
        <v>159.54</v>
      </c>
      <c r="AH3939" s="2">
        <v>280</v>
      </c>
      <c r="AJ3939" s="2">
        <f t="shared" si="493"/>
        <v>0</v>
      </c>
      <c r="AK3939" s="2">
        <f t="shared" si="491"/>
        <v>98.060000000000031</v>
      </c>
      <c r="AL3939" s="5">
        <f t="shared" si="495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1909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4"/>
        <v>0</v>
      </c>
      <c r="Z3940" s="2" t="s">
        <v>3237</v>
      </c>
      <c r="AA3940" s="2" t="s">
        <v>97</v>
      </c>
      <c r="AB3940" s="2" t="s">
        <v>77</v>
      </c>
      <c r="AC3940" s="2" t="s">
        <v>94</v>
      </c>
      <c r="AF3940" s="2">
        <f t="shared" si="492"/>
        <v>0</v>
      </c>
      <c r="AJ3940" s="2">
        <f t="shared" si="493"/>
        <v>0</v>
      </c>
      <c r="AK3940" s="2">
        <f t="shared" si="491"/>
        <v>0</v>
      </c>
      <c r="AL3940" s="5">
        <f t="shared" si="495"/>
        <v>0</v>
      </c>
    </row>
    <row r="3941" spans="1:38" hidden="1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2"/>
        <v>0</v>
      </c>
      <c r="AJ3941" s="2">
        <f t="shared" si="493"/>
        <v>0</v>
      </c>
    </row>
    <row r="3942" spans="1:38" hidden="1" x14ac:dyDescent="0.2">
      <c r="A3942" s="2">
        <v>2026</v>
      </c>
      <c r="B3942" s="2">
        <v>5</v>
      </c>
      <c r="D3942" s="2" t="s">
        <v>2969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2970</v>
      </c>
      <c r="J3942" s="2" t="s">
        <v>2971</v>
      </c>
      <c r="K3942" s="2">
        <v>966567958</v>
      </c>
      <c r="L3942" s="2" t="s">
        <v>345</v>
      </c>
      <c r="M3942" s="2" t="s">
        <v>81</v>
      </c>
      <c r="O3942" s="2" t="s">
        <v>2972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6">(T3942-W3942)/T3942</f>
        <v>0.25579710144927542</v>
      </c>
      <c r="Z3942" s="2" t="s">
        <v>3237</v>
      </c>
      <c r="AA3942" s="2" t="s">
        <v>72</v>
      </c>
      <c r="AB3942" s="2" t="s">
        <v>120</v>
      </c>
      <c r="AC3942" s="2" t="s">
        <v>120</v>
      </c>
      <c r="AF3942" s="2">
        <f t="shared" si="492"/>
        <v>0</v>
      </c>
      <c r="AG3942" s="2">
        <v>5.1349999999999998</v>
      </c>
      <c r="AJ3942" s="2">
        <f t="shared" si="493"/>
        <v>0</v>
      </c>
      <c r="AK3942" s="2">
        <f t="shared" si="491"/>
        <v>17.650000000000006</v>
      </c>
      <c r="AL3942" s="5">
        <f t="shared" ref="AL3942:AL3947" si="497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2969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2970</v>
      </c>
      <c r="J3943" s="2" t="s">
        <v>2971</v>
      </c>
      <c r="K3943" s="2">
        <v>966567958</v>
      </c>
      <c r="L3943" s="2" t="s">
        <v>345</v>
      </c>
      <c r="M3943" s="2" t="s">
        <v>81</v>
      </c>
      <c r="O3943" s="2" t="s">
        <v>2972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6"/>
        <v>0.25579710144927542</v>
      </c>
      <c r="Z3943" s="2" t="s">
        <v>3237</v>
      </c>
      <c r="AA3943" s="2" t="s">
        <v>72</v>
      </c>
      <c r="AB3943" s="2" t="s">
        <v>120</v>
      </c>
      <c r="AC3943" s="2" t="s">
        <v>120</v>
      </c>
      <c r="AF3943" s="2">
        <f t="shared" si="492"/>
        <v>0</v>
      </c>
      <c r="AG3943" s="2">
        <v>5.1349999999999998</v>
      </c>
      <c r="AJ3943" s="2">
        <f t="shared" si="493"/>
        <v>0</v>
      </c>
      <c r="AK3943" s="2">
        <f t="shared" si="491"/>
        <v>17.650000000000006</v>
      </c>
      <c r="AL3943" s="5">
        <f t="shared" si="497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2969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2970</v>
      </c>
      <c r="J3944" s="2" t="s">
        <v>2971</v>
      </c>
      <c r="K3944" s="2">
        <v>966567958</v>
      </c>
      <c r="L3944" s="2" t="s">
        <v>345</v>
      </c>
      <c r="M3944" s="2" t="s">
        <v>81</v>
      </c>
      <c r="O3944" s="2" t="s">
        <v>2972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6"/>
        <v>0.31428571428571428</v>
      </c>
      <c r="Z3944" s="2" t="s">
        <v>3237</v>
      </c>
      <c r="AA3944" s="2" t="s">
        <v>46</v>
      </c>
      <c r="AB3944" s="2" t="s">
        <v>47</v>
      </c>
      <c r="AC3944" s="2" t="s">
        <v>48</v>
      </c>
      <c r="AF3944" s="2">
        <f t="shared" si="492"/>
        <v>0</v>
      </c>
      <c r="AG3944" s="2">
        <v>14.4</v>
      </c>
      <c r="AH3944" s="2">
        <v>21</v>
      </c>
      <c r="AJ3944" s="2">
        <f t="shared" si="493"/>
        <v>0</v>
      </c>
      <c r="AK3944" s="2">
        <f t="shared" si="491"/>
        <v>6.6</v>
      </c>
      <c r="AL3944" s="5">
        <f t="shared" si="497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2969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2970</v>
      </c>
      <c r="J3945" s="2" t="s">
        <v>2971</v>
      </c>
      <c r="K3945" s="2">
        <v>966567958</v>
      </c>
      <c r="L3945" s="2" t="s">
        <v>345</v>
      </c>
      <c r="M3945" s="2" t="s">
        <v>81</v>
      </c>
      <c r="O3945" s="2" t="s">
        <v>2972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6"/>
        <v>0.61904761904761907</v>
      </c>
      <c r="Z3945" s="2" t="s">
        <v>3237</v>
      </c>
      <c r="AA3945" s="2" t="s">
        <v>46</v>
      </c>
      <c r="AB3945" s="2" t="s">
        <v>47</v>
      </c>
      <c r="AC3945" s="2" t="s">
        <v>48</v>
      </c>
      <c r="AF3945" s="2">
        <f t="shared" si="492"/>
        <v>0</v>
      </c>
      <c r="AJ3945" s="2">
        <f t="shared" si="493"/>
        <v>0</v>
      </c>
      <c r="AK3945" s="2">
        <f t="shared" si="491"/>
        <v>26</v>
      </c>
      <c r="AL3945" s="5">
        <f t="shared" si="497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2969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2970</v>
      </c>
      <c r="J3946" s="2" t="s">
        <v>2971</v>
      </c>
      <c r="K3946" s="2">
        <v>966567958</v>
      </c>
      <c r="L3946" s="2" t="s">
        <v>345</v>
      </c>
      <c r="M3946" s="2" t="s">
        <v>81</v>
      </c>
      <c r="O3946" s="2" t="s">
        <v>2972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6"/>
        <v>0.48696666666666666</v>
      </c>
      <c r="Z3946" s="2" t="s">
        <v>3237</v>
      </c>
      <c r="AA3946" s="2" t="s">
        <v>46</v>
      </c>
      <c r="AB3946" s="2" t="s">
        <v>57</v>
      </c>
      <c r="AC3946" s="2" t="s">
        <v>58</v>
      </c>
      <c r="AF3946" s="2">
        <f t="shared" si="492"/>
        <v>0</v>
      </c>
      <c r="AG3946" s="2">
        <v>9.2346000000000004</v>
      </c>
      <c r="AJ3946" s="2">
        <f t="shared" si="493"/>
        <v>0</v>
      </c>
      <c r="AK3946" s="2">
        <f t="shared" si="491"/>
        <v>8.7653999999999996</v>
      </c>
      <c r="AL3946" s="5">
        <f t="shared" si="497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2969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2970</v>
      </c>
      <c r="J3947" s="2" t="s">
        <v>2971</v>
      </c>
      <c r="K3947" s="2">
        <v>966567958</v>
      </c>
      <c r="L3947" s="2" t="s">
        <v>345</v>
      </c>
      <c r="M3947" s="2" t="s">
        <v>81</v>
      </c>
      <c r="O3947" s="2" t="s">
        <v>2972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6"/>
        <v>0.25454545454545452</v>
      </c>
      <c r="Z3947" s="2" t="s">
        <v>3237</v>
      </c>
      <c r="AA3947" s="2" t="s">
        <v>46</v>
      </c>
      <c r="AB3947" s="2" t="s">
        <v>61</v>
      </c>
      <c r="AC3947" s="2" t="s">
        <v>58</v>
      </c>
      <c r="AF3947" s="2">
        <f t="shared" si="492"/>
        <v>0</v>
      </c>
      <c r="AG3947" s="2">
        <v>8.1999999999999993</v>
      </c>
      <c r="AH3947" s="2">
        <v>13</v>
      </c>
      <c r="AJ3947" s="2">
        <f t="shared" si="493"/>
        <v>0</v>
      </c>
      <c r="AK3947" s="2">
        <f t="shared" si="491"/>
        <v>28</v>
      </c>
      <c r="AL3947" s="5">
        <f t="shared" si="497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2969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2970</v>
      </c>
      <c r="J3948" s="2" t="s">
        <v>2971</v>
      </c>
      <c r="K3948" s="2">
        <v>966567958</v>
      </c>
      <c r="L3948" s="2" t="s">
        <v>345</v>
      </c>
      <c r="M3948" s="2" t="s">
        <v>81</v>
      </c>
      <c r="O3948" s="2" t="s">
        <v>2972</v>
      </c>
      <c r="P3948" s="2" t="s">
        <v>43</v>
      </c>
      <c r="Q3948" s="2" t="s">
        <v>2973</v>
      </c>
      <c r="R3948" s="2" t="s">
        <v>2974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3237</v>
      </c>
      <c r="AA3948" s="2" t="s">
        <v>46</v>
      </c>
      <c r="AB3948" s="2" t="s">
        <v>57</v>
      </c>
      <c r="AC3948" s="2" t="s">
        <v>58</v>
      </c>
      <c r="AF3948" s="2">
        <f t="shared" si="492"/>
        <v>0</v>
      </c>
      <c r="AG3948" s="2">
        <v>19.68</v>
      </c>
      <c r="AJ3948" s="2">
        <f t="shared" si="493"/>
        <v>0</v>
      </c>
      <c r="AK3948" s="2">
        <f t="shared" si="491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2969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2970</v>
      </c>
      <c r="J3949" s="2" t="s">
        <v>2971</v>
      </c>
      <c r="K3949" s="2">
        <v>966567958</v>
      </c>
      <c r="L3949" s="2" t="s">
        <v>345</v>
      </c>
      <c r="M3949" s="2" t="s">
        <v>81</v>
      </c>
      <c r="O3949" s="2" t="s">
        <v>2972</v>
      </c>
      <c r="P3949" s="2" t="s">
        <v>43</v>
      </c>
      <c r="Q3949" s="2" t="s">
        <v>2975</v>
      </c>
      <c r="R3949" s="2" t="s">
        <v>2976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3237</v>
      </c>
      <c r="AA3949" s="2" t="s">
        <v>46</v>
      </c>
      <c r="AB3949" s="2" t="s">
        <v>57</v>
      </c>
      <c r="AC3949" s="2" t="s">
        <v>58</v>
      </c>
      <c r="AF3949" s="2">
        <f t="shared" si="492"/>
        <v>0</v>
      </c>
      <c r="AG3949" s="2">
        <v>11.525</v>
      </c>
      <c r="AJ3949" s="2">
        <f t="shared" si="493"/>
        <v>0</v>
      </c>
      <c r="AK3949" s="2">
        <f t="shared" si="491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2246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2977</v>
      </c>
      <c r="J3950" s="2" t="s">
        <v>2978</v>
      </c>
      <c r="K3950" s="2">
        <v>939310247</v>
      </c>
      <c r="L3950" s="2" t="s">
        <v>462</v>
      </c>
      <c r="M3950" s="2" t="s">
        <v>40</v>
      </c>
      <c r="O3950" s="2" t="s">
        <v>2979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2"/>
        <v>0</v>
      </c>
      <c r="AG3950" s="2">
        <v>25.2</v>
      </c>
      <c r="AJ3950" s="2">
        <f t="shared" si="493"/>
        <v>0</v>
      </c>
      <c r="AK3950" s="2">
        <f t="shared" si="491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2980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2"/>
        <v>0</v>
      </c>
      <c r="AG3951" s="2">
        <f>4893.23+171</f>
        <v>5064.2299999999996</v>
      </c>
      <c r="AJ3951" s="2">
        <f t="shared" si="493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2981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8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92"/>
        <v>0</v>
      </c>
      <c r="AG3952" s="2">
        <v>6468.73</v>
      </c>
      <c r="AJ3952" s="2">
        <f t="shared" si="493"/>
        <v>0</v>
      </c>
      <c r="AK3952" s="2">
        <f t="shared" ref="AK3952:AK3983" si="499">T3952-W3952</f>
        <v>3461.2700000000004</v>
      </c>
      <c r="AL3952" s="5">
        <f t="shared" ref="AL3952:AL3983" si="500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2982</v>
      </c>
      <c r="P3953" s="2" t="s">
        <v>3241</v>
      </c>
      <c r="Q3953" s="2" t="s">
        <v>2983</v>
      </c>
      <c r="R3953" s="2" t="s">
        <v>2984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8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3241</v>
      </c>
      <c r="AF3953" s="2">
        <f t="shared" si="492"/>
        <v>0</v>
      </c>
      <c r="AJ3953" s="2">
        <f t="shared" si="493"/>
        <v>0</v>
      </c>
      <c r="AK3953" s="2">
        <f t="shared" si="499"/>
        <v>1163.8</v>
      </c>
      <c r="AL3953" s="5">
        <f t="shared" si="500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2575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8"/>
        <v>0.46762608695652175</v>
      </c>
      <c r="Z3954" s="2" t="s">
        <v>3237</v>
      </c>
      <c r="AA3954" s="2" t="s">
        <v>76</v>
      </c>
      <c r="AB3954" s="2" t="s">
        <v>77</v>
      </c>
      <c r="AC3954" s="2" t="s">
        <v>78</v>
      </c>
      <c r="AF3954" s="2">
        <f t="shared" si="492"/>
        <v>0</v>
      </c>
      <c r="AG3954" s="2">
        <v>122.446</v>
      </c>
      <c r="AH3954" s="2">
        <v>230</v>
      </c>
      <c r="AJ3954" s="2">
        <f t="shared" si="493"/>
        <v>0</v>
      </c>
      <c r="AK3954" s="2">
        <f t="shared" si="499"/>
        <v>107.554</v>
      </c>
      <c r="AL3954" s="5">
        <f t="shared" si="500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2575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8"/>
        <v>0</v>
      </c>
      <c r="Z3955" s="2" t="s">
        <v>3237</v>
      </c>
      <c r="AA3955" s="2" t="s">
        <v>97</v>
      </c>
      <c r="AB3955" s="2" t="s">
        <v>77</v>
      </c>
      <c r="AC3955" s="2" t="s">
        <v>94</v>
      </c>
      <c r="AF3955" s="2">
        <f t="shared" si="492"/>
        <v>0</v>
      </c>
      <c r="AJ3955" s="2">
        <f t="shared" si="493"/>
        <v>0</v>
      </c>
      <c r="AK3955" s="2">
        <f t="shared" si="499"/>
        <v>0</v>
      </c>
      <c r="AL3955" s="5">
        <f t="shared" si="500"/>
        <v>0</v>
      </c>
    </row>
    <row r="3956" spans="1:38" hidden="1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2985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8"/>
        <v>0.44777500000000003</v>
      </c>
      <c r="Z3956" s="2" t="s">
        <v>3237</v>
      </c>
      <c r="AA3956" s="2" t="s">
        <v>46</v>
      </c>
      <c r="AB3956" s="2" t="s">
        <v>47</v>
      </c>
      <c r="AC3956" s="2" t="s">
        <v>48</v>
      </c>
      <c r="AF3956" s="2">
        <f t="shared" si="492"/>
        <v>0</v>
      </c>
      <c r="AG3956" s="2">
        <v>6.6266999999999996</v>
      </c>
      <c r="AH3956" s="2">
        <v>12</v>
      </c>
      <c r="AJ3956" s="2">
        <f t="shared" si="493"/>
        <v>0</v>
      </c>
      <c r="AK3956" s="2">
        <f t="shared" si="499"/>
        <v>5.3733000000000004</v>
      </c>
      <c r="AL3956" s="5">
        <f t="shared" si="500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2985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8"/>
        <v>0.41111111111111115</v>
      </c>
      <c r="Z3957" s="2" t="s">
        <v>3237</v>
      </c>
      <c r="AA3957" s="2" t="s">
        <v>46</v>
      </c>
      <c r="AB3957" s="2" t="s">
        <v>57</v>
      </c>
      <c r="AC3957" s="2" t="s">
        <v>58</v>
      </c>
      <c r="AF3957" s="2">
        <f t="shared" si="492"/>
        <v>0</v>
      </c>
      <c r="AG3957" s="2">
        <v>10.6</v>
      </c>
      <c r="AH3957" s="2">
        <v>18</v>
      </c>
      <c r="AJ3957" s="2">
        <f t="shared" si="493"/>
        <v>0</v>
      </c>
      <c r="AK3957" s="2">
        <f t="shared" si="499"/>
        <v>14.8</v>
      </c>
      <c r="AL3957" s="5">
        <f t="shared" si="500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2986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8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2"/>
        <v>0</v>
      </c>
      <c r="AG3958" s="2">
        <v>71.381</v>
      </c>
      <c r="AJ3958" s="2">
        <f t="shared" si="493"/>
        <v>0</v>
      </c>
      <c r="AK3958" s="2">
        <f t="shared" si="499"/>
        <v>81.028999999999996</v>
      </c>
      <c r="AL3958" s="5">
        <f t="shared" si="500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2986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8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2"/>
        <v>0</v>
      </c>
      <c r="AG3959" s="2">
        <f>9.75+0.63</f>
        <v>10.38</v>
      </c>
      <c r="AJ3959" s="2">
        <f t="shared" si="493"/>
        <v>0</v>
      </c>
      <c r="AK3959" s="2">
        <f t="shared" si="499"/>
        <v>22.23</v>
      </c>
      <c r="AL3959" s="5">
        <f t="shared" si="500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8"/>
        <v>0.46762608695652175</v>
      </c>
      <c r="Z3960" s="2" t="s">
        <v>3237</v>
      </c>
      <c r="AA3960" s="2" t="s">
        <v>76</v>
      </c>
      <c r="AB3960" s="2" t="s">
        <v>77</v>
      </c>
      <c r="AC3960" s="2" t="s">
        <v>78</v>
      </c>
      <c r="AF3960" s="2">
        <f t="shared" si="492"/>
        <v>0</v>
      </c>
      <c r="AG3960" s="2">
        <v>122.446</v>
      </c>
      <c r="AH3960" s="2">
        <v>230</v>
      </c>
      <c r="AJ3960" s="2">
        <f t="shared" si="493"/>
        <v>0</v>
      </c>
      <c r="AK3960" s="2">
        <f t="shared" si="499"/>
        <v>107.554</v>
      </c>
      <c r="AL3960" s="5">
        <f t="shared" si="500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2987</v>
      </c>
      <c r="R3961" s="2" t="s">
        <v>2988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8"/>
        <v>0.41537037037037039</v>
      </c>
      <c r="Z3961" s="2" t="s">
        <v>3237</v>
      </c>
      <c r="AA3961" s="2" t="s">
        <v>76</v>
      </c>
      <c r="AB3961" s="2" t="s">
        <v>77</v>
      </c>
      <c r="AC3961" s="2" t="s">
        <v>1041</v>
      </c>
      <c r="AF3961" s="2">
        <f t="shared" si="492"/>
        <v>0</v>
      </c>
      <c r="AJ3961" s="2">
        <f t="shared" si="493"/>
        <v>0</v>
      </c>
      <c r="AK3961" s="2">
        <f t="shared" si="499"/>
        <v>112.15</v>
      </c>
      <c r="AL3961" s="5">
        <f t="shared" si="500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8"/>
        <v>0</v>
      </c>
      <c r="Z3962" s="2" t="s">
        <v>3237</v>
      </c>
      <c r="AA3962" s="2" t="s">
        <v>97</v>
      </c>
      <c r="AB3962" s="2" t="s">
        <v>77</v>
      </c>
      <c r="AC3962" s="2" t="s">
        <v>94</v>
      </c>
      <c r="AF3962" s="2">
        <f t="shared" si="492"/>
        <v>0</v>
      </c>
      <c r="AJ3962" s="2">
        <f t="shared" si="493"/>
        <v>0</v>
      </c>
      <c r="AK3962" s="2">
        <f t="shared" si="499"/>
        <v>0</v>
      </c>
      <c r="AL3962" s="5">
        <f t="shared" si="500"/>
        <v>0</v>
      </c>
    </row>
    <row r="3963" spans="1:38" hidden="1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2989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8"/>
        <v>1</v>
      </c>
      <c r="Z3963" s="2" t="s">
        <v>120</v>
      </c>
      <c r="AA3963" s="2" t="s">
        <v>493</v>
      </c>
      <c r="AF3963" s="2">
        <f t="shared" si="492"/>
        <v>0</v>
      </c>
      <c r="AJ3963" s="2">
        <f t="shared" si="493"/>
        <v>0</v>
      </c>
      <c r="AK3963" s="2">
        <f t="shared" si="499"/>
        <v>1357.82</v>
      </c>
      <c r="AL3963" s="5">
        <f t="shared" si="500"/>
        <v>1</v>
      </c>
    </row>
    <row r="3964" spans="1:38" hidden="1" x14ac:dyDescent="0.2">
      <c r="A3964" s="2">
        <v>2026</v>
      </c>
      <c r="B3964" s="2">
        <v>5</v>
      </c>
      <c r="D3964" s="2" t="s">
        <v>2990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2991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2992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8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2"/>
        <v>0</v>
      </c>
      <c r="AG3964" s="2">
        <f>88.6+1.81</f>
        <v>90.41</v>
      </c>
      <c r="AJ3964" s="2">
        <f t="shared" si="493"/>
        <v>0</v>
      </c>
      <c r="AK3964" s="2">
        <f t="shared" si="499"/>
        <v>97.509999999999991</v>
      </c>
      <c r="AL3964" s="5">
        <f t="shared" si="500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2990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2991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2992</v>
      </c>
      <c r="P3965" s="2" t="s">
        <v>115</v>
      </c>
      <c r="Q3965" s="2" t="s">
        <v>797</v>
      </c>
      <c r="R3965" s="2" t="s">
        <v>2993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8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2"/>
        <v>0</v>
      </c>
      <c r="AG3965" s="2">
        <f>12.87+0.3</f>
        <v>13.17</v>
      </c>
      <c r="AJ3965" s="2">
        <f t="shared" si="493"/>
        <v>0</v>
      </c>
      <c r="AK3965" s="2">
        <f t="shared" si="499"/>
        <v>15.209999999999999</v>
      </c>
      <c r="AL3965" s="5">
        <f t="shared" si="500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2990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2991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2992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8"/>
        <v>0.6</v>
      </c>
      <c r="Z3966" s="2" t="s">
        <v>118</v>
      </c>
      <c r="AA3966" s="2" t="s">
        <v>191</v>
      </c>
      <c r="AF3966" s="2">
        <f t="shared" si="492"/>
        <v>0</v>
      </c>
      <c r="AG3966" s="2">
        <f>W3966</f>
        <v>37.6</v>
      </c>
      <c r="AJ3966" s="2">
        <f t="shared" si="493"/>
        <v>0</v>
      </c>
      <c r="AK3966" s="2">
        <f t="shared" si="499"/>
        <v>56.4</v>
      </c>
      <c r="AL3966" s="5">
        <f t="shared" si="500"/>
        <v>0.6</v>
      </c>
    </row>
    <row r="3967" spans="1:38" hidden="1" x14ac:dyDescent="0.2">
      <c r="A3967" s="2">
        <v>2026</v>
      </c>
      <c r="B3967" s="2">
        <v>5</v>
      </c>
      <c r="D3967" s="2" t="s">
        <v>2990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2991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2992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8"/>
        <v>0.5</v>
      </c>
      <c r="Z3967" s="2" t="s">
        <v>118</v>
      </c>
      <c r="AA3967" s="2" t="s">
        <v>191</v>
      </c>
      <c r="AF3967" s="2">
        <f t="shared" si="492"/>
        <v>0</v>
      </c>
      <c r="AG3967" s="2">
        <f>W3967</f>
        <v>27.5</v>
      </c>
      <c r="AJ3967" s="2">
        <f t="shared" si="493"/>
        <v>0</v>
      </c>
      <c r="AK3967" s="2">
        <f t="shared" si="499"/>
        <v>27.5</v>
      </c>
      <c r="AL3967" s="5">
        <f t="shared" si="500"/>
        <v>0.5</v>
      </c>
    </row>
    <row r="3968" spans="1:38" hidden="1" x14ac:dyDescent="0.2">
      <c r="A3968" s="2">
        <v>2026</v>
      </c>
      <c r="B3968" s="2">
        <v>5</v>
      </c>
      <c r="D3968" s="2" t="s">
        <v>2990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2991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2992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8"/>
        <v>1</v>
      </c>
      <c r="Z3968" s="2" t="s">
        <v>118</v>
      </c>
      <c r="AA3968" s="2" t="s">
        <v>1314</v>
      </c>
      <c r="AF3968" s="2">
        <f t="shared" si="492"/>
        <v>0</v>
      </c>
      <c r="AJ3968" s="2">
        <f t="shared" si="493"/>
        <v>0</v>
      </c>
      <c r="AK3968" s="2">
        <f t="shared" si="499"/>
        <v>87.5</v>
      </c>
      <c r="AL3968" s="5">
        <f t="shared" si="500"/>
        <v>1</v>
      </c>
    </row>
    <row r="3969" spans="1:38" hidden="1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2994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8"/>
        <v>0.4729523809523809</v>
      </c>
      <c r="Z3969" s="2" t="s">
        <v>3237</v>
      </c>
      <c r="AA3969" s="2" t="s">
        <v>76</v>
      </c>
      <c r="AB3969" s="2" t="s">
        <v>77</v>
      </c>
      <c r="AC3969" s="2" t="s">
        <v>78</v>
      </c>
      <c r="AF3969" s="2">
        <f t="shared" si="492"/>
        <v>0</v>
      </c>
      <c r="AG3969" s="2">
        <v>110.68</v>
      </c>
      <c r="AH3969" s="2">
        <v>210</v>
      </c>
      <c r="AJ3969" s="2">
        <f t="shared" si="493"/>
        <v>0</v>
      </c>
      <c r="AK3969" s="2">
        <f t="shared" si="499"/>
        <v>198.64</v>
      </c>
      <c r="AL3969" s="5">
        <f t="shared" si="500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2994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8"/>
        <v>0</v>
      </c>
      <c r="Z3970" s="2" t="s">
        <v>3237</v>
      </c>
      <c r="AA3970" s="2" t="s">
        <v>97</v>
      </c>
      <c r="AB3970" s="2" t="s">
        <v>77</v>
      </c>
      <c r="AC3970" s="2" t="s">
        <v>94</v>
      </c>
      <c r="AF3970" s="2">
        <f t="shared" si="492"/>
        <v>0</v>
      </c>
      <c r="AJ3970" s="2">
        <f t="shared" si="493"/>
        <v>0</v>
      </c>
      <c r="AK3970" s="2">
        <f t="shared" si="499"/>
        <v>0</v>
      </c>
      <c r="AL3970" s="5">
        <f t="shared" si="500"/>
        <v>0</v>
      </c>
    </row>
    <row r="3971" spans="1:38" hidden="1" x14ac:dyDescent="0.2">
      <c r="A3971" s="2">
        <v>2026</v>
      </c>
      <c r="B3971" s="2">
        <v>5</v>
      </c>
      <c r="D3971" s="2" t="s">
        <v>2995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3237</v>
      </c>
      <c r="AA3971" s="2" t="s">
        <v>76</v>
      </c>
      <c r="AB3971" s="2" t="s">
        <v>77</v>
      </c>
      <c r="AC3971" s="2" t="s">
        <v>78</v>
      </c>
      <c r="AF3971" s="2">
        <f t="shared" ref="AF3971:AF4034" si="501">AJ3971</f>
        <v>0</v>
      </c>
      <c r="AG3971" s="2">
        <v>125.51600000000001</v>
      </c>
      <c r="AH3971" s="2">
        <v>220</v>
      </c>
      <c r="AJ3971" s="2">
        <f t="shared" ref="AJ3971:AJ4034" si="502">AI3971*T3971</f>
        <v>0</v>
      </c>
      <c r="AK3971" s="2">
        <f t="shared" si="499"/>
        <v>94.483999999999995</v>
      </c>
      <c r="AL3971" s="5">
        <f t="shared" si="500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2995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3">(T3972-W3972)/T3972</f>
        <v>0</v>
      </c>
      <c r="Z3972" s="2" t="s">
        <v>3237</v>
      </c>
      <c r="AA3972" s="2" t="s">
        <v>97</v>
      </c>
      <c r="AB3972" s="2" t="s">
        <v>77</v>
      </c>
      <c r="AC3972" s="2" t="s">
        <v>94</v>
      </c>
      <c r="AF3972" s="2">
        <f t="shared" si="501"/>
        <v>0</v>
      </c>
      <c r="AJ3972" s="2">
        <f t="shared" si="502"/>
        <v>0</v>
      </c>
      <c r="AK3972" s="2">
        <f t="shared" si="499"/>
        <v>0</v>
      </c>
      <c r="AL3972" s="5">
        <f t="shared" si="500"/>
        <v>0</v>
      </c>
    </row>
    <row r="3973" spans="1:38" hidden="1" x14ac:dyDescent="0.2">
      <c r="A3973" s="2">
        <v>2026</v>
      </c>
      <c r="B3973" s="2">
        <v>5</v>
      </c>
      <c r="D3973" s="2" t="s">
        <v>2996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3"/>
        <v>0.44659999999999994</v>
      </c>
      <c r="Z3973" s="2" t="s">
        <v>3237</v>
      </c>
      <c r="AA3973" s="2" t="s">
        <v>76</v>
      </c>
      <c r="AB3973" s="2" t="s">
        <v>77</v>
      </c>
      <c r="AC3973" s="2" t="s">
        <v>78</v>
      </c>
      <c r="AF3973" s="2">
        <f t="shared" si="501"/>
        <v>0</v>
      </c>
      <c r="AG3973" s="2">
        <v>110.68</v>
      </c>
      <c r="AH3973" s="2">
        <v>210</v>
      </c>
      <c r="AJ3973" s="2">
        <f t="shared" si="502"/>
        <v>0</v>
      </c>
      <c r="AK3973" s="2">
        <f t="shared" si="499"/>
        <v>89.32</v>
      </c>
      <c r="AL3973" s="5">
        <f t="shared" si="500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2996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3"/>
        <v>0</v>
      </c>
      <c r="Z3974" s="2" t="s">
        <v>3237</v>
      </c>
      <c r="AA3974" s="2" t="s">
        <v>97</v>
      </c>
      <c r="AB3974" s="2" t="s">
        <v>77</v>
      </c>
      <c r="AC3974" s="2" t="s">
        <v>94</v>
      </c>
      <c r="AF3974" s="2">
        <f t="shared" si="501"/>
        <v>0</v>
      </c>
      <c r="AJ3974" s="2">
        <f t="shared" si="502"/>
        <v>0</v>
      </c>
      <c r="AK3974" s="2">
        <f t="shared" si="499"/>
        <v>0</v>
      </c>
      <c r="AL3974" s="5">
        <f t="shared" si="500"/>
        <v>0</v>
      </c>
    </row>
    <row r="3975" spans="1:38" hidden="1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2997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3"/>
        <v>0.37426086956521742</v>
      </c>
      <c r="Z3975" s="2" t="s">
        <v>3237</v>
      </c>
      <c r="AA3975" s="2" t="s">
        <v>76</v>
      </c>
      <c r="AB3975" s="2" t="s">
        <v>77</v>
      </c>
      <c r="AC3975" s="2" t="s">
        <v>78</v>
      </c>
      <c r="AF3975" s="2">
        <f t="shared" si="501"/>
        <v>0</v>
      </c>
      <c r="AG3975" s="2">
        <v>143.91999999999999</v>
      </c>
      <c r="AJ3975" s="2">
        <f t="shared" si="502"/>
        <v>0</v>
      </c>
      <c r="AK3975" s="2">
        <f t="shared" si="499"/>
        <v>86.080000000000013</v>
      </c>
      <c r="AL3975" s="5">
        <f t="shared" si="500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2997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3"/>
        <v>0</v>
      </c>
      <c r="Z3976" s="2" t="s">
        <v>3237</v>
      </c>
      <c r="AA3976" s="2" t="s">
        <v>97</v>
      </c>
      <c r="AB3976" s="2" t="s">
        <v>77</v>
      </c>
      <c r="AC3976" s="2" t="s">
        <v>94</v>
      </c>
      <c r="AF3976" s="2">
        <f t="shared" si="501"/>
        <v>0</v>
      </c>
      <c r="AG3976" s="2">
        <v>1.48</v>
      </c>
      <c r="AH3976" s="2">
        <v>1.48</v>
      </c>
      <c r="AJ3976" s="2">
        <f t="shared" si="502"/>
        <v>0</v>
      </c>
      <c r="AK3976" s="2">
        <f t="shared" si="499"/>
        <v>0</v>
      </c>
      <c r="AL3976" s="5">
        <f t="shared" si="500"/>
        <v>0</v>
      </c>
    </row>
    <row r="3977" spans="1:38" hidden="1" x14ac:dyDescent="0.2">
      <c r="A3977" s="2">
        <v>2026</v>
      </c>
      <c r="B3977" s="2">
        <v>5</v>
      </c>
      <c r="D3977" s="2" t="s">
        <v>1727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3245</v>
      </c>
      <c r="J3977" s="2" t="s">
        <v>3246</v>
      </c>
      <c r="L3977" s="2" t="s">
        <v>572</v>
      </c>
      <c r="M3977" s="2" t="s">
        <v>81</v>
      </c>
      <c r="O3977" s="2" t="s">
        <v>3248</v>
      </c>
      <c r="P3977" s="2" t="s">
        <v>73</v>
      </c>
      <c r="Q3977" s="2" t="s">
        <v>2422</v>
      </c>
      <c r="R3977" s="2" t="s">
        <v>2423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3"/>
        <v>0.53546153846153843</v>
      </c>
      <c r="Z3977" s="2" t="s">
        <v>3237</v>
      </c>
      <c r="AA3977" s="2" t="s">
        <v>76</v>
      </c>
      <c r="AB3977" s="2" t="s">
        <v>77</v>
      </c>
      <c r="AC3977" s="2" t="s">
        <v>78</v>
      </c>
      <c r="AF3977" s="2">
        <f t="shared" si="501"/>
        <v>0</v>
      </c>
      <c r="AG3977" s="2">
        <v>120.78</v>
      </c>
      <c r="AH3977" s="2">
        <v>210</v>
      </c>
      <c r="AJ3977" s="2">
        <f t="shared" si="502"/>
        <v>0</v>
      </c>
      <c r="AK3977" s="2">
        <f t="shared" si="499"/>
        <v>139.22</v>
      </c>
      <c r="AL3977" s="5">
        <f t="shared" si="500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1727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3245</v>
      </c>
      <c r="J3978" s="2" t="s">
        <v>3246</v>
      </c>
      <c r="L3978" s="2" t="s">
        <v>572</v>
      </c>
      <c r="M3978" s="2" t="s">
        <v>81</v>
      </c>
      <c r="O3978" s="2" t="s">
        <v>3248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3"/>
        <v>0</v>
      </c>
      <c r="Z3978" s="2" t="s">
        <v>3237</v>
      </c>
      <c r="AA3978" s="2" t="s">
        <v>97</v>
      </c>
      <c r="AB3978" s="2" t="s">
        <v>77</v>
      </c>
      <c r="AC3978" s="2" t="s">
        <v>94</v>
      </c>
      <c r="AF3978" s="2">
        <f t="shared" si="501"/>
        <v>0</v>
      </c>
      <c r="AJ3978" s="2">
        <f t="shared" si="502"/>
        <v>0</v>
      </c>
      <c r="AK3978" s="2">
        <f t="shared" si="499"/>
        <v>0</v>
      </c>
      <c r="AL3978" s="5">
        <f t="shared" si="500"/>
        <v>0</v>
      </c>
    </row>
    <row r="3979" spans="1:38" hidden="1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3"/>
        <v>0.6</v>
      </c>
      <c r="Z3979" s="2" t="s">
        <v>118</v>
      </c>
      <c r="AA3979" s="2" t="s">
        <v>191</v>
      </c>
      <c r="AF3979" s="2">
        <f t="shared" si="501"/>
        <v>0</v>
      </c>
      <c r="AG3979" s="2">
        <f>W3979</f>
        <v>24</v>
      </c>
      <c r="AJ3979" s="2">
        <f t="shared" si="502"/>
        <v>0</v>
      </c>
      <c r="AK3979" s="2">
        <f t="shared" si="499"/>
        <v>36</v>
      </c>
      <c r="AL3979" s="5">
        <f t="shared" si="500"/>
        <v>0.6</v>
      </c>
    </row>
    <row r="3980" spans="1:38" hidden="1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3"/>
        <v>0.5</v>
      </c>
      <c r="Z3980" s="2" t="s">
        <v>118</v>
      </c>
      <c r="AA3980" s="2" t="s">
        <v>191</v>
      </c>
      <c r="AF3980" s="2">
        <f t="shared" si="501"/>
        <v>0</v>
      </c>
      <c r="AG3980" s="2">
        <f>W3980</f>
        <v>27.5</v>
      </c>
      <c r="AJ3980" s="2">
        <f t="shared" si="502"/>
        <v>0</v>
      </c>
      <c r="AK3980" s="2">
        <f t="shared" si="499"/>
        <v>27.5</v>
      </c>
      <c r="AL3980" s="5">
        <f t="shared" si="500"/>
        <v>0.5</v>
      </c>
    </row>
    <row r="3981" spans="1:38" hidden="1" x14ac:dyDescent="0.2">
      <c r="A3981" s="2">
        <v>2026</v>
      </c>
      <c r="B3981" s="2">
        <v>5</v>
      </c>
      <c r="D3981" s="2" t="s">
        <v>2057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2787</v>
      </c>
      <c r="J3981" s="2" t="s">
        <v>2828</v>
      </c>
      <c r="K3981" s="2">
        <v>914732950</v>
      </c>
      <c r="L3981" s="2" t="s">
        <v>481</v>
      </c>
      <c r="M3981" s="2" t="s">
        <v>40</v>
      </c>
      <c r="O3981" s="2" t="s">
        <v>2998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501"/>
        <v>0</v>
      </c>
      <c r="AG3981" s="2">
        <v>10.15</v>
      </c>
      <c r="AJ3981" s="2">
        <f t="shared" si="502"/>
        <v>0</v>
      </c>
      <c r="AK3981" s="2">
        <f t="shared" si="499"/>
        <v>-68.86</v>
      </c>
      <c r="AL3981" s="5">
        <f t="shared" si="500"/>
        <v>1</v>
      </c>
    </row>
    <row r="3982" spans="1:38" hidden="1" x14ac:dyDescent="0.2">
      <c r="A3982" s="2">
        <v>2026</v>
      </c>
      <c r="B3982" s="2">
        <v>5</v>
      </c>
      <c r="D3982" s="2" t="s">
        <v>2057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4">(T3982-W3982)/T3982</f>
        <v>0.6</v>
      </c>
      <c r="Z3982" s="2" t="s">
        <v>118</v>
      </c>
      <c r="AA3982" s="2" t="s">
        <v>191</v>
      </c>
      <c r="AF3982" s="2">
        <f t="shared" si="501"/>
        <v>0</v>
      </c>
      <c r="AG3982" s="2">
        <f>W3982</f>
        <v>58.800000000000004</v>
      </c>
      <c r="AJ3982" s="2">
        <f t="shared" si="502"/>
        <v>0</v>
      </c>
      <c r="AK3982" s="2">
        <f t="shared" si="499"/>
        <v>88.199999999999989</v>
      </c>
      <c r="AL3982" s="5">
        <f t="shared" si="500"/>
        <v>0.6</v>
      </c>
    </row>
    <row r="3983" spans="1:38" hidden="1" x14ac:dyDescent="0.2">
      <c r="A3983" s="2">
        <v>2026</v>
      </c>
      <c r="B3983" s="2">
        <v>5</v>
      </c>
      <c r="D3983" s="2" t="s">
        <v>2057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4"/>
        <v>0.5</v>
      </c>
      <c r="Z3983" s="2" t="s">
        <v>118</v>
      </c>
      <c r="AA3983" s="2" t="s">
        <v>191</v>
      </c>
      <c r="AF3983" s="2">
        <f t="shared" si="501"/>
        <v>0</v>
      </c>
      <c r="AG3983" s="2">
        <f>W3983</f>
        <v>27.5</v>
      </c>
      <c r="AJ3983" s="2">
        <f t="shared" si="502"/>
        <v>0</v>
      </c>
      <c r="AK3983" s="2">
        <f t="shared" si="499"/>
        <v>27.5</v>
      </c>
      <c r="AL3983" s="5">
        <f t="shared" si="500"/>
        <v>0.5</v>
      </c>
    </row>
    <row r="3984" spans="1:38" hidden="1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4"/>
        <v>0.37321392902323725</v>
      </c>
      <c r="Z3984" s="2" t="s">
        <v>3237</v>
      </c>
      <c r="AA3984" s="2" t="s">
        <v>76</v>
      </c>
      <c r="AB3984" s="2" t="s">
        <v>77</v>
      </c>
      <c r="AC3984" s="2" t="s">
        <v>78</v>
      </c>
      <c r="AF3984" s="2">
        <f t="shared" si="501"/>
        <v>0</v>
      </c>
      <c r="AG3984" s="2">
        <v>125.51600000000001</v>
      </c>
      <c r="AH3984" s="2">
        <v>220</v>
      </c>
      <c r="AJ3984" s="2">
        <f t="shared" si="502"/>
        <v>0</v>
      </c>
      <c r="AK3984" s="2">
        <f t="shared" ref="AK3984:AK4015" si="505">T3984-W3984</f>
        <v>224.21199999999999</v>
      </c>
      <c r="AL3984" s="5">
        <f t="shared" ref="AL3984:AL4015" si="506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4"/>
        <v>0.56271602692377654</v>
      </c>
      <c r="Z3985" s="2" t="s">
        <v>3237</v>
      </c>
      <c r="AA3985" s="2" t="s">
        <v>76</v>
      </c>
      <c r="AB3985" s="2" t="s">
        <v>77</v>
      </c>
      <c r="AC3985" s="2" t="s">
        <v>78</v>
      </c>
      <c r="AF3985" s="2">
        <f t="shared" si="501"/>
        <v>0</v>
      </c>
      <c r="AJ3985" s="2">
        <f t="shared" si="502"/>
        <v>0</v>
      </c>
      <c r="AK3985" s="2">
        <f t="shared" si="505"/>
        <v>123.72999999999999</v>
      </c>
      <c r="AL3985" s="5">
        <f t="shared" si="506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4"/>
        <v>0.47693761814744795</v>
      </c>
      <c r="Z3986" s="2" t="s">
        <v>3237</v>
      </c>
      <c r="AA3986" s="2" t="s">
        <v>76</v>
      </c>
      <c r="AB3986" s="2" t="s">
        <v>77</v>
      </c>
      <c r="AC3986" s="2" t="s">
        <v>78</v>
      </c>
      <c r="AF3986" s="2">
        <f t="shared" si="501"/>
        <v>0</v>
      </c>
      <c r="AG3986" s="2">
        <v>110.68</v>
      </c>
      <c r="AH3986" s="2">
        <v>210</v>
      </c>
      <c r="AJ3986" s="2">
        <f t="shared" si="502"/>
        <v>0</v>
      </c>
      <c r="AK3986" s="2">
        <f t="shared" si="505"/>
        <v>100.91999999999999</v>
      </c>
      <c r="AL3986" s="5">
        <f t="shared" si="506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4"/>
        <v>0</v>
      </c>
      <c r="Z3987" s="2" t="s">
        <v>3237</v>
      </c>
      <c r="AA3987" s="2" t="s">
        <v>97</v>
      </c>
      <c r="AB3987" s="2" t="s">
        <v>77</v>
      </c>
      <c r="AC3987" s="2" t="s">
        <v>94</v>
      </c>
      <c r="AF3987" s="2">
        <f t="shared" si="501"/>
        <v>0</v>
      </c>
      <c r="AJ3987" s="2">
        <f t="shared" si="502"/>
        <v>0</v>
      </c>
      <c r="AK3987" s="2">
        <f t="shared" si="505"/>
        <v>0</v>
      </c>
      <c r="AL3987" s="5">
        <f t="shared" si="506"/>
        <v>0</v>
      </c>
    </row>
    <row r="3988" spans="1:38" hidden="1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2999</v>
      </c>
      <c r="R3988" s="2" t="s">
        <v>3000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4"/>
        <v>0.41106099656357398</v>
      </c>
      <c r="Z3988" s="2" t="s">
        <v>3237</v>
      </c>
      <c r="AA3988" s="2" t="s">
        <v>76</v>
      </c>
      <c r="AB3988" s="2" t="s">
        <v>77</v>
      </c>
      <c r="AC3988" s="2" t="s">
        <v>1041</v>
      </c>
      <c r="AF3988" s="2">
        <f t="shared" si="501"/>
        <v>0</v>
      </c>
      <c r="AJ3988" s="2">
        <f t="shared" si="502"/>
        <v>0</v>
      </c>
      <c r="AK3988" s="2">
        <f t="shared" si="505"/>
        <v>191.39000000000004</v>
      </c>
      <c r="AL3988" s="5">
        <f t="shared" si="506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4"/>
        <v>0.23333333333333334</v>
      </c>
      <c r="Z3989" s="2" t="s">
        <v>170</v>
      </c>
      <c r="AA3989" s="2" t="s">
        <v>170</v>
      </c>
      <c r="AF3989" s="2">
        <f t="shared" si="501"/>
        <v>0</v>
      </c>
      <c r="AJ3989" s="2">
        <f t="shared" si="502"/>
        <v>0</v>
      </c>
      <c r="AK3989" s="2">
        <f t="shared" si="505"/>
        <v>7</v>
      </c>
      <c r="AL3989" s="5">
        <f t="shared" si="506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4"/>
        <v>0</v>
      </c>
      <c r="Z3990" s="2" t="s">
        <v>3237</v>
      </c>
      <c r="AA3990" s="2" t="s">
        <v>97</v>
      </c>
      <c r="AB3990" s="2" t="s">
        <v>77</v>
      </c>
      <c r="AC3990" s="2" t="s">
        <v>94</v>
      </c>
      <c r="AF3990" s="2">
        <f t="shared" si="501"/>
        <v>0</v>
      </c>
      <c r="AJ3990" s="2">
        <f t="shared" si="502"/>
        <v>0</v>
      </c>
      <c r="AK3990" s="2">
        <f t="shared" si="505"/>
        <v>0</v>
      </c>
      <c r="AL3990" s="5">
        <f t="shared" si="506"/>
        <v>0</v>
      </c>
    </row>
    <row r="3991" spans="1:38" hidden="1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4"/>
        <v>0.12471332542506916</v>
      </c>
      <c r="Z3991" s="2" t="s">
        <v>3237</v>
      </c>
      <c r="AA3991" s="2" t="s">
        <v>76</v>
      </c>
      <c r="AB3991" s="2" t="s">
        <v>77</v>
      </c>
      <c r="AC3991" s="2" t="s">
        <v>78</v>
      </c>
      <c r="AF3991" s="2">
        <f t="shared" si="501"/>
        <v>0</v>
      </c>
      <c r="AG3991" s="2">
        <v>110.68</v>
      </c>
      <c r="AH3991" s="2">
        <v>210</v>
      </c>
      <c r="AJ3991" s="2">
        <f t="shared" si="502"/>
        <v>0</v>
      </c>
      <c r="AK3991" s="2">
        <f t="shared" si="505"/>
        <v>31.539999999999992</v>
      </c>
      <c r="AL3991" s="5">
        <f t="shared" si="506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4"/>
        <v>0</v>
      </c>
      <c r="Z3992" s="2" t="s">
        <v>3237</v>
      </c>
      <c r="AA3992" s="2" t="s">
        <v>97</v>
      </c>
      <c r="AB3992" s="2" t="s">
        <v>77</v>
      </c>
      <c r="AC3992" s="2" t="s">
        <v>94</v>
      </c>
      <c r="AF3992" s="2">
        <f t="shared" si="501"/>
        <v>0</v>
      </c>
      <c r="AJ3992" s="2">
        <f t="shared" si="502"/>
        <v>0</v>
      </c>
      <c r="AK3992" s="2">
        <f t="shared" si="505"/>
        <v>0</v>
      </c>
      <c r="AL3992" s="5">
        <f t="shared" si="506"/>
        <v>0</v>
      </c>
    </row>
    <row r="3993" spans="1:38" hidden="1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4"/>
        <v>0.42947272727272723</v>
      </c>
      <c r="Z3993" s="2" t="s">
        <v>3237</v>
      </c>
      <c r="AA3993" s="2" t="s">
        <v>76</v>
      </c>
      <c r="AB3993" s="2" t="s">
        <v>77</v>
      </c>
      <c r="AC3993" s="2" t="s">
        <v>78</v>
      </c>
      <c r="AF3993" s="2">
        <f t="shared" si="501"/>
        <v>0</v>
      </c>
      <c r="AG3993" s="2">
        <v>125.51600000000001</v>
      </c>
      <c r="AH3993" s="2">
        <v>220</v>
      </c>
      <c r="AJ3993" s="2">
        <f t="shared" si="502"/>
        <v>0</v>
      </c>
      <c r="AK3993" s="2">
        <f t="shared" si="505"/>
        <v>94.483999999999995</v>
      </c>
      <c r="AL3993" s="5">
        <f t="shared" si="506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4"/>
        <v>0</v>
      </c>
      <c r="Z3994" s="2" t="s">
        <v>3237</v>
      </c>
      <c r="AA3994" s="2" t="s">
        <v>97</v>
      </c>
      <c r="AB3994" s="2" t="s">
        <v>77</v>
      </c>
      <c r="AC3994" s="2" t="s">
        <v>94</v>
      </c>
      <c r="AF3994" s="2">
        <f t="shared" si="501"/>
        <v>0</v>
      </c>
      <c r="AJ3994" s="2">
        <f t="shared" si="502"/>
        <v>0</v>
      </c>
      <c r="AK3994" s="2">
        <f t="shared" si="505"/>
        <v>0</v>
      </c>
      <c r="AL3994" s="5">
        <f t="shared" si="506"/>
        <v>0</v>
      </c>
    </row>
    <row r="3995" spans="1:38" hidden="1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3001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4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1"/>
        <v>0</v>
      </c>
      <c r="AJ3995" s="2">
        <f t="shared" si="502"/>
        <v>0</v>
      </c>
      <c r="AK3995" s="2">
        <f t="shared" si="505"/>
        <v>9.715799999999998</v>
      </c>
      <c r="AL3995" s="5">
        <f t="shared" si="506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3001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4"/>
        <v>1</v>
      </c>
      <c r="Z3996" s="2" t="s">
        <v>170</v>
      </c>
      <c r="AA3996" s="2" t="s">
        <v>170</v>
      </c>
      <c r="AF3996" s="2">
        <f t="shared" si="501"/>
        <v>0</v>
      </c>
      <c r="AJ3996" s="2">
        <f t="shared" si="502"/>
        <v>0</v>
      </c>
      <c r="AK3996" s="2">
        <f t="shared" si="505"/>
        <v>5</v>
      </c>
      <c r="AL3996" s="5">
        <f t="shared" si="506"/>
        <v>1</v>
      </c>
    </row>
    <row r="3997" spans="1:38" hidden="1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3002</v>
      </c>
      <c r="G3997" s="2">
        <v>517805383</v>
      </c>
      <c r="H3997" s="2" t="s">
        <v>40</v>
      </c>
      <c r="I3997" s="2" t="s">
        <v>100</v>
      </c>
      <c r="J3997" s="2" t="s">
        <v>3003</v>
      </c>
      <c r="K3997" s="2">
        <v>964651239</v>
      </c>
      <c r="L3997" s="2" t="s">
        <v>100</v>
      </c>
      <c r="M3997" s="2" t="s">
        <v>40</v>
      </c>
      <c r="O3997" s="2" t="s">
        <v>3004</v>
      </c>
      <c r="P3997" s="2" t="s">
        <v>283</v>
      </c>
      <c r="Q3997" s="2" t="s">
        <v>3005</v>
      </c>
      <c r="R3997" s="2" t="s">
        <v>3006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4"/>
        <v>0.31578947368421051</v>
      </c>
      <c r="Z3997" s="2" t="s">
        <v>118</v>
      </c>
      <c r="AA3997" s="2" t="s">
        <v>182</v>
      </c>
      <c r="AB3997" s="2" t="s">
        <v>3393</v>
      </c>
      <c r="AC3997" s="2" t="s">
        <v>1331</v>
      </c>
      <c r="AF3997" s="2">
        <f t="shared" si="501"/>
        <v>0</v>
      </c>
      <c r="AG3997" s="2">
        <v>773.5</v>
      </c>
      <c r="AJ3997" s="2">
        <f t="shared" si="502"/>
        <v>0</v>
      </c>
      <c r="AK3997" s="2">
        <f t="shared" si="505"/>
        <v>357</v>
      </c>
      <c r="AL3997" s="5">
        <f t="shared" si="506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3007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3008</v>
      </c>
      <c r="J3998" s="2" t="s">
        <v>3009</v>
      </c>
      <c r="K3998" s="2">
        <v>969030161</v>
      </c>
      <c r="L3998" s="2" t="s">
        <v>3010</v>
      </c>
      <c r="M3998" s="2" t="s">
        <v>40</v>
      </c>
      <c r="O3998" s="2" t="s">
        <v>3011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4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1"/>
        <v>0</v>
      </c>
      <c r="AG3998" s="2">
        <v>343.38</v>
      </c>
      <c r="AJ3998" s="2">
        <f t="shared" si="502"/>
        <v>0</v>
      </c>
      <c r="AK3998" s="2">
        <f t="shared" si="505"/>
        <v>347.23</v>
      </c>
      <c r="AL3998" s="5">
        <f t="shared" si="506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3007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3008</v>
      </c>
      <c r="J3999" s="2" t="s">
        <v>3009</v>
      </c>
      <c r="K3999" s="2">
        <v>969030161</v>
      </c>
      <c r="L3999" s="2" t="s">
        <v>3010</v>
      </c>
      <c r="M3999" s="2" t="s">
        <v>40</v>
      </c>
      <c r="O3999" s="2" t="s">
        <v>3011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4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1"/>
        <v>0</v>
      </c>
      <c r="AG3999" s="2">
        <f>4893.23+171</f>
        <v>5064.2299999999996</v>
      </c>
      <c r="AJ3999" s="2">
        <f t="shared" si="502"/>
        <v>0</v>
      </c>
      <c r="AK3999" s="2">
        <f t="shared" si="505"/>
        <v>1925.7700000000004</v>
      </c>
      <c r="AL3999" s="5">
        <f t="shared" si="506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2342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3012</v>
      </c>
      <c r="L4000" s="2" t="s">
        <v>178</v>
      </c>
      <c r="M4000" s="2" t="s">
        <v>41</v>
      </c>
      <c r="O4000" s="2" t="s">
        <v>3013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4"/>
        <v>0.34034999999999999</v>
      </c>
      <c r="Z4000" s="2" t="s">
        <v>3237</v>
      </c>
      <c r="AA4000" s="2" t="s">
        <v>76</v>
      </c>
      <c r="AB4000" s="2" t="s">
        <v>77</v>
      </c>
      <c r="AC4000" s="2" t="s">
        <v>78</v>
      </c>
      <c r="AF4000" s="2">
        <f t="shared" si="501"/>
        <v>0</v>
      </c>
      <c r="AG4000" s="2">
        <v>131.93</v>
      </c>
      <c r="AH4000" s="2">
        <v>220</v>
      </c>
      <c r="AJ4000" s="2">
        <f t="shared" si="502"/>
        <v>0</v>
      </c>
      <c r="AK4000" s="2">
        <f t="shared" si="505"/>
        <v>68.069999999999993</v>
      </c>
      <c r="AL4000" s="5">
        <f t="shared" si="506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2342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4"/>
        <v>0</v>
      </c>
      <c r="Z4001" s="2" t="s">
        <v>3237</v>
      </c>
      <c r="AA4001" s="2" t="s">
        <v>97</v>
      </c>
      <c r="AB4001" s="2" t="s">
        <v>77</v>
      </c>
      <c r="AC4001" s="2" t="s">
        <v>94</v>
      </c>
      <c r="AF4001" s="2">
        <f t="shared" si="501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3014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3251</v>
      </c>
      <c r="L4002" s="2" t="s">
        <v>113</v>
      </c>
      <c r="M4002" s="2" t="s">
        <v>110</v>
      </c>
      <c r="O4002" s="2" t="s">
        <v>3252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4"/>
        <v>0.45165454545454548</v>
      </c>
      <c r="Z4002" s="2" t="s">
        <v>3237</v>
      </c>
      <c r="AA4002" s="2" t="s">
        <v>76</v>
      </c>
      <c r="AB4002" s="2" t="s">
        <v>77</v>
      </c>
      <c r="AC4002" s="2" t="s">
        <v>78</v>
      </c>
      <c r="AF4002" s="2">
        <f t="shared" si="501"/>
        <v>0</v>
      </c>
      <c r="AG4002" s="2">
        <v>120.636</v>
      </c>
      <c r="AH4002" s="2">
        <v>220</v>
      </c>
      <c r="AJ4002" s="2">
        <f t="shared" si="502"/>
        <v>0</v>
      </c>
      <c r="AK4002" s="2">
        <f t="shared" si="505"/>
        <v>99.364000000000004</v>
      </c>
      <c r="AL4002" s="5">
        <f t="shared" si="506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3014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3251</v>
      </c>
      <c r="L4003" s="2" t="s">
        <v>113</v>
      </c>
      <c r="M4003" s="2" t="s">
        <v>110</v>
      </c>
      <c r="O4003" s="2" t="s">
        <v>3252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4"/>
        <v>0</v>
      </c>
      <c r="Z4003" s="2" t="s">
        <v>3237</v>
      </c>
      <c r="AA4003" s="2" t="s">
        <v>97</v>
      </c>
      <c r="AB4003" s="2" t="s">
        <v>77</v>
      </c>
      <c r="AC4003" s="2" t="s">
        <v>94</v>
      </c>
      <c r="AF4003" s="2">
        <f t="shared" si="501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3015</v>
      </c>
      <c r="P4004" s="2" t="s">
        <v>115</v>
      </c>
      <c r="Q4004" s="2" t="s">
        <v>2219</v>
      </c>
      <c r="R4004" s="2" t="s">
        <v>2220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4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1"/>
        <v>0</v>
      </c>
      <c r="AG4004" s="2">
        <f>78.74+0.63</f>
        <v>79.36999999999999</v>
      </c>
      <c r="AJ4004" s="2">
        <f t="shared" si="502"/>
        <v>0</v>
      </c>
      <c r="AK4004" s="2">
        <f t="shared" si="505"/>
        <v>73.650000000000006</v>
      </c>
      <c r="AL4004" s="5">
        <f t="shared" si="506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4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1"/>
        <v>0</v>
      </c>
      <c r="AG4005" s="2">
        <f>78.74+0.63</f>
        <v>79.36999999999999</v>
      </c>
      <c r="AJ4005" s="2">
        <f t="shared" si="502"/>
        <v>0</v>
      </c>
      <c r="AK4005" s="2">
        <f t="shared" si="505"/>
        <v>9.9999999999994316E-2</v>
      </c>
      <c r="AL4005" s="5">
        <f t="shared" si="506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3016</v>
      </c>
      <c r="R4006" s="2" t="s">
        <v>3017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4"/>
        <v>1</v>
      </c>
      <c r="Z4006" s="2" t="s">
        <v>105</v>
      </c>
      <c r="AA4006" s="2" t="s">
        <v>617</v>
      </c>
      <c r="AB4006" s="2" t="s">
        <v>3018</v>
      </c>
      <c r="AC4006" s="2" t="s">
        <v>115</v>
      </c>
      <c r="AF4006" s="2">
        <f t="shared" si="501"/>
        <v>0</v>
      </c>
      <c r="AJ4006" s="2">
        <f t="shared" si="502"/>
        <v>0</v>
      </c>
      <c r="AK4006" s="2">
        <f t="shared" si="505"/>
        <v>3990</v>
      </c>
      <c r="AL4006" s="5">
        <f t="shared" si="506"/>
        <v>1</v>
      </c>
    </row>
    <row r="4007" spans="1:38" hidden="1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3019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4"/>
        <v>0.47838888888888892</v>
      </c>
      <c r="Z4007" s="2" t="s">
        <v>3237</v>
      </c>
      <c r="AA4007" s="2" t="s">
        <v>46</v>
      </c>
      <c r="AB4007" s="2" t="s">
        <v>61</v>
      </c>
      <c r="AC4007" s="2" t="s">
        <v>58</v>
      </c>
      <c r="AF4007" s="2">
        <f t="shared" si="501"/>
        <v>0</v>
      </c>
      <c r="AG4007" s="2">
        <v>3.7555999999999998</v>
      </c>
      <c r="AH4007" s="2">
        <v>7.2</v>
      </c>
      <c r="AJ4007" s="2">
        <f t="shared" si="502"/>
        <v>0</v>
      </c>
      <c r="AK4007" s="2">
        <f t="shared" si="505"/>
        <v>51.666000000000004</v>
      </c>
      <c r="AL4007" s="5">
        <f t="shared" si="506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4"/>
        <v>0.62926666666666664</v>
      </c>
      <c r="Z4008" s="2" t="s">
        <v>3237</v>
      </c>
      <c r="AA4008" s="2" t="s">
        <v>46</v>
      </c>
      <c r="AB4008" s="2" t="s">
        <v>61</v>
      </c>
      <c r="AC4008" s="2" t="s">
        <v>58</v>
      </c>
      <c r="AF4008" s="2">
        <f t="shared" si="501"/>
        <v>0</v>
      </c>
      <c r="AG4008" s="2">
        <v>1.1122000000000001</v>
      </c>
      <c r="AH4008" s="2">
        <v>3</v>
      </c>
      <c r="AJ4008" s="2">
        <f t="shared" si="502"/>
        <v>0</v>
      </c>
      <c r="AK4008" s="2">
        <f t="shared" si="505"/>
        <v>37.756</v>
      </c>
      <c r="AL4008" s="5">
        <f t="shared" si="506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4"/>
        <v>0.38692653061224486</v>
      </c>
      <c r="Z4009" s="2" t="s">
        <v>3237</v>
      </c>
      <c r="AA4009" s="2" t="s">
        <v>46</v>
      </c>
      <c r="AB4009" s="2" t="s">
        <v>68</v>
      </c>
      <c r="AC4009" s="2" t="s">
        <v>58</v>
      </c>
      <c r="AF4009" s="2">
        <f t="shared" si="501"/>
        <v>0</v>
      </c>
      <c r="AG4009" s="2">
        <v>15.020300000000001</v>
      </c>
      <c r="AH4009" s="2">
        <v>27.6</v>
      </c>
      <c r="AJ4009" s="2">
        <f t="shared" si="502"/>
        <v>0</v>
      </c>
      <c r="AK4009" s="2">
        <f t="shared" si="505"/>
        <v>18.959399999999999</v>
      </c>
      <c r="AL4009" s="5">
        <f t="shared" si="506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3020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4"/>
        <v>0.34714285714285725</v>
      </c>
      <c r="Z4010" s="2" t="s">
        <v>3237</v>
      </c>
      <c r="AA4010" s="2" t="s">
        <v>46</v>
      </c>
      <c r="AB4010" s="2" t="s">
        <v>61</v>
      </c>
      <c r="AC4010" s="2" t="s">
        <v>58</v>
      </c>
      <c r="AF4010" s="2">
        <f t="shared" si="501"/>
        <v>0</v>
      </c>
      <c r="AJ4010" s="2">
        <f t="shared" si="502"/>
        <v>0</v>
      </c>
      <c r="AK4010" s="2">
        <f t="shared" si="505"/>
        <v>4.8600000000000012</v>
      </c>
      <c r="AL4010" s="5">
        <f t="shared" si="506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3020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4"/>
        <v>1</v>
      </c>
      <c r="Z4011" s="2" t="s">
        <v>170</v>
      </c>
      <c r="AA4011" s="2" t="s">
        <v>170</v>
      </c>
      <c r="AF4011" s="2">
        <f t="shared" si="501"/>
        <v>0</v>
      </c>
      <c r="AJ4011" s="2">
        <f t="shared" si="502"/>
        <v>0</v>
      </c>
      <c r="AK4011" s="2">
        <f t="shared" si="505"/>
        <v>5</v>
      </c>
      <c r="AL4011" s="5">
        <f t="shared" si="506"/>
        <v>1</v>
      </c>
    </row>
    <row r="4012" spans="1:38" hidden="1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4"/>
        <v>0.31428571428571428</v>
      </c>
      <c r="Z4012" s="2" t="s">
        <v>3237</v>
      </c>
      <c r="AA4012" s="2" t="s">
        <v>46</v>
      </c>
      <c r="AB4012" s="2" t="s">
        <v>47</v>
      </c>
      <c r="AC4012" s="2" t="s">
        <v>48</v>
      </c>
      <c r="AF4012" s="2">
        <f t="shared" si="501"/>
        <v>0</v>
      </c>
      <c r="AG4012" s="2">
        <v>14.4</v>
      </c>
      <c r="AH4012" s="2">
        <v>21</v>
      </c>
      <c r="AJ4012" s="2">
        <f t="shared" si="502"/>
        <v>0</v>
      </c>
      <c r="AK4012" s="2">
        <f t="shared" si="505"/>
        <v>6.6</v>
      </c>
      <c r="AL4012" s="5">
        <f t="shared" si="506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4"/>
        <v>0.25454545454545452</v>
      </c>
      <c r="Z4013" s="2" t="s">
        <v>3237</v>
      </c>
      <c r="AA4013" s="2" t="s">
        <v>46</v>
      </c>
      <c r="AB4013" s="2" t="s">
        <v>61</v>
      </c>
      <c r="AC4013" s="2" t="s">
        <v>58</v>
      </c>
      <c r="AF4013" s="2">
        <f t="shared" si="501"/>
        <v>0</v>
      </c>
      <c r="AG4013" s="2">
        <v>8.1999999999999993</v>
      </c>
      <c r="AH4013" s="2">
        <v>13</v>
      </c>
      <c r="AJ4013" s="2">
        <f t="shared" si="502"/>
        <v>0</v>
      </c>
      <c r="AK4013" s="2">
        <f t="shared" si="505"/>
        <v>28</v>
      </c>
      <c r="AL4013" s="5">
        <f t="shared" si="506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4"/>
        <v>1</v>
      </c>
      <c r="Z4014" s="2" t="s">
        <v>3237</v>
      </c>
      <c r="AA4014" s="2" t="s">
        <v>88</v>
      </c>
      <c r="AB4014" s="2" t="s">
        <v>61</v>
      </c>
      <c r="AC4014" s="2" t="s">
        <v>85</v>
      </c>
      <c r="AF4014" s="2">
        <f t="shared" si="501"/>
        <v>0</v>
      </c>
      <c r="AJ4014" s="2">
        <f t="shared" si="502"/>
        <v>0</v>
      </c>
      <c r="AK4014" s="2">
        <f t="shared" si="505"/>
        <v>10.15</v>
      </c>
      <c r="AL4014" s="5">
        <f t="shared" si="506"/>
        <v>1</v>
      </c>
    </row>
    <row r="4015" spans="1:38" hidden="1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4"/>
        <v>0.6</v>
      </c>
      <c r="Z4015" s="2" t="s">
        <v>118</v>
      </c>
      <c r="AA4015" s="2" t="s">
        <v>191</v>
      </c>
      <c r="AF4015" s="2">
        <f t="shared" si="501"/>
        <v>0</v>
      </c>
      <c r="AG4015" s="2">
        <f>W4015</f>
        <v>30.400000000000002</v>
      </c>
      <c r="AJ4015" s="2">
        <f t="shared" si="502"/>
        <v>0</v>
      </c>
      <c r="AK4015" s="2">
        <f t="shared" si="505"/>
        <v>45.599999999999994</v>
      </c>
      <c r="AL4015" s="5">
        <f t="shared" si="506"/>
        <v>0.6</v>
      </c>
    </row>
    <row r="4016" spans="1:38" hidden="1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4"/>
        <v>0.5</v>
      </c>
      <c r="Z4016" s="2" t="s">
        <v>118</v>
      </c>
      <c r="AA4016" s="2" t="s">
        <v>191</v>
      </c>
      <c r="AF4016" s="2">
        <f t="shared" si="501"/>
        <v>0</v>
      </c>
      <c r="AG4016" s="2">
        <f>W4016</f>
        <v>27.5</v>
      </c>
      <c r="AJ4016" s="2">
        <f t="shared" si="502"/>
        <v>0</v>
      </c>
      <c r="AK4016" s="2">
        <f t="shared" ref="AK4016:AK4044" si="507">T4016-W4016</f>
        <v>27.5</v>
      </c>
      <c r="AL4016" s="5">
        <f t="shared" ref="AL4016:AL4044" si="508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4"/>
        <v>1</v>
      </c>
      <c r="Z4017" s="2" t="s">
        <v>120</v>
      </c>
      <c r="AA4017" s="2" t="s">
        <v>3392</v>
      </c>
      <c r="AF4017" s="2">
        <f t="shared" si="501"/>
        <v>0</v>
      </c>
      <c r="AJ4017" s="2">
        <f t="shared" si="502"/>
        <v>0</v>
      </c>
      <c r="AK4017" s="2">
        <f t="shared" si="507"/>
        <v>5.99</v>
      </c>
      <c r="AL4017" s="5">
        <f t="shared" si="508"/>
        <v>1</v>
      </c>
    </row>
    <row r="4018" spans="1:38" hidden="1" x14ac:dyDescent="0.2">
      <c r="A4018" s="2">
        <v>2026</v>
      </c>
      <c r="B4018" s="2">
        <v>5</v>
      </c>
      <c r="D4018" s="2" t="s">
        <v>1748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1749</v>
      </c>
      <c r="K4018" s="2">
        <v>968602188</v>
      </c>
      <c r="L4018" s="2" t="s">
        <v>462</v>
      </c>
      <c r="M4018" s="2" t="s">
        <v>40</v>
      </c>
      <c r="O4018" s="2" t="s">
        <v>3021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4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1"/>
        <v>0</v>
      </c>
      <c r="AG4018" s="2">
        <v>343.38</v>
      </c>
      <c r="AJ4018" s="2">
        <f t="shared" si="502"/>
        <v>0</v>
      </c>
      <c r="AK4018" s="2">
        <f t="shared" si="507"/>
        <v>355.91999999999996</v>
      </c>
      <c r="AL4018" s="5">
        <f t="shared" si="508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1748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1749</v>
      </c>
      <c r="K4019" s="2">
        <v>968602188</v>
      </c>
      <c r="L4019" s="2" t="s">
        <v>462</v>
      </c>
      <c r="M4019" s="2" t="s">
        <v>40</v>
      </c>
      <c r="O4019" s="2" t="s">
        <v>3021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4"/>
        <v>0.6</v>
      </c>
      <c r="Z4019" s="2" t="s">
        <v>118</v>
      </c>
      <c r="AA4019" s="2" t="s">
        <v>191</v>
      </c>
      <c r="AF4019" s="2">
        <f t="shared" si="501"/>
        <v>0</v>
      </c>
      <c r="AG4019" s="2">
        <f>W4019</f>
        <v>90</v>
      </c>
      <c r="AJ4019" s="2">
        <f t="shared" si="502"/>
        <v>0</v>
      </c>
      <c r="AK4019" s="2">
        <f t="shared" si="507"/>
        <v>135</v>
      </c>
      <c r="AL4019" s="5">
        <f t="shared" si="508"/>
        <v>0.6</v>
      </c>
    </row>
    <row r="4020" spans="1:38" hidden="1" x14ac:dyDescent="0.2">
      <c r="A4020" s="2">
        <v>2026</v>
      </c>
      <c r="B4020" s="2">
        <v>5</v>
      </c>
      <c r="D4020" s="2" t="s">
        <v>1748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1749</v>
      </c>
      <c r="K4020" s="2">
        <v>968602188</v>
      </c>
      <c r="L4020" s="2" t="s">
        <v>462</v>
      </c>
      <c r="M4020" s="2" t="s">
        <v>40</v>
      </c>
      <c r="O4020" s="2" t="s">
        <v>3021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501"/>
        <v>0</v>
      </c>
      <c r="AG4020" s="2">
        <f>W4020</f>
        <v>0</v>
      </c>
      <c r="AJ4020" s="2">
        <f t="shared" si="502"/>
        <v>0</v>
      </c>
      <c r="AK4020" s="2">
        <f t="shared" si="507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3022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9">(T4021-W4021)/T4021</f>
        <v>0.46676190476190477</v>
      </c>
      <c r="Z4021" s="2" t="s">
        <v>3237</v>
      </c>
      <c r="AA4021" s="2" t="s">
        <v>76</v>
      </c>
      <c r="AB4021" s="2" t="s">
        <v>77</v>
      </c>
      <c r="AC4021" s="2" t="s">
        <v>78</v>
      </c>
      <c r="AF4021" s="2">
        <f t="shared" si="501"/>
        <v>0</v>
      </c>
      <c r="AG4021" s="2">
        <v>111.98</v>
      </c>
      <c r="AH4021" s="2">
        <v>210</v>
      </c>
      <c r="AJ4021" s="2">
        <f t="shared" si="502"/>
        <v>0</v>
      </c>
      <c r="AK4021" s="2">
        <f t="shared" si="507"/>
        <v>98.02</v>
      </c>
      <c r="AL4021" s="5">
        <f t="shared" si="508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3022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9"/>
        <v>0</v>
      </c>
      <c r="Z4022" s="2" t="s">
        <v>3237</v>
      </c>
      <c r="AA4022" s="2" t="s">
        <v>97</v>
      </c>
      <c r="AB4022" s="2" t="s">
        <v>77</v>
      </c>
      <c r="AC4022" s="2" t="s">
        <v>94</v>
      </c>
      <c r="AF4022" s="2">
        <f t="shared" si="501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7"/>
        <v>0</v>
      </c>
      <c r="AL4022" s="5">
        <f t="shared" si="508"/>
        <v>0</v>
      </c>
    </row>
    <row r="4023" spans="1:38" hidden="1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09"/>
        <v>0.71491228070175439</v>
      </c>
      <c r="Z4023" s="2" t="s">
        <v>3237</v>
      </c>
      <c r="AA4023" s="2" t="s">
        <v>46</v>
      </c>
      <c r="AB4023" s="2" t="s">
        <v>47</v>
      </c>
      <c r="AC4023" s="2" t="s">
        <v>48</v>
      </c>
      <c r="AF4023" s="2">
        <f t="shared" si="501"/>
        <v>0</v>
      </c>
      <c r="AJ4023" s="2">
        <f t="shared" si="502"/>
        <v>0</v>
      </c>
      <c r="AK4023" s="2">
        <f t="shared" si="507"/>
        <v>48.900000000000006</v>
      </c>
      <c r="AL4023" s="5">
        <f t="shared" si="508"/>
        <v>0.71491228070175439</v>
      </c>
    </row>
    <row r="4024" spans="1:38" hidden="1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9"/>
        <v>0.58491111111111116</v>
      </c>
      <c r="Z4024" s="2" t="s">
        <v>3237</v>
      </c>
      <c r="AA4024" s="2" t="s">
        <v>46</v>
      </c>
      <c r="AB4024" s="2" t="s">
        <v>47</v>
      </c>
      <c r="AC4024" s="2" t="s">
        <v>48</v>
      </c>
      <c r="AF4024" s="2">
        <f t="shared" si="501"/>
        <v>0</v>
      </c>
      <c r="AG4024" s="2">
        <v>3.7357999999999998</v>
      </c>
      <c r="AH4024" s="2">
        <v>9</v>
      </c>
      <c r="AJ4024" s="2">
        <f t="shared" si="502"/>
        <v>0</v>
      </c>
      <c r="AK4024" s="2">
        <f t="shared" si="507"/>
        <v>10.528400000000001</v>
      </c>
      <c r="AL4024" s="5">
        <f t="shared" si="508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9"/>
        <v>0.26896551724137929</v>
      </c>
      <c r="Z4025" s="2" t="s">
        <v>3237</v>
      </c>
      <c r="AA4025" s="2" t="s">
        <v>46</v>
      </c>
      <c r="AB4025" s="2" t="s">
        <v>57</v>
      </c>
      <c r="AC4025" s="2" t="s">
        <v>58</v>
      </c>
      <c r="AF4025" s="2">
        <f t="shared" si="501"/>
        <v>0</v>
      </c>
      <c r="AG4025" s="2">
        <v>10.6</v>
      </c>
      <c r="AH4025" s="2">
        <v>18</v>
      </c>
      <c r="AJ4025" s="2">
        <f t="shared" si="502"/>
        <v>0</v>
      </c>
      <c r="AK4025" s="2">
        <f t="shared" si="507"/>
        <v>39</v>
      </c>
      <c r="AL4025" s="5">
        <f t="shared" si="508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3023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9"/>
        <v>0.29692307692307696</v>
      </c>
      <c r="Z4026" s="2" t="s">
        <v>3237</v>
      </c>
      <c r="AA4026" s="2" t="s">
        <v>46</v>
      </c>
      <c r="AB4026" s="2" t="s">
        <v>61</v>
      </c>
      <c r="AC4026" s="2" t="s">
        <v>58</v>
      </c>
      <c r="AF4026" s="2">
        <f t="shared" si="501"/>
        <v>0</v>
      </c>
      <c r="AG4026" s="2">
        <v>9.14</v>
      </c>
      <c r="AH4026" s="2">
        <v>16</v>
      </c>
      <c r="AJ4026" s="2">
        <f t="shared" si="502"/>
        <v>0</v>
      </c>
      <c r="AK4026" s="2">
        <f t="shared" si="507"/>
        <v>11.580000000000002</v>
      </c>
      <c r="AL4026" s="5">
        <f t="shared" si="508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9"/>
        <v>0.3692307692307692</v>
      </c>
      <c r="Z4027" s="2" t="s">
        <v>3237</v>
      </c>
      <c r="AA4027" s="2" t="s">
        <v>46</v>
      </c>
      <c r="AB4027" s="2" t="s">
        <v>61</v>
      </c>
      <c r="AC4027" s="2" t="s">
        <v>58</v>
      </c>
      <c r="AF4027" s="2">
        <f t="shared" si="501"/>
        <v>0</v>
      </c>
      <c r="AG4027" s="2">
        <v>8.1999999999999993</v>
      </c>
      <c r="AH4027" s="2">
        <v>13</v>
      </c>
      <c r="AJ4027" s="2">
        <f t="shared" si="502"/>
        <v>0</v>
      </c>
      <c r="AK4027" s="2">
        <f t="shared" si="507"/>
        <v>14.399999999999999</v>
      </c>
      <c r="AL4027" s="5">
        <f t="shared" si="508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3024</v>
      </c>
      <c r="P4028" s="2" t="s">
        <v>43</v>
      </c>
      <c r="Q4028" s="2" t="s">
        <v>3025</v>
      </c>
      <c r="R4028" s="2" t="s">
        <v>3026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9"/>
        <v>0.62374999999999992</v>
      </c>
      <c r="Z4028" s="2" t="s">
        <v>3237</v>
      </c>
      <c r="AA4028" s="2" t="s">
        <v>46</v>
      </c>
      <c r="AB4028" s="2" t="s">
        <v>61</v>
      </c>
      <c r="AC4028" s="2" t="s">
        <v>58</v>
      </c>
      <c r="AF4028" s="2">
        <f t="shared" si="501"/>
        <v>0</v>
      </c>
      <c r="AG4028" s="2">
        <v>0.90300000000000002</v>
      </c>
      <c r="AH4028" s="2">
        <v>2.4</v>
      </c>
      <c r="AJ4028" s="2">
        <f t="shared" si="502"/>
        <v>0</v>
      </c>
      <c r="AK4028" s="2">
        <f t="shared" si="507"/>
        <v>17.963999999999999</v>
      </c>
      <c r="AL4028" s="5">
        <f t="shared" si="508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3024</v>
      </c>
      <c r="P4029" s="2" t="s">
        <v>43</v>
      </c>
      <c r="Q4029" s="2" t="s">
        <v>3027</v>
      </c>
      <c r="R4029" s="2" t="s">
        <v>3028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9"/>
        <v>0.62416666666666665</v>
      </c>
      <c r="Z4029" s="2" t="s">
        <v>3237</v>
      </c>
      <c r="AA4029" s="2" t="s">
        <v>46</v>
      </c>
      <c r="AB4029" s="2" t="s">
        <v>61</v>
      </c>
      <c r="AC4029" s="2" t="s">
        <v>58</v>
      </c>
      <c r="AF4029" s="2">
        <f t="shared" si="501"/>
        <v>0</v>
      </c>
      <c r="AG4029" s="2">
        <v>0.90200000000000002</v>
      </c>
      <c r="AH4029" s="2">
        <v>2.8</v>
      </c>
      <c r="AJ4029" s="2">
        <f t="shared" si="502"/>
        <v>0</v>
      </c>
      <c r="AK4029" s="2">
        <f t="shared" si="507"/>
        <v>17.975999999999999</v>
      </c>
      <c r="AL4029" s="5">
        <f t="shared" si="508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3029</v>
      </c>
      <c r="P4030" s="2" t="s">
        <v>115</v>
      </c>
      <c r="Q4030" s="2" t="s">
        <v>3030</v>
      </c>
      <c r="R4030" s="2" t="s">
        <v>3031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9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1"/>
        <v>0</v>
      </c>
      <c r="AG4030" s="2">
        <f>104.4+1.77</f>
        <v>106.17</v>
      </c>
      <c r="AJ4030" s="2">
        <f t="shared" si="502"/>
        <v>0</v>
      </c>
      <c r="AK4030" s="2">
        <f t="shared" si="507"/>
        <v>139.08000000000001</v>
      </c>
      <c r="AL4030" s="5">
        <f t="shared" si="508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3032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9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1"/>
        <v>0</v>
      </c>
      <c r="AG4031" s="2">
        <v>342.22</v>
      </c>
      <c r="AJ4031" s="2">
        <f t="shared" si="502"/>
        <v>0</v>
      </c>
      <c r="AK4031" s="2">
        <f t="shared" si="507"/>
        <v>120.4966</v>
      </c>
      <c r="AL4031" s="5">
        <f t="shared" si="508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3033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9"/>
        <v>0.42947272727272723</v>
      </c>
      <c r="Z4032" s="2" t="s">
        <v>3237</v>
      </c>
      <c r="AA4032" s="2" t="s">
        <v>76</v>
      </c>
      <c r="AB4032" s="2" t="s">
        <v>77</v>
      </c>
      <c r="AC4032" s="2" t="s">
        <v>78</v>
      </c>
      <c r="AF4032" s="2">
        <f t="shared" si="501"/>
        <v>0</v>
      </c>
      <c r="AG4032" s="2">
        <v>125.51600000000001</v>
      </c>
      <c r="AH4032" s="2">
        <v>220</v>
      </c>
      <c r="AJ4032" s="2">
        <f t="shared" si="502"/>
        <v>0</v>
      </c>
      <c r="AK4032" s="2">
        <f t="shared" si="507"/>
        <v>94.483999999999995</v>
      </c>
      <c r="AL4032" s="5">
        <f t="shared" si="508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3033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9"/>
        <v>0</v>
      </c>
      <c r="Z4033" s="2" t="s">
        <v>3237</v>
      </c>
      <c r="AA4033" s="2" t="s">
        <v>97</v>
      </c>
      <c r="AB4033" s="2" t="s">
        <v>77</v>
      </c>
      <c r="AC4033" s="2" t="s">
        <v>94</v>
      </c>
      <c r="AF4033" s="2">
        <f t="shared" si="501"/>
        <v>0</v>
      </c>
      <c r="AJ4033" s="2">
        <f>AI4033*T4033</f>
        <v>0</v>
      </c>
      <c r="AK4033" s="2">
        <f t="shared" si="507"/>
        <v>0</v>
      </c>
      <c r="AL4033" s="5">
        <f t="shared" si="508"/>
        <v>0</v>
      </c>
    </row>
    <row r="4034" spans="1:38" hidden="1" x14ac:dyDescent="0.2">
      <c r="A4034" s="2">
        <v>2026</v>
      </c>
      <c r="B4034" s="2">
        <v>5</v>
      </c>
      <c r="D4034" s="2" t="s">
        <v>3034</v>
      </c>
      <c r="M4034" s="2" t="s">
        <v>40</v>
      </c>
      <c r="O4034" s="2" t="s">
        <v>3035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9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1"/>
        <v>0</v>
      </c>
      <c r="AJ4034" s="2">
        <f t="shared" si="502"/>
        <v>0</v>
      </c>
      <c r="AK4034" s="2">
        <f t="shared" si="507"/>
        <v>352.72999999999996</v>
      </c>
      <c r="AL4034" s="5">
        <f t="shared" si="508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3034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9"/>
        <v>0.6</v>
      </c>
      <c r="Z4035" s="2" t="s">
        <v>118</v>
      </c>
      <c r="AA4035" s="2" t="s">
        <v>191</v>
      </c>
      <c r="AF4035" s="2">
        <f t="shared" ref="AF4035:AF4042" si="510">AJ4035</f>
        <v>0</v>
      </c>
      <c r="AG4035" s="2">
        <f>W4035</f>
        <v>70</v>
      </c>
      <c r="AJ4035" s="2">
        <f t="shared" ref="AJ4035:AJ4044" si="511">AI4035*T4035</f>
        <v>0</v>
      </c>
      <c r="AK4035" s="2">
        <f t="shared" si="507"/>
        <v>105</v>
      </c>
      <c r="AL4035" s="5">
        <f t="shared" si="508"/>
        <v>0.6</v>
      </c>
    </row>
    <row r="4036" spans="1:38" hidden="1" x14ac:dyDescent="0.2">
      <c r="A4036" s="2">
        <v>2026</v>
      </c>
      <c r="B4036" s="2">
        <v>5</v>
      </c>
      <c r="D4036" s="2" t="s">
        <v>3034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9"/>
        <v>0.5</v>
      </c>
      <c r="Z4036" s="2" t="s">
        <v>118</v>
      </c>
      <c r="AA4036" s="2" t="s">
        <v>191</v>
      </c>
      <c r="AF4036" s="2">
        <f t="shared" si="510"/>
        <v>0</v>
      </c>
      <c r="AG4036" s="2">
        <f>W4036</f>
        <v>110</v>
      </c>
      <c r="AJ4036" s="2">
        <f t="shared" si="511"/>
        <v>0</v>
      </c>
      <c r="AK4036" s="2">
        <f t="shared" si="507"/>
        <v>110</v>
      </c>
      <c r="AL4036" s="5">
        <f t="shared" si="508"/>
        <v>0.5</v>
      </c>
    </row>
    <row r="4037" spans="1:38" hidden="1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3036</v>
      </c>
      <c r="P4037" s="2" t="s">
        <v>73</v>
      </c>
      <c r="Q4037" s="2" t="s">
        <v>3037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9"/>
        <v>0.39445595854922277</v>
      </c>
      <c r="Z4037" s="2" t="s">
        <v>3237</v>
      </c>
      <c r="AA4037" s="2" t="s">
        <v>76</v>
      </c>
      <c r="AB4037" s="2" t="s">
        <v>77</v>
      </c>
      <c r="AC4037" s="2" t="s">
        <v>78</v>
      </c>
      <c r="AF4037" s="2">
        <f t="shared" si="510"/>
        <v>0</v>
      </c>
      <c r="AG4037" s="2">
        <v>125.51600000000001</v>
      </c>
      <c r="AH4037" s="2">
        <v>220</v>
      </c>
      <c r="AJ4037" s="2">
        <f t="shared" si="511"/>
        <v>0</v>
      </c>
      <c r="AK4037" s="2">
        <f t="shared" si="507"/>
        <v>76.13</v>
      </c>
      <c r="AL4037" s="5">
        <f t="shared" si="508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9"/>
        <v>0.49690909090909086</v>
      </c>
      <c r="Z4038" s="2" t="s">
        <v>3237</v>
      </c>
      <c r="AA4038" s="2" t="s">
        <v>76</v>
      </c>
      <c r="AB4038" s="2" t="s">
        <v>77</v>
      </c>
      <c r="AC4038" s="2" t="s">
        <v>78</v>
      </c>
      <c r="AF4038" s="2">
        <f t="shared" si="510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3038</v>
      </c>
      <c r="R4039" s="2" t="s">
        <v>3039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9"/>
        <v>0.45881818181818179</v>
      </c>
      <c r="Z4039" s="2" t="s">
        <v>3237</v>
      </c>
      <c r="AA4039" s="2" t="s">
        <v>76</v>
      </c>
      <c r="AB4039" s="2" t="s">
        <v>77</v>
      </c>
      <c r="AC4039" s="2" t="s">
        <v>1041</v>
      </c>
      <c r="AF4039" s="2">
        <f t="shared" si="510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9"/>
        <v>2.000401846171453E-16</v>
      </c>
      <c r="Z4040" s="2" t="s">
        <v>3237</v>
      </c>
      <c r="AA4040" s="2" t="s">
        <v>97</v>
      </c>
      <c r="AB4040" s="2" t="s">
        <v>77</v>
      </c>
      <c r="AC4040" s="2" t="s">
        <v>94</v>
      </c>
      <c r="AF4040" s="2">
        <f t="shared" si="510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2372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2373</v>
      </c>
      <c r="J4041" s="2" t="s">
        <v>2374</v>
      </c>
      <c r="K4041" s="2">
        <v>963062174</v>
      </c>
      <c r="L4041" s="2" t="s">
        <v>419</v>
      </c>
      <c r="M4041" s="2" t="s">
        <v>41</v>
      </c>
      <c r="O4041" s="2" t="s">
        <v>3040</v>
      </c>
      <c r="P4041" s="2" t="s">
        <v>283</v>
      </c>
      <c r="Q4041" s="2" t="s">
        <v>3041</v>
      </c>
      <c r="R4041" s="2" t="s">
        <v>3042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9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0"/>
        <v>0</v>
      </c>
      <c r="AG4041" s="2">
        <v>285</v>
      </c>
      <c r="AJ4041" s="2">
        <f t="shared" si="511"/>
        <v>0</v>
      </c>
      <c r="AK4041" s="2">
        <f t="shared" si="507"/>
        <v>-45</v>
      </c>
      <c r="AL4041" s="5">
        <f t="shared" si="508"/>
        <v>-0.1875</v>
      </c>
    </row>
    <row r="4042" spans="1:38" hidden="1" x14ac:dyDescent="0.2">
      <c r="A4042" s="2">
        <v>2026</v>
      </c>
      <c r="B4042" s="2">
        <v>5</v>
      </c>
      <c r="D4042" s="2" t="s">
        <v>2372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2373</v>
      </c>
      <c r="J4042" s="2" t="s">
        <v>2374</v>
      </c>
      <c r="K4042" s="2">
        <v>963062174</v>
      </c>
      <c r="L4042" s="2" t="s">
        <v>419</v>
      </c>
      <c r="M4042" s="2" t="s">
        <v>41</v>
      </c>
      <c r="O4042" s="2" t="s">
        <v>3040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9"/>
        <v>0.37647058823529411</v>
      </c>
      <c r="Z4042" s="2" t="s">
        <v>3237</v>
      </c>
      <c r="AA4042" s="2" t="s">
        <v>46</v>
      </c>
      <c r="AB4042" s="2" t="s">
        <v>57</v>
      </c>
      <c r="AC4042" s="2" t="s">
        <v>58</v>
      </c>
      <c r="AF4042" s="2">
        <f t="shared" si="510"/>
        <v>0</v>
      </c>
      <c r="AG4042" s="2">
        <v>10.6</v>
      </c>
      <c r="AH4042" s="2">
        <v>18</v>
      </c>
      <c r="AJ4042" s="2">
        <f t="shared" si="511"/>
        <v>0</v>
      </c>
      <c r="AK4042" s="2">
        <f t="shared" si="507"/>
        <v>25.6</v>
      </c>
      <c r="AL4042" s="5">
        <f t="shared" si="508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3043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9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1"/>
        <v>0</v>
      </c>
      <c r="AK4043" s="2">
        <f t="shared" si="507"/>
        <v>425.77000000000044</v>
      </c>
      <c r="AL4043" s="5">
        <f t="shared" si="508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3044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9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11"/>
        <v>0</v>
      </c>
      <c r="AK4044" s="2">
        <f t="shared" si="507"/>
        <v>43.8</v>
      </c>
      <c r="AL4044" s="5">
        <f t="shared" si="508"/>
        <v>0.6</v>
      </c>
    </row>
    <row r="4045" spans="1:38" hidden="1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3044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9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9"/>
        <v>0.41211538461538466</v>
      </c>
      <c r="Z4046" s="2" t="s">
        <v>3237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9"/>
        <v>0</v>
      </c>
      <c r="Z4047" s="2" t="s">
        <v>3237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2488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2">T4050*23%</f>
        <v>28.75</v>
      </c>
      <c r="V4050" s="2">
        <f t="shared" ref="V4050:V4064" si="513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2"/>
        <v>25.3</v>
      </c>
      <c r="V4051" s="2">
        <f t="shared" si="513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2"/>
        <v>4.1400000000000006</v>
      </c>
      <c r="V4052" s="10">
        <f t="shared" si="513"/>
        <v>22.14</v>
      </c>
      <c r="X4052" s="5">
        <f>(T4052-W4052)/T4052</f>
        <v>1</v>
      </c>
      <c r="Z4052" s="2" t="s">
        <v>3237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2"/>
        <v>2.99</v>
      </c>
      <c r="V4053" s="10">
        <f t="shared" si="513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3237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4">T4053-W4053</f>
        <v>4.7999999999999989</v>
      </c>
      <c r="AL4053" s="5">
        <f t="shared" ref="AL4053" si="515">(T4053-W4053)/T4053</f>
        <v>0.36923076923076914</v>
      </c>
    </row>
    <row r="4054" spans="1:38" hidden="1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2"/>
        <v>4.6000000000000005</v>
      </c>
      <c r="V4054" s="10">
        <f t="shared" si="513"/>
        <v>24.6</v>
      </c>
      <c r="X4054" s="5">
        <f>(T4054-W4054)/T4054</f>
        <v>1</v>
      </c>
      <c r="Z4054" s="2" t="s">
        <v>3237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3110</v>
      </c>
      <c r="P4055" s="2" t="s">
        <v>1041</v>
      </c>
      <c r="Q4055" s="2" t="s">
        <v>3045</v>
      </c>
      <c r="R4055" s="2" t="s">
        <v>3046</v>
      </c>
      <c r="S4055" s="9">
        <v>1</v>
      </c>
      <c r="T4055" s="10">
        <v>280</v>
      </c>
      <c r="U4055" s="2">
        <f t="shared" si="512"/>
        <v>64.400000000000006</v>
      </c>
      <c r="V4055" s="2">
        <f t="shared" si="513"/>
        <v>344.4</v>
      </c>
      <c r="W4055" s="2">
        <v>153.4</v>
      </c>
      <c r="X4055" s="5">
        <f t="shared" ref="X4055:X4060" si="516">(T4055-W4055)/T4055</f>
        <v>0.45214285714285712</v>
      </c>
      <c r="Z4055" s="2" t="s">
        <v>3237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3110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2"/>
        <v>0.34040000000000004</v>
      </c>
      <c r="V4056" s="10">
        <f t="shared" si="513"/>
        <v>1.8204</v>
      </c>
      <c r="W4056" s="2">
        <f>1.48*S4056</f>
        <v>1.48</v>
      </c>
      <c r="X4056" s="5">
        <f t="shared" si="516"/>
        <v>0</v>
      </c>
      <c r="Z4056" s="2" t="s">
        <v>3237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2"/>
        <v>4.83</v>
      </c>
      <c r="V4057" s="10">
        <f t="shared" si="513"/>
        <v>25.83</v>
      </c>
      <c r="X4057" s="5">
        <f t="shared" si="516"/>
        <v>1</v>
      </c>
      <c r="Z4057" s="2" t="s">
        <v>3237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hidden="1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2"/>
        <v>6.9</v>
      </c>
      <c r="V4058" s="10">
        <f t="shared" si="513"/>
        <v>36.9</v>
      </c>
      <c r="X4058" s="5">
        <f t="shared" si="516"/>
        <v>1</v>
      </c>
      <c r="Z4058" s="2" t="s">
        <v>3237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hidden="1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2"/>
        <v>4.5540000000000003</v>
      </c>
      <c r="V4059" s="10">
        <f t="shared" si="513"/>
        <v>24.353999999999999</v>
      </c>
      <c r="X4059" s="5">
        <f t="shared" si="516"/>
        <v>1</v>
      </c>
      <c r="Z4059" s="2" t="s">
        <v>3237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hidden="1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2"/>
        <v>8.2800000000000011</v>
      </c>
      <c r="V4060" s="10">
        <f t="shared" si="513"/>
        <v>44.28</v>
      </c>
      <c r="X4060" s="5">
        <f t="shared" si="516"/>
        <v>1</v>
      </c>
      <c r="Z4060" s="2" t="s">
        <v>3237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2"/>
        <v>50.6</v>
      </c>
      <c r="V4061" s="10">
        <f t="shared" si="513"/>
        <v>270.60000000000002</v>
      </c>
      <c r="W4061" s="2">
        <v>131.93</v>
      </c>
      <c r="X4061" s="5">
        <f>(T4061-W4061)/T4061</f>
        <v>0.4003181818181818</v>
      </c>
      <c r="Z4061" s="2" t="s">
        <v>3237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2"/>
        <v>0.34040000000000004</v>
      </c>
      <c r="V4062" s="10">
        <f t="shared" si="513"/>
        <v>1.8204</v>
      </c>
      <c r="W4062" s="2">
        <f>1.48*S4062</f>
        <v>1.48</v>
      </c>
      <c r="X4062" s="5">
        <f>(T4062-W4062)/T4062</f>
        <v>0</v>
      </c>
      <c r="Z4062" s="2" t="s">
        <v>3237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2"/>
        <v>13.8</v>
      </c>
      <c r="V4063" s="2">
        <f t="shared" si="513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2"/>
        <v>12.65</v>
      </c>
      <c r="V4064" s="2">
        <f t="shared" si="513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7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1985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7"/>
        <v>0.25</v>
      </c>
      <c r="Z4066" s="2" t="s">
        <v>3237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8">T4067*23%</f>
        <v>26.68</v>
      </c>
      <c r="V4067" s="10">
        <f t="shared" ref="V4067:V4072" si="519">T4067+U4067</f>
        <v>142.68</v>
      </c>
      <c r="X4067" s="5">
        <f t="shared" ref="X4067:X4072" si="520">(T4067-W4067)/T4067</f>
        <v>1</v>
      </c>
      <c r="Z4067" s="2" t="s">
        <v>3237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3273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2654</v>
      </c>
      <c r="L4068" s="2" t="s">
        <v>340</v>
      </c>
      <c r="M4068" s="2" t="s">
        <v>291</v>
      </c>
      <c r="O4068" s="2" t="s">
        <v>3272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8"/>
        <v>4577</v>
      </c>
      <c r="V4068" s="2">
        <f t="shared" si="519"/>
        <v>24477</v>
      </c>
      <c r="W4068" s="2">
        <f>10699.41+285.74</f>
        <v>10985.15</v>
      </c>
      <c r="X4068" s="5">
        <f t="shared" si="520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3269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2654</v>
      </c>
      <c r="L4069" s="2" t="s">
        <v>419</v>
      </c>
      <c r="M4069" s="2" t="s">
        <v>41</v>
      </c>
      <c r="O4069" s="2" t="s">
        <v>3274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8"/>
        <v>2053.9</v>
      </c>
      <c r="V4069" s="10">
        <f t="shared" si="519"/>
        <v>10983.9</v>
      </c>
      <c r="W4069" s="2">
        <f>6348.73+221.85</f>
        <v>6570.58</v>
      </c>
      <c r="X4069" s="5">
        <f t="shared" si="520"/>
        <v>0.2642127659574468</v>
      </c>
      <c r="Z4069" s="2" t="s">
        <v>105</v>
      </c>
      <c r="AA4069" s="2" t="s">
        <v>617</v>
      </c>
      <c r="AB4069" s="2" t="s">
        <v>3275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3269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2654</v>
      </c>
      <c r="L4070" s="2" t="s">
        <v>419</v>
      </c>
      <c r="M4070" s="2" t="s">
        <v>41</v>
      </c>
      <c r="O4070" s="2" t="s">
        <v>3274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8"/>
        <v>1607.7</v>
      </c>
      <c r="V4070" s="10">
        <f t="shared" si="519"/>
        <v>8597.7000000000007</v>
      </c>
      <c r="W4070" s="2">
        <f>4893.23+171</f>
        <v>5064.2299999999996</v>
      </c>
      <c r="X4070" s="5">
        <f t="shared" si="520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3114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8"/>
        <v>72.22</v>
      </c>
      <c r="V4071" s="2">
        <f t="shared" si="519"/>
        <v>386.22</v>
      </c>
      <c r="W4071" s="2">
        <f>T4071*40%</f>
        <v>125.60000000000001</v>
      </c>
      <c r="X4071" s="5">
        <f t="shared" si="520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3114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8"/>
        <v>50.6</v>
      </c>
      <c r="V4072" s="2">
        <f t="shared" si="519"/>
        <v>270.60000000000002</v>
      </c>
      <c r="W4072" s="2">
        <f>T4072*50%</f>
        <v>110</v>
      </c>
      <c r="X4072" s="5">
        <f t="shared" si="520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3114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hidden="1" x14ac:dyDescent="0.2">
      <c r="A4074" s="8">
        <v>2026</v>
      </c>
      <c r="B4074" s="8">
        <v>6</v>
      </c>
      <c r="C4074" s="8"/>
      <c r="D4074" s="2" t="s">
        <v>2131</v>
      </c>
      <c r="P4074" s="2" t="s">
        <v>1041</v>
      </c>
      <c r="Q4074" s="2" t="s">
        <v>3047</v>
      </c>
      <c r="R4074" s="2" t="s">
        <v>3048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3237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hidden="1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3237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1">T4075-W4075</f>
        <v>18.878</v>
      </c>
      <c r="AL4075" s="5">
        <f t="shared" ref="AL4075" si="522">(T4075-W4075)/T4075</f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3108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3108</v>
      </c>
      <c r="P4077" s="2" t="s">
        <v>115</v>
      </c>
      <c r="Q4077" s="2" t="s">
        <v>2122</v>
      </c>
      <c r="R4077" s="2" t="s">
        <v>2123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3108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3109</v>
      </c>
      <c r="E4079" s="2" t="s">
        <v>38</v>
      </c>
      <c r="F4079" s="2" t="s">
        <v>39</v>
      </c>
      <c r="H4079" s="2" t="s">
        <v>110</v>
      </c>
      <c r="I4079" s="2" t="s">
        <v>3295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hidden="1" x14ac:dyDescent="0.2">
      <c r="A4080" s="8">
        <v>2026</v>
      </c>
      <c r="B4080" s="8">
        <v>6</v>
      </c>
      <c r="C4080" s="8" t="s">
        <v>3390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2931</v>
      </c>
      <c r="R4080" s="2" t="s">
        <v>270</v>
      </c>
      <c r="S4080" s="9">
        <v>1</v>
      </c>
      <c r="T4080" s="10">
        <v>10.8</v>
      </c>
      <c r="U4080" s="2">
        <f t="shared" ref="U4080:U4106" si="523">T4080*23%</f>
        <v>2.4840000000000004</v>
      </c>
      <c r="V4080" s="10">
        <f t="shared" ref="V4080:V4107" si="524">T4080+U4080</f>
        <v>13.284000000000001</v>
      </c>
      <c r="W4080" s="2">
        <v>5.23</v>
      </c>
      <c r="X4080" s="5">
        <f t="shared" ref="X4080:X4109" si="525">(T4080-W4080)/T4080</f>
        <v>0.51574074074074072</v>
      </c>
      <c r="Z4080" s="2" t="s">
        <v>3237</v>
      </c>
      <c r="AA4080" s="2" t="s">
        <v>46</v>
      </c>
      <c r="AB4080" s="2" t="s">
        <v>91</v>
      </c>
      <c r="AC4080" s="2" t="s">
        <v>58</v>
      </c>
      <c r="AI4080" s="2"/>
      <c r="AK4080" s="2">
        <f t="shared" ref="AK4080:AK4109" si="526">T4080-W4080</f>
        <v>5.57</v>
      </c>
      <c r="AL4080" s="5">
        <f t="shared" ref="AL4080:AL4109" si="527">(T4080-W4080)/T4080</f>
        <v>0.51574074074074072</v>
      </c>
    </row>
    <row r="4081" spans="1:38" hidden="1" x14ac:dyDescent="0.2">
      <c r="A4081" s="8">
        <v>2026</v>
      </c>
      <c r="B4081" s="8">
        <v>6</v>
      </c>
      <c r="C4081" s="8" t="s">
        <v>3390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2932</v>
      </c>
      <c r="R4081" s="2" t="s">
        <v>2933</v>
      </c>
      <c r="S4081" s="9">
        <v>1</v>
      </c>
      <c r="T4081" s="10">
        <v>3.6</v>
      </c>
      <c r="U4081" s="2">
        <f t="shared" si="523"/>
        <v>0.82800000000000007</v>
      </c>
      <c r="V4081" s="10">
        <f t="shared" si="524"/>
        <v>4.4279999999999999</v>
      </c>
      <c r="W4081" s="2">
        <f>0.97*S4081</f>
        <v>0.97</v>
      </c>
      <c r="X4081" s="5">
        <f t="shared" si="525"/>
        <v>0.73055555555555551</v>
      </c>
      <c r="Z4081" s="2" t="s">
        <v>3237</v>
      </c>
      <c r="AA4081" s="2" t="s">
        <v>46</v>
      </c>
      <c r="AB4081" s="2" t="s">
        <v>91</v>
      </c>
      <c r="AC4081" s="2" t="s">
        <v>58</v>
      </c>
      <c r="AI4081" s="2"/>
      <c r="AK4081" s="2">
        <f t="shared" si="526"/>
        <v>2.63</v>
      </c>
      <c r="AL4081" s="5">
        <f t="shared" si="527"/>
        <v>0.73055555555555551</v>
      </c>
    </row>
    <row r="4082" spans="1:38" hidden="1" x14ac:dyDescent="0.2">
      <c r="A4082" s="8">
        <v>2026</v>
      </c>
      <c r="B4082" s="8">
        <v>6</v>
      </c>
      <c r="C4082" s="8" t="s">
        <v>3390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23"/>
        <v>4.83</v>
      </c>
      <c r="V4082" s="10">
        <f t="shared" si="524"/>
        <v>25.83</v>
      </c>
      <c r="W4082" s="2">
        <f>10.67*S4082</f>
        <v>10.67</v>
      </c>
      <c r="X4082" s="5">
        <f t="shared" si="525"/>
        <v>0.4919047619047619</v>
      </c>
      <c r="Z4082" s="2" t="s">
        <v>3237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26"/>
        <v>10.33</v>
      </c>
      <c r="AL4082" s="5">
        <f t="shared" si="527"/>
        <v>0.4919047619047619</v>
      </c>
    </row>
    <row r="4083" spans="1:38" hidden="1" x14ac:dyDescent="0.2">
      <c r="A4083" s="8">
        <v>2026</v>
      </c>
      <c r="B4083" s="8">
        <v>6</v>
      </c>
      <c r="C4083" s="8" t="s">
        <v>3390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23"/>
        <v>4.83</v>
      </c>
      <c r="V4083" s="10">
        <f t="shared" si="524"/>
        <v>25.83</v>
      </c>
      <c r="W4083" s="2">
        <f>9.3*S4083</f>
        <v>9.3000000000000007</v>
      </c>
      <c r="X4083" s="5">
        <f t="shared" si="525"/>
        <v>0.55714285714285716</v>
      </c>
      <c r="Z4083" s="2" t="s">
        <v>3237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26"/>
        <v>11.7</v>
      </c>
      <c r="AL4083" s="5">
        <f t="shared" si="527"/>
        <v>0.55714285714285716</v>
      </c>
    </row>
    <row r="4084" spans="1:38" hidden="1" x14ac:dyDescent="0.2">
      <c r="A4084" s="8">
        <v>2026</v>
      </c>
      <c r="B4084" s="8">
        <v>6</v>
      </c>
      <c r="C4084" s="8" t="s">
        <v>3390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23"/>
        <v>2.0700000000000003</v>
      </c>
      <c r="V4084" s="10">
        <f t="shared" si="524"/>
        <v>11.07</v>
      </c>
      <c r="W4084" s="2">
        <f>3.7358*S4084</f>
        <v>3.7357999999999998</v>
      </c>
      <c r="X4084" s="5">
        <f t="shared" si="525"/>
        <v>0.58491111111111116</v>
      </c>
      <c r="Z4084" s="2" t="s">
        <v>3237</v>
      </c>
      <c r="AA4084" s="2" t="s">
        <v>46</v>
      </c>
      <c r="AB4084" s="2" t="s">
        <v>47</v>
      </c>
      <c r="AC4084" s="2" t="s">
        <v>48</v>
      </c>
      <c r="AI4084" s="2"/>
      <c r="AK4084" s="2">
        <f t="shared" si="526"/>
        <v>5.2642000000000007</v>
      </c>
      <c r="AL4084" s="5">
        <f t="shared" si="527"/>
        <v>0.58491111111111116</v>
      </c>
    </row>
    <row r="4085" spans="1:38" hidden="1" x14ac:dyDescent="0.2">
      <c r="A4085" s="8">
        <v>2026</v>
      </c>
      <c r="B4085" s="8">
        <v>6</v>
      </c>
      <c r="C4085" s="8" t="s">
        <v>3390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23"/>
        <v>3.3120000000000003</v>
      </c>
      <c r="V4085" s="10">
        <f t="shared" si="524"/>
        <v>17.712</v>
      </c>
      <c r="X4085" s="5">
        <f t="shared" si="525"/>
        <v>1</v>
      </c>
      <c r="Z4085" s="2" t="s">
        <v>3237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26"/>
        <v>14.4</v>
      </c>
      <c r="AL4085" s="5">
        <f t="shared" si="527"/>
        <v>1</v>
      </c>
    </row>
    <row r="4086" spans="1:38" hidden="1" x14ac:dyDescent="0.2">
      <c r="A4086" s="8">
        <v>2026</v>
      </c>
      <c r="B4086" s="8">
        <v>6</v>
      </c>
      <c r="C4086" s="8" t="s">
        <v>3390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23"/>
        <v>4.0019999999999998</v>
      </c>
      <c r="V4086" s="10">
        <f t="shared" si="524"/>
        <v>21.401999999999997</v>
      </c>
      <c r="W4086" s="2">
        <f>9.075*S4086</f>
        <v>9.0749999999999993</v>
      </c>
      <c r="X4086" s="5">
        <f t="shared" si="525"/>
        <v>0.47844827586206895</v>
      </c>
      <c r="Z4086" s="2" t="s">
        <v>3237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26"/>
        <v>8.3249999999999993</v>
      </c>
      <c r="AL4086" s="5">
        <f t="shared" si="527"/>
        <v>0.47844827586206895</v>
      </c>
    </row>
    <row r="4087" spans="1:38" hidden="1" x14ac:dyDescent="0.2">
      <c r="A4087" s="8">
        <v>2026</v>
      </c>
      <c r="B4087" s="8">
        <v>6</v>
      </c>
      <c r="C4087" s="8" t="s">
        <v>3390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23"/>
        <v>4.83</v>
      </c>
      <c r="V4087" s="10">
        <f t="shared" si="524"/>
        <v>25.83</v>
      </c>
      <c r="X4087" s="5">
        <f t="shared" si="525"/>
        <v>1</v>
      </c>
      <c r="Z4087" s="2" t="s">
        <v>3237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26"/>
        <v>21</v>
      </c>
      <c r="AL4087" s="5">
        <f t="shared" si="527"/>
        <v>1</v>
      </c>
    </row>
    <row r="4088" spans="1:38" hidden="1" x14ac:dyDescent="0.2">
      <c r="A4088" s="8">
        <v>2026</v>
      </c>
      <c r="B4088" s="8">
        <v>6</v>
      </c>
      <c r="C4088" s="8" t="s">
        <v>3390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23"/>
        <v>5.7960000000000003</v>
      </c>
      <c r="V4088" s="10">
        <f t="shared" si="524"/>
        <v>30.995999999999999</v>
      </c>
      <c r="X4088" s="5">
        <f t="shared" si="525"/>
        <v>1</v>
      </c>
      <c r="Z4088" s="2" t="s">
        <v>3237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26"/>
        <v>25.2</v>
      </c>
      <c r="AL4088" s="5">
        <f t="shared" si="527"/>
        <v>1</v>
      </c>
    </row>
    <row r="4089" spans="1:38" hidden="1" x14ac:dyDescent="0.2">
      <c r="A4089" s="8">
        <v>2026</v>
      </c>
      <c r="B4089" s="8">
        <v>6</v>
      </c>
      <c r="C4089" s="8" t="s">
        <v>3390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23"/>
        <v>6.9</v>
      </c>
      <c r="V4089" s="10">
        <f t="shared" si="524"/>
        <v>36.9</v>
      </c>
      <c r="X4089" s="5">
        <f t="shared" si="525"/>
        <v>1</v>
      </c>
      <c r="Z4089" s="2" t="s">
        <v>3237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26"/>
        <v>30</v>
      </c>
      <c r="AL4089" s="5">
        <f t="shared" si="527"/>
        <v>1</v>
      </c>
    </row>
    <row r="4090" spans="1:38" hidden="1" x14ac:dyDescent="0.2">
      <c r="A4090" s="8">
        <v>2026</v>
      </c>
      <c r="B4090" s="8">
        <v>6</v>
      </c>
      <c r="C4090" s="8" t="s">
        <v>3390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23"/>
        <v>4.1400000000000006</v>
      </c>
      <c r="V4090" s="10">
        <f t="shared" si="524"/>
        <v>22.14</v>
      </c>
      <c r="X4090" s="5">
        <f t="shared" si="525"/>
        <v>1</v>
      </c>
      <c r="Z4090" s="2" t="s">
        <v>3237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26"/>
        <v>18</v>
      </c>
      <c r="AL4090" s="5">
        <f t="shared" si="527"/>
        <v>1</v>
      </c>
    </row>
    <row r="4091" spans="1:38" hidden="1" x14ac:dyDescent="0.2">
      <c r="A4091" s="8">
        <v>2026</v>
      </c>
      <c r="B4091" s="8">
        <v>6</v>
      </c>
      <c r="C4091" s="8" t="s">
        <v>3390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23"/>
        <v>4.5540000000000003</v>
      </c>
      <c r="V4091" s="10">
        <f t="shared" si="524"/>
        <v>24.353999999999999</v>
      </c>
      <c r="X4091" s="5">
        <f t="shared" si="525"/>
        <v>1</v>
      </c>
      <c r="Z4091" s="2" t="s">
        <v>3237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26"/>
        <v>19.8</v>
      </c>
      <c r="AL4091" s="5">
        <f t="shared" si="527"/>
        <v>1</v>
      </c>
    </row>
    <row r="4092" spans="1:38" hidden="1" x14ac:dyDescent="0.2">
      <c r="A4092" s="8">
        <v>2026</v>
      </c>
      <c r="B4092" s="8">
        <v>6</v>
      </c>
      <c r="C4092" s="8" t="s">
        <v>3390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23"/>
        <v>5.2440000000000007</v>
      </c>
      <c r="V4092" s="10">
        <f t="shared" si="524"/>
        <v>28.044</v>
      </c>
      <c r="X4092" s="5">
        <f t="shared" si="525"/>
        <v>1</v>
      </c>
      <c r="Z4092" s="2" t="s">
        <v>3237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26"/>
        <v>22.8</v>
      </c>
      <c r="AL4092" s="5">
        <f t="shared" si="527"/>
        <v>1</v>
      </c>
    </row>
    <row r="4093" spans="1:38" hidden="1" x14ac:dyDescent="0.2">
      <c r="A4093" s="8">
        <v>2026</v>
      </c>
      <c r="B4093" s="8">
        <v>6</v>
      </c>
      <c r="C4093" s="8" t="s">
        <v>3390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23"/>
        <v>5.5200000000000005</v>
      </c>
      <c r="V4093" s="10">
        <f t="shared" si="524"/>
        <v>29.52</v>
      </c>
      <c r="W4093" s="2">
        <f>12.71*S4093</f>
        <v>12.71</v>
      </c>
      <c r="X4093" s="5">
        <f t="shared" si="525"/>
        <v>0.47041666666666665</v>
      </c>
      <c r="Z4093" s="2" t="s">
        <v>3237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26"/>
        <v>11.29</v>
      </c>
      <c r="AL4093" s="5">
        <f t="shared" si="527"/>
        <v>0.47041666666666665</v>
      </c>
    </row>
    <row r="4094" spans="1:38" hidden="1" x14ac:dyDescent="0.2">
      <c r="A4094" s="8">
        <v>2026</v>
      </c>
      <c r="B4094" s="8">
        <v>6</v>
      </c>
      <c r="C4094" s="8" t="s">
        <v>3390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23"/>
        <v>0</v>
      </c>
      <c r="V4094" s="10">
        <f t="shared" si="524"/>
        <v>0</v>
      </c>
      <c r="W4094" s="2">
        <v>10.6</v>
      </c>
      <c r="X4094" s="5">
        <v>0</v>
      </c>
      <c r="Z4094" s="2" t="s">
        <v>3237</v>
      </c>
      <c r="AA4094" s="2" t="s">
        <v>46</v>
      </c>
      <c r="AB4094" s="2" t="s">
        <v>57</v>
      </c>
      <c r="AC4094" s="2" t="s">
        <v>58</v>
      </c>
      <c r="AI4094" s="2"/>
    </row>
    <row r="4095" spans="1:38" hidden="1" x14ac:dyDescent="0.2">
      <c r="A4095" s="8">
        <v>2026</v>
      </c>
      <c r="B4095" s="8">
        <v>6</v>
      </c>
      <c r="C4095" s="8" t="s">
        <v>3390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2">
        <v>100</v>
      </c>
      <c r="T4095" s="10">
        <v>14</v>
      </c>
      <c r="U4095" s="2">
        <f t="shared" si="523"/>
        <v>3.22</v>
      </c>
      <c r="V4095" s="10">
        <f t="shared" si="524"/>
        <v>17.22</v>
      </c>
      <c r="W4095" s="2">
        <f>0.0914*S4095</f>
        <v>9.1399999999999988</v>
      </c>
      <c r="X4095" s="5">
        <f t="shared" si="525"/>
        <v>0.34714285714285725</v>
      </c>
      <c r="Z4095" s="2" t="s">
        <v>3237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26"/>
        <v>4.8600000000000012</v>
      </c>
      <c r="AL4095" s="5">
        <f t="shared" si="527"/>
        <v>0.34714285714285725</v>
      </c>
    </row>
    <row r="4096" spans="1:38" hidden="1" x14ac:dyDescent="0.2">
      <c r="A4096" s="8">
        <v>2026</v>
      </c>
      <c r="B4096" s="8">
        <v>6</v>
      </c>
      <c r="C4096" s="8" t="s">
        <v>3390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23"/>
        <v>2.99</v>
      </c>
      <c r="V4096" s="10">
        <f t="shared" si="524"/>
        <v>15.99</v>
      </c>
      <c r="W4096" s="2">
        <f>0.082*S4096</f>
        <v>8.2000000000000011</v>
      </c>
      <c r="X4096" s="5">
        <f t="shared" si="525"/>
        <v>0.36923076923076914</v>
      </c>
      <c r="Z4096" s="2" t="s">
        <v>3237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26"/>
        <v>4.7999999999999989</v>
      </c>
      <c r="AL4096" s="5">
        <f t="shared" si="527"/>
        <v>0.36923076923076914</v>
      </c>
    </row>
    <row r="4097" spans="1:38" hidden="1" x14ac:dyDescent="0.2">
      <c r="A4097" s="8">
        <v>2026</v>
      </c>
      <c r="B4097" s="8">
        <v>6</v>
      </c>
      <c r="C4097" s="8" t="s">
        <v>3390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23"/>
        <v>3.22</v>
      </c>
      <c r="V4097" s="10">
        <f t="shared" si="524"/>
        <v>17.22</v>
      </c>
      <c r="W4097" s="2">
        <f>0.0914*S4097</f>
        <v>9.1399999999999988</v>
      </c>
      <c r="X4097" s="5">
        <f t="shared" si="525"/>
        <v>0.34714285714285725</v>
      </c>
      <c r="Z4097" s="2" t="s">
        <v>3237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26"/>
        <v>4.8600000000000012</v>
      </c>
      <c r="AL4097" s="5">
        <f t="shared" si="527"/>
        <v>0.34714285714285725</v>
      </c>
    </row>
    <row r="4098" spans="1:38" hidden="1" x14ac:dyDescent="0.2">
      <c r="A4098" s="8">
        <v>2026</v>
      </c>
      <c r="B4098" s="8">
        <v>6</v>
      </c>
      <c r="C4098" s="8" t="s">
        <v>3390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1</v>
      </c>
      <c r="T4098" s="10">
        <v>0</v>
      </c>
      <c r="U4098" s="2">
        <f t="shared" si="523"/>
        <v>0</v>
      </c>
      <c r="V4098" s="10">
        <f t="shared" si="524"/>
        <v>0</v>
      </c>
      <c r="X4098" s="5">
        <v>0</v>
      </c>
      <c r="Z4098" s="2" t="s">
        <v>3237</v>
      </c>
      <c r="AA4098" s="2" t="s">
        <v>46</v>
      </c>
      <c r="AI4098" s="2"/>
    </row>
    <row r="4099" spans="1:38" hidden="1" x14ac:dyDescent="0.2">
      <c r="A4099" s="8">
        <v>2026</v>
      </c>
      <c r="B4099" s="8">
        <v>6</v>
      </c>
      <c r="C4099" s="8" t="s">
        <v>3390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2975</v>
      </c>
      <c r="R4099" s="2" t="s">
        <v>2976</v>
      </c>
      <c r="S4099" s="9">
        <v>2</v>
      </c>
      <c r="T4099" s="10">
        <v>40</v>
      </c>
      <c r="U4099" s="2">
        <f t="shared" si="523"/>
        <v>9.2000000000000011</v>
      </c>
      <c r="V4099" s="10">
        <f t="shared" si="524"/>
        <v>49.2</v>
      </c>
      <c r="X4099" s="5">
        <f t="shared" si="525"/>
        <v>1</v>
      </c>
      <c r="Z4099" s="2" t="s">
        <v>3237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26"/>
        <v>40</v>
      </c>
      <c r="AL4099" s="5">
        <f t="shared" si="527"/>
        <v>1</v>
      </c>
    </row>
    <row r="4100" spans="1:38" hidden="1" x14ac:dyDescent="0.2">
      <c r="A4100" s="8">
        <v>2026</v>
      </c>
      <c r="B4100" s="8">
        <v>6</v>
      </c>
      <c r="C4100" s="8" t="s">
        <v>3390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23"/>
        <v>0.69000000000000006</v>
      </c>
      <c r="V4100" s="10">
        <f t="shared" si="524"/>
        <v>3.69</v>
      </c>
      <c r="X4100" s="5">
        <f t="shared" si="525"/>
        <v>1</v>
      </c>
      <c r="Z4100" s="2" t="s">
        <v>3237</v>
      </c>
      <c r="AA4100" s="2" t="s">
        <v>46</v>
      </c>
      <c r="AI4100" s="2"/>
      <c r="AK4100" s="2">
        <f t="shared" si="526"/>
        <v>3</v>
      </c>
      <c r="AL4100" s="5">
        <f t="shared" si="527"/>
        <v>1</v>
      </c>
    </row>
    <row r="4101" spans="1:38" hidden="1" x14ac:dyDescent="0.2">
      <c r="A4101" s="8">
        <v>2026</v>
      </c>
      <c r="B4101" s="8">
        <v>6</v>
      </c>
      <c r="C4101" s="8" t="s">
        <v>3390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23"/>
        <v>4.83</v>
      </c>
      <c r="V4101" s="10">
        <f t="shared" si="524"/>
        <v>25.83</v>
      </c>
      <c r="X4101" s="5">
        <f t="shared" si="525"/>
        <v>1</v>
      </c>
      <c r="Z4101" s="2" t="s">
        <v>3237</v>
      </c>
      <c r="AA4101" s="2" t="s">
        <v>46</v>
      </c>
      <c r="AI4101" s="2"/>
      <c r="AK4101" s="2">
        <f t="shared" si="526"/>
        <v>21</v>
      </c>
      <c r="AL4101" s="5">
        <f t="shared" si="527"/>
        <v>1</v>
      </c>
    </row>
    <row r="4102" spans="1:38" hidden="1" x14ac:dyDescent="0.2">
      <c r="A4102" s="8">
        <v>2026</v>
      </c>
      <c r="B4102" s="8">
        <v>6</v>
      </c>
      <c r="C4102" s="8" t="s">
        <v>3390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23"/>
        <v>3.3120000000000003</v>
      </c>
      <c r="V4102" s="10">
        <f t="shared" si="524"/>
        <v>17.712</v>
      </c>
      <c r="X4102" s="5">
        <f t="shared" si="525"/>
        <v>1</v>
      </c>
      <c r="Z4102" s="2" t="s">
        <v>3237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26"/>
        <v>14.4</v>
      </c>
      <c r="AL4102" s="5">
        <f t="shared" si="527"/>
        <v>1</v>
      </c>
    </row>
    <row r="4103" spans="1:38" hidden="1" x14ac:dyDescent="0.2">
      <c r="A4103" s="8">
        <v>2026</v>
      </c>
      <c r="B4103" s="8">
        <v>6</v>
      </c>
      <c r="C4103" s="8" t="s">
        <v>3390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23"/>
        <v>2.7600000000000002</v>
      </c>
      <c r="V4103" s="10">
        <f t="shared" si="524"/>
        <v>14.76</v>
      </c>
      <c r="X4103" s="5">
        <f t="shared" si="525"/>
        <v>1</v>
      </c>
      <c r="Z4103" s="2" t="s">
        <v>3237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26"/>
        <v>12</v>
      </c>
      <c r="AL4103" s="5">
        <f t="shared" si="527"/>
        <v>1</v>
      </c>
    </row>
    <row r="4104" spans="1:38" hidden="1" x14ac:dyDescent="0.2">
      <c r="A4104" s="8">
        <v>2026</v>
      </c>
      <c r="B4104" s="8">
        <v>6</v>
      </c>
      <c r="C4104" s="8" t="s">
        <v>3390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23"/>
        <v>2.7600000000000002</v>
      </c>
      <c r="V4104" s="10">
        <f t="shared" si="524"/>
        <v>14.76</v>
      </c>
      <c r="X4104" s="5">
        <f t="shared" si="525"/>
        <v>1</v>
      </c>
      <c r="Z4104" s="2" t="s">
        <v>3237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26"/>
        <v>12</v>
      </c>
      <c r="AL4104" s="5">
        <f t="shared" si="527"/>
        <v>1</v>
      </c>
    </row>
    <row r="4105" spans="1:38" hidden="1" x14ac:dyDescent="0.2">
      <c r="A4105" s="8">
        <v>2026</v>
      </c>
      <c r="B4105" s="8">
        <v>6</v>
      </c>
      <c r="C4105" s="8" t="s">
        <v>3390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23"/>
        <v>5.29</v>
      </c>
      <c r="V4105" s="10">
        <f t="shared" si="524"/>
        <v>28.29</v>
      </c>
      <c r="X4105" s="5">
        <f t="shared" si="525"/>
        <v>1</v>
      </c>
      <c r="Z4105" s="2" t="s">
        <v>3237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26"/>
        <v>23</v>
      </c>
      <c r="AL4105" s="5">
        <f t="shared" si="527"/>
        <v>1</v>
      </c>
    </row>
    <row r="4106" spans="1:38" hidden="1" x14ac:dyDescent="0.2">
      <c r="A4106" s="8">
        <v>2026</v>
      </c>
      <c r="B4106" s="8">
        <v>6</v>
      </c>
      <c r="C4106" s="8" t="s">
        <v>3390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3049</v>
      </c>
      <c r="R4106" s="2" t="s">
        <v>3050</v>
      </c>
      <c r="S4106" s="9">
        <v>1</v>
      </c>
      <c r="T4106" s="10">
        <v>7.8</v>
      </c>
      <c r="U4106" s="2">
        <f t="shared" si="523"/>
        <v>1.794</v>
      </c>
      <c r="V4106" s="10">
        <f t="shared" si="524"/>
        <v>9.5939999999999994</v>
      </c>
      <c r="X4106" s="5">
        <f t="shared" si="525"/>
        <v>1</v>
      </c>
      <c r="Z4106" s="2" t="s">
        <v>3237</v>
      </c>
      <c r="AA4106" s="2" t="s">
        <v>46</v>
      </c>
      <c r="AI4106" s="2"/>
      <c r="AK4106" s="2">
        <f t="shared" si="526"/>
        <v>7.8</v>
      </c>
      <c r="AL4106" s="5">
        <f t="shared" si="527"/>
        <v>1</v>
      </c>
    </row>
    <row r="4107" spans="1:38" hidden="1" x14ac:dyDescent="0.2">
      <c r="A4107" s="8">
        <v>2026</v>
      </c>
      <c r="B4107" s="8">
        <v>6</v>
      </c>
      <c r="C4107" s="8" t="s">
        <v>3390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1979</v>
      </c>
      <c r="R4107" s="2" t="s">
        <v>1980</v>
      </c>
      <c r="S4107" s="9">
        <v>1</v>
      </c>
      <c r="T4107" s="10">
        <v>12</v>
      </c>
      <c r="U4107" s="2">
        <f>T4107*23%</f>
        <v>2.7600000000000002</v>
      </c>
      <c r="V4107" s="2">
        <f t="shared" si="524"/>
        <v>14.76</v>
      </c>
      <c r="X4107" s="5">
        <f t="shared" si="525"/>
        <v>1</v>
      </c>
      <c r="Z4107" s="2" t="s">
        <v>3237</v>
      </c>
      <c r="AA4107" s="2" t="s">
        <v>3391</v>
      </c>
      <c r="AI4107" s="2"/>
      <c r="AK4107" s="2">
        <f t="shared" si="526"/>
        <v>12</v>
      </c>
      <c r="AL4107" s="5">
        <f t="shared" si="527"/>
        <v>1</v>
      </c>
    </row>
    <row r="4108" spans="1:38" hidden="1" x14ac:dyDescent="0.2">
      <c r="A4108" s="8">
        <v>2026</v>
      </c>
      <c r="B4108" s="8">
        <v>6</v>
      </c>
      <c r="C4108" s="8" t="s">
        <v>3390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8">T4108*23%</f>
        <v>2.7600000000000002</v>
      </c>
      <c r="V4108" s="2">
        <f t="shared" ref="V4108:V4109" si="529">T4108+U4108</f>
        <v>14.76</v>
      </c>
      <c r="X4108" s="5">
        <f t="shared" si="525"/>
        <v>1</v>
      </c>
      <c r="Z4108" s="2" t="s">
        <v>3237</v>
      </c>
      <c r="AA4108" s="2" t="s">
        <v>3391</v>
      </c>
      <c r="AI4108" s="2"/>
      <c r="AK4108" s="2">
        <f t="shared" si="526"/>
        <v>12</v>
      </c>
      <c r="AL4108" s="5">
        <f t="shared" si="527"/>
        <v>1</v>
      </c>
    </row>
    <row r="4109" spans="1:38" hidden="1" x14ac:dyDescent="0.2">
      <c r="A4109" s="8">
        <v>2026</v>
      </c>
      <c r="B4109" s="8">
        <v>6</v>
      </c>
      <c r="C4109" s="8" t="s">
        <v>3390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3051</v>
      </c>
      <c r="R4109" s="2" t="s">
        <v>3052</v>
      </c>
      <c r="S4109" s="9">
        <v>1</v>
      </c>
      <c r="T4109" s="10">
        <v>3</v>
      </c>
      <c r="U4109" s="2">
        <f t="shared" si="528"/>
        <v>0.69000000000000006</v>
      </c>
      <c r="V4109" s="2">
        <f t="shared" si="529"/>
        <v>3.69</v>
      </c>
      <c r="X4109" s="5">
        <f t="shared" si="525"/>
        <v>1</v>
      </c>
      <c r="Z4109" s="2" t="s">
        <v>3237</v>
      </c>
      <c r="AA4109" s="2" t="s">
        <v>3391</v>
      </c>
      <c r="AI4109" s="2"/>
      <c r="AK4109" s="2">
        <f t="shared" si="526"/>
        <v>3</v>
      </c>
      <c r="AL4109" s="5">
        <f t="shared" si="527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2565</v>
      </c>
      <c r="P4110" s="2" t="s">
        <v>115</v>
      </c>
      <c r="Q4110" s="2" t="s">
        <v>3053</v>
      </c>
      <c r="R4110" s="2" t="s">
        <v>3054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2565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2565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3055</v>
      </c>
      <c r="R4113" s="2" t="s">
        <v>3056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2219</v>
      </c>
      <c r="R4116" s="2" t="s">
        <v>2220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3057</v>
      </c>
      <c r="R4119" s="2" t="s">
        <v>3058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30">(T4120-W4120)/T4120</f>
        <v>1</v>
      </c>
      <c r="Z4120" s="2" t="s">
        <v>170</v>
      </c>
      <c r="AA4120" s="2" t="s">
        <v>170</v>
      </c>
      <c r="AI4120" s="2"/>
      <c r="AK4120" s="2">
        <f t="shared" ref="AK4120" si="531">T4120-W4120</f>
        <v>8</v>
      </c>
      <c r="AL4120" s="5">
        <f t="shared" ref="AL4120" si="532">(T4120-W4120)/T4120</f>
        <v>1</v>
      </c>
    </row>
    <row r="4121" spans="1:38" hidden="1" x14ac:dyDescent="0.2">
      <c r="A4121" s="8">
        <v>2026</v>
      </c>
      <c r="B4121" s="8">
        <v>6</v>
      </c>
      <c r="C4121" s="8"/>
      <c r="D4121" s="2" t="s">
        <v>2521</v>
      </c>
      <c r="Q4121" s="2" t="s">
        <v>2983</v>
      </c>
      <c r="R4121" s="2" t="s">
        <v>2984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3059</v>
      </c>
      <c r="R4122" s="2" t="s">
        <v>3060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3237</v>
      </c>
      <c r="AA4122" s="2" t="s">
        <v>156</v>
      </c>
      <c r="AB4122" s="2" t="s">
        <v>3415</v>
      </c>
      <c r="AC4122" s="2" t="s">
        <v>1331</v>
      </c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1787</v>
      </c>
      <c r="R4123" s="2" t="s">
        <v>1788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33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34">T4124-W4124</f>
        <v>612</v>
      </c>
      <c r="AL4124" s="5">
        <f t="shared" ref="AL4124" si="535">(T4124-W4124)/T4124</f>
        <v>0.27945205479452057</v>
      </c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hidden="1" x14ac:dyDescent="0.2">
      <c r="A4126" s="8">
        <v>2026</v>
      </c>
      <c r="B4126" s="8">
        <v>6</v>
      </c>
      <c r="C4126" s="8"/>
      <c r="D4126" s="2" t="s">
        <v>2952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3237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hidden="1" x14ac:dyDescent="0.2">
      <c r="A4127" s="8">
        <v>2026</v>
      </c>
      <c r="B4127" s="8">
        <v>6</v>
      </c>
      <c r="C4127" s="8"/>
      <c r="D4127" s="2" t="s">
        <v>2952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3237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3115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3115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Q4130" s="2" t="s">
        <v>3061</v>
      </c>
      <c r="R4130" s="2" t="s">
        <v>3062</v>
      </c>
      <c r="S4130" s="9">
        <v>1</v>
      </c>
      <c r="T4130" s="10">
        <v>10</v>
      </c>
      <c r="X4130" s="2"/>
      <c r="AI4130" s="2"/>
      <c r="AL4130" s="2"/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2189</v>
      </c>
      <c r="R4131" s="2" t="s">
        <v>2190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3237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3063</v>
      </c>
      <c r="R4132" s="2" t="s">
        <v>3064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3237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36">(T4133-W4133)/T4133</f>
        <v>1</v>
      </c>
      <c r="Z4133" s="2" t="s">
        <v>170</v>
      </c>
      <c r="AA4133" s="2" t="s">
        <v>170</v>
      </c>
      <c r="AI4133" s="2"/>
      <c r="AK4133" s="2">
        <f t="shared" ref="AK4133" si="537">T4133-W4133</f>
        <v>5</v>
      </c>
      <c r="AL4133" s="5">
        <f t="shared" ref="AL4133" si="538">(T4133-W4133)/T4133</f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1883</v>
      </c>
      <c r="R4135" s="2" t="s">
        <v>1884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9">T4136*23%</f>
        <v>13.8</v>
      </c>
      <c r="V4136" s="2">
        <f t="shared" ref="V4136:V4146" si="540">T4136+U4136</f>
        <v>73.8</v>
      </c>
      <c r="W4136" s="2">
        <f>T4136*40%</f>
        <v>24</v>
      </c>
      <c r="X4136" s="5">
        <f t="shared" ref="X4136:X4141" si="541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9"/>
        <v>12.65</v>
      </c>
      <c r="V4137" s="2">
        <f t="shared" si="540"/>
        <v>67.650000000000006</v>
      </c>
      <c r="W4137" s="2">
        <f>T4137*50%</f>
        <v>27.5</v>
      </c>
      <c r="X4137" s="5">
        <f t="shared" si="541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hidden="1" x14ac:dyDescent="0.2">
      <c r="A4138" s="8">
        <v>2026</v>
      </c>
      <c r="B4138" s="8">
        <v>6</v>
      </c>
      <c r="C4138" s="8"/>
      <c r="D4138" s="2" t="s">
        <v>2586</v>
      </c>
      <c r="M4138" s="2" t="s">
        <v>81</v>
      </c>
      <c r="P4138" s="2" t="s">
        <v>1041</v>
      </c>
      <c r="Q4138" s="2" t="s">
        <v>2897</v>
      </c>
      <c r="R4138" s="2" t="s">
        <v>2898</v>
      </c>
      <c r="S4138" s="9">
        <v>1</v>
      </c>
      <c r="T4138" s="10">
        <v>223.1</v>
      </c>
      <c r="U4138" s="2">
        <f t="shared" si="539"/>
        <v>51.313000000000002</v>
      </c>
      <c r="V4138" s="2">
        <f t="shared" si="540"/>
        <v>274.41300000000001</v>
      </c>
      <c r="W4138" s="2">
        <v>141.18</v>
      </c>
      <c r="X4138" s="5">
        <f t="shared" si="541"/>
        <v>0.36718960107575072</v>
      </c>
      <c r="Z4138" s="2" t="s">
        <v>3237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hidden="1" x14ac:dyDescent="0.2">
      <c r="A4139" s="8">
        <v>2026</v>
      </c>
      <c r="B4139" s="8">
        <v>6</v>
      </c>
      <c r="C4139" s="8"/>
      <c r="D4139" s="2" t="s">
        <v>2586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9"/>
        <v>0.34040000000000004</v>
      </c>
      <c r="V4139" s="10">
        <f t="shared" si="540"/>
        <v>1.8204</v>
      </c>
      <c r="W4139" s="2">
        <f>1.48*S4139</f>
        <v>1.48</v>
      </c>
      <c r="X4139" s="5">
        <f t="shared" si="541"/>
        <v>0</v>
      </c>
      <c r="Z4139" s="2" t="s">
        <v>3237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hidden="1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9"/>
        <v>4.1400000000000006</v>
      </c>
      <c r="V4140" s="10">
        <f t="shared" si="540"/>
        <v>22.14</v>
      </c>
      <c r="X4140" s="5">
        <f t="shared" si="541"/>
        <v>1</v>
      </c>
      <c r="Z4140" s="2" t="s">
        <v>3237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hidden="1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9"/>
        <v>4.83</v>
      </c>
      <c r="V4141" s="10">
        <f t="shared" si="540"/>
        <v>25.83</v>
      </c>
      <c r="W4141" s="2">
        <f>10.67*S4141</f>
        <v>10.67</v>
      </c>
      <c r="X4141" s="5">
        <f t="shared" si="541"/>
        <v>0.4919047619047619</v>
      </c>
      <c r="Z4141" s="2" t="s">
        <v>3237</v>
      </c>
      <c r="AA4141" s="2" t="s">
        <v>46</v>
      </c>
      <c r="AB4141" s="2" t="s">
        <v>47</v>
      </c>
      <c r="AC4141" s="2" t="s">
        <v>48</v>
      </c>
      <c r="AI4141" s="2"/>
      <c r="AK4141" s="2">
        <f t="shared" ref="AK4141" si="542">T4141-W4141</f>
        <v>10.33</v>
      </c>
      <c r="AL4141" s="5">
        <f t="shared" ref="AL4141" si="543">(T4141-W4141)/T4141</f>
        <v>0.4919047619047619</v>
      </c>
    </row>
    <row r="4142" spans="1:38" hidden="1" x14ac:dyDescent="0.2">
      <c r="A4142" s="8">
        <v>2026</v>
      </c>
      <c r="B4142" s="8">
        <v>6</v>
      </c>
      <c r="C4142" s="8"/>
      <c r="D4142" s="2" t="s">
        <v>2016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9"/>
        <v>52.900000000000006</v>
      </c>
      <c r="V4142" s="10">
        <f t="shared" si="540"/>
        <v>282.89999999999998</v>
      </c>
      <c r="W4142" s="2">
        <f>115.92+6.06</f>
        <v>121.98</v>
      </c>
      <c r="X4142" s="5">
        <f t="shared" ref="X4142:X4151" si="544">(T4142-W4142)/T4142</f>
        <v>0.46965217391304348</v>
      </c>
      <c r="Z4142" s="2" t="s">
        <v>3237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hidden="1" x14ac:dyDescent="0.2">
      <c r="A4143" s="8">
        <v>2026</v>
      </c>
      <c r="B4143" s="8">
        <v>6</v>
      </c>
      <c r="C4143" s="8"/>
      <c r="D4143" s="2" t="s">
        <v>2016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9"/>
        <v>0.34040000000000004</v>
      </c>
      <c r="V4143" s="10">
        <f t="shared" si="540"/>
        <v>1.8204</v>
      </c>
      <c r="W4143" s="2">
        <f>1.48*S4143</f>
        <v>1.48</v>
      </c>
      <c r="X4143" s="5">
        <f t="shared" si="544"/>
        <v>0</v>
      </c>
      <c r="Z4143" s="2" t="s">
        <v>3237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hidden="1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3065</v>
      </c>
      <c r="R4144" s="2" t="s">
        <v>208</v>
      </c>
      <c r="S4144" s="9">
        <v>1</v>
      </c>
      <c r="T4144" s="10">
        <v>400</v>
      </c>
      <c r="U4144" s="2">
        <f t="shared" si="539"/>
        <v>92</v>
      </c>
      <c r="V4144" s="10">
        <f t="shared" si="540"/>
        <v>492</v>
      </c>
      <c r="W4144" s="2">
        <f>271.66+19.93</f>
        <v>291.59000000000003</v>
      </c>
      <c r="X4144" s="5">
        <f t="shared" si="544"/>
        <v>0.2710249999999999</v>
      </c>
      <c r="Z4144" s="2" t="s">
        <v>3237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hidden="1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9"/>
        <v>0.34040000000000004</v>
      </c>
      <c r="V4145" s="10">
        <f t="shared" si="540"/>
        <v>1.8204</v>
      </c>
      <c r="W4145" s="2">
        <f>1.48*S4145</f>
        <v>1.48</v>
      </c>
      <c r="X4145" s="5">
        <f t="shared" si="544"/>
        <v>0</v>
      </c>
      <c r="Z4145" s="2" t="s">
        <v>3237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hidden="1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9"/>
        <v>92</v>
      </c>
      <c r="V4146" s="10">
        <f t="shared" si="540"/>
        <v>492</v>
      </c>
      <c r="W4146" s="2">
        <v>290</v>
      </c>
      <c r="X4146" s="5">
        <f t="shared" si="544"/>
        <v>0.27500000000000002</v>
      </c>
      <c r="Z4146" s="2" t="s">
        <v>3237</v>
      </c>
      <c r="AA4146" s="2" t="s">
        <v>46</v>
      </c>
      <c r="AB4146" s="2" t="s">
        <v>61</v>
      </c>
      <c r="AC4146" s="2" t="s">
        <v>3343</v>
      </c>
      <c r="AI4146" s="2"/>
      <c r="AK4146" s="2">
        <f t="shared" ref="AK4146" si="545">T4146-W4146</f>
        <v>110</v>
      </c>
      <c r="AL4146" s="5">
        <f t="shared" ref="AL4146" si="546">(T4146-W4146)/T4146</f>
        <v>0.27500000000000002</v>
      </c>
    </row>
    <row r="4147" spans="1:38" hidden="1" x14ac:dyDescent="0.2">
      <c r="A4147" s="8">
        <v>2026</v>
      </c>
      <c r="B4147" s="8">
        <v>6</v>
      </c>
      <c r="C4147" s="8" t="s">
        <v>3305</v>
      </c>
      <c r="D4147" s="2" t="s">
        <v>3340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3178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47">T4147*23%</f>
        <v>1285.7</v>
      </c>
      <c r="V4147" s="10">
        <f t="shared" ref="V4147:V4154" si="548">T4147+U4147</f>
        <v>6875.7</v>
      </c>
      <c r="W4147" s="2">
        <v>4275.9799999999996</v>
      </c>
      <c r="X4147" s="5">
        <f t="shared" si="544"/>
        <v>0.23506618962432924</v>
      </c>
      <c r="Z4147" s="2" t="s">
        <v>105</v>
      </c>
      <c r="AA4147" s="2" t="s">
        <v>617</v>
      </c>
      <c r="AB4147" s="2" t="s">
        <v>3183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3305</v>
      </c>
      <c r="D4148" s="2" t="s">
        <v>3340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3178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47"/>
        <v>1021.2</v>
      </c>
      <c r="V4148" s="10">
        <f t="shared" si="548"/>
        <v>5461.2</v>
      </c>
      <c r="W4148" s="2">
        <v>3345.125</v>
      </c>
      <c r="X4148" s="5">
        <f t="shared" si="544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3305</v>
      </c>
      <c r="D4149" s="2" t="s">
        <v>3340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3178</v>
      </c>
      <c r="P4149" s="2" t="s">
        <v>1615</v>
      </c>
      <c r="Q4149" s="2" t="s">
        <v>3066</v>
      </c>
      <c r="R4149" s="2" t="s">
        <v>3067</v>
      </c>
      <c r="S4149" s="9">
        <v>2</v>
      </c>
      <c r="T4149" s="10">
        <v>10000</v>
      </c>
      <c r="U4149" s="2">
        <f t="shared" si="547"/>
        <v>2300</v>
      </c>
      <c r="V4149" s="10">
        <f t="shared" si="548"/>
        <v>12300</v>
      </c>
      <c r="W4149" s="2">
        <f>3681.98*2</f>
        <v>7363.96</v>
      </c>
      <c r="X4149" s="5">
        <f t="shared" si="544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hidden="1" x14ac:dyDescent="0.2">
      <c r="A4150" s="8">
        <v>2026</v>
      </c>
      <c r="B4150" s="8">
        <v>6</v>
      </c>
      <c r="C4150" s="8" t="s">
        <v>3305</v>
      </c>
      <c r="D4150" s="2" t="s">
        <v>3340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3178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47"/>
        <v>602.6</v>
      </c>
      <c r="V4150" s="10">
        <f t="shared" si="548"/>
        <v>3222.6</v>
      </c>
      <c r="W4150" s="2">
        <v>1978.46</v>
      </c>
      <c r="X4150" s="5">
        <f t="shared" si="544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47"/>
        <v>114.77000000000001</v>
      </c>
      <c r="V4151" s="10">
        <f t="shared" si="548"/>
        <v>613.77</v>
      </c>
      <c r="W4151" s="2">
        <v>297</v>
      </c>
      <c r="X4151" s="5">
        <f t="shared" si="544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9">T4151-W4151</f>
        <v>202</v>
      </c>
      <c r="AL4151" s="5">
        <f t="shared" ref="AL4151" si="550">(T4151-W4151)/T4151</f>
        <v>0.40480961923847697</v>
      </c>
    </row>
    <row r="4152" spans="1:38" hidden="1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47"/>
        <v>0</v>
      </c>
      <c r="V4152" s="10">
        <f t="shared" si="548"/>
        <v>0</v>
      </c>
      <c r="W4152" s="2">
        <f>14.5099*S4152</f>
        <v>29.0198</v>
      </c>
      <c r="Z4152" s="2" t="s">
        <v>3237</v>
      </c>
      <c r="AA4152" s="2" t="s">
        <v>46</v>
      </c>
      <c r="AB4152" s="2" t="s">
        <v>61</v>
      </c>
      <c r="AC4152" s="2" t="s">
        <v>3343</v>
      </c>
      <c r="AI4152" s="2"/>
    </row>
    <row r="4153" spans="1:38" hidden="1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47"/>
        <v>0</v>
      </c>
      <c r="V4153" s="10">
        <f t="shared" si="548"/>
        <v>0</v>
      </c>
      <c r="W4153" s="2">
        <f>14.5099*S4153</f>
        <v>29.0198</v>
      </c>
      <c r="X4153" s="19">
        <v>-1</v>
      </c>
      <c r="Z4153" s="2" t="s">
        <v>3237</v>
      </c>
      <c r="AA4153" s="2" t="s">
        <v>46</v>
      </c>
      <c r="AB4153" s="2" t="s">
        <v>61</v>
      </c>
      <c r="AC4153" s="2" t="s">
        <v>3343</v>
      </c>
      <c r="AI4153" s="2"/>
      <c r="AK4153" s="2">
        <f t="shared" ref="AK4153" si="551">T4153-W4153</f>
        <v>-29.0198</v>
      </c>
      <c r="AL4153" s="19">
        <v>-1</v>
      </c>
    </row>
    <row r="4154" spans="1:38" hidden="1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47"/>
        <v>8.2800000000000011</v>
      </c>
      <c r="V4154" s="10">
        <f t="shared" si="548"/>
        <v>44.28</v>
      </c>
      <c r="X4154" s="5">
        <f>(T4154-W4154)/T4154</f>
        <v>1</v>
      </c>
      <c r="Z4154" s="2" t="s">
        <v>3237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52">(T4155-W4155)/T4155</f>
        <v>1</v>
      </c>
      <c r="Z4155" s="2" t="s">
        <v>170</v>
      </c>
      <c r="AA4155" s="2" t="s">
        <v>170</v>
      </c>
      <c r="AI4155" s="2"/>
      <c r="AL4155" s="2"/>
    </row>
    <row r="4156" spans="1:38" hidden="1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W4156" s="2">
        <f>10.67*S4156</f>
        <v>32.01</v>
      </c>
      <c r="X4156" s="5">
        <f>(T4156-W4156)/T4156</f>
        <v>0.49190476190476196</v>
      </c>
      <c r="Z4156" s="2" t="s">
        <v>3237</v>
      </c>
      <c r="AA4156" s="2" t="s">
        <v>46</v>
      </c>
      <c r="AB4156" s="2" t="s">
        <v>47</v>
      </c>
      <c r="AC4156" s="2" t="s">
        <v>48</v>
      </c>
      <c r="AI4156" s="2"/>
      <c r="AK4156" s="2">
        <f t="shared" ref="AK4156:AK4157" si="553">T4156-W4156</f>
        <v>30.990000000000002</v>
      </c>
      <c r="AL4156" s="5">
        <f t="shared" ref="AL4156:AL4157" si="554">(T4156-W4156)/T4156</f>
        <v>0.49190476190476196</v>
      </c>
    </row>
    <row r="4157" spans="1:38" hidden="1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W4157" s="2">
        <f>3.7358*S4157</f>
        <v>11.2074</v>
      </c>
      <c r="X4157" s="5">
        <f>(T4157-W4157)/T4157</f>
        <v>0.58491111111111116</v>
      </c>
      <c r="Z4157" s="2" t="s">
        <v>3237</v>
      </c>
      <c r="AA4157" s="2" t="s">
        <v>46</v>
      </c>
      <c r="AB4157" s="2" t="s">
        <v>47</v>
      </c>
      <c r="AC4157" s="2" t="s">
        <v>48</v>
      </c>
      <c r="AI4157" s="2"/>
      <c r="AK4157" s="2">
        <f t="shared" si="553"/>
        <v>15.7926</v>
      </c>
      <c r="AL4157" s="5">
        <f t="shared" si="554"/>
        <v>0.58491111111111116</v>
      </c>
    </row>
    <row r="4158" spans="1:38" hidden="1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55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56">T4158-W4158</f>
        <v>18.917999999999999</v>
      </c>
      <c r="AL4158" s="5">
        <f t="shared" ref="AL4158" si="557">(T4158-W4158)/T4158</f>
        <v>0.45085795996186839</v>
      </c>
    </row>
    <row r="4159" spans="1:38" hidden="1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58">T4159*23%</f>
        <v>92</v>
      </c>
      <c r="V4159" s="10">
        <f t="shared" ref="V4159:V4160" si="559">T4159+U4159</f>
        <v>492</v>
      </c>
      <c r="W4159" s="2">
        <f t="shared" ref="W4159:W4160" si="560">14.5099*S4159</f>
        <v>290.19799999999998</v>
      </c>
      <c r="X4159" s="5">
        <f t="shared" ref="X4159:X4160" si="561">(T4159-W4159)/T4159</f>
        <v>0.27450500000000005</v>
      </c>
      <c r="Z4159" s="2" t="s">
        <v>3237</v>
      </c>
      <c r="AA4159" s="2" t="s">
        <v>46</v>
      </c>
      <c r="AB4159" s="2" t="s">
        <v>61</v>
      </c>
      <c r="AC4159" s="2" t="s">
        <v>3343</v>
      </c>
      <c r="AI4159" s="2"/>
      <c r="AK4159" s="2">
        <f t="shared" ref="AK4159:AK4160" si="562">T4159-W4159</f>
        <v>109.80200000000002</v>
      </c>
      <c r="AL4159" s="5">
        <f t="shared" ref="AL4159:AL4160" si="563">(T4159-W4159)/T4159</f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58"/>
        <v>92</v>
      </c>
      <c r="V4160" s="10">
        <f t="shared" si="559"/>
        <v>492</v>
      </c>
      <c r="W4160" s="2">
        <f t="shared" si="560"/>
        <v>290.19799999999998</v>
      </c>
      <c r="X4160" s="5">
        <f t="shared" si="561"/>
        <v>0.27450500000000005</v>
      </c>
      <c r="Z4160" s="2" t="s">
        <v>3237</v>
      </c>
      <c r="AA4160" s="2" t="s">
        <v>46</v>
      </c>
      <c r="AB4160" s="2" t="s">
        <v>61</v>
      </c>
      <c r="AC4160" s="2" t="s">
        <v>3343</v>
      </c>
      <c r="AI4160" s="2"/>
      <c r="AK4160" s="2">
        <f t="shared" si="562"/>
        <v>109.80200000000002</v>
      </c>
      <c r="AL4160" s="5">
        <f t="shared" si="563"/>
        <v>0.27450500000000005</v>
      </c>
    </row>
    <row r="4161" spans="1:38" hidden="1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3205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64">T4161*23%</f>
        <v>46</v>
      </c>
      <c r="V4161" s="10">
        <f t="shared" ref="V4161:V4166" si="565">T4161+U4161</f>
        <v>246</v>
      </c>
      <c r="W4161" s="2">
        <f>110.125+11.77</f>
        <v>121.895</v>
      </c>
      <c r="X4161" s="5">
        <f t="shared" ref="X4161:X4166" si="566">(T4161-W4161)/T4161</f>
        <v>0.39052500000000001</v>
      </c>
      <c r="Z4161" s="2" t="s">
        <v>3237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67">AI4161*T4161</f>
        <v>0</v>
      </c>
      <c r="AK4161" s="2">
        <f t="shared" ref="AK4161:AK4166" si="568">T4161-W4161</f>
        <v>78.105000000000004</v>
      </c>
      <c r="AL4161" s="5">
        <f t="shared" ref="AL4161:AL4166" si="569">(T4161-W4161)/T4161</f>
        <v>0.39052500000000001</v>
      </c>
    </row>
    <row r="4162" spans="1:38" hidden="1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64"/>
        <v>0.34040000000000004</v>
      </c>
      <c r="V4162" s="10">
        <f t="shared" si="565"/>
        <v>1.8204</v>
      </c>
      <c r="W4162" s="2">
        <f>1.48*S4162</f>
        <v>1.48</v>
      </c>
      <c r="X4162" s="5">
        <f t="shared" si="566"/>
        <v>0</v>
      </c>
      <c r="Z4162" s="2" t="s">
        <v>3237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67"/>
        <v>0</v>
      </c>
      <c r="AK4162" s="2">
        <f t="shared" si="568"/>
        <v>0</v>
      </c>
      <c r="AL4162" s="5">
        <f t="shared" si="569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3111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64"/>
        <v>31.51</v>
      </c>
      <c r="V4163" s="2">
        <f t="shared" si="565"/>
        <v>168.51</v>
      </c>
      <c r="W4163" s="2">
        <f>T4163*40%</f>
        <v>54.800000000000004</v>
      </c>
      <c r="X4163" s="5">
        <f t="shared" si="566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67"/>
        <v>0</v>
      </c>
      <c r="AK4163" s="2">
        <f t="shared" si="568"/>
        <v>82.199999999999989</v>
      </c>
      <c r="AL4163" s="5">
        <f t="shared" si="569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3111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64"/>
        <v>18.975000000000001</v>
      </c>
      <c r="V4164" s="2">
        <f t="shared" si="565"/>
        <v>101.47499999999999</v>
      </c>
      <c r="W4164" s="2">
        <f>T4164*50%</f>
        <v>41.25</v>
      </c>
      <c r="X4164" s="5">
        <f t="shared" si="566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67"/>
        <v>0</v>
      </c>
      <c r="AK4164" s="2">
        <f t="shared" si="568"/>
        <v>41.25</v>
      </c>
      <c r="AL4164" s="5">
        <f t="shared" si="569"/>
        <v>0.5</v>
      </c>
    </row>
    <row r="4165" spans="1:38" hidden="1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64"/>
        <v>62.1</v>
      </c>
      <c r="V4165" s="10">
        <f t="shared" si="565"/>
        <v>332.1</v>
      </c>
      <c r="W4165" s="2">
        <v>139.46</v>
      </c>
      <c r="X4165" s="5">
        <f t="shared" si="566"/>
        <v>0.48348148148148146</v>
      </c>
      <c r="Z4165" s="2" t="s">
        <v>3237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67"/>
        <v>0</v>
      </c>
      <c r="AK4165" s="2">
        <f t="shared" si="568"/>
        <v>130.54</v>
      </c>
      <c r="AL4165" s="5">
        <f t="shared" si="569"/>
        <v>0.48348148148148146</v>
      </c>
    </row>
    <row r="4166" spans="1:38" hidden="1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64"/>
        <v>0.34040000000000004</v>
      </c>
      <c r="V4166" s="10">
        <f t="shared" si="565"/>
        <v>1.8204</v>
      </c>
      <c r="W4166" s="2">
        <f>1.48*S4166</f>
        <v>1.48</v>
      </c>
      <c r="X4166" s="5">
        <f t="shared" si="566"/>
        <v>0</v>
      </c>
      <c r="Z4166" s="2" t="s">
        <v>3237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67"/>
        <v>0</v>
      </c>
      <c r="AK4166" s="2">
        <f t="shared" si="568"/>
        <v>0</v>
      </c>
      <c r="AL4166" s="5">
        <f t="shared" si="569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hidden="1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70">T4171+U4171</f>
        <v>236.16</v>
      </c>
      <c r="W4171" s="2">
        <f>14.5099*S4171</f>
        <v>116.0792</v>
      </c>
      <c r="X4171" s="5">
        <f t="shared" ref="X4171" si="571">(T4171-W4171)/T4171</f>
        <v>0.39542083333333333</v>
      </c>
      <c r="Z4171" s="2" t="s">
        <v>3237</v>
      </c>
      <c r="AA4171" s="2" t="s">
        <v>46</v>
      </c>
      <c r="AB4171" s="2" t="s">
        <v>61</v>
      </c>
      <c r="AC4171" s="2" t="s">
        <v>3343</v>
      </c>
      <c r="AI4171" s="2"/>
      <c r="AK4171" s="2">
        <f t="shared" ref="AK4171:AK4172" si="572">T4171-W4171</f>
        <v>75.9208</v>
      </c>
      <c r="AL4171" s="5">
        <f t="shared" ref="AL4171:AL4172" si="573">(T4171-W4171)/T4171</f>
        <v>0.39542083333333333</v>
      </c>
    </row>
    <row r="4172" spans="1:38" hidden="1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70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3237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72"/>
        <v>24.300000000000004</v>
      </c>
      <c r="AL4172" s="5">
        <f t="shared" si="573"/>
        <v>0.3471428571428572</v>
      </c>
    </row>
    <row r="4173" spans="1:38" hidden="1" x14ac:dyDescent="0.2">
      <c r="A4173" s="8">
        <v>2026</v>
      </c>
      <c r="B4173" s="8">
        <v>6</v>
      </c>
      <c r="C4173" s="8"/>
      <c r="D4173" s="2" t="s">
        <v>2151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70"/>
        <v>246</v>
      </c>
      <c r="W4173" s="2">
        <v>120.636</v>
      </c>
      <c r="X4173" s="5">
        <f>(T4173-W4173)/T4173</f>
        <v>0.39682000000000001</v>
      </c>
      <c r="Z4173" s="2" t="s">
        <v>3237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2151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70"/>
        <v>36.9</v>
      </c>
      <c r="W4174" s="2">
        <v>28</v>
      </c>
      <c r="X4174" s="5">
        <f t="shared" ref="X4174" si="574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hidden="1" x14ac:dyDescent="0.2">
      <c r="A4175" s="8">
        <v>2026</v>
      </c>
      <c r="B4175" s="8">
        <v>6</v>
      </c>
      <c r="C4175" s="8"/>
      <c r="D4175" s="2" t="s">
        <v>2151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75">T4175*23%</f>
        <v>0.34040000000000004</v>
      </c>
      <c r="V4175" s="10">
        <f t="shared" si="570"/>
        <v>1.8204</v>
      </c>
      <c r="W4175" s="2">
        <f>1.48*S4175</f>
        <v>1.48</v>
      </c>
      <c r="X4175" s="5">
        <f>(T4175-W4175)/T4175</f>
        <v>0</v>
      </c>
      <c r="Z4175" s="2" t="s">
        <v>3237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hidden="1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3238</v>
      </c>
      <c r="Q4176" s="2" t="s">
        <v>2983</v>
      </c>
      <c r="R4176" s="2" t="s">
        <v>2984</v>
      </c>
      <c r="S4176" s="9">
        <v>-1</v>
      </c>
      <c r="T4176" s="10">
        <v>-2460</v>
      </c>
      <c r="U4176" s="2">
        <f t="shared" si="575"/>
        <v>-565.80000000000007</v>
      </c>
      <c r="V4176" s="10">
        <f t="shared" si="570"/>
        <v>-3025.8</v>
      </c>
      <c r="X4176" s="2"/>
      <c r="Z4176" s="2" t="s">
        <v>105</v>
      </c>
      <c r="AI4176" s="2"/>
    </row>
    <row r="4177" spans="1:38" hidden="1" x14ac:dyDescent="0.2">
      <c r="A4177" s="8">
        <v>2026</v>
      </c>
      <c r="B4177" s="8">
        <v>6</v>
      </c>
      <c r="C4177" s="8" t="s">
        <v>3305</v>
      </c>
      <c r="D4177" s="2" t="s">
        <v>3410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3240</v>
      </c>
      <c r="P4177" s="2" t="s">
        <v>1197</v>
      </c>
      <c r="Q4177" s="2" t="s">
        <v>3068</v>
      </c>
      <c r="R4177" s="2" t="s">
        <v>3069</v>
      </c>
      <c r="S4177" s="9">
        <v>1</v>
      </c>
      <c r="T4177" s="10">
        <v>5990</v>
      </c>
      <c r="U4177" s="2">
        <f t="shared" si="575"/>
        <v>1377.7</v>
      </c>
      <c r="V4177" s="10">
        <f>U4177+T4177</f>
        <v>7367.7</v>
      </c>
      <c r="W4177" s="2">
        <v>4214</v>
      </c>
      <c r="X4177" s="5">
        <f t="shared" ref="X4177" si="576">(T4177-W4177)/T4177</f>
        <v>0.29649415692821368</v>
      </c>
      <c r="Z4177" s="2" t="s">
        <v>105</v>
      </c>
      <c r="AA4177" s="2" t="s">
        <v>2754</v>
      </c>
      <c r="AB4177" s="2" t="s">
        <v>3409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hidden="1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75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75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3121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75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3121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75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3121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hidden="1" x14ac:dyDescent="0.2">
      <c r="A4183" s="8">
        <v>2026</v>
      </c>
      <c r="B4183" s="8">
        <v>6</v>
      </c>
      <c r="C4183" s="8"/>
      <c r="D4183" s="2" t="s">
        <v>1915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77">T4183*23%</f>
        <v>23</v>
      </c>
      <c r="V4183" s="10">
        <f t="shared" ref="V4183:V4184" si="578">T4183+U4183</f>
        <v>123</v>
      </c>
      <c r="W4183" s="2">
        <f t="shared" ref="W4183:W4184" si="579">14.5099*S4183</f>
        <v>58.0396</v>
      </c>
      <c r="X4183" s="5">
        <f t="shared" ref="X4183:X4185" si="580">(T4183-W4183)/T4183</f>
        <v>0.41960399999999998</v>
      </c>
      <c r="Z4183" s="2" t="s">
        <v>3237</v>
      </c>
      <c r="AA4183" s="2" t="s">
        <v>46</v>
      </c>
      <c r="AB4183" s="2" t="s">
        <v>61</v>
      </c>
      <c r="AC4183" s="2" t="s">
        <v>3343</v>
      </c>
      <c r="AI4183" s="2"/>
      <c r="AK4183" s="2">
        <f t="shared" ref="AK4183:AK4185" si="581">T4183-W4183</f>
        <v>41.9604</v>
      </c>
      <c r="AL4183" s="5">
        <f t="shared" ref="AL4183:AL4185" si="582">(T4183-W4183)/T4183</f>
        <v>0.41960399999999998</v>
      </c>
    </row>
    <row r="4184" spans="1:38" hidden="1" x14ac:dyDescent="0.2">
      <c r="A4184" s="8">
        <v>2026</v>
      </c>
      <c r="B4184" s="8">
        <v>6</v>
      </c>
      <c r="C4184" s="8"/>
      <c r="D4184" s="2" t="s">
        <v>1915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77"/>
        <v>23</v>
      </c>
      <c r="V4184" s="10">
        <f t="shared" si="578"/>
        <v>123</v>
      </c>
      <c r="W4184" s="2">
        <f t="shared" si="579"/>
        <v>58.0396</v>
      </c>
      <c r="X4184" s="5">
        <f t="shared" si="580"/>
        <v>0.41960399999999998</v>
      </c>
      <c r="Z4184" s="2" t="s">
        <v>3237</v>
      </c>
      <c r="AA4184" s="2" t="s">
        <v>46</v>
      </c>
      <c r="AB4184" s="2" t="s">
        <v>61</v>
      </c>
      <c r="AC4184" s="2" t="s">
        <v>3343</v>
      </c>
      <c r="AI4184" s="2"/>
      <c r="AK4184" s="2">
        <f t="shared" si="581"/>
        <v>41.9604</v>
      </c>
      <c r="AL4184" s="5">
        <f t="shared" si="582"/>
        <v>0.41960399999999998</v>
      </c>
    </row>
    <row r="4185" spans="1:38" hidden="1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80"/>
        <v>1</v>
      </c>
      <c r="Z4185" s="2" t="s">
        <v>120</v>
      </c>
      <c r="AA4185" s="2" t="s">
        <v>493</v>
      </c>
      <c r="AI4185" s="2"/>
      <c r="AK4185" s="2">
        <f t="shared" si="581"/>
        <v>678.91</v>
      </c>
      <c r="AL4185" s="5">
        <f t="shared" si="582"/>
        <v>1</v>
      </c>
    </row>
    <row r="4186" spans="1:38" hidden="1" x14ac:dyDescent="0.2">
      <c r="A4186" s="8">
        <v>2026</v>
      </c>
      <c r="B4186" s="8">
        <v>6</v>
      </c>
      <c r="C4186" s="8"/>
      <c r="D4186" s="2" t="s">
        <v>3122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83">T4186*23%</f>
        <v>13.8</v>
      </c>
      <c r="V4186" s="2">
        <f t="shared" ref="V4186:V4190" si="584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3122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83"/>
        <v>50.6</v>
      </c>
      <c r="V4187" s="2">
        <f t="shared" si="584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hidden="1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3227</v>
      </c>
      <c r="J4188" s="2" t="s">
        <v>3226</v>
      </c>
      <c r="K4188" s="2">
        <v>913814877</v>
      </c>
      <c r="L4188" s="2" t="s">
        <v>202</v>
      </c>
      <c r="M4188" s="2" t="s">
        <v>81</v>
      </c>
      <c r="O4188" s="2" t="s">
        <v>3225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83"/>
        <v>12.42</v>
      </c>
      <c r="V4188" s="10">
        <f t="shared" si="584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3237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3227</v>
      </c>
      <c r="J4189" s="2" t="s">
        <v>3226</v>
      </c>
      <c r="K4189" s="2">
        <v>913814877</v>
      </c>
      <c r="L4189" s="2" t="s">
        <v>202</v>
      </c>
      <c r="M4189" s="2" t="s">
        <v>81</v>
      </c>
      <c r="O4189" s="2" t="s">
        <v>3225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85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586">T4189-W4189</f>
        <v>8</v>
      </c>
      <c r="AL4189" s="5">
        <f t="shared" ref="AL4189:AL4190" si="587">(T4189-W4189)/T4189</f>
        <v>1</v>
      </c>
    </row>
    <row r="4190" spans="1:38" hidden="1" x14ac:dyDescent="0.2">
      <c r="A4190" s="8">
        <v>2026</v>
      </c>
      <c r="B4190" s="8">
        <v>6</v>
      </c>
      <c r="C4190" s="8"/>
      <c r="D4190" s="2" t="s">
        <v>2440</v>
      </c>
      <c r="P4190" s="2" t="s">
        <v>43</v>
      </c>
      <c r="Q4190" s="2" t="s">
        <v>2877</v>
      </c>
      <c r="R4190" s="2" t="s">
        <v>2878</v>
      </c>
      <c r="S4190" s="9">
        <v>2</v>
      </c>
      <c r="T4190" s="10">
        <v>100</v>
      </c>
      <c r="U4190" s="2">
        <f t="shared" si="583"/>
        <v>23</v>
      </c>
      <c r="V4190" s="10">
        <f t="shared" si="584"/>
        <v>123</v>
      </c>
      <c r="W4190" s="2">
        <f>W3923*S4190</f>
        <v>71.56</v>
      </c>
      <c r="X4190" s="5">
        <f>(T4190-W4190)/T4190</f>
        <v>0.28439999999999999</v>
      </c>
      <c r="Z4190" s="2" t="s">
        <v>3237</v>
      </c>
      <c r="AA4190" s="2" t="s">
        <v>46</v>
      </c>
      <c r="AB4190" s="2" t="s">
        <v>91</v>
      </c>
      <c r="AC4190" s="2" t="s">
        <v>58</v>
      </c>
      <c r="AI4190" s="2"/>
      <c r="AK4190" s="2">
        <f t="shared" si="586"/>
        <v>28.439999999999998</v>
      </c>
      <c r="AL4190" s="5">
        <f t="shared" si="587"/>
        <v>0.28439999999999999</v>
      </c>
    </row>
    <row r="4191" spans="1:38" hidden="1" x14ac:dyDescent="0.2">
      <c r="A4191" s="8">
        <v>2026</v>
      </c>
      <c r="B4191" s="8">
        <v>6</v>
      </c>
      <c r="C4191" s="8"/>
      <c r="D4191" s="2" t="s">
        <v>2440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88">(T4191-W4191)/T4191</f>
        <v>1</v>
      </c>
      <c r="Z4191" s="2" t="s">
        <v>170</v>
      </c>
      <c r="AA4191" s="2" t="s">
        <v>170</v>
      </c>
      <c r="AI4191" s="2"/>
      <c r="AK4191" s="2">
        <f t="shared" ref="AK4191" si="589">T4191-W4191</f>
        <v>8</v>
      </c>
      <c r="AL4191" s="5">
        <f t="shared" ref="AL4191" si="590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2990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2991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2990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2991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2993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2990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2991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hidden="1" x14ac:dyDescent="0.2">
      <c r="A4195" s="8">
        <v>2026</v>
      </c>
      <c r="B4195" s="8">
        <v>6</v>
      </c>
      <c r="C4195" s="8"/>
      <c r="D4195" s="2" t="s">
        <v>2990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2991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hidden="1" x14ac:dyDescent="0.2">
      <c r="A4196" s="8">
        <v>2026</v>
      </c>
      <c r="B4196" s="8">
        <v>6</v>
      </c>
      <c r="C4196" s="8"/>
      <c r="D4196" s="2" t="s">
        <v>2990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2991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hidden="1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91">T4197*23%</f>
        <v>11.040000000000001</v>
      </c>
      <c r="V4197" s="10">
        <f t="shared" ref="V4197:V4202" si="592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3237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hidden="1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91"/>
        <v>50.6</v>
      </c>
      <c r="V4198" s="10">
        <f t="shared" si="592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3237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hidden="1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91"/>
        <v>0.34040000000000004</v>
      </c>
      <c r="V4199" s="10">
        <f t="shared" si="592"/>
        <v>1.8204</v>
      </c>
      <c r="W4199" s="2">
        <f>1.48*S4199</f>
        <v>1.48</v>
      </c>
      <c r="X4199" s="5">
        <f>(T4199-W4199)/T4199</f>
        <v>0</v>
      </c>
      <c r="Z4199" s="2" t="s">
        <v>3237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3342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91"/>
        <v>-73.160699999999991</v>
      </c>
      <c r="V4200" s="10">
        <f t="shared" si="592"/>
        <v>-391.25069999999994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3342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91"/>
        <v>15.019</v>
      </c>
      <c r="V4201" s="10">
        <f t="shared" si="592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3119</v>
      </c>
      <c r="P4202" s="2" t="s">
        <v>40</v>
      </c>
      <c r="Q4202" s="2" t="s">
        <v>3070</v>
      </c>
      <c r="R4202" s="2" t="s">
        <v>3071</v>
      </c>
      <c r="S4202" s="9">
        <v>11601</v>
      </c>
      <c r="T4202" s="10">
        <v>2098.09</v>
      </c>
      <c r="U4202" s="2">
        <f t="shared" si="591"/>
        <v>482.56070000000005</v>
      </c>
      <c r="V4202" s="10">
        <f t="shared" si="592"/>
        <v>2580.6507000000001</v>
      </c>
      <c r="X4202" s="5">
        <f t="shared" ref="X4202" si="593">(T4202-W4202)/T4202</f>
        <v>1</v>
      </c>
      <c r="Z4202" s="2" t="s">
        <v>120</v>
      </c>
      <c r="AA4202" s="2" t="s">
        <v>3303</v>
      </c>
      <c r="AI4202" s="2"/>
      <c r="AK4202" s="2">
        <f t="shared" ref="AK4202" si="594">T4202-W4202</f>
        <v>2098.09</v>
      </c>
      <c r="AL4202" s="5">
        <f t="shared" ref="AL4202" si="595">(T4202-W4202)/T4202</f>
        <v>1</v>
      </c>
    </row>
    <row r="4203" spans="1:38" hidden="1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3143</v>
      </c>
      <c r="L4203" s="2" t="s">
        <v>178</v>
      </c>
      <c r="M4203" s="2" t="s">
        <v>41</v>
      </c>
      <c r="O4203" s="2" t="s">
        <v>3153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96">T4203*23%</f>
        <v>42.398200000000003</v>
      </c>
      <c r="V4203" s="10">
        <f t="shared" ref="V4203:V4211" si="597">T4203+U4203</f>
        <v>226.73820000000001</v>
      </c>
      <c r="X4203" s="5">
        <f>(T4203-W4203)/T4203</f>
        <v>1</v>
      </c>
      <c r="AI4203" s="2"/>
      <c r="AL4203" s="2"/>
    </row>
    <row r="4204" spans="1:38" hidden="1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3143</v>
      </c>
      <c r="L4204" s="2" t="s">
        <v>178</v>
      </c>
      <c r="M4204" s="2" t="s">
        <v>41</v>
      </c>
      <c r="O4204" s="2" t="s">
        <v>3154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96"/>
        <v>5.98</v>
      </c>
      <c r="V4204" s="10">
        <f t="shared" si="597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3237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98">AI4204*T4204</f>
        <v>0</v>
      </c>
      <c r="AK4204" s="2">
        <f t="shared" ref="AK4204:AK4211" si="599">T4204-W4204</f>
        <v>12.746600000000001</v>
      </c>
      <c r="AL4204" s="5">
        <f>(T4204-W4204)/T4204</f>
        <v>0.49025384615384621</v>
      </c>
    </row>
    <row r="4205" spans="1:38" hidden="1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3143</v>
      </c>
      <c r="L4205" s="2" t="s">
        <v>178</v>
      </c>
      <c r="M4205" s="2" t="s">
        <v>41</v>
      </c>
      <c r="O4205" s="2" t="s">
        <v>3152</v>
      </c>
      <c r="P4205" s="2" t="s">
        <v>167</v>
      </c>
      <c r="Q4205" s="2" t="s">
        <v>3072</v>
      </c>
      <c r="R4205" s="2" t="s">
        <v>3073</v>
      </c>
      <c r="S4205" s="9">
        <v>6</v>
      </c>
      <c r="T4205" s="10">
        <v>8.82</v>
      </c>
      <c r="U4205" s="2">
        <f t="shared" si="596"/>
        <v>2.0286</v>
      </c>
      <c r="V4205" s="10">
        <f t="shared" si="597"/>
        <v>10.848600000000001</v>
      </c>
      <c r="X4205" s="5">
        <f>(T4205-W4205)/T4205</f>
        <v>1</v>
      </c>
      <c r="Z4205" s="2" t="s">
        <v>3237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98"/>
        <v>0</v>
      </c>
      <c r="AK4205" s="2">
        <f t="shared" si="599"/>
        <v>8.82</v>
      </c>
      <c r="AL4205" s="5">
        <f>(T4205-W4205)/T4205</f>
        <v>1</v>
      </c>
    </row>
    <row r="4206" spans="1:38" hidden="1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3143</v>
      </c>
      <c r="L4206" s="2" t="s">
        <v>178</v>
      </c>
      <c r="M4206" s="2" t="s">
        <v>41</v>
      </c>
      <c r="O4206" s="2" t="s">
        <v>3152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96"/>
        <v>3.3809999999999998</v>
      </c>
      <c r="V4206" s="10">
        <f t="shared" si="597"/>
        <v>18.081</v>
      </c>
      <c r="X4206" s="5">
        <f>(T4206-W4206)/T4206</f>
        <v>1</v>
      </c>
      <c r="Z4206" s="2" t="s">
        <v>3237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98"/>
        <v>0</v>
      </c>
      <c r="AK4206" s="2">
        <f t="shared" si="599"/>
        <v>14.7</v>
      </c>
      <c r="AL4206" s="5">
        <f>(T4206-W4206)/T4206</f>
        <v>1</v>
      </c>
    </row>
    <row r="4207" spans="1:38" hidden="1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3143</v>
      </c>
      <c r="L4207" s="2" t="s">
        <v>178</v>
      </c>
      <c r="M4207" s="2" t="s">
        <v>40</v>
      </c>
      <c r="O4207" s="2" t="s">
        <v>3153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96"/>
        <v>0</v>
      </c>
      <c r="V4207" s="2">
        <f t="shared" si="597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98"/>
        <v>0</v>
      </c>
      <c r="AK4207" s="2">
        <f t="shared" si="599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3143</v>
      </c>
      <c r="L4208" s="2" t="s">
        <v>178</v>
      </c>
      <c r="M4208" s="2" t="s">
        <v>40</v>
      </c>
      <c r="O4208" s="2" t="s">
        <v>3153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96"/>
        <v>12.65</v>
      </c>
      <c r="V4208" s="2">
        <f t="shared" si="597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98"/>
        <v>0</v>
      </c>
      <c r="AK4208" s="2">
        <f t="shared" si="599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3120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96"/>
        <v>28.75</v>
      </c>
      <c r="V4209" s="2">
        <f t="shared" si="597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98"/>
        <v>0</v>
      </c>
      <c r="AK4209" s="2">
        <f t="shared" si="599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3120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96"/>
        <v>12.65</v>
      </c>
      <c r="V4210" s="2">
        <f t="shared" si="597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98"/>
        <v>0</v>
      </c>
      <c r="AK4210" s="2">
        <f t="shared" si="599"/>
        <v>27.5</v>
      </c>
      <c r="AL4210" s="5">
        <f>(T4210-W4210)/T4210</f>
        <v>0.5</v>
      </c>
    </row>
    <row r="4211" spans="1:38" hidden="1" x14ac:dyDescent="0.2">
      <c r="A4211" s="8">
        <v>2026</v>
      </c>
      <c r="B4211" s="8">
        <v>6</v>
      </c>
      <c r="C4211" s="8" t="s">
        <v>3404</v>
      </c>
      <c r="D4211" s="2" t="s">
        <v>1726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97"/>
        <v>8.4870000000000001</v>
      </c>
      <c r="W4211" s="2">
        <f>5.135*S4211</f>
        <v>5.1349999999999998</v>
      </c>
      <c r="X4211" s="5">
        <f t="shared" ref="X4211:X4220" si="600">(T4211-W4211)/T4211</f>
        <v>0.25579710144927542</v>
      </c>
      <c r="Z4211" s="2" t="s">
        <v>3237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99"/>
        <v>1.7650000000000006</v>
      </c>
      <c r="AL4211" s="5">
        <f t="shared" ref="AL4211" si="601">(T4211-W4211)/T4211</f>
        <v>0.25579710144927542</v>
      </c>
    </row>
    <row r="4212" spans="1:38" hidden="1" x14ac:dyDescent="0.2">
      <c r="A4212" s="8">
        <v>2026</v>
      </c>
      <c r="B4212" s="8">
        <v>6</v>
      </c>
      <c r="C4212" s="8" t="s">
        <v>3404</v>
      </c>
      <c r="D4212" s="2" t="s">
        <v>1726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2905</v>
      </c>
      <c r="Q4212" s="2" t="s">
        <v>3074</v>
      </c>
      <c r="R4212" s="2" t="s">
        <v>3075</v>
      </c>
      <c r="S4212" s="9">
        <v>1</v>
      </c>
      <c r="T4212" s="10">
        <v>7.24</v>
      </c>
      <c r="U4212" s="2">
        <f t="shared" ref="U4212:U4220" si="602">T4212*23%</f>
        <v>1.6652</v>
      </c>
      <c r="V4212" s="2">
        <f t="shared" ref="V4212:V4220" si="603">T4212+U4212</f>
        <v>8.9052000000000007</v>
      </c>
      <c r="W4212" s="2">
        <v>5.07</v>
      </c>
      <c r="X4212" s="5">
        <f t="shared" si="600"/>
        <v>0.29972375690607733</v>
      </c>
      <c r="Z4212" s="2" t="s">
        <v>3237</v>
      </c>
      <c r="AA4212" s="2" t="s">
        <v>72</v>
      </c>
      <c r="AB4212" s="2" t="s">
        <v>2905</v>
      </c>
      <c r="AC4212" s="2" t="s">
        <v>2905</v>
      </c>
      <c r="AI4212" s="2"/>
      <c r="AK4212" s="2">
        <f t="shared" ref="AK4212:AK4218" si="604">T4212-W4212</f>
        <v>2.17</v>
      </c>
      <c r="AL4212" s="5">
        <f t="shared" ref="AL4212:AL4218" si="605">(T4212-W4212)/T4212</f>
        <v>0.29972375690607733</v>
      </c>
    </row>
    <row r="4213" spans="1:38" hidden="1" x14ac:dyDescent="0.2">
      <c r="A4213" s="8">
        <v>2026</v>
      </c>
      <c r="B4213" s="8">
        <v>6</v>
      </c>
      <c r="C4213" s="8" t="s">
        <v>3404</v>
      </c>
      <c r="D4213" s="2" t="s">
        <v>1726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2905</v>
      </c>
      <c r="Q4213" s="2" t="s">
        <v>3076</v>
      </c>
      <c r="R4213" s="2" t="s">
        <v>3077</v>
      </c>
      <c r="S4213" s="9">
        <v>1</v>
      </c>
      <c r="T4213" s="10">
        <v>7.24</v>
      </c>
      <c r="U4213" s="2">
        <f t="shared" si="602"/>
        <v>1.6652</v>
      </c>
      <c r="V4213" s="2">
        <f t="shared" si="603"/>
        <v>8.9052000000000007</v>
      </c>
      <c r="W4213" s="2">
        <v>5.07</v>
      </c>
      <c r="X4213" s="5">
        <f t="shared" si="600"/>
        <v>0.29972375690607733</v>
      </c>
      <c r="Z4213" s="2" t="s">
        <v>3237</v>
      </c>
      <c r="AA4213" s="2" t="s">
        <v>72</v>
      </c>
      <c r="AB4213" s="2" t="s">
        <v>2905</v>
      </c>
      <c r="AC4213" s="2" t="s">
        <v>2905</v>
      </c>
      <c r="AI4213" s="2"/>
      <c r="AK4213" s="2">
        <f t="shared" si="604"/>
        <v>2.17</v>
      </c>
      <c r="AL4213" s="5">
        <f t="shared" si="605"/>
        <v>0.29972375690607733</v>
      </c>
    </row>
    <row r="4214" spans="1:38" hidden="1" x14ac:dyDescent="0.2">
      <c r="A4214" s="8">
        <v>2026</v>
      </c>
      <c r="B4214" s="8">
        <v>6</v>
      </c>
      <c r="C4214" s="8" t="s">
        <v>3404</v>
      </c>
      <c r="D4214" s="2" t="s">
        <v>1726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2905</v>
      </c>
      <c r="Q4214" s="2" t="s">
        <v>3078</v>
      </c>
      <c r="R4214" s="2" t="s">
        <v>3079</v>
      </c>
      <c r="S4214" s="9">
        <v>1</v>
      </c>
      <c r="T4214" s="10">
        <v>7.24</v>
      </c>
      <c r="U4214" s="2">
        <f t="shared" si="602"/>
        <v>1.6652</v>
      </c>
      <c r="V4214" s="2">
        <f t="shared" si="603"/>
        <v>8.9052000000000007</v>
      </c>
      <c r="W4214" s="2">
        <f>5.07</f>
        <v>5.07</v>
      </c>
      <c r="X4214" s="5">
        <f t="shared" si="600"/>
        <v>0.29972375690607733</v>
      </c>
      <c r="Z4214" s="2" t="s">
        <v>3237</v>
      </c>
      <c r="AA4214" s="2" t="s">
        <v>72</v>
      </c>
      <c r="AB4214" s="2" t="s">
        <v>2905</v>
      </c>
      <c r="AC4214" s="2" t="s">
        <v>2905</v>
      </c>
      <c r="AI4214" s="2"/>
      <c r="AK4214" s="2">
        <f t="shared" si="604"/>
        <v>2.17</v>
      </c>
      <c r="AL4214" s="5">
        <f t="shared" si="605"/>
        <v>0.29972375690607733</v>
      </c>
    </row>
    <row r="4215" spans="1:38" hidden="1" x14ac:dyDescent="0.2">
      <c r="A4215" s="8">
        <v>2026</v>
      </c>
      <c r="B4215" s="8">
        <v>6</v>
      </c>
      <c r="C4215" s="8" t="s">
        <v>3404</v>
      </c>
      <c r="D4215" s="2" t="s">
        <v>1726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2905</v>
      </c>
      <c r="Q4215" s="2" t="s">
        <v>3080</v>
      </c>
      <c r="R4215" s="2" t="s">
        <v>3081</v>
      </c>
      <c r="S4215" s="9">
        <v>1</v>
      </c>
      <c r="T4215" s="10">
        <v>16.899999999999999</v>
      </c>
      <c r="U4215" s="2">
        <f t="shared" si="602"/>
        <v>3.887</v>
      </c>
      <c r="V4215" s="2">
        <f t="shared" si="603"/>
        <v>20.786999999999999</v>
      </c>
      <c r="W4215" s="2">
        <f>12.68</f>
        <v>12.68</v>
      </c>
      <c r="X4215" s="5">
        <f t="shared" si="600"/>
        <v>0.24970414201183427</v>
      </c>
      <c r="Z4215" s="2" t="s">
        <v>3237</v>
      </c>
      <c r="AA4215" s="2" t="s">
        <v>72</v>
      </c>
      <c r="AB4215" s="2" t="s">
        <v>2905</v>
      </c>
      <c r="AC4215" s="2" t="s">
        <v>2905</v>
      </c>
      <c r="AI4215" s="2"/>
      <c r="AK4215" s="2">
        <f t="shared" si="604"/>
        <v>4.2199999999999989</v>
      </c>
      <c r="AL4215" s="5">
        <f t="shared" si="605"/>
        <v>0.24970414201183427</v>
      </c>
    </row>
    <row r="4216" spans="1:38" hidden="1" x14ac:dyDescent="0.2">
      <c r="A4216" s="8">
        <v>2026</v>
      </c>
      <c r="B4216" s="8">
        <v>6</v>
      </c>
      <c r="C4216" s="8" t="s">
        <v>3404</v>
      </c>
      <c r="D4216" s="2" t="s">
        <v>1726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2905</v>
      </c>
      <c r="Q4216" s="2" t="s">
        <v>3082</v>
      </c>
      <c r="R4216" s="2" t="s">
        <v>3083</v>
      </c>
      <c r="S4216" s="9">
        <v>1</v>
      </c>
      <c r="T4216" s="10">
        <v>19</v>
      </c>
      <c r="U4216" s="2">
        <f t="shared" si="602"/>
        <v>4.37</v>
      </c>
      <c r="V4216" s="2">
        <f t="shared" si="603"/>
        <v>23.37</v>
      </c>
      <c r="W4216" s="2">
        <f>14.25</f>
        <v>14.25</v>
      </c>
      <c r="X4216" s="5">
        <f t="shared" si="600"/>
        <v>0.25</v>
      </c>
      <c r="Z4216" s="2" t="s">
        <v>3237</v>
      </c>
      <c r="AA4216" s="2" t="s">
        <v>72</v>
      </c>
      <c r="AB4216" s="2" t="s">
        <v>2905</v>
      </c>
      <c r="AC4216" s="2" t="s">
        <v>2905</v>
      </c>
      <c r="AI4216" s="2"/>
      <c r="AK4216" s="2">
        <f t="shared" si="604"/>
        <v>4.75</v>
      </c>
      <c r="AL4216" s="5">
        <f t="shared" si="605"/>
        <v>0.25</v>
      </c>
    </row>
    <row r="4217" spans="1:38" hidden="1" x14ac:dyDescent="0.2">
      <c r="A4217" s="8">
        <v>2026</v>
      </c>
      <c r="B4217" s="8">
        <v>6</v>
      </c>
      <c r="C4217" s="8" t="s">
        <v>3404</v>
      </c>
      <c r="D4217" s="2" t="s">
        <v>1726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2905</v>
      </c>
      <c r="Q4217" s="2" t="s">
        <v>3084</v>
      </c>
      <c r="R4217" s="2" t="s">
        <v>3085</v>
      </c>
      <c r="S4217" s="9">
        <v>1</v>
      </c>
      <c r="T4217" s="10">
        <v>43.5</v>
      </c>
      <c r="U4217" s="2">
        <f t="shared" si="602"/>
        <v>10.005000000000001</v>
      </c>
      <c r="V4217" s="2">
        <f t="shared" si="603"/>
        <v>53.505000000000003</v>
      </c>
      <c r="W4217" s="2">
        <f>32.63</f>
        <v>32.630000000000003</v>
      </c>
      <c r="X4217" s="5">
        <f t="shared" si="600"/>
        <v>0.2498850574712643</v>
      </c>
      <c r="Z4217" s="2" t="s">
        <v>3237</v>
      </c>
      <c r="AA4217" s="2" t="s">
        <v>72</v>
      </c>
      <c r="AB4217" s="2" t="s">
        <v>2905</v>
      </c>
      <c r="AC4217" s="2" t="s">
        <v>2905</v>
      </c>
      <c r="AI4217" s="2"/>
      <c r="AK4217" s="2">
        <f t="shared" si="604"/>
        <v>10.869999999999997</v>
      </c>
      <c r="AL4217" s="5">
        <f t="shared" si="605"/>
        <v>0.2498850574712643</v>
      </c>
    </row>
    <row r="4218" spans="1:38" hidden="1" x14ac:dyDescent="0.2">
      <c r="A4218" s="8">
        <v>2026</v>
      </c>
      <c r="B4218" s="8">
        <v>6</v>
      </c>
      <c r="C4218" s="8" t="s">
        <v>3404</v>
      </c>
      <c r="D4218" s="2" t="s">
        <v>1726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2905</v>
      </c>
      <c r="Q4218" s="2" t="s">
        <v>3086</v>
      </c>
      <c r="R4218" s="2" t="s">
        <v>3087</v>
      </c>
      <c r="S4218" s="9">
        <v>1</v>
      </c>
      <c r="T4218" s="10">
        <v>13.6</v>
      </c>
      <c r="U4218" s="2">
        <f t="shared" si="602"/>
        <v>3.1280000000000001</v>
      </c>
      <c r="V4218" s="2">
        <f t="shared" si="603"/>
        <v>16.728000000000002</v>
      </c>
      <c r="W4218" s="2">
        <f>10.2</f>
        <v>10.199999999999999</v>
      </c>
      <c r="X4218" s="5">
        <f t="shared" si="600"/>
        <v>0.25000000000000006</v>
      </c>
      <c r="Z4218" s="2" t="s">
        <v>3237</v>
      </c>
      <c r="AA4218" s="2" t="s">
        <v>72</v>
      </c>
      <c r="AB4218" s="2" t="s">
        <v>2905</v>
      </c>
      <c r="AC4218" s="2" t="s">
        <v>2905</v>
      </c>
      <c r="AI4218" s="2"/>
      <c r="AK4218" s="2">
        <f t="shared" si="604"/>
        <v>3.4000000000000004</v>
      </c>
      <c r="AL4218" s="5">
        <f t="shared" si="605"/>
        <v>0.25000000000000006</v>
      </c>
    </row>
    <row r="4219" spans="1:38" hidden="1" x14ac:dyDescent="0.2">
      <c r="A4219" s="8">
        <v>2026</v>
      </c>
      <c r="B4219" s="8">
        <v>6</v>
      </c>
      <c r="C4219" s="8"/>
      <c r="D4219" s="2" t="s">
        <v>3118</v>
      </c>
      <c r="P4219" s="2" t="s">
        <v>69</v>
      </c>
      <c r="Q4219" s="2" t="s">
        <v>3088</v>
      </c>
      <c r="R4219" s="2" t="s">
        <v>3089</v>
      </c>
      <c r="S4219" s="9">
        <v>1</v>
      </c>
      <c r="T4219" s="10">
        <v>43</v>
      </c>
      <c r="U4219" s="2">
        <f t="shared" si="602"/>
        <v>9.89</v>
      </c>
      <c r="V4219" s="2">
        <f t="shared" si="603"/>
        <v>52.89</v>
      </c>
      <c r="X4219" s="5">
        <f t="shared" si="600"/>
        <v>1</v>
      </c>
      <c r="Z4219" s="2" t="s">
        <v>3237</v>
      </c>
      <c r="AI4219" s="2"/>
      <c r="AL4219" s="2"/>
    </row>
    <row r="4220" spans="1:38" hidden="1" x14ac:dyDescent="0.2">
      <c r="A4220" s="8">
        <v>2026</v>
      </c>
      <c r="B4220" s="8">
        <v>6</v>
      </c>
      <c r="C4220" s="8" t="s">
        <v>3306</v>
      </c>
      <c r="D4220" s="2" t="s">
        <v>3118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2905</v>
      </c>
      <c r="Q4220" s="2" t="s">
        <v>3090</v>
      </c>
      <c r="R4220" s="2" t="s">
        <v>3091</v>
      </c>
      <c r="S4220" s="9">
        <v>1</v>
      </c>
      <c r="T4220" s="10">
        <v>198</v>
      </c>
      <c r="U4220" s="2">
        <f t="shared" si="602"/>
        <v>45.54</v>
      </c>
      <c r="V4220" s="2">
        <f t="shared" si="603"/>
        <v>243.54</v>
      </c>
      <c r="W4220" s="2">
        <v>148.5</v>
      </c>
      <c r="X4220" s="5">
        <f t="shared" si="600"/>
        <v>0.25</v>
      </c>
      <c r="Z4220" s="2" t="s">
        <v>3237</v>
      </c>
      <c r="AA4220" s="2" t="s">
        <v>72</v>
      </c>
      <c r="AB4220" s="2" t="s">
        <v>2905</v>
      </c>
      <c r="AC4220" s="2" t="s">
        <v>2905</v>
      </c>
      <c r="AI4220" s="2"/>
      <c r="AK4220" s="2">
        <f t="shared" ref="AK4220" si="606">T4220-W4220</f>
        <v>49.5</v>
      </c>
      <c r="AL4220" s="5">
        <f t="shared" ref="AL4220" si="607">(T4220-W4220)/T4220</f>
        <v>0.25</v>
      </c>
    </row>
    <row r="4221" spans="1:38" hidden="1" x14ac:dyDescent="0.2">
      <c r="A4221" s="8">
        <v>2026</v>
      </c>
      <c r="B4221" s="8">
        <v>6</v>
      </c>
      <c r="C4221" s="8"/>
      <c r="D4221" s="2" t="s">
        <v>3118</v>
      </c>
      <c r="P4221" s="2" t="s">
        <v>40</v>
      </c>
      <c r="Q4221" s="2" t="s">
        <v>3092</v>
      </c>
      <c r="R4221" s="2" t="s">
        <v>3093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hidden="1" x14ac:dyDescent="0.2">
      <c r="A4222" s="8">
        <v>2026</v>
      </c>
      <c r="B4222" s="8">
        <v>6</v>
      </c>
      <c r="C4222" s="8"/>
      <c r="D4222" s="2" t="s">
        <v>2055</v>
      </c>
      <c r="P4222" s="2" t="s">
        <v>1041</v>
      </c>
      <c r="Q4222" s="2" t="s">
        <v>3094</v>
      </c>
      <c r="R4222" s="2" t="s">
        <v>3095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3237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hidden="1" x14ac:dyDescent="0.2">
      <c r="A4223" s="8">
        <v>2026</v>
      </c>
      <c r="B4223" s="8">
        <v>6</v>
      </c>
      <c r="C4223" s="8"/>
      <c r="D4223" s="2" t="s">
        <v>2055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608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hidden="1" x14ac:dyDescent="0.2">
      <c r="A4224" s="8">
        <v>2026</v>
      </c>
      <c r="B4224" s="8">
        <v>6</v>
      </c>
      <c r="C4224" s="8"/>
      <c r="D4224" s="2" t="s">
        <v>2055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3237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2057</v>
      </c>
      <c r="P4225" s="2" t="s">
        <v>115</v>
      </c>
      <c r="Q4225" s="2" t="s">
        <v>2289</v>
      </c>
      <c r="R4225" s="2" t="s">
        <v>2290</v>
      </c>
      <c r="S4225" s="9">
        <v>1</v>
      </c>
      <c r="T4225" s="10">
        <v>278.67</v>
      </c>
      <c r="X4225" s="2"/>
      <c r="AI4225" s="2"/>
      <c r="AL4225" s="2"/>
    </row>
    <row r="4226" spans="1:38" hidden="1" x14ac:dyDescent="0.2">
      <c r="A4226" s="8">
        <v>2026</v>
      </c>
      <c r="B4226" s="8">
        <v>6</v>
      </c>
      <c r="C4226" s="8"/>
      <c r="D4226" s="2" t="s">
        <v>2057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609">T4226*23%</f>
        <v>33.81</v>
      </c>
      <c r="V4226" s="2">
        <f t="shared" ref="V4226:V4231" si="610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2057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609"/>
        <v>25.3</v>
      </c>
      <c r="V4227" s="2">
        <f t="shared" si="610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2912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609"/>
        <v>13.34</v>
      </c>
      <c r="V4228" s="2">
        <f t="shared" si="610"/>
        <v>71.34</v>
      </c>
      <c r="W4228" s="2">
        <f t="shared" ref="W4228" si="611">14.5099*S4228</f>
        <v>29.0198</v>
      </c>
      <c r="X4228" s="5">
        <f t="shared" ref="X4228" si="612">(T4228-W4228)/T4228</f>
        <v>0.49965862068965516</v>
      </c>
      <c r="Z4228" s="2" t="s">
        <v>3237</v>
      </c>
      <c r="AA4228" s="2" t="s">
        <v>46</v>
      </c>
      <c r="AB4228" s="2" t="s">
        <v>61</v>
      </c>
      <c r="AC4228" s="2" t="s">
        <v>3343</v>
      </c>
      <c r="AI4228" s="2"/>
      <c r="AK4228" s="2">
        <f t="shared" ref="AK4228" si="613">T4228-W4228</f>
        <v>28.9802</v>
      </c>
      <c r="AL4228" s="5">
        <f t="shared" ref="AL4228" si="614">(T4228-W4228)/T4228</f>
        <v>0.49965862068965516</v>
      </c>
    </row>
    <row r="4229" spans="1:38" hidden="1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609"/>
        <v>50.572400000000002</v>
      </c>
      <c r="V4229" s="10">
        <f t="shared" si="610"/>
        <v>270.45240000000001</v>
      </c>
      <c r="W4229" s="2">
        <v>125.51600000000001</v>
      </c>
      <c r="X4229" s="5">
        <f>(T4229-W4229)/T4229</f>
        <v>0.429161360742223</v>
      </c>
      <c r="Z4229" s="2" t="s">
        <v>3237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hidden="1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3165</v>
      </c>
      <c r="P4230" s="2" t="s">
        <v>1041</v>
      </c>
      <c r="Q4230" s="2" t="s">
        <v>1841</v>
      </c>
      <c r="R4230" s="2" t="s">
        <v>1842</v>
      </c>
      <c r="S4230" s="9">
        <v>1</v>
      </c>
      <c r="T4230" s="10">
        <v>269.56</v>
      </c>
      <c r="U4230" s="2">
        <f t="shared" si="609"/>
        <v>61.998800000000003</v>
      </c>
      <c r="V4230" s="2">
        <f t="shared" si="610"/>
        <v>331.55880000000002</v>
      </c>
      <c r="W4230" s="2">
        <v>157.85</v>
      </c>
      <c r="X4230" s="5">
        <f>(T4230-W4230)/T4230</f>
        <v>0.4144160854726221</v>
      </c>
      <c r="Z4230" s="2" t="s">
        <v>3237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609"/>
        <v>-4.7495000000000003</v>
      </c>
      <c r="V4231" s="10">
        <f t="shared" si="610"/>
        <v>-25.3995</v>
      </c>
      <c r="Z4231" s="2" t="s">
        <v>120</v>
      </c>
      <c r="AA4231" s="2" t="s">
        <v>143</v>
      </c>
      <c r="AI4231" s="2"/>
    </row>
    <row r="4232" spans="1:38" hidden="1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15">T4232*23%</f>
        <v>0.68080000000000007</v>
      </c>
      <c r="V4232" s="10">
        <f t="shared" ref="V4232:V4237" si="616">T4232+U4232</f>
        <v>3.6408</v>
      </c>
      <c r="W4232" s="2">
        <f>1.48*S4232</f>
        <v>2.96</v>
      </c>
      <c r="X4232" s="5">
        <f t="shared" ref="X4232:X4237" si="617">(T4232-W4232)/T4232</f>
        <v>0</v>
      </c>
      <c r="Z4232" s="2" t="s">
        <v>3237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hidden="1" x14ac:dyDescent="0.2">
      <c r="A4233" s="8">
        <v>2026</v>
      </c>
      <c r="B4233" s="8">
        <v>6</v>
      </c>
      <c r="C4233" s="8"/>
      <c r="D4233" s="2" t="s">
        <v>2534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15"/>
        <v>5.3819999999999997</v>
      </c>
      <c r="V4233" s="10">
        <f t="shared" si="616"/>
        <v>28.781999999999996</v>
      </c>
      <c r="W4233" s="2">
        <v>12.4434</v>
      </c>
      <c r="X4233" s="5">
        <f t="shared" si="617"/>
        <v>0.46823076923076917</v>
      </c>
      <c r="Z4233" s="2" t="s">
        <v>3237</v>
      </c>
      <c r="AA4233" s="2" t="s">
        <v>46</v>
      </c>
      <c r="AB4233" s="2" t="s">
        <v>57</v>
      </c>
      <c r="AC4233" s="2" t="s">
        <v>58</v>
      </c>
      <c r="AI4233" s="2"/>
      <c r="AK4233" s="2">
        <f t="shared" ref="AK4233" si="618">T4233-W4233</f>
        <v>10.956599999999998</v>
      </c>
      <c r="AL4233" s="5">
        <f t="shared" ref="AL4233" si="619">(T4233-W4233)/T4233</f>
        <v>0.46823076923076917</v>
      </c>
    </row>
    <row r="4234" spans="1:38" hidden="1" x14ac:dyDescent="0.2">
      <c r="A4234" s="8">
        <v>2026</v>
      </c>
      <c r="B4234" s="8">
        <v>6</v>
      </c>
      <c r="C4234" s="8"/>
      <c r="D4234" s="2" t="s">
        <v>2534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15"/>
        <v>6.9</v>
      </c>
      <c r="V4234" s="10">
        <f t="shared" si="616"/>
        <v>36.9</v>
      </c>
      <c r="X4234" s="5">
        <f t="shared" si="617"/>
        <v>1</v>
      </c>
      <c r="Z4234" s="2" t="s">
        <v>3237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hidden="1" x14ac:dyDescent="0.2">
      <c r="A4235" s="8">
        <v>2026</v>
      </c>
      <c r="B4235" s="8">
        <v>6</v>
      </c>
      <c r="C4235" s="8"/>
      <c r="D4235" s="2" t="s">
        <v>2534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15"/>
        <v>4.83</v>
      </c>
      <c r="V4235" s="10">
        <f t="shared" si="616"/>
        <v>25.83</v>
      </c>
      <c r="X4235" s="5">
        <f t="shared" si="617"/>
        <v>1</v>
      </c>
      <c r="Z4235" s="2" t="s">
        <v>3237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hidden="1" x14ac:dyDescent="0.2">
      <c r="A4236" s="8">
        <v>2026</v>
      </c>
      <c r="B4236" s="8">
        <v>6</v>
      </c>
      <c r="C4236" s="8"/>
      <c r="D4236" s="2" t="s">
        <v>2534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15"/>
        <v>8.9700000000000006</v>
      </c>
      <c r="V4236" s="10">
        <f t="shared" si="616"/>
        <v>47.97</v>
      </c>
      <c r="W4236" s="2">
        <f>0.082*S4236</f>
        <v>24.6</v>
      </c>
      <c r="X4236" s="5">
        <f t="shared" si="617"/>
        <v>0.3692307692307692</v>
      </c>
      <c r="Z4236" s="2" t="s">
        <v>3237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20">T4236-W4236</f>
        <v>14.399999999999999</v>
      </c>
      <c r="AL4236" s="5">
        <f t="shared" ref="AL4236" si="621">(T4236-W4236)/T4236</f>
        <v>0.3692307692307692</v>
      </c>
    </row>
    <row r="4237" spans="1:38" hidden="1" x14ac:dyDescent="0.2">
      <c r="A4237" s="8">
        <v>2026</v>
      </c>
      <c r="B4237" s="8">
        <v>6</v>
      </c>
      <c r="C4237" s="8"/>
      <c r="D4237" s="2" t="s">
        <v>2534</v>
      </c>
      <c r="P4237" s="2" t="s">
        <v>43</v>
      </c>
      <c r="Q4237" s="2" t="s">
        <v>2975</v>
      </c>
      <c r="R4237" s="2" t="s">
        <v>2976</v>
      </c>
      <c r="S4237" s="9">
        <v>2</v>
      </c>
      <c r="T4237" s="10">
        <v>36</v>
      </c>
      <c r="U4237" s="2">
        <f t="shared" si="615"/>
        <v>8.2800000000000011</v>
      </c>
      <c r="V4237" s="10">
        <f t="shared" si="616"/>
        <v>44.28</v>
      </c>
      <c r="X4237" s="5">
        <f t="shared" si="617"/>
        <v>1</v>
      </c>
      <c r="Z4237" s="2" t="s">
        <v>3237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2534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hidden="1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3169</v>
      </c>
      <c r="P4239" s="2" t="s">
        <v>1041</v>
      </c>
      <c r="Q4239" s="2" t="s">
        <v>3096</v>
      </c>
      <c r="R4239" s="2" t="s">
        <v>3097</v>
      </c>
      <c r="S4239" s="9">
        <v>1</v>
      </c>
      <c r="T4239" s="10">
        <v>270</v>
      </c>
      <c r="U4239" s="2">
        <f t="shared" ref="U4239:U4245" si="622">T4239*23%</f>
        <v>62.1</v>
      </c>
      <c r="V4239" s="2">
        <f t="shared" ref="V4239:V4245" si="623">T4239+U4239</f>
        <v>332.1</v>
      </c>
      <c r="W4239" s="2">
        <v>141.16</v>
      </c>
      <c r="X4239" s="5">
        <f t="shared" ref="X4239:X4250" si="624">(T4239-W4239)/T4239</f>
        <v>0.47718518518518521</v>
      </c>
      <c r="Z4239" s="2" t="s">
        <v>3237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hidden="1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22"/>
        <v>0.34040000000000004</v>
      </c>
      <c r="V4240" s="10">
        <f t="shared" si="623"/>
        <v>1.8204</v>
      </c>
      <c r="W4240" s="2">
        <f>1.48*S4240</f>
        <v>1.48</v>
      </c>
      <c r="X4240" s="5">
        <f t="shared" si="624"/>
        <v>0</v>
      </c>
      <c r="Z4240" s="2" t="s">
        <v>3237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3117</v>
      </c>
      <c r="P4241" s="2" t="s">
        <v>283</v>
      </c>
      <c r="Q4241" s="2" t="s">
        <v>3098</v>
      </c>
      <c r="R4241" s="2" t="s">
        <v>3099</v>
      </c>
      <c r="S4241" s="9">
        <v>1</v>
      </c>
      <c r="T4241" s="10">
        <v>2490</v>
      </c>
      <c r="U4241" s="2">
        <f t="shared" si="622"/>
        <v>572.70000000000005</v>
      </c>
      <c r="V4241" s="10">
        <f t="shared" si="623"/>
        <v>3062.7</v>
      </c>
      <c r="W4241" s="2">
        <f>1970.05+49</f>
        <v>2019.05</v>
      </c>
      <c r="X4241" s="5">
        <f t="shared" si="624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3117</v>
      </c>
      <c r="P4242" s="2" t="s">
        <v>283</v>
      </c>
      <c r="Q4242" s="2" t="s">
        <v>3100</v>
      </c>
      <c r="R4242" s="2" t="s">
        <v>3101</v>
      </c>
      <c r="S4242" s="9">
        <v>1</v>
      </c>
      <c r="T4242" s="10">
        <v>2490</v>
      </c>
      <c r="U4242" s="2">
        <f t="shared" si="622"/>
        <v>572.70000000000005</v>
      </c>
      <c r="V4242" s="10">
        <f t="shared" si="623"/>
        <v>3062.7</v>
      </c>
      <c r="W4242" s="2">
        <f>1995.2+43.97</f>
        <v>2039.17</v>
      </c>
      <c r="X4242" s="5">
        <f t="shared" si="624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2916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22"/>
        <v>36.151400000000002</v>
      </c>
      <c r="V4243" s="10">
        <f t="shared" si="623"/>
        <v>193.3314</v>
      </c>
      <c r="X4243" s="5">
        <f t="shared" si="624"/>
        <v>1</v>
      </c>
      <c r="Z4243" s="2" t="s">
        <v>118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2916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22"/>
        <v>6.5711000000000004</v>
      </c>
      <c r="V4244" s="10">
        <f t="shared" si="623"/>
        <v>35.141100000000002</v>
      </c>
      <c r="X4244" s="5">
        <f t="shared" si="624"/>
        <v>1</v>
      </c>
      <c r="Z4244" s="2" t="s">
        <v>118</v>
      </c>
      <c r="AI4244" s="2"/>
      <c r="AL4244" s="2"/>
    </row>
    <row r="4245" spans="1:38" hidden="1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22"/>
        <v>25.3</v>
      </c>
      <c r="V4245" s="10">
        <f t="shared" si="623"/>
        <v>135.30000000000001</v>
      </c>
      <c r="W4245" s="2">
        <f>0.082*S4245</f>
        <v>82</v>
      </c>
      <c r="X4245" s="5">
        <f t="shared" si="624"/>
        <v>0.25454545454545452</v>
      </c>
      <c r="Z4245" s="2" t="s">
        <v>3237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25">T4245-W4245</f>
        <v>28</v>
      </c>
      <c r="AL4245" s="5">
        <f t="shared" ref="AL4245" si="626">(T4245-W4245)/T4245</f>
        <v>0.25454545454545452</v>
      </c>
    </row>
    <row r="4246" spans="1:38" hidden="1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24"/>
        <v>1</v>
      </c>
      <c r="Z4246" s="2" t="s">
        <v>118</v>
      </c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2993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24"/>
        <v>1</v>
      </c>
      <c r="Z4247" s="2" t="s">
        <v>118</v>
      </c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24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24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24"/>
        <v>1</v>
      </c>
      <c r="Z4250" s="2" t="s">
        <v>120</v>
      </c>
      <c r="AA4250" s="2" t="s">
        <v>3392</v>
      </c>
      <c r="AI4250" s="2"/>
      <c r="AL4250" s="2"/>
    </row>
    <row r="4251" spans="1:38" hidden="1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27">T4251*23%</f>
        <v>59.248000000000005</v>
      </c>
      <c r="V4251" s="10">
        <f t="shared" ref="V4251:V4261" si="628">T4251+U4251</f>
        <v>316.84800000000001</v>
      </c>
      <c r="W4251" s="2">
        <f>130.03+6.8</f>
        <v>136.83000000000001</v>
      </c>
      <c r="X4251" s="5">
        <f t="shared" ref="X4251:X4263" si="629">(T4251-W4251)/T4251</f>
        <v>0.46882763975155278</v>
      </c>
      <c r="Z4251" s="2" t="s">
        <v>3237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hidden="1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3171</v>
      </c>
      <c r="P4252" s="2" t="s">
        <v>1041</v>
      </c>
      <c r="Q4252" s="2" t="s">
        <v>2750</v>
      </c>
      <c r="R4252" s="2" t="s">
        <v>2751</v>
      </c>
      <c r="S4252" s="9">
        <v>1</v>
      </c>
      <c r="T4252" s="10">
        <v>414</v>
      </c>
      <c r="U4252" s="2">
        <f t="shared" si="627"/>
        <v>95.22</v>
      </c>
      <c r="V4252" s="2">
        <f t="shared" si="628"/>
        <v>509.22</v>
      </c>
      <c r="W4252" s="2">
        <v>270.60000000000002</v>
      </c>
      <c r="X4252" s="5">
        <f t="shared" si="629"/>
        <v>0.34637681159420286</v>
      </c>
      <c r="Z4252" s="2" t="s">
        <v>3237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hidden="1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27"/>
        <v>0.68080000000000007</v>
      </c>
      <c r="V4253" s="10">
        <f t="shared" si="628"/>
        <v>3.6408</v>
      </c>
      <c r="W4253" s="2">
        <f>1.48*S4253</f>
        <v>2.96</v>
      </c>
      <c r="X4253" s="5">
        <f t="shared" si="629"/>
        <v>0</v>
      </c>
      <c r="Z4253" s="2" t="s">
        <v>3237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hidden="1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27"/>
        <v>2.0700000000000003</v>
      </c>
      <c r="V4254" s="10">
        <f t="shared" si="628"/>
        <v>11.07</v>
      </c>
      <c r="W4254" s="2">
        <f>3.7358*S4254</f>
        <v>3.7357999999999998</v>
      </c>
      <c r="X4254" s="5">
        <f t="shared" si="629"/>
        <v>0.58491111111111116</v>
      </c>
      <c r="Z4254" s="2" t="s">
        <v>3237</v>
      </c>
      <c r="AA4254" s="2" t="s">
        <v>46</v>
      </c>
      <c r="AB4254" s="2" t="s">
        <v>47</v>
      </c>
      <c r="AC4254" s="2" t="s">
        <v>48</v>
      </c>
      <c r="AI4254" s="2"/>
      <c r="AK4254" s="2">
        <f t="shared" ref="AK4254" si="630">T4254-W4254</f>
        <v>5.2642000000000007</v>
      </c>
      <c r="AL4254" s="5">
        <f t="shared" ref="AL4254" si="631">(T4254-W4254)/T4254</f>
        <v>0.58491111111111116</v>
      </c>
    </row>
    <row r="4255" spans="1:38" hidden="1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27"/>
        <v>48.667999999999999</v>
      </c>
      <c r="V4255" s="10">
        <f t="shared" si="628"/>
        <v>260.26799999999997</v>
      </c>
      <c r="W4255" s="2">
        <f>115.92+6.06</f>
        <v>121.98</v>
      </c>
      <c r="X4255" s="5">
        <f t="shared" si="629"/>
        <v>0.42353497164461246</v>
      </c>
      <c r="Z4255" s="2" t="s">
        <v>3237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hidden="1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27"/>
        <v>0.34040000000000004</v>
      </c>
      <c r="V4256" s="10">
        <f t="shared" si="628"/>
        <v>1.8204</v>
      </c>
      <c r="W4256" s="2">
        <f>1.48*S4256</f>
        <v>1.48</v>
      </c>
      <c r="X4256" s="5">
        <f t="shared" si="629"/>
        <v>0</v>
      </c>
      <c r="Z4256" s="2" t="s">
        <v>3237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hidden="1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27"/>
        <v>2.99</v>
      </c>
      <c r="V4257" s="10">
        <f t="shared" si="628"/>
        <v>15.99</v>
      </c>
      <c r="W4257" s="2">
        <f>0.082*S4257</f>
        <v>8.2000000000000011</v>
      </c>
      <c r="X4257" s="5">
        <f t="shared" si="629"/>
        <v>0.36923076923076914</v>
      </c>
      <c r="Z4257" s="2" t="s">
        <v>3237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:AK4258" si="632">T4257-W4257</f>
        <v>4.7999999999999989</v>
      </c>
      <c r="AL4257" s="5">
        <f t="shared" ref="AL4257:AL4258" si="633">(T4257-W4257)/T4257</f>
        <v>0.36923076923076914</v>
      </c>
    </row>
    <row r="4258" spans="1:38" hidden="1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2">
        <v>1000</v>
      </c>
      <c r="T4258" s="10">
        <v>130</v>
      </c>
      <c r="U4258" s="2">
        <f t="shared" si="627"/>
        <v>29.900000000000002</v>
      </c>
      <c r="V4258" s="10">
        <f t="shared" si="628"/>
        <v>159.9</v>
      </c>
      <c r="W4258" s="2">
        <f>0.0914*S4258</f>
        <v>91.399999999999991</v>
      </c>
      <c r="X4258" s="5">
        <f t="shared" si="629"/>
        <v>0.29692307692307701</v>
      </c>
      <c r="Z4258" s="2" t="s">
        <v>3237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K4258" s="2">
        <f t="shared" si="632"/>
        <v>38.600000000000009</v>
      </c>
      <c r="AL4258" s="5">
        <f t="shared" si="633"/>
        <v>0.29692307692307701</v>
      </c>
    </row>
    <row r="4259" spans="1:38" hidden="1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3206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27"/>
        <v>46.850999999999999</v>
      </c>
      <c r="V4259" s="10">
        <f t="shared" si="628"/>
        <v>250.55099999999999</v>
      </c>
      <c r="W4259" s="2">
        <f>110.125+11.77</f>
        <v>121.895</v>
      </c>
      <c r="X4259" s="5">
        <f t="shared" si="629"/>
        <v>0.4015954835542464</v>
      </c>
      <c r="Z4259" s="2" t="s">
        <v>3237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hidden="1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27"/>
        <v>0.34040000000000004</v>
      </c>
      <c r="V4260" s="10">
        <f t="shared" si="628"/>
        <v>1.8204</v>
      </c>
      <c r="W4260" s="2">
        <f>1.48*S4260</f>
        <v>1.48</v>
      </c>
      <c r="X4260" s="5">
        <f t="shared" si="629"/>
        <v>0</v>
      </c>
      <c r="Z4260" s="2" t="s">
        <v>3237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34">T4261*23%</f>
        <v>107.111</v>
      </c>
      <c r="V4261" s="2">
        <f t="shared" si="628"/>
        <v>572.81100000000004</v>
      </c>
      <c r="W4261" s="2">
        <v>345.20339999999999</v>
      </c>
      <c r="X4261" s="5">
        <f t="shared" si="629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1912</v>
      </c>
      <c r="R4262" s="2" t="s">
        <v>1913</v>
      </c>
      <c r="S4262" s="9">
        <v>1</v>
      </c>
      <c r="T4262" s="10">
        <v>23850</v>
      </c>
      <c r="U4262" s="2">
        <f t="shared" si="634"/>
        <v>5485.5</v>
      </c>
      <c r="V4262" s="2">
        <f t="shared" ref="V4262:V4278" si="635">T4262+U4262</f>
        <v>29335.5</v>
      </c>
      <c r="W4262" s="2">
        <f>16602.97+398</f>
        <v>17000.97</v>
      </c>
      <c r="X4262" s="5">
        <f t="shared" si="629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3116</v>
      </c>
      <c r="P4263" s="2" t="s">
        <v>115</v>
      </c>
      <c r="Q4263" s="2" t="s">
        <v>3102</v>
      </c>
      <c r="R4263" s="2" t="s">
        <v>3103</v>
      </c>
      <c r="S4263" s="9">
        <v>1</v>
      </c>
      <c r="T4263" s="10">
        <v>750.56</v>
      </c>
      <c r="U4263" s="2">
        <f t="shared" si="634"/>
        <v>172.62879999999998</v>
      </c>
      <c r="V4263" s="2">
        <f t="shared" si="635"/>
        <v>923.1887999999999</v>
      </c>
      <c r="W4263" s="2">
        <f>376.4</f>
        <v>376.4</v>
      </c>
      <c r="X4263" s="5">
        <f t="shared" si="629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3116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34"/>
        <v>12.65</v>
      </c>
      <c r="V4264" s="2">
        <f t="shared" si="635"/>
        <v>67.650000000000006</v>
      </c>
      <c r="W4264" s="2">
        <f>T4264*40%</f>
        <v>22</v>
      </c>
      <c r="X4264" s="5">
        <f t="shared" ref="X4264:X4272" si="636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37">T4264-W4264</f>
        <v>33</v>
      </c>
      <c r="AL4264" s="5">
        <f t="shared" ref="AL4264:AL4272" si="638"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3116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34"/>
        <v>12.65</v>
      </c>
      <c r="V4265" s="2">
        <f t="shared" si="635"/>
        <v>67.650000000000006</v>
      </c>
      <c r="W4265" s="2">
        <f>T4265*50%</f>
        <v>27.5</v>
      </c>
      <c r="X4265" s="5">
        <f t="shared" si="636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37"/>
        <v>27.5</v>
      </c>
      <c r="AL4265" s="5">
        <f t="shared" si="638"/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34"/>
        <v>26.220000000000002</v>
      </c>
      <c r="V4266" s="2">
        <f t="shared" si="635"/>
        <v>140.22</v>
      </c>
      <c r="W4266" s="2">
        <f>T4266*40%</f>
        <v>45.6</v>
      </c>
      <c r="X4266" s="5">
        <f t="shared" si="636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37"/>
        <v>68.400000000000006</v>
      </c>
      <c r="AL4266" s="5">
        <f t="shared" si="638"/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34"/>
        <v>11.385</v>
      </c>
      <c r="V4267" s="2">
        <f t="shared" si="635"/>
        <v>60.884999999999998</v>
      </c>
      <c r="W4267" s="2">
        <f>T4267*50%</f>
        <v>24.75</v>
      </c>
      <c r="X4267" s="5">
        <f t="shared" si="636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37"/>
        <v>24.75</v>
      </c>
      <c r="AL4267" s="5">
        <f t="shared" si="638"/>
        <v>0.5</v>
      </c>
    </row>
    <row r="4268" spans="1:38" hidden="1" x14ac:dyDescent="0.2">
      <c r="A4268" s="8">
        <v>2026</v>
      </c>
      <c r="B4268" s="8">
        <v>6</v>
      </c>
      <c r="C4268" s="8" t="s">
        <v>3334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34"/>
        <v>137.86199999999999</v>
      </c>
      <c r="V4268" s="2">
        <f t="shared" si="635"/>
        <v>737.26199999999994</v>
      </c>
      <c r="W4268" s="2">
        <v>346.57</v>
      </c>
      <c r="X4268" s="5">
        <f t="shared" si="636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37"/>
        <v>252.82999999999998</v>
      </c>
      <c r="AL4268" s="5">
        <f t="shared" si="638"/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3334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34"/>
        <v>1607.7</v>
      </c>
      <c r="V4269" s="2">
        <f t="shared" si="635"/>
        <v>8597.7000000000007</v>
      </c>
      <c r="W4269" s="2">
        <f>4893.23+171</f>
        <v>5064.2299999999996</v>
      </c>
      <c r="X4269" s="5">
        <f t="shared" si="636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37"/>
        <v>1925.7700000000004</v>
      </c>
      <c r="AL4269" s="5">
        <f t="shared" si="638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3334</v>
      </c>
      <c r="D4270" s="2" t="s">
        <v>3113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34"/>
        <v>160.839</v>
      </c>
      <c r="V4270" s="2">
        <f t="shared" si="635"/>
        <v>860.1389999999999</v>
      </c>
      <c r="W4270" s="2">
        <v>345.20339999999999</v>
      </c>
      <c r="X4270" s="5">
        <f t="shared" si="636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37"/>
        <v>354.09659999999997</v>
      </c>
      <c r="AL4270" s="5">
        <f t="shared" si="638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3334</v>
      </c>
      <c r="D4271" s="2" t="s">
        <v>3113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34"/>
        <v>34.96</v>
      </c>
      <c r="V4271" s="2">
        <f t="shared" si="635"/>
        <v>186.96</v>
      </c>
      <c r="W4271" s="2">
        <f>T4271*40%</f>
        <v>60.800000000000004</v>
      </c>
      <c r="X4271" s="5">
        <f t="shared" si="636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37"/>
        <v>91.199999999999989</v>
      </c>
      <c r="AL4271" s="5">
        <f t="shared" si="638"/>
        <v>0.6</v>
      </c>
    </row>
    <row r="4272" spans="1:38" hidden="1" x14ac:dyDescent="0.2">
      <c r="A4272" s="8">
        <v>2026</v>
      </c>
      <c r="B4272" s="8">
        <v>6</v>
      </c>
      <c r="C4272" s="8" t="s">
        <v>3334</v>
      </c>
      <c r="D4272" s="2" t="s">
        <v>3113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34"/>
        <v>12.65</v>
      </c>
      <c r="V4272" s="2">
        <f t="shared" si="635"/>
        <v>67.650000000000006</v>
      </c>
      <c r="W4272" s="2">
        <f>T4272*50%</f>
        <v>27.5</v>
      </c>
      <c r="X4272" s="5">
        <f t="shared" si="636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37"/>
        <v>27.5</v>
      </c>
      <c r="AL4272" s="5">
        <f t="shared" si="638"/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2196</v>
      </c>
      <c r="P4273" s="2" t="s">
        <v>283</v>
      </c>
      <c r="Q4273" s="2" t="s">
        <v>1787</v>
      </c>
      <c r="R4273" s="2" t="s">
        <v>1788</v>
      </c>
      <c r="S4273" s="9">
        <v>1</v>
      </c>
      <c r="T4273" s="10">
        <v>1990</v>
      </c>
      <c r="U4273" s="2">
        <f t="shared" si="634"/>
        <v>457.70000000000005</v>
      </c>
      <c r="V4273" s="10">
        <f t="shared" si="635"/>
        <v>2447.6999999999998</v>
      </c>
      <c r="W4273" s="2">
        <v>1492.7</v>
      </c>
      <c r="X4273" s="5">
        <f t="shared" ref="X4273:X4336" si="639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40">T4273-W4273</f>
        <v>497.29999999999995</v>
      </c>
      <c r="AL4273" s="5">
        <f t="shared" ref="AL4273:AL4303" si="641">(T4273-W4273)/T4273</f>
        <v>0.24989949748743717</v>
      </c>
    </row>
    <row r="4274" spans="1:38" hidden="1" x14ac:dyDescent="0.2">
      <c r="A4274" s="8">
        <v>2026</v>
      </c>
      <c r="B4274" s="8">
        <v>6</v>
      </c>
      <c r="C4274" s="8"/>
      <c r="D4274" s="2" t="s">
        <v>2196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34"/>
        <v>457.70000000000005</v>
      </c>
      <c r="V4274" s="10">
        <f t="shared" si="635"/>
        <v>2447.6999999999998</v>
      </c>
      <c r="W4274" s="2">
        <v>1578</v>
      </c>
      <c r="X4274" s="5">
        <f t="shared" si="639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40"/>
        <v>412</v>
      </c>
      <c r="AL4274" s="5">
        <f t="shared" si="641"/>
        <v>0.20703517587939699</v>
      </c>
    </row>
    <row r="4275" spans="1:38" hidden="1" x14ac:dyDescent="0.2">
      <c r="A4275" s="8">
        <v>2026</v>
      </c>
      <c r="B4275" s="8">
        <v>6</v>
      </c>
      <c r="C4275" s="8"/>
      <c r="D4275" s="2" t="s">
        <v>2650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34"/>
        <v>966</v>
      </c>
      <c r="V4275" s="10">
        <f t="shared" si="635"/>
        <v>5166</v>
      </c>
      <c r="W4275" s="2">
        <f>3203.85+43</f>
        <v>3246.85</v>
      </c>
      <c r="X4275" s="5">
        <f t="shared" si="639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40"/>
        <v>953.15000000000009</v>
      </c>
      <c r="AL4275" s="5">
        <f t="shared" si="641"/>
        <v>0.22694047619047622</v>
      </c>
    </row>
    <row r="4276" spans="1:38" hidden="1" x14ac:dyDescent="0.2">
      <c r="A4276" s="8">
        <v>2026</v>
      </c>
      <c r="B4276" s="8">
        <v>6</v>
      </c>
      <c r="C4276" s="8"/>
      <c r="D4276" s="2" t="s">
        <v>3112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34"/>
        <v>494.5</v>
      </c>
      <c r="V4276" s="10">
        <f t="shared" si="635"/>
        <v>2644.5</v>
      </c>
      <c r="W4276" s="2">
        <v>1578</v>
      </c>
      <c r="X4276" s="5">
        <f t="shared" si="639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40"/>
        <v>572</v>
      </c>
      <c r="AL4276" s="5">
        <f t="shared" si="641"/>
        <v>0.26604651162790699</v>
      </c>
    </row>
    <row r="4277" spans="1:38" hidden="1" x14ac:dyDescent="0.2">
      <c r="A4277" s="8">
        <v>2026</v>
      </c>
      <c r="B4277" s="8">
        <v>6</v>
      </c>
      <c r="C4277" s="8"/>
      <c r="D4277" s="2" t="s">
        <v>679</v>
      </c>
      <c r="P4277" s="2" t="s">
        <v>2699</v>
      </c>
      <c r="Q4277" s="2" t="s">
        <v>3104</v>
      </c>
      <c r="R4277" s="2" t="s">
        <v>3105</v>
      </c>
      <c r="S4277" s="9">
        <v>-4</v>
      </c>
      <c r="T4277" s="10">
        <v>-800</v>
      </c>
      <c r="U4277" s="2">
        <f t="shared" si="634"/>
        <v>-184</v>
      </c>
      <c r="V4277" s="10">
        <f t="shared" si="635"/>
        <v>-984</v>
      </c>
      <c r="W4277" s="2">
        <f>124*4</f>
        <v>496</v>
      </c>
      <c r="X4277" s="18">
        <f t="shared" ref="X4277:X4278" si="642">SIGN(T4277)*((ABS(T4277)-W4277)/ABS(T4277))</f>
        <v>-0.38</v>
      </c>
      <c r="Z4277" s="2" t="s">
        <v>3237</v>
      </c>
      <c r="AA4277" s="2" t="s">
        <v>3395</v>
      </c>
      <c r="AB4277" s="2" t="s">
        <v>3401</v>
      </c>
      <c r="AC4277" s="2" t="s">
        <v>3402</v>
      </c>
      <c r="AI4277" s="2"/>
      <c r="AK4277" s="2">
        <f t="shared" ref="AK4277:AK4278" si="643">T4277+(W4277)</f>
        <v>-304</v>
      </c>
      <c r="AL4277" s="18">
        <f t="shared" ref="AL4277:AL4278" si="644">SIGN(T4277)*((ABS(T4277)-W4277)/ABS(T4277))</f>
        <v>-0.38</v>
      </c>
    </row>
    <row r="4278" spans="1:38" hidden="1" x14ac:dyDescent="0.2">
      <c r="A4278" s="8">
        <v>2026</v>
      </c>
      <c r="B4278" s="8">
        <v>6</v>
      </c>
      <c r="C4278" s="8"/>
      <c r="D4278" s="2" t="s">
        <v>679</v>
      </c>
      <c r="P4278" s="2" t="s">
        <v>2699</v>
      </c>
      <c r="Q4278" s="2" t="s">
        <v>3106</v>
      </c>
      <c r="R4278" s="2" t="s">
        <v>3107</v>
      </c>
      <c r="S4278" s="9">
        <v>-4</v>
      </c>
      <c r="T4278" s="10">
        <v>-714.4</v>
      </c>
      <c r="U4278" s="2">
        <f t="shared" si="634"/>
        <v>-164.31200000000001</v>
      </c>
      <c r="V4278" s="10">
        <f t="shared" si="635"/>
        <v>-878.71199999999999</v>
      </c>
      <c r="W4278" s="2">
        <f>125*4</f>
        <v>500</v>
      </c>
      <c r="X4278" s="18">
        <f t="shared" si="642"/>
        <v>-0.30011198208286671</v>
      </c>
      <c r="Z4278" s="2" t="s">
        <v>3237</v>
      </c>
      <c r="AA4278" s="2" t="s">
        <v>3395</v>
      </c>
      <c r="AB4278" s="2" t="s">
        <v>3401</v>
      </c>
      <c r="AC4278" s="2" t="s">
        <v>3402</v>
      </c>
      <c r="AI4278" s="2"/>
      <c r="AK4278" s="2">
        <f t="shared" si="643"/>
        <v>-214.39999999999998</v>
      </c>
      <c r="AL4278" s="18">
        <f t="shared" si="644"/>
        <v>-0.30011198208286671</v>
      </c>
    </row>
    <row r="4279" spans="1:38" hidden="1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3240</v>
      </c>
      <c r="P4279" s="2" t="s">
        <v>283</v>
      </c>
      <c r="Q4279" s="6" t="s">
        <v>3239</v>
      </c>
      <c r="R4279" s="2" t="s">
        <v>1158</v>
      </c>
      <c r="S4279" s="8">
        <v>1</v>
      </c>
      <c r="T4279" s="2">
        <v>2900</v>
      </c>
      <c r="U4279" s="2">
        <f t="shared" si="634"/>
        <v>667</v>
      </c>
      <c r="V4279" s="10">
        <f>U4279+T4279</f>
        <v>3567</v>
      </c>
      <c r="W4279" s="2">
        <v>2190</v>
      </c>
      <c r="X4279" s="5">
        <f t="shared" si="639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40"/>
        <v>710</v>
      </c>
      <c r="AL4279" s="5">
        <f t="shared" si="641"/>
        <v>0.24482758620689654</v>
      </c>
    </row>
    <row r="4280" spans="1:38" hidden="1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3240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40"/>
        <v>0</v>
      </c>
      <c r="AL4280" s="18">
        <v>-1</v>
      </c>
    </row>
    <row r="4281" spans="1:38" hidden="1" x14ac:dyDescent="0.2">
      <c r="A4281" s="2">
        <v>2026</v>
      </c>
      <c r="B4281" s="2">
        <v>7</v>
      </c>
      <c r="C4281" s="2" t="s">
        <v>3305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3281</v>
      </c>
      <c r="M4281" s="2" t="s">
        <v>41</v>
      </c>
      <c r="O4281" s="2" t="s">
        <v>3278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W4281" s="2">
        <v>14.535</v>
      </c>
      <c r="X4281" s="5">
        <f t="shared" si="639"/>
        <v>0.42321428571428571</v>
      </c>
      <c r="Z4281" s="2" t="s">
        <v>3237</v>
      </c>
      <c r="AA4281" s="2" t="s">
        <v>46</v>
      </c>
      <c r="AB4281" s="2" t="s">
        <v>47</v>
      </c>
      <c r="AC4281" s="2" t="s">
        <v>48</v>
      </c>
      <c r="AK4281" s="2">
        <f t="shared" si="640"/>
        <v>10.664999999999999</v>
      </c>
      <c r="AL4281" s="5">
        <f t="shared" si="641"/>
        <v>0.42321428571428571</v>
      </c>
    </row>
    <row r="4282" spans="1:38" hidden="1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3281</v>
      </c>
      <c r="M4282" s="2" t="s">
        <v>41</v>
      </c>
      <c r="O4282" s="2" t="s">
        <v>3278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45">T4282*23%</f>
        <v>4.83</v>
      </c>
      <c r="V4282" s="12">
        <f t="shared" ref="V4282:V4288" si="646">T4282+U4282</f>
        <v>25.83</v>
      </c>
      <c r="W4282" s="2">
        <f>9.3*S4282</f>
        <v>9.3000000000000007</v>
      </c>
      <c r="X4282" s="5">
        <f t="shared" si="639"/>
        <v>0.55714285714285716</v>
      </c>
      <c r="Z4282" s="2" t="s">
        <v>3237</v>
      </c>
      <c r="AA4282" s="2" t="s">
        <v>46</v>
      </c>
      <c r="AB4282" s="2" t="s">
        <v>47</v>
      </c>
      <c r="AC4282" s="2" t="s">
        <v>48</v>
      </c>
      <c r="AK4282" s="2">
        <f t="shared" si="640"/>
        <v>11.7</v>
      </c>
      <c r="AL4282" s="5">
        <f t="shared" si="641"/>
        <v>0.55714285714285716</v>
      </c>
    </row>
    <row r="4283" spans="1:38" hidden="1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3281</v>
      </c>
      <c r="M4283" s="2" t="s">
        <v>41</v>
      </c>
      <c r="O4283" s="2" t="s">
        <v>3278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45"/>
        <v>2.99</v>
      </c>
      <c r="V4283" s="12">
        <f t="shared" si="646"/>
        <v>15.99</v>
      </c>
      <c r="W4283" s="2">
        <f>6.6267*S4283</f>
        <v>6.6266999999999996</v>
      </c>
      <c r="X4283" s="5">
        <f t="shared" si="639"/>
        <v>0.49025384615384621</v>
      </c>
      <c r="Z4283" s="2" t="s">
        <v>3237</v>
      </c>
      <c r="AA4283" s="2" t="s">
        <v>46</v>
      </c>
      <c r="AB4283" s="2" t="s">
        <v>47</v>
      </c>
      <c r="AC4283" s="2" t="s">
        <v>48</v>
      </c>
      <c r="AK4283" s="2">
        <f t="shared" si="640"/>
        <v>6.3733000000000004</v>
      </c>
      <c r="AL4283" s="5">
        <f t="shared" si="641"/>
        <v>0.49025384615384621</v>
      </c>
    </row>
    <row r="4284" spans="1:38" hidden="1" x14ac:dyDescent="0.2">
      <c r="A4284" s="2">
        <v>2026</v>
      </c>
      <c r="B4284" s="2">
        <v>7</v>
      </c>
      <c r="C4284" s="2" t="s">
        <v>3306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3281</v>
      </c>
      <c r="M4284" s="2" t="s">
        <v>81</v>
      </c>
      <c r="O4284" s="2" t="s">
        <v>3279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45"/>
        <v>4.1400000000000006</v>
      </c>
      <c r="V4284" s="12">
        <f t="shared" si="646"/>
        <v>22.14</v>
      </c>
      <c r="W4284" s="2">
        <f>14.4*S4284</f>
        <v>14.4</v>
      </c>
      <c r="X4284" s="5">
        <f t="shared" si="639"/>
        <v>0.19999999999999998</v>
      </c>
      <c r="Z4284" s="2" t="s">
        <v>3237</v>
      </c>
      <c r="AA4284" s="2" t="s">
        <v>46</v>
      </c>
      <c r="AB4284" s="2" t="s">
        <v>47</v>
      </c>
      <c r="AC4284" s="2" t="s">
        <v>48</v>
      </c>
      <c r="AK4284" s="2">
        <f t="shared" si="640"/>
        <v>3.5999999999999996</v>
      </c>
      <c r="AL4284" s="5">
        <f t="shared" si="641"/>
        <v>0.19999999999999998</v>
      </c>
    </row>
    <row r="4285" spans="1:38" hidden="1" x14ac:dyDescent="0.2">
      <c r="A4285" s="2">
        <v>2026</v>
      </c>
      <c r="B4285" s="2">
        <v>7</v>
      </c>
      <c r="C4285" s="2" t="s">
        <v>3306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3281</v>
      </c>
      <c r="M4285" s="2" t="s">
        <v>81</v>
      </c>
      <c r="O4285" s="2" t="s">
        <v>3279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45"/>
        <v>6.9</v>
      </c>
      <c r="V4285" s="12">
        <f t="shared" si="646"/>
        <v>36.9</v>
      </c>
      <c r="X4285" s="5">
        <f t="shared" si="639"/>
        <v>1</v>
      </c>
      <c r="Z4285" s="2" t="s">
        <v>3237</v>
      </c>
      <c r="AA4285" s="2" t="s">
        <v>46</v>
      </c>
      <c r="AB4285" s="2" t="s">
        <v>57</v>
      </c>
      <c r="AC4285" s="2" t="s">
        <v>58</v>
      </c>
      <c r="AK4285" s="2">
        <f t="shared" si="640"/>
        <v>30</v>
      </c>
      <c r="AL4285" s="5">
        <f t="shared" si="641"/>
        <v>1</v>
      </c>
    </row>
    <row r="4286" spans="1:38" hidden="1" x14ac:dyDescent="0.2">
      <c r="A4286" s="2">
        <v>2026</v>
      </c>
      <c r="B4286" s="2">
        <v>7</v>
      </c>
      <c r="C4286" s="2" t="s">
        <v>3306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3281</v>
      </c>
      <c r="M4286" s="2" t="s">
        <v>81</v>
      </c>
      <c r="O4286" s="2" t="s">
        <v>3279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45"/>
        <v>5.5200000000000005</v>
      </c>
      <c r="V4286" s="12">
        <f t="shared" si="646"/>
        <v>29.52</v>
      </c>
      <c r="X4286" s="5">
        <f t="shared" si="639"/>
        <v>1</v>
      </c>
      <c r="Z4286" s="2" t="s">
        <v>3237</v>
      </c>
      <c r="AA4286" s="2" t="s">
        <v>46</v>
      </c>
      <c r="AB4286" s="2" t="s">
        <v>47</v>
      </c>
      <c r="AC4286" s="2" t="s">
        <v>48</v>
      </c>
      <c r="AK4286" s="2">
        <f t="shared" si="640"/>
        <v>24</v>
      </c>
      <c r="AL4286" s="5">
        <f t="shared" si="641"/>
        <v>1</v>
      </c>
    </row>
    <row r="4287" spans="1:38" hidden="1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3281</v>
      </c>
      <c r="M4287" s="2" t="s">
        <v>81</v>
      </c>
      <c r="O4287" s="2" t="s">
        <v>3280</v>
      </c>
      <c r="P4287" s="2" t="s">
        <v>1041</v>
      </c>
      <c r="Q4287" s="2" t="s">
        <v>3276</v>
      </c>
      <c r="R4287" s="2" t="s">
        <v>3277</v>
      </c>
      <c r="S4287" s="13">
        <v>1</v>
      </c>
      <c r="T4287" s="14">
        <v>187</v>
      </c>
      <c r="U4287" s="2">
        <f t="shared" si="645"/>
        <v>43.010000000000005</v>
      </c>
      <c r="V4287" s="12">
        <f t="shared" si="646"/>
        <v>230.01</v>
      </c>
      <c r="W4287" s="2">
        <v>141.16</v>
      </c>
      <c r="X4287" s="5">
        <f t="shared" si="639"/>
        <v>0.24513368983957221</v>
      </c>
      <c r="Z4287" s="2" t="s">
        <v>3237</v>
      </c>
      <c r="AA4287" s="2" t="s">
        <v>76</v>
      </c>
      <c r="AB4287" s="2" t="s">
        <v>77</v>
      </c>
      <c r="AC4287" s="2" t="s">
        <v>1041</v>
      </c>
      <c r="AK4287" s="2">
        <f t="shared" si="640"/>
        <v>45.84</v>
      </c>
      <c r="AL4287" s="5">
        <f t="shared" si="641"/>
        <v>0.24513368983957221</v>
      </c>
    </row>
    <row r="4288" spans="1:38" hidden="1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3281</v>
      </c>
      <c r="M4288" s="2" t="s">
        <v>81</v>
      </c>
      <c r="O4288" s="2" t="s">
        <v>3280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45"/>
        <v>0.34040000000000004</v>
      </c>
      <c r="V4288" s="12">
        <f t="shared" si="646"/>
        <v>1.8204</v>
      </c>
      <c r="W4288" s="2">
        <v>1.48</v>
      </c>
      <c r="X4288" s="5">
        <f t="shared" si="639"/>
        <v>0</v>
      </c>
      <c r="Z4288" s="2" t="s">
        <v>3237</v>
      </c>
      <c r="AA4288" s="2" t="s">
        <v>97</v>
      </c>
      <c r="AB4288" s="2" t="s">
        <v>77</v>
      </c>
      <c r="AC4288" s="2" t="s">
        <v>94</v>
      </c>
      <c r="AK4288" s="2">
        <f t="shared" si="640"/>
        <v>0</v>
      </c>
      <c r="AL4288" s="5">
        <f t="shared" si="641"/>
        <v>0</v>
      </c>
    </row>
    <row r="4289" spans="1:38" hidden="1" x14ac:dyDescent="0.2">
      <c r="A4289" s="2">
        <v>2026</v>
      </c>
      <c r="B4289" s="2">
        <v>7</v>
      </c>
      <c r="C4289" s="2" t="s">
        <v>3306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3290</v>
      </c>
      <c r="P4289" s="2" t="s">
        <v>73</v>
      </c>
      <c r="Q4289" s="2" t="s">
        <v>3037</v>
      </c>
      <c r="R4289" s="2" t="s">
        <v>332</v>
      </c>
      <c r="S4289" s="13">
        <v>1</v>
      </c>
      <c r="T4289" s="14">
        <v>220</v>
      </c>
      <c r="U4289" s="2">
        <f t="shared" si="645"/>
        <v>50.6</v>
      </c>
      <c r="V4289" s="12">
        <f t="shared" ref="V4289:V4304" si="647">T4289+U4289</f>
        <v>270.60000000000002</v>
      </c>
      <c r="W4289" s="2">
        <v>113.4</v>
      </c>
      <c r="X4289" s="5">
        <f t="shared" si="639"/>
        <v>0.4845454545454545</v>
      </c>
      <c r="Z4289" s="2" t="s">
        <v>3237</v>
      </c>
      <c r="AA4289" s="2" t="s">
        <v>76</v>
      </c>
      <c r="AB4289" s="2" t="s">
        <v>77</v>
      </c>
      <c r="AC4289" s="2" t="s">
        <v>78</v>
      </c>
      <c r="AK4289" s="2">
        <f t="shared" si="640"/>
        <v>106.6</v>
      </c>
      <c r="AL4289" s="5">
        <f t="shared" si="641"/>
        <v>0.4845454545454545</v>
      </c>
    </row>
    <row r="4290" spans="1:38" hidden="1" x14ac:dyDescent="0.2">
      <c r="A4290" s="2">
        <v>2026</v>
      </c>
      <c r="B4290" s="2">
        <v>7</v>
      </c>
      <c r="C4290" s="2" t="s">
        <v>3306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3290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45"/>
        <v>0.34040000000000004</v>
      </c>
      <c r="V4290" s="12">
        <f t="shared" si="647"/>
        <v>1.8204</v>
      </c>
      <c r="W4290" s="2">
        <v>1.48</v>
      </c>
      <c r="X4290" s="5">
        <f t="shared" si="639"/>
        <v>0</v>
      </c>
      <c r="Z4290" s="2" t="s">
        <v>3237</v>
      </c>
      <c r="AA4290" s="2" t="s">
        <v>97</v>
      </c>
      <c r="AB4290" s="2" t="s">
        <v>77</v>
      </c>
      <c r="AC4290" s="2" t="s">
        <v>94</v>
      </c>
      <c r="AK4290" s="2">
        <f t="shared" si="640"/>
        <v>0</v>
      </c>
      <c r="AL4290" s="5">
        <f t="shared" si="641"/>
        <v>0</v>
      </c>
    </row>
    <row r="4291" spans="1:38" hidden="1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3296</v>
      </c>
      <c r="L4291" s="2" t="s">
        <v>340</v>
      </c>
      <c r="M4291" s="2" t="s">
        <v>40</v>
      </c>
      <c r="O4291" s="2" t="s">
        <v>3297</v>
      </c>
      <c r="P4291" s="2" t="s">
        <v>283</v>
      </c>
      <c r="Q4291" s="2" t="s">
        <v>3005</v>
      </c>
      <c r="R4291" s="2" t="s">
        <v>3006</v>
      </c>
      <c r="S4291" s="13">
        <v>1</v>
      </c>
      <c r="T4291" s="14">
        <v>1190</v>
      </c>
      <c r="U4291" s="2">
        <f t="shared" si="645"/>
        <v>273.7</v>
      </c>
      <c r="V4291" s="12">
        <f t="shared" si="647"/>
        <v>1463.7</v>
      </c>
      <c r="W4291" s="2">
        <v>773.5</v>
      </c>
      <c r="X4291" s="5">
        <f t="shared" si="639"/>
        <v>0.35</v>
      </c>
      <c r="Z4291" s="2" t="s">
        <v>118</v>
      </c>
      <c r="AK4291" s="2">
        <f t="shared" si="640"/>
        <v>416.5</v>
      </c>
      <c r="AL4291" s="5">
        <f t="shared" si="641"/>
        <v>0.35</v>
      </c>
    </row>
    <row r="4292" spans="1:38" hidden="1" x14ac:dyDescent="0.2">
      <c r="A4292" s="2">
        <v>2026</v>
      </c>
      <c r="B4292" s="2">
        <v>7</v>
      </c>
      <c r="C4292" s="2" t="s">
        <v>3306</v>
      </c>
      <c r="D4292" s="2" t="s">
        <v>3282</v>
      </c>
      <c r="E4292" s="2" t="s">
        <v>38</v>
      </c>
      <c r="F4292" s="2" t="s">
        <v>39</v>
      </c>
      <c r="H4292" s="2" t="s">
        <v>291</v>
      </c>
      <c r="I4292" s="2" t="s">
        <v>3292</v>
      </c>
      <c r="L4292" s="2" t="s">
        <v>340</v>
      </c>
      <c r="M4292" s="2" t="s">
        <v>81</v>
      </c>
      <c r="O4292" s="2" t="s">
        <v>3291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45"/>
        <v>52.9529</v>
      </c>
      <c r="V4292" s="12">
        <f t="shared" si="647"/>
        <v>283.18290000000002</v>
      </c>
      <c r="W4292" s="2">
        <f>115.92+6.06</f>
        <v>121.98</v>
      </c>
      <c r="X4292" s="5">
        <f t="shared" si="639"/>
        <v>0.47018199192112231</v>
      </c>
      <c r="Z4292" s="2" t="s">
        <v>3237</v>
      </c>
      <c r="AA4292" s="2" t="s">
        <v>76</v>
      </c>
      <c r="AB4292" s="2" t="s">
        <v>77</v>
      </c>
      <c r="AC4292" s="2" t="s">
        <v>78</v>
      </c>
      <c r="AK4292" s="2">
        <f t="shared" si="640"/>
        <v>108.24999999999999</v>
      </c>
      <c r="AL4292" s="5">
        <f t="shared" si="641"/>
        <v>0.47018199192112231</v>
      </c>
    </row>
    <row r="4293" spans="1:38" hidden="1" x14ac:dyDescent="0.2">
      <c r="A4293" s="2">
        <v>2026</v>
      </c>
      <c r="B4293" s="2">
        <v>7</v>
      </c>
      <c r="C4293" s="2" t="s">
        <v>3306</v>
      </c>
      <c r="D4293" s="2" t="s">
        <v>3282</v>
      </c>
      <c r="E4293" s="2" t="s">
        <v>38</v>
      </c>
      <c r="F4293" s="2" t="s">
        <v>39</v>
      </c>
      <c r="H4293" s="2" t="s">
        <v>291</v>
      </c>
      <c r="I4293" s="2" t="s">
        <v>3292</v>
      </c>
      <c r="L4293" s="2" t="s">
        <v>340</v>
      </c>
      <c r="M4293" s="2" t="s">
        <v>81</v>
      </c>
      <c r="O4293" s="2" t="s">
        <v>3291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45"/>
        <v>0.34040000000000004</v>
      </c>
      <c r="V4293" s="12">
        <f t="shared" si="647"/>
        <v>1.8204</v>
      </c>
      <c r="W4293" s="2">
        <v>1.48</v>
      </c>
      <c r="X4293" s="5">
        <f t="shared" si="639"/>
        <v>0</v>
      </c>
      <c r="Z4293" s="2" t="s">
        <v>3237</v>
      </c>
      <c r="AA4293" s="2" t="s">
        <v>97</v>
      </c>
      <c r="AB4293" s="2" t="s">
        <v>77</v>
      </c>
      <c r="AC4293" s="2" t="s">
        <v>94</v>
      </c>
      <c r="AK4293" s="2">
        <f t="shared" si="640"/>
        <v>0</v>
      </c>
      <c r="AL4293" s="5">
        <f t="shared" si="641"/>
        <v>0</v>
      </c>
    </row>
    <row r="4294" spans="1:38" hidden="1" x14ac:dyDescent="0.2">
      <c r="A4294" s="2">
        <v>2026</v>
      </c>
      <c r="B4294" s="2">
        <v>7</v>
      </c>
      <c r="D4294" s="2" t="s">
        <v>3283</v>
      </c>
      <c r="E4294" s="2" t="s">
        <v>754</v>
      </c>
      <c r="F4294" s="2" t="s">
        <v>921</v>
      </c>
      <c r="H4294" s="2" t="s">
        <v>40</v>
      </c>
      <c r="I4294" s="2" t="s">
        <v>3298</v>
      </c>
      <c r="L4294" s="2" t="s">
        <v>100</v>
      </c>
      <c r="M4294" s="2" t="s">
        <v>40</v>
      </c>
      <c r="O4294" s="2" t="s">
        <v>3299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45"/>
        <v>160.839</v>
      </c>
      <c r="V4294" s="12">
        <f t="shared" si="647"/>
        <v>860.1389999999999</v>
      </c>
      <c r="W4294" s="2">
        <v>345.20339999999999</v>
      </c>
      <c r="X4294" s="5">
        <f t="shared" si="639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40"/>
        <v>354.09659999999997</v>
      </c>
      <c r="AL4294" s="5">
        <f t="shared" si="641"/>
        <v>0.50635864435864431</v>
      </c>
    </row>
    <row r="4295" spans="1:38" hidden="1" x14ac:dyDescent="0.2">
      <c r="A4295" s="2">
        <v>2026</v>
      </c>
      <c r="B4295" s="2">
        <v>7</v>
      </c>
      <c r="D4295" s="2" t="s">
        <v>3283</v>
      </c>
      <c r="E4295" s="2" t="s">
        <v>754</v>
      </c>
      <c r="F4295" s="2" t="s">
        <v>921</v>
      </c>
      <c r="H4295" s="2" t="s">
        <v>40</v>
      </c>
      <c r="I4295" s="2" t="s">
        <v>3298</v>
      </c>
      <c r="L4295" s="2" t="s">
        <v>100</v>
      </c>
      <c r="M4295" s="2" t="s">
        <v>40</v>
      </c>
      <c r="O4295" s="2" t="s">
        <v>3299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45"/>
        <v>12.65</v>
      </c>
      <c r="V4295" s="12">
        <f t="shared" si="647"/>
        <v>67.650000000000006</v>
      </c>
      <c r="W4295" s="2">
        <f>T4295*40%</f>
        <v>22</v>
      </c>
      <c r="X4295" s="5">
        <f t="shared" si="639"/>
        <v>0.6</v>
      </c>
      <c r="Z4295" s="2" t="s">
        <v>118</v>
      </c>
      <c r="AA4295" s="2" t="s">
        <v>191</v>
      </c>
      <c r="AK4295" s="2">
        <f t="shared" si="640"/>
        <v>33</v>
      </c>
      <c r="AL4295" s="5">
        <f t="shared" si="641"/>
        <v>0.6</v>
      </c>
    </row>
    <row r="4296" spans="1:38" hidden="1" x14ac:dyDescent="0.2">
      <c r="A4296" s="2">
        <v>2026</v>
      </c>
      <c r="B4296" s="2">
        <v>7</v>
      </c>
      <c r="D4296" s="2" t="s">
        <v>3283</v>
      </c>
      <c r="E4296" s="2" t="s">
        <v>754</v>
      </c>
      <c r="F4296" s="2" t="s">
        <v>921</v>
      </c>
      <c r="H4296" s="2" t="s">
        <v>40</v>
      </c>
      <c r="I4296" s="2" t="s">
        <v>3298</v>
      </c>
      <c r="L4296" s="2" t="s">
        <v>100</v>
      </c>
      <c r="M4296" s="2" t="s">
        <v>40</v>
      </c>
      <c r="O4296" s="2" t="s">
        <v>3299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45"/>
        <v>6.3250000000000002</v>
      </c>
      <c r="V4296" s="12">
        <f t="shared" si="647"/>
        <v>33.825000000000003</v>
      </c>
      <c r="W4296" s="2">
        <f>T4296*50%</f>
        <v>13.75</v>
      </c>
      <c r="X4296" s="5">
        <f t="shared" si="639"/>
        <v>0.5</v>
      </c>
      <c r="Z4296" s="2" t="s">
        <v>118</v>
      </c>
      <c r="AA4296" s="2" t="s">
        <v>191</v>
      </c>
      <c r="AK4296" s="2">
        <f t="shared" si="640"/>
        <v>13.75</v>
      </c>
      <c r="AL4296" s="5">
        <f t="shared" si="641"/>
        <v>0.5</v>
      </c>
    </row>
    <row r="4297" spans="1:38" hidden="1" x14ac:dyDescent="0.2">
      <c r="A4297" s="2">
        <v>2026</v>
      </c>
      <c r="B4297" s="2">
        <v>7</v>
      </c>
      <c r="C4297" s="2" t="s">
        <v>3306</v>
      </c>
      <c r="D4297" s="2" t="s">
        <v>3284</v>
      </c>
      <c r="E4297" s="2" t="s">
        <v>109</v>
      </c>
      <c r="F4297" s="2" t="s">
        <v>39</v>
      </c>
      <c r="H4297" s="2" t="s">
        <v>291</v>
      </c>
      <c r="I4297" s="2" t="s">
        <v>3300</v>
      </c>
      <c r="L4297" s="2" t="s">
        <v>294</v>
      </c>
      <c r="M4297" s="2" t="s">
        <v>81</v>
      </c>
      <c r="O4297" s="2" t="s">
        <v>3301</v>
      </c>
      <c r="P4297" s="2" t="s">
        <v>73</v>
      </c>
      <c r="Q4297" s="2" t="s">
        <v>3285</v>
      </c>
      <c r="R4297" s="2" t="s">
        <v>308</v>
      </c>
      <c r="S4297" s="13">
        <v>1</v>
      </c>
      <c r="T4297" s="14">
        <v>220</v>
      </c>
      <c r="U4297" s="2">
        <f t="shared" si="645"/>
        <v>50.6</v>
      </c>
      <c r="V4297" s="12">
        <f t="shared" si="647"/>
        <v>270.60000000000002</v>
      </c>
      <c r="W4297" s="2">
        <v>119.95</v>
      </c>
      <c r="X4297" s="5">
        <f t="shared" si="639"/>
        <v>0.45477272727272727</v>
      </c>
      <c r="Z4297" s="2" t="s">
        <v>3237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40"/>
        <v>100.05</v>
      </c>
      <c r="AL4297" s="5">
        <f t="shared" si="641"/>
        <v>0.45477272727272727</v>
      </c>
    </row>
    <row r="4298" spans="1:38" hidden="1" x14ac:dyDescent="0.2">
      <c r="A4298" s="2">
        <v>2026</v>
      </c>
      <c r="B4298" s="2">
        <v>7</v>
      </c>
      <c r="C4298" s="2" t="s">
        <v>3306</v>
      </c>
      <c r="D4298" s="2" t="s">
        <v>3284</v>
      </c>
      <c r="E4298" s="2" t="s">
        <v>109</v>
      </c>
      <c r="F4298" s="2" t="s">
        <v>39</v>
      </c>
      <c r="H4298" s="2" t="s">
        <v>291</v>
      </c>
      <c r="I4298" s="2" t="s">
        <v>3300</v>
      </c>
      <c r="L4298" s="2" t="s">
        <v>294</v>
      </c>
      <c r="M4298" s="2" t="s">
        <v>81</v>
      </c>
      <c r="O4298" s="2" t="s">
        <v>3301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45"/>
        <v>0.34040000000000004</v>
      </c>
      <c r="V4298" s="12">
        <f t="shared" si="647"/>
        <v>1.8204</v>
      </c>
      <c r="W4298" s="2">
        <v>1.48</v>
      </c>
      <c r="X4298" s="5">
        <f t="shared" si="639"/>
        <v>0</v>
      </c>
      <c r="Z4298" s="2" t="s">
        <v>3237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40"/>
        <v>0</v>
      </c>
      <c r="AL4298" s="5">
        <f t="shared" si="641"/>
        <v>0</v>
      </c>
    </row>
    <row r="4299" spans="1:38" hidden="1" x14ac:dyDescent="0.2">
      <c r="A4299" s="2">
        <v>2026</v>
      </c>
      <c r="B4299" s="2">
        <v>7</v>
      </c>
      <c r="C4299" s="2" t="s">
        <v>3307</v>
      </c>
      <c r="D4299" s="2" t="s">
        <v>3109</v>
      </c>
      <c r="E4299" s="2" t="s">
        <v>38</v>
      </c>
      <c r="F4299" s="2" t="s">
        <v>39</v>
      </c>
      <c r="H4299" s="2" t="s">
        <v>110</v>
      </c>
      <c r="I4299" s="2" t="s">
        <v>3295</v>
      </c>
      <c r="L4299" s="2" t="s">
        <v>134</v>
      </c>
      <c r="M4299" s="2" t="s">
        <v>110</v>
      </c>
      <c r="O4299" s="2" t="s">
        <v>3294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45"/>
        <v>2990</v>
      </c>
      <c r="V4299" s="12">
        <f t="shared" si="647"/>
        <v>15990</v>
      </c>
      <c r="W4299" s="2">
        <v>8765.42</v>
      </c>
      <c r="X4299" s="5">
        <f t="shared" si="639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40"/>
        <v>4234.58</v>
      </c>
      <c r="AL4299" s="5">
        <f t="shared" si="641"/>
        <v>0.32573692307692309</v>
      </c>
    </row>
    <row r="4300" spans="1:38" hidden="1" x14ac:dyDescent="0.2">
      <c r="A4300" s="2">
        <v>2026</v>
      </c>
      <c r="B4300" s="2">
        <v>7</v>
      </c>
      <c r="C4300" s="2" t="s">
        <v>3307</v>
      </c>
      <c r="D4300" s="2" t="s">
        <v>3109</v>
      </c>
      <c r="E4300" s="2" t="s">
        <v>38</v>
      </c>
      <c r="F4300" s="2" t="s">
        <v>39</v>
      </c>
      <c r="H4300" s="2" t="s">
        <v>110</v>
      </c>
      <c r="I4300" s="2" t="s">
        <v>3295</v>
      </c>
      <c r="L4300" s="2" t="s">
        <v>134</v>
      </c>
      <c r="M4300" s="2" t="s">
        <v>110</v>
      </c>
      <c r="O4300" s="2" t="s">
        <v>3294</v>
      </c>
      <c r="P4300" s="2" t="s">
        <v>102</v>
      </c>
      <c r="Q4300" s="2" t="s">
        <v>3286</v>
      </c>
      <c r="R4300" s="2" t="s">
        <v>3287</v>
      </c>
      <c r="S4300" s="13">
        <v>1</v>
      </c>
      <c r="T4300" s="14">
        <v>6000</v>
      </c>
      <c r="U4300" s="2">
        <f t="shared" si="645"/>
        <v>1380</v>
      </c>
      <c r="V4300" s="12">
        <f t="shared" si="647"/>
        <v>7380</v>
      </c>
      <c r="W4300" s="2">
        <v>4221.5600000000004</v>
      </c>
      <c r="X4300" s="5">
        <f t="shared" si="639"/>
        <v>0.2964066666666666</v>
      </c>
      <c r="Z4300" s="2" t="s">
        <v>105</v>
      </c>
      <c r="AA4300" s="2" t="s">
        <v>106</v>
      </c>
      <c r="AB4300" s="2" t="s">
        <v>2035</v>
      </c>
      <c r="AC4300" s="2" t="s">
        <v>102</v>
      </c>
      <c r="AG4300" s="2">
        <v>4221.5600000000004</v>
      </c>
      <c r="AK4300" s="2">
        <f t="shared" si="640"/>
        <v>1778.4399999999996</v>
      </c>
      <c r="AL4300" s="5">
        <f t="shared" si="641"/>
        <v>0.2964066666666666</v>
      </c>
    </row>
    <row r="4301" spans="1:38" hidden="1" x14ac:dyDescent="0.2">
      <c r="A4301" s="2">
        <v>2026</v>
      </c>
      <c r="B4301" s="2">
        <v>7</v>
      </c>
      <c r="C4301" s="2" t="s">
        <v>3307</v>
      </c>
      <c r="D4301" s="2" t="s">
        <v>3109</v>
      </c>
      <c r="E4301" s="2" t="s">
        <v>38</v>
      </c>
      <c r="F4301" s="2" t="s">
        <v>39</v>
      </c>
      <c r="H4301" s="2" t="s">
        <v>110</v>
      </c>
      <c r="I4301" s="2" t="s">
        <v>3295</v>
      </c>
      <c r="L4301" s="2" t="s">
        <v>134</v>
      </c>
      <c r="M4301" s="2" t="s">
        <v>110</v>
      </c>
      <c r="O4301" s="2" t="s">
        <v>3294</v>
      </c>
      <c r="P4301" s="2" t="s">
        <v>102</v>
      </c>
      <c r="Q4301" s="2" t="s">
        <v>3288</v>
      </c>
      <c r="R4301" s="2" t="s">
        <v>3289</v>
      </c>
      <c r="S4301" s="13">
        <v>1</v>
      </c>
      <c r="T4301" s="14">
        <v>1000</v>
      </c>
      <c r="U4301" s="2">
        <f t="shared" si="645"/>
        <v>230</v>
      </c>
      <c r="V4301" s="12">
        <f t="shared" si="647"/>
        <v>1230</v>
      </c>
      <c r="W4301" s="2">
        <v>802.73</v>
      </c>
      <c r="X4301" s="5">
        <f t="shared" si="639"/>
        <v>0.19726999999999997</v>
      </c>
      <c r="Z4301" s="2" t="s">
        <v>105</v>
      </c>
      <c r="AA4301" s="2" t="s">
        <v>1114</v>
      </c>
      <c r="AB4301" s="2" t="s">
        <v>3293</v>
      </c>
      <c r="AC4301" s="2" t="s">
        <v>102</v>
      </c>
      <c r="AG4301" s="2">
        <v>802.73</v>
      </c>
      <c r="AK4301" s="2">
        <f t="shared" si="640"/>
        <v>197.26999999999998</v>
      </c>
      <c r="AL4301" s="5">
        <f t="shared" si="641"/>
        <v>0.19726999999999997</v>
      </c>
    </row>
    <row r="4302" spans="1:38" hidden="1" x14ac:dyDescent="0.2">
      <c r="A4302" s="2">
        <v>2026</v>
      </c>
      <c r="B4302" s="2">
        <v>7</v>
      </c>
      <c r="D4302" s="2" t="s">
        <v>2001</v>
      </c>
      <c r="E4302" s="2" t="s">
        <v>109</v>
      </c>
      <c r="F4302" s="2" t="s">
        <v>39</v>
      </c>
      <c r="H4302" s="2" t="s">
        <v>291</v>
      </c>
      <c r="I4302" s="2" t="s">
        <v>3292</v>
      </c>
      <c r="L4302" s="2" t="s">
        <v>340</v>
      </c>
      <c r="M4302" s="2" t="s">
        <v>40</v>
      </c>
      <c r="O4302" s="2" t="s">
        <v>3302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45"/>
        <v>13.8</v>
      </c>
      <c r="V4302" s="12">
        <f t="shared" si="647"/>
        <v>73.8</v>
      </c>
      <c r="W4302" s="2">
        <f>T4302*40%</f>
        <v>24</v>
      </c>
      <c r="X4302" s="5">
        <f t="shared" si="639"/>
        <v>0.6</v>
      </c>
      <c r="Z4302" s="2" t="s">
        <v>118</v>
      </c>
      <c r="AA4302" s="2" t="s">
        <v>191</v>
      </c>
      <c r="AK4302" s="2">
        <f t="shared" si="640"/>
        <v>36</v>
      </c>
      <c r="AL4302" s="5">
        <f t="shared" si="641"/>
        <v>0.6</v>
      </c>
    </row>
    <row r="4303" spans="1:38" hidden="1" x14ac:dyDescent="0.2">
      <c r="A4303" s="2">
        <v>2026</v>
      </c>
      <c r="B4303" s="2">
        <v>7</v>
      </c>
      <c r="D4303" s="2" t="s">
        <v>2001</v>
      </c>
      <c r="E4303" s="2" t="s">
        <v>109</v>
      </c>
      <c r="F4303" s="2" t="s">
        <v>39</v>
      </c>
      <c r="H4303" s="2" t="s">
        <v>291</v>
      </c>
      <c r="I4303" s="2" t="s">
        <v>3292</v>
      </c>
      <c r="L4303" s="2" t="s">
        <v>340</v>
      </c>
      <c r="M4303" s="2" t="s">
        <v>40</v>
      </c>
      <c r="O4303" s="2" t="s">
        <v>3302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45"/>
        <v>12.65</v>
      </c>
      <c r="V4303" s="12">
        <f t="shared" si="647"/>
        <v>67.650000000000006</v>
      </c>
      <c r="W4303" s="2">
        <f>T4303*50%</f>
        <v>27.5</v>
      </c>
      <c r="X4303" s="5">
        <f t="shared" si="639"/>
        <v>0.5</v>
      </c>
      <c r="Z4303" s="2" t="s">
        <v>118</v>
      </c>
      <c r="AA4303" s="2" t="s">
        <v>191</v>
      </c>
      <c r="AK4303" s="2">
        <f t="shared" si="640"/>
        <v>27.5</v>
      </c>
      <c r="AL4303" s="5">
        <f t="shared" si="641"/>
        <v>0.5</v>
      </c>
    </row>
    <row r="4304" spans="1:38" hidden="1" x14ac:dyDescent="0.2">
      <c r="A4304" s="2">
        <v>2026</v>
      </c>
      <c r="B4304" s="2">
        <v>7</v>
      </c>
      <c r="C4304" s="2" t="s">
        <v>3306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47"/>
        <v>860.1389999999999</v>
      </c>
      <c r="W4304" s="2">
        <v>345.20339999999999</v>
      </c>
      <c r="X4304" s="5">
        <f t="shared" si="639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48">T4304-W4304</f>
        <v>354.09659999999997</v>
      </c>
      <c r="AL4304" s="5">
        <f t="shared" ref="AL4304:AL4367" si="649">(T4304-W4304)/T4304</f>
        <v>0.50635864435864431</v>
      </c>
    </row>
    <row r="4305" spans="1:38" hidden="1" x14ac:dyDescent="0.2">
      <c r="A4305" s="2">
        <v>2026</v>
      </c>
      <c r="B4305" s="2">
        <v>7</v>
      </c>
      <c r="C4305" s="2" t="s">
        <v>3306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50">T4305*23%</f>
        <v>72.22</v>
      </c>
      <c r="V4305" s="2">
        <f t="shared" ref="V4305:V4368" si="651">T4305+U4305</f>
        <v>386.22</v>
      </c>
      <c r="W4305" s="2">
        <f>T4305*40%</f>
        <v>125.60000000000001</v>
      </c>
      <c r="X4305" s="5">
        <f t="shared" si="639"/>
        <v>0.6</v>
      </c>
      <c r="Z4305" s="2" t="s">
        <v>118</v>
      </c>
      <c r="AA4305" s="2" t="s">
        <v>191</v>
      </c>
      <c r="AK4305" s="2">
        <f t="shared" si="648"/>
        <v>188.39999999999998</v>
      </c>
      <c r="AL4305" s="5">
        <f t="shared" si="649"/>
        <v>0.6</v>
      </c>
    </row>
    <row r="4306" spans="1:38" hidden="1" x14ac:dyDescent="0.2">
      <c r="A4306" s="2">
        <v>2026</v>
      </c>
      <c r="B4306" s="2">
        <v>7</v>
      </c>
      <c r="C4306" s="2" t="s">
        <v>3306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50"/>
        <v>12.65</v>
      </c>
      <c r="V4306" s="2">
        <f t="shared" si="651"/>
        <v>67.650000000000006</v>
      </c>
      <c r="W4306" s="2">
        <f>T4306*50%</f>
        <v>27.5</v>
      </c>
      <c r="X4306" s="5">
        <f t="shared" si="639"/>
        <v>0.5</v>
      </c>
      <c r="Z4306" s="2" t="s">
        <v>118</v>
      </c>
      <c r="AA4306" s="2" t="s">
        <v>191</v>
      </c>
      <c r="AK4306" s="2">
        <f t="shared" si="648"/>
        <v>27.5</v>
      </c>
      <c r="AL4306" s="5">
        <f t="shared" si="649"/>
        <v>0.5</v>
      </c>
    </row>
    <row r="4307" spans="1:38" hidden="1" x14ac:dyDescent="0.2">
      <c r="A4307" s="2">
        <v>2026</v>
      </c>
      <c r="B4307" s="2">
        <v>7</v>
      </c>
      <c r="C4307" s="2" t="s">
        <v>3307</v>
      </c>
      <c r="D4307" s="2" t="s">
        <v>3344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50"/>
        <v>13.8</v>
      </c>
      <c r="V4307" s="2">
        <f t="shared" si="651"/>
        <v>73.8</v>
      </c>
      <c r="W4307" s="2">
        <f>T4307*40%</f>
        <v>24</v>
      </c>
      <c r="X4307" s="5">
        <f t="shared" si="639"/>
        <v>0.6</v>
      </c>
      <c r="Z4307" s="2" t="s">
        <v>118</v>
      </c>
      <c r="AA4307" s="2" t="s">
        <v>191</v>
      </c>
      <c r="AK4307" s="2">
        <f t="shared" si="648"/>
        <v>36</v>
      </c>
      <c r="AL4307" s="5">
        <f t="shared" si="649"/>
        <v>0.6</v>
      </c>
    </row>
    <row r="4308" spans="1:38" hidden="1" x14ac:dyDescent="0.2">
      <c r="A4308" s="2">
        <v>2026</v>
      </c>
      <c r="B4308" s="2">
        <v>7</v>
      </c>
      <c r="C4308" s="2" t="s">
        <v>3307</v>
      </c>
      <c r="D4308" s="2" t="s">
        <v>3344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50"/>
        <v>12.65</v>
      </c>
      <c r="V4308" s="2">
        <f t="shared" si="651"/>
        <v>67.650000000000006</v>
      </c>
      <c r="W4308" s="2">
        <f>T4308*50%</f>
        <v>27.5</v>
      </c>
      <c r="X4308" s="5">
        <f t="shared" si="639"/>
        <v>0.5</v>
      </c>
      <c r="Z4308" s="2" t="s">
        <v>118</v>
      </c>
      <c r="AA4308" s="2" t="s">
        <v>191</v>
      </c>
      <c r="AK4308" s="2">
        <f t="shared" si="648"/>
        <v>27.5</v>
      </c>
      <c r="AL4308" s="5">
        <f t="shared" si="649"/>
        <v>0.5</v>
      </c>
    </row>
    <row r="4309" spans="1:38" hidden="1" x14ac:dyDescent="0.2">
      <c r="A4309" s="2">
        <v>2026</v>
      </c>
      <c r="B4309" s="2">
        <v>7</v>
      </c>
      <c r="C4309" s="2" t="s">
        <v>3306</v>
      </c>
      <c r="D4309" s="2" t="s">
        <v>3345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50"/>
        <v>50.6</v>
      </c>
      <c r="V4309" s="2">
        <f t="shared" si="651"/>
        <v>270.60000000000002</v>
      </c>
      <c r="W4309" s="2">
        <f>113.905+11.25</f>
        <v>125.155</v>
      </c>
      <c r="X4309" s="5">
        <f t="shared" si="639"/>
        <v>0.43111363636363637</v>
      </c>
      <c r="Z4309" s="2" t="s">
        <v>3237</v>
      </c>
      <c r="AA4309" s="2" t="s">
        <v>76</v>
      </c>
      <c r="AB4309" s="2" t="s">
        <v>77</v>
      </c>
      <c r="AC4309" s="2" t="s">
        <v>78</v>
      </c>
      <c r="AK4309" s="2">
        <f t="shared" si="648"/>
        <v>94.844999999999999</v>
      </c>
      <c r="AL4309" s="5">
        <f t="shared" si="649"/>
        <v>0.43111363636363637</v>
      </c>
    </row>
    <row r="4310" spans="1:38" hidden="1" x14ac:dyDescent="0.2">
      <c r="A4310" s="2">
        <v>2026</v>
      </c>
      <c r="B4310" s="2">
        <v>7</v>
      </c>
      <c r="C4310" s="2" t="s">
        <v>3306</v>
      </c>
      <c r="D4310" s="2" t="s">
        <v>3345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50"/>
        <v>0.34040000000000004</v>
      </c>
      <c r="V4310" s="2">
        <f t="shared" si="651"/>
        <v>1.8204</v>
      </c>
      <c r="W4310" s="2">
        <v>1.48</v>
      </c>
      <c r="X4310" s="5">
        <f t="shared" si="639"/>
        <v>0</v>
      </c>
      <c r="Z4310" s="2" t="s">
        <v>3237</v>
      </c>
      <c r="AA4310" s="2" t="s">
        <v>97</v>
      </c>
      <c r="AB4310" s="2" t="s">
        <v>77</v>
      </c>
      <c r="AC4310" s="2" t="s">
        <v>94</v>
      </c>
      <c r="AK4310" s="2">
        <f t="shared" si="648"/>
        <v>0</v>
      </c>
      <c r="AL4310" s="5">
        <f t="shared" si="649"/>
        <v>0</v>
      </c>
    </row>
    <row r="4311" spans="1:38" hidden="1" x14ac:dyDescent="0.2">
      <c r="A4311" s="2">
        <v>2026</v>
      </c>
      <c r="B4311" s="2">
        <v>7</v>
      </c>
      <c r="C4311" s="2" t="s">
        <v>3307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50"/>
        <v>145.82</v>
      </c>
      <c r="V4311" s="2">
        <f t="shared" si="651"/>
        <v>779.81999999999994</v>
      </c>
      <c r="W4311" s="2">
        <f>T4311*40%</f>
        <v>253.60000000000002</v>
      </c>
      <c r="X4311" s="5">
        <f t="shared" si="639"/>
        <v>0.6</v>
      </c>
      <c r="Z4311" s="2" t="s">
        <v>118</v>
      </c>
      <c r="AA4311" s="2" t="s">
        <v>191</v>
      </c>
      <c r="AK4311" s="2">
        <f t="shared" si="648"/>
        <v>380.4</v>
      </c>
      <c r="AL4311" s="5">
        <f t="shared" si="649"/>
        <v>0.6</v>
      </c>
    </row>
    <row r="4312" spans="1:38" hidden="1" x14ac:dyDescent="0.2">
      <c r="A4312" s="2">
        <v>2026</v>
      </c>
      <c r="B4312" s="2">
        <v>7</v>
      </c>
      <c r="C4312" s="2" t="s">
        <v>3307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50"/>
        <v>44.274999999999999</v>
      </c>
      <c r="V4312" s="2">
        <f t="shared" si="651"/>
        <v>236.77500000000001</v>
      </c>
      <c r="W4312" s="2">
        <f>T4312*50%</f>
        <v>96.25</v>
      </c>
      <c r="X4312" s="5">
        <f t="shared" si="639"/>
        <v>0.5</v>
      </c>
      <c r="Z4312" s="2" t="s">
        <v>118</v>
      </c>
      <c r="AA4312" s="2" t="s">
        <v>191</v>
      </c>
      <c r="AK4312" s="2">
        <f t="shared" si="648"/>
        <v>96.25</v>
      </c>
      <c r="AL4312" s="5">
        <f t="shared" si="649"/>
        <v>0.5</v>
      </c>
    </row>
    <row r="4313" spans="1:38" hidden="1" x14ac:dyDescent="0.2">
      <c r="A4313" s="2">
        <v>2026</v>
      </c>
      <c r="B4313" s="2">
        <v>7</v>
      </c>
      <c r="C4313" s="2" t="s">
        <v>3306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50"/>
        <v>13.8</v>
      </c>
      <c r="V4313" s="2">
        <f t="shared" si="651"/>
        <v>73.8</v>
      </c>
      <c r="W4313" s="2">
        <f>T4313*40%</f>
        <v>24</v>
      </c>
      <c r="X4313" s="5">
        <f t="shared" si="639"/>
        <v>0.6</v>
      </c>
      <c r="Z4313" s="2" t="s">
        <v>118</v>
      </c>
      <c r="AA4313" s="2" t="s">
        <v>191</v>
      </c>
      <c r="AK4313" s="2">
        <f t="shared" si="648"/>
        <v>36</v>
      </c>
      <c r="AL4313" s="5">
        <f t="shared" si="649"/>
        <v>0.6</v>
      </c>
    </row>
    <row r="4314" spans="1:38" hidden="1" x14ac:dyDescent="0.2">
      <c r="A4314" s="2">
        <v>2026</v>
      </c>
      <c r="B4314" s="2">
        <v>7</v>
      </c>
      <c r="C4314" s="2" t="s">
        <v>3306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50"/>
        <v>18.975000000000001</v>
      </c>
      <c r="V4314" s="2">
        <f t="shared" si="651"/>
        <v>101.47499999999999</v>
      </c>
      <c r="W4314" s="2">
        <f>T4314*50%</f>
        <v>41.25</v>
      </c>
      <c r="X4314" s="5">
        <f t="shared" si="639"/>
        <v>0.5</v>
      </c>
      <c r="Z4314" s="2" t="s">
        <v>118</v>
      </c>
      <c r="AA4314" s="2" t="s">
        <v>191</v>
      </c>
      <c r="AK4314" s="2">
        <f t="shared" si="648"/>
        <v>41.25</v>
      </c>
      <c r="AL4314" s="5">
        <f t="shared" si="649"/>
        <v>0.5</v>
      </c>
    </row>
    <row r="4315" spans="1:38" hidden="1" x14ac:dyDescent="0.2">
      <c r="A4315" s="2">
        <v>2026</v>
      </c>
      <c r="B4315" s="2">
        <v>7</v>
      </c>
      <c r="C4315" s="2" t="s">
        <v>3306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50"/>
        <v>18.278100000000002</v>
      </c>
      <c r="V4315" s="2">
        <f t="shared" si="651"/>
        <v>97.748099999999994</v>
      </c>
      <c r="W4315" s="2">
        <v>25.2</v>
      </c>
      <c r="X4315" s="5">
        <f t="shared" si="639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48"/>
        <v>54.269999999999996</v>
      </c>
      <c r="AL4315" s="5">
        <f t="shared" si="649"/>
        <v>0.68289920724801811</v>
      </c>
    </row>
    <row r="4316" spans="1:38" hidden="1" x14ac:dyDescent="0.2">
      <c r="A4316" s="2">
        <v>2026</v>
      </c>
      <c r="B4316" s="2">
        <v>7</v>
      </c>
      <c r="C4316" s="2" t="s">
        <v>3306</v>
      </c>
      <c r="D4316" s="15" t="s">
        <v>984</v>
      </c>
      <c r="M4316" s="2" t="s">
        <v>81</v>
      </c>
      <c r="P4316" s="2" t="s">
        <v>1041</v>
      </c>
      <c r="Q4316" s="16" t="s">
        <v>3356</v>
      </c>
      <c r="R4316" s="15" t="s">
        <v>3357</v>
      </c>
      <c r="S4316" s="13">
        <v>1</v>
      </c>
      <c r="T4316" s="14">
        <v>280</v>
      </c>
      <c r="U4316" s="2">
        <f t="shared" si="650"/>
        <v>64.400000000000006</v>
      </c>
      <c r="V4316" s="2">
        <f t="shared" si="651"/>
        <v>344.4</v>
      </c>
      <c r="W4316" s="2">
        <f>144.32+16.82</f>
        <v>161.13999999999999</v>
      </c>
      <c r="X4316" s="5">
        <f t="shared" si="639"/>
        <v>0.42450000000000004</v>
      </c>
      <c r="Z4316" s="2" t="s">
        <v>3237</v>
      </c>
      <c r="AA4316" s="2" t="s">
        <v>76</v>
      </c>
      <c r="AB4316" s="2" t="s">
        <v>77</v>
      </c>
      <c r="AC4316" s="2" t="s">
        <v>1041</v>
      </c>
      <c r="AK4316" s="2">
        <f t="shared" si="648"/>
        <v>118.86000000000001</v>
      </c>
      <c r="AL4316" s="5">
        <f t="shared" si="649"/>
        <v>0.42450000000000004</v>
      </c>
    </row>
    <row r="4317" spans="1:38" hidden="1" x14ac:dyDescent="0.2">
      <c r="A4317" s="2">
        <v>2026</v>
      </c>
      <c r="B4317" s="2">
        <v>7</v>
      </c>
      <c r="C4317" s="2" t="s">
        <v>3306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50"/>
        <v>0.34040000000000004</v>
      </c>
      <c r="V4317" s="2">
        <f t="shared" si="651"/>
        <v>1.8204</v>
      </c>
      <c r="W4317" s="2">
        <v>1.48</v>
      </c>
      <c r="X4317" s="5">
        <f t="shared" si="639"/>
        <v>0</v>
      </c>
      <c r="Z4317" s="2" t="s">
        <v>3237</v>
      </c>
      <c r="AA4317" s="2" t="s">
        <v>97</v>
      </c>
      <c r="AB4317" s="2" t="s">
        <v>77</v>
      </c>
      <c r="AC4317" s="2" t="s">
        <v>94</v>
      </c>
      <c r="AK4317" s="2">
        <f t="shared" si="648"/>
        <v>0</v>
      </c>
      <c r="AL4317" s="5">
        <f t="shared" si="649"/>
        <v>0</v>
      </c>
    </row>
    <row r="4318" spans="1:38" hidden="1" x14ac:dyDescent="0.2">
      <c r="A4318" s="2">
        <v>2026</v>
      </c>
      <c r="B4318" s="2">
        <v>7</v>
      </c>
      <c r="C4318" s="2" t="s">
        <v>3305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3005</v>
      </c>
      <c r="R4318" s="15" t="s">
        <v>3006</v>
      </c>
      <c r="S4318" s="13">
        <v>1</v>
      </c>
      <c r="T4318" s="14">
        <v>1190</v>
      </c>
      <c r="U4318" s="2">
        <f t="shared" si="650"/>
        <v>273.7</v>
      </c>
      <c r="V4318" s="2">
        <f t="shared" si="651"/>
        <v>1463.7</v>
      </c>
      <c r="W4318" s="2">
        <v>773.5</v>
      </c>
      <c r="X4318" s="5">
        <f t="shared" si="639"/>
        <v>0.35</v>
      </c>
      <c r="Z4318" s="2" t="s">
        <v>118</v>
      </c>
      <c r="AA4318" s="2" t="s">
        <v>182</v>
      </c>
      <c r="AB4318" s="2" t="s">
        <v>3393</v>
      </c>
      <c r="AC4318" s="2" t="s">
        <v>1331</v>
      </c>
      <c r="AK4318" s="2">
        <f t="shared" si="648"/>
        <v>416.5</v>
      </c>
      <c r="AL4318" s="5">
        <f t="shared" si="649"/>
        <v>0.35</v>
      </c>
    </row>
    <row r="4319" spans="1:38" hidden="1" x14ac:dyDescent="0.2">
      <c r="A4319" s="2">
        <v>2026</v>
      </c>
      <c r="B4319" s="2">
        <v>7</v>
      </c>
      <c r="C4319" s="2" t="s">
        <v>3306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50"/>
        <v>41.4</v>
      </c>
      <c r="V4319" s="2">
        <f t="shared" si="651"/>
        <v>221.4</v>
      </c>
      <c r="W4319" s="2">
        <v>125.51600000000001</v>
      </c>
      <c r="X4319" s="5">
        <f t="shared" si="639"/>
        <v>0.30268888888888884</v>
      </c>
      <c r="Z4319" s="2" t="s">
        <v>3237</v>
      </c>
      <c r="AA4319" s="2" t="s">
        <v>76</v>
      </c>
      <c r="AB4319" s="2" t="s">
        <v>77</v>
      </c>
      <c r="AC4319" s="2" t="s">
        <v>78</v>
      </c>
      <c r="AK4319" s="2">
        <f t="shared" si="648"/>
        <v>54.483999999999995</v>
      </c>
      <c r="AL4319" s="5">
        <f t="shared" si="649"/>
        <v>0.30268888888888884</v>
      </c>
    </row>
    <row r="4320" spans="1:38" hidden="1" x14ac:dyDescent="0.2">
      <c r="A4320" s="2">
        <v>2026</v>
      </c>
      <c r="B4320" s="2">
        <v>7</v>
      </c>
      <c r="C4320" s="2" t="s">
        <v>3306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50"/>
        <v>0.34040000000000004</v>
      </c>
      <c r="V4320" s="2">
        <f t="shared" si="651"/>
        <v>1.8204</v>
      </c>
      <c r="W4320" s="2">
        <v>1.48</v>
      </c>
      <c r="X4320" s="5">
        <f t="shared" si="639"/>
        <v>0</v>
      </c>
      <c r="Z4320" s="2" t="s">
        <v>3237</v>
      </c>
      <c r="AA4320" s="2" t="s">
        <v>97</v>
      </c>
      <c r="AB4320" s="2" t="s">
        <v>77</v>
      </c>
      <c r="AC4320" s="2" t="s">
        <v>94</v>
      </c>
      <c r="AK4320" s="2">
        <f t="shared" si="648"/>
        <v>0</v>
      </c>
      <c r="AL4320" s="5">
        <f t="shared" si="649"/>
        <v>0</v>
      </c>
    </row>
    <row r="4321" spans="1:38" hidden="1" x14ac:dyDescent="0.2">
      <c r="A4321" s="2">
        <v>2026</v>
      </c>
      <c r="B4321" s="2">
        <v>7</v>
      </c>
      <c r="C4321" s="2" t="s">
        <v>3306</v>
      </c>
      <c r="D4321" s="15" t="s">
        <v>2565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50"/>
        <v>52.900000000000006</v>
      </c>
      <c r="V4321" s="2">
        <f t="shared" si="651"/>
        <v>282.89999999999998</v>
      </c>
      <c r="W4321" s="2">
        <v>135.68</v>
      </c>
      <c r="X4321" s="5">
        <f t="shared" si="639"/>
        <v>0.4100869565217391</v>
      </c>
      <c r="Z4321" s="2" t="s">
        <v>3237</v>
      </c>
      <c r="AA4321" s="2" t="s">
        <v>76</v>
      </c>
      <c r="AB4321" s="2" t="s">
        <v>77</v>
      </c>
      <c r="AC4321" s="2" t="s">
        <v>78</v>
      </c>
      <c r="AK4321" s="2">
        <f t="shared" si="648"/>
        <v>94.32</v>
      </c>
      <c r="AL4321" s="5">
        <f t="shared" si="649"/>
        <v>0.4100869565217391</v>
      </c>
    </row>
    <row r="4322" spans="1:38" hidden="1" x14ac:dyDescent="0.2">
      <c r="A4322" s="2">
        <v>2026</v>
      </c>
      <c r="B4322" s="2">
        <v>7</v>
      </c>
      <c r="C4322" s="2" t="s">
        <v>3306</v>
      </c>
      <c r="D4322" s="15" t="s">
        <v>2565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50"/>
        <v>0.34040000000000004</v>
      </c>
      <c r="V4322" s="2">
        <f t="shared" si="651"/>
        <v>1.8204</v>
      </c>
      <c r="X4322" s="5">
        <f t="shared" si="639"/>
        <v>1</v>
      </c>
      <c r="Z4322" s="2" t="s">
        <v>3237</v>
      </c>
      <c r="AA4322" s="2" t="s">
        <v>97</v>
      </c>
      <c r="AB4322" s="2" t="s">
        <v>77</v>
      </c>
      <c r="AC4322" s="2" t="s">
        <v>94</v>
      </c>
      <c r="AK4322" s="2">
        <f t="shared" si="648"/>
        <v>1.48</v>
      </c>
      <c r="AL4322" s="5">
        <f t="shared" si="649"/>
        <v>1</v>
      </c>
    </row>
    <row r="4323" spans="1:38" hidden="1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3358</v>
      </c>
      <c r="R4323" s="15" t="s">
        <v>3359</v>
      </c>
      <c r="S4323" s="13">
        <v>1</v>
      </c>
      <c r="T4323" s="14">
        <v>37.6</v>
      </c>
      <c r="U4323" s="2">
        <f t="shared" si="650"/>
        <v>8.6480000000000015</v>
      </c>
      <c r="V4323" s="2">
        <f t="shared" si="651"/>
        <v>46.248000000000005</v>
      </c>
      <c r="W4323" s="2">
        <v>21.71</v>
      </c>
      <c r="X4323" s="5">
        <f t="shared" si="639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48"/>
        <v>15.89</v>
      </c>
      <c r="AL4323" s="5">
        <f t="shared" si="649"/>
        <v>0.42260638297872338</v>
      </c>
    </row>
    <row r="4324" spans="1:38" hidden="1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50"/>
        <v>13.8</v>
      </c>
      <c r="V4324" s="2">
        <f t="shared" si="651"/>
        <v>73.8</v>
      </c>
      <c r="W4324" s="2">
        <f>T4324*40%</f>
        <v>24</v>
      </c>
      <c r="X4324" s="5">
        <f t="shared" si="639"/>
        <v>0.6</v>
      </c>
      <c r="Z4324" s="2" t="s">
        <v>118</v>
      </c>
      <c r="AA4324" s="2" t="s">
        <v>191</v>
      </c>
      <c r="AK4324" s="2">
        <f t="shared" si="648"/>
        <v>36</v>
      </c>
      <c r="AL4324" s="5">
        <f t="shared" si="649"/>
        <v>0.6</v>
      </c>
    </row>
    <row r="4325" spans="1:38" hidden="1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50"/>
        <v>12.65</v>
      </c>
      <c r="V4325" s="2">
        <f t="shared" si="651"/>
        <v>67.650000000000006</v>
      </c>
      <c r="W4325" s="2">
        <f>T4325*50%</f>
        <v>27.5</v>
      </c>
      <c r="X4325" s="5">
        <f t="shared" si="639"/>
        <v>0.5</v>
      </c>
      <c r="Z4325" s="2" t="s">
        <v>118</v>
      </c>
      <c r="AA4325" s="2" t="s">
        <v>191</v>
      </c>
      <c r="AK4325" s="2">
        <f t="shared" si="648"/>
        <v>27.5</v>
      </c>
      <c r="AL4325" s="5">
        <f t="shared" si="649"/>
        <v>0.5</v>
      </c>
    </row>
    <row r="4326" spans="1:38" hidden="1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50"/>
        <v>1.84</v>
      </c>
      <c r="V4326" s="2">
        <f t="shared" si="651"/>
        <v>9.84</v>
      </c>
      <c r="X4326" s="5">
        <f t="shared" si="639"/>
        <v>1</v>
      </c>
      <c r="Z4326" s="2" t="s">
        <v>170</v>
      </c>
      <c r="AA4326" s="2" t="s">
        <v>170</v>
      </c>
      <c r="AK4326" s="2">
        <f t="shared" si="648"/>
        <v>8</v>
      </c>
      <c r="AL4326" s="5">
        <f t="shared" si="649"/>
        <v>1</v>
      </c>
    </row>
    <row r="4327" spans="1:38" hidden="1" x14ac:dyDescent="0.2">
      <c r="A4327" s="2">
        <v>2026</v>
      </c>
      <c r="B4327" s="2">
        <v>7</v>
      </c>
      <c r="D4327" s="15" t="s">
        <v>2002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3285</v>
      </c>
      <c r="R4327" s="15" t="s">
        <v>308</v>
      </c>
      <c r="S4327" s="13">
        <v>1</v>
      </c>
      <c r="T4327" s="14">
        <v>240</v>
      </c>
      <c r="U4327" s="2">
        <f t="shared" si="650"/>
        <v>55.2</v>
      </c>
      <c r="V4327" s="2">
        <f t="shared" si="651"/>
        <v>295.2</v>
      </c>
      <c r="W4327" s="2">
        <v>119.95</v>
      </c>
      <c r="X4327" s="5">
        <f t="shared" si="639"/>
        <v>0.50020833333333337</v>
      </c>
      <c r="Z4327" s="2" t="s">
        <v>3237</v>
      </c>
      <c r="AA4327" s="2" t="s">
        <v>76</v>
      </c>
      <c r="AB4327" s="2" t="s">
        <v>77</v>
      </c>
      <c r="AC4327" s="2" t="s">
        <v>78</v>
      </c>
      <c r="AK4327" s="2">
        <f t="shared" si="648"/>
        <v>120.05</v>
      </c>
      <c r="AL4327" s="5">
        <f t="shared" si="649"/>
        <v>0.50020833333333337</v>
      </c>
    </row>
    <row r="4328" spans="1:38" hidden="1" x14ac:dyDescent="0.2">
      <c r="A4328" s="2">
        <v>2026</v>
      </c>
      <c r="B4328" s="2">
        <v>7</v>
      </c>
      <c r="D4328" s="15" t="s">
        <v>2002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50"/>
        <v>0.34040000000000004</v>
      </c>
      <c r="V4328" s="2">
        <f t="shared" si="651"/>
        <v>1.8204</v>
      </c>
      <c r="W4328" s="2">
        <v>1.48</v>
      </c>
      <c r="X4328" s="5">
        <f t="shared" si="639"/>
        <v>0</v>
      </c>
      <c r="Z4328" s="2" t="s">
        <v>3237</v>
      </c>
      <c r="AA4328" s="2" t="s">
        <v>97</v>
      </c>
      <c r="AB4328" s="2" t="s">
        <v>77</v>
      </c>
      <c r="AC4328" s="2" t="s">
        <v>94</v>
      </c>
      <c r="AK4328" s="2">
        <f t="shared" si="648"/>
        <v>0</v>
      </c>
      <c r="AL4328" s="5">
        <f t="shared" si="649"/>
        <v>0</v>
      </c>
    </row>
    <row r="4329" spans="1:38" hidden="1" x14ac:dyDescent="0.2">
      <c r="A4329" s="2">
        <v>2026</v>
      </c>
      <c r="B4329" s="2">
        <v>7</v>
      </c>
      <c r="C4329" s="2" t="s">
        <v>3306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50"/>
        <v>46</v>
      </c>
      <c r="V4329" s="2">
        <f t="shared" si="651"/>
        <v>246</v>
      </c>
      <c r="W4329" s="2">
        <v>124.6</v>
      </c>
      <c r="X4329" s="5">
        <f t="shared" si="639"/>
        <v>0.377</v>
      </c>
      <c r="Z4329" s="2" t="s">
        <v>3237</v>
      </c>
      <c r="AA4329" s="2" t="s">
        <v>76</v>
      </c>
      <c r="AB4329" s="2" t="s">
        <v>77</v>
      </c>
      <c r="AC4329" s="2" t="s">
        <v>78</v>
      </c>
      <c r="AK4329" s="2">
        <f t="shared" si="648"/>
        <v>75.400000000000006</v>
      </c>
      <c r="AL4329" s="5">
        <f t="shared" si="649"/>
        <v>0.377</v>
      </c>
    </row>
    <row r="4330" spans="1:38" hidden="1" x14ac:dyDescent="0.2">
      <c r="A4330" s="2">
        <v>2026</v>
      </c>
      <c r="B4330" s="2">
        <v>7</v>
      </c>
      <c r="C4330" s="2" t="s">
        <v>3306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50"/>
        <v>0.34040000000000004</v>
      </c>
      <c r="V4330" s="2">
        <f t="shared" si="651"/>
        <v>1.8204</v>
      </c>
      <c r="X4330" s="5">
        <f t="shared" si="639"/>
        <v>1</v>
      </c>
      <c r="Z4330" s="2" t="s">
        <v>3237</v>
      </c>
      <c r="AA4330" s="2" t="s">
        <v>97</v>
      </c>
      <c r="AB4330" s="2" t="s">
        <v>77</v>
      </c>
      <c r="AC4330" s="2" t="s">
        <v>94</v>
      </c>
      <c r="AK4330" s="2">
        <f t="shared" si="648"/>
        <v>1.48</v>
      </c>
      <c r="AL4330" s="5">
        <f t="shared" si="649"/>
        <v>1</v>
      </c>
    </row>
    <row r="4331" spans="1:38" hidden="1" x14ac:dyDescent="0.2">
      <c r="A4331" s="2">
        <v>2026</v>
      </c>
      <c r="B4331" s="2">
        <v>7</v>
      </c>
      <c r="C4331" s="2" t="s">
        <v>3306</v>
      </c>
      <c r="D4331" s="15" t="s">
        <v>3346</v>
      </c>
      <c r="E4331" s="2" t="s">
        <v>3389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50"/>
        <v>460</v>
      </c>
      <c r="V4331" s="2">
        <f t="shared" si="651"/>
        <v>2460</v>
      </c>
      <c r="W4331" s="2">
        <v>1150</v>
      </c>
      <c r="X4331" s="5">
        <f t="shared" si="639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48"/>
        <v>850</v>
      </c>
      <c r="AL4331" s="5">
        <f t="shared" si="649"/>
        <v>0.42499999999999999</v>
      </c>
    </row>
    <row r="4332" spans="1:38" hidden="1" x14ac:dyDescent="0.2">
      <c r="A4332" s="2">
        <v>2026</v>
      </c>
      <c r="B4332" s="2">
        <v>7</v>
      </c>
      <c r="C4332" s="2" t="s">
        <v>3306</v>
      </c>
      <c r="D4332" s="15" t="s">
        <v>3346</v>
      </c>
      <c r="E4332" s="2" t="s">
        <v>3389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50"/>
        <v>0</v>
      </c>
      <c r="V4332" s="2">
        <f t="shared" si="651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48"/>
        <v>0</v>
      </c>
      <c r="AL4332" s="5">
        <v>0</v>
      </c>
    </row>
    <row r="4333" spans="1:38" ht="10.5" hidden="1" customHeight="1" x14ac:dyDescent="0.2">
      <c r="A4333" s="2">
        <v>2026</v>
      </c>
      <c r="B4333" s="2">
        <v>7</v>
      </c>
      <c r="C4333" s="2" t="s">
        <v>3306</v>
      </c>
      <c r="D4333" s="15" t="s">
        <v>3346</v>
      </c>
      <c r="E4333" s="2" t="s">
        <v>3389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50"/>
        <v>0</v>
      </c>
      <c r="V4333" s="2">
        <f t="shared" si="651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48"/>
        <v>0</v>
      </c>
      <c r="AL4333" s="5">
        <v>0</v>
      </c>
    </row>
    <row r="4334" spans="1:38" hidden="1" x14ac:dyDescent="0.2">
      <c r="A4334" s="2">
        <v>2026</v>
      </c>
      <c r="B4334" s="2">
        <v>7</v>
      </c>
      <c r="D4334" s="15" t="s">
        <v>2952</v>
      </c>
      <c r="P4334" s="2" t="s">
        <v>73</v>
      </c>
      <c r="Q4334" s="16" t="s">
        <v>3360</v>
      </c>
      <c r="R4334" s="15" t="s">
        <v>75</v>
      </c>
      <c r="S4334" s="13">
        <v>1</v>
      </c>
      <c r="T4334" s="14">
        <v>270</v>
      </c>
      <c r="U4334" s="2">
        <f t="shared" si="650"/>
        <v>62.1</v>
      </c>
      <c r="V4334" s="2">
        <f t="shared" si="651"/>
        <v>332.1</v>
      </c>
      <c r="W4334" s="2">
        <f>118.44+11.7</f>
        <v>130.13999999999999</v>
      </c>
      <c r="X4334" s="5">
        <f t="shared" si="639"/>
        <v>0.51800000000000002</v>
      </c>
      <c r="Z4334" s="2" t="s">
        <v>3237</v>
      </c>
      <c r="AA4334" s="2" t="s">
        <v>76</v>
      </c>
      <c r="AB4334" s="2" t="s">
        <v>77</v>
      </c>
      <c r="AC4334" s="2" t="s">
        <v>78</v>
      </c>
      <c r="AK4334" s="2">
        <f t="shared" si="648"/>
        <v>139.86000000000001</v>
      </c>
      <c r="AL4334" s="5">
        <f t="shared" si="649"/>
        <v>0.51800000000000002</v>
      </c>
    </row>
    <row r="4335" spans="1:38" hidden="1" x14ac:dyDescent="0.2">
      <c r="A4335" s="2">
        <v>2026</v>
      </c>
      <c r="B4335" s="2">
        <v>7</v>
      </c>
      <c r="D4335" s="15" t="s">
        <v>2952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50"/>
        <v>0.34040000000000004</v>
      </c>
      <c r="V4335" s="2">
        <f t="shared" si="651"/>
        <v>1.8204</v>
      </c>
      <c r="X4335" s="5">
        <f t="shared" si="639"/>
        <v>1</v>
      </c>
      <c r="Z4335" s="2" t="s">
        <v>3237</v>
      </c>
      <c r="AA4335" s="2" t="s">
        <v>97</v>
      </c>
      <c r="AB4335" s="2" t="s">
        <v>77</v>
      </c>
      <c r="AC4335" s="2" t="s">
        <v>94</v>
      </c>
      <c r="AK4335" s="2">
        <f t="shared" si="648"/>
        <v>1.48</v>
      </c>
      <c r="AL4335" s="5">
        <f t="shared" si="649"/>
        <v>1</v>
      </c>
    </row>
    <row r="4336" spans="1:38" hidden="1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50"/>
        <v>16.79</v>
      </c>
      <c r="V4336" s="2">
        <f t="shared" si="651"/>
        <v>89.789999999999992</v>
      </c>
      <c r="W4336" s="2">
        <f>T4336*40%</f>
        <v>29.200000000000003</v>
      </c>
      <c r="X4336" s="5">
        <f t="shared" si="639"/>
        <v>0.6</v>
      </c>
      <c r="Z4336" s="2" t="s">
        <v>118</v>
      </c>
      <c r="AA4336" s="2" t="s">
        <v>191</v>
      </c>
      <c r="AK4336" s="2">
        <f t="shared" si="648"/>
        <v>43.8</v>
      </c>
      <c r="AL4336" s="5">
        <f t="shared" si="649"/>
        <v>0.6</v>
      </c>
    </row>
    <row r="4337" spans="1:38" hidden="1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50"/>
        <v>12.65</v>
      </c>
      <c r="V4337" s="2">
        <f t="shared" si="651"/>
        <v>67.650000000000006</v>
      </c>
      <c r="W4337" s="2">
        <f>T4337*50%</f>
        <v>27.5</v>
      </c>
      <c r="X4337" s="5">
        <f t="shared" ref="X4337:X4400" si="652">(T4337-W4337)/T4337</f>
        <v>0.5</v>
      </c>
      <c r="Z4337" s="2" t="s">
        <v>118</v>
      </c>
      <c r="AA4337" s="2" t="s">
        <v>191</v>
      </c>
      <c r="AK4337" s="2">
        <f t="shared" si="648"/>
        <v>27.5</v>
      </c>
      <c r="AL4337" s="5">
        <f t="shared" si="649"/>
        <v>0.5</v>
      </c>
    </row>
    <row r="4338" spans="1:38" hidden="1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3360</v>
      </c>
      <c r="R4338" s="15" t="s">
        <v>75</v>
      </c>
      <c r="S4338" s="13">
        <v>1</v>
      </c>
      <c r="T4338" s="14">
        <v>220</v>
      </c>
      <c r="U4338" s="2">
        <f t="shared" si="650"/>
        <v>50.6</v>
      </c>
      <c r="V4338" s="2">
        <f t="shared" si="651"/>
        <v>270.60000000000002</v>
      </c>
      <c r="W4338" s="2">
        <f>118.44+11.7</f>
        <v>130.13999999999999</v>
      </c>
      <c r="X4338" s="5">
        <f t="shared" si="652"/>
        <v>0.40845454545454551</v>
      </c>
      <c r="Z4338" s="2" t="s">
        <v>3237</v>
      </c>
      <c r="AA4338" s="2" t="s">
        <v>76</v>
      </c>
      <c r="AB4338" s="2" t="s">
        <v>77</v>
      </c>
      <c r="AC4338" s="2" t="s">
        <v>78</v>
      </c>
      <c r="AK4338" s="2">
        <f t="shared" si="648"/>
        <v>89.860000000000014</v>
      </c>
      <c r="AL4338" s="5">
        <f t="shared" si="649"/>
        <v>0.40845454545454551</v>
      </c>
    </row>
    <row r="4339" spans="1:38" hidden="1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50"/>
        <v>0.34040000000000004</v>
      </c>
      <c r="V4339" s="2">
        <f t="shared" si="651"/>
        <v>1.8204</v>
      </c>
      <c r="X4339" s="5">
        <f t="shared" si="652"/>
        <v>1</v>
      </c>
      <c r="Z4339" s="2" t="s">
        <v>3237</v>
      </c>
      <c r="AA4339" s="2" t="s">
        <v>97</v>
      </c>
      <c r="AB4339" s="2" t="s">
        <v>77</v>
      </c>
      <c r="AC4339" s="2" t="s">
        <v>94</v>
      </c>
      <c r="AK4339" s="2">
        <f t="shared" si="648"/>
        <v>1.48</v>
      </c>
      <c r="AL4339" s="5">
        <f t="shared" si="649"/>
        <v>1</v>
      </c>
    </row>
    <row r="4340" spans="1:38" hidden="1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3361</v>
      </c>
      <c r="R4340" s="15" t="s">
        <v>3362</v>
      </c>
      <c r="S4340" s="13">
        <v>1</v>
      </c>
      <c r="T4340" s="14">
        <v>59.17</v>
      </c>
      <c r="U4340" s="2">
        <f t="shared" si="650"/>
        <v>13.609100000000002</v>
      </c>
      <c r="V4340" s="2">
        <f t="shared" si="651"/>
        <v>72.7791</v>
      </c>
      <c r="W4340" s="2">
        <v>28.25</v>
      </c>
      <c r="X4340" s="5">
        <f t="shared" si="652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48"/>
        <v>30.92</v>
      </c>
      <c r="AL4340" s="5">
        <f t="shared" si="649"/>
        <v>0.52256210917694779</v>
      </c>
    </row>
    <row r="4341" spans="1:38" hidden="1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50"/>
        <v>13.8</v>
      </c>
      <c r="V4341" s="2">
        <f t="shared" si="651"/>
        <v>73.8</v>
      </c>
      <c r="W4341" s="2">
        <f>T4341*40%</f>
        <v>24</v>
      </c>
      <c r="X4341" s="5">
        <f t="shared" si="652"/>
        <v>0.6</v>
      </c>
      <c r="Z4341" s="2" t="s">
        <v>118</v>
      </c>
      <c r="AA4341" s="2" t="s">
        <v>191</v>
      </c>
      <c r="AK4341" s="2">
        <f t="shared" si="648"/>
        <v>36</v>
      </c>
      <c r="AL4341" s="5">
        <f t="shared" si="649"/>
        <v>0.6</v>
      </c>
    </row>
    <row r="4342" spans="1:38" hidden="1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50"/>
        <v>12.65</v>
      </c>
      <c r="V4342" s="2">
        <f t="shared" si="651"/>
        <v>67.650000000000006</v>
      </c>
      <c r="W4342" s="2">
        <f>T4342*50%</f>
        <v>27.5</v>
      </c>
      <c r="X4342" s="5">
        <f t="shared" si="652"/>
        <v>0.5</v>
      </c>
      <c r="Z4342" s="2" t="s">
        <v>118</v>
      </c>
      <c r="AA4342" s="2" t="s">
        <v>191</v>
      </c>
      <c r="AK4342" s="2">
        <f t="shared" si="648"/>
        <v>27.5</v>
      </c>
      <c r="AL4342" s="5">
        <f t="shared" si="649"/>
        <v>0.5</v>
      </c>
    </row>
    <row r="4343" spans="1:38" hidden="1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50"/>
        <v>50.6</v>
      </c>
      <c r="V4343" s="2">
        <f t="shared" si="651"/>
        <v>270.60000000000002</v>
      </c>
      <c r="W4343" s="2">
        <v>125.51600000000001</v>
      </c>
      <c r="X4343" s="5">
        <f t="shared" si="652"/>
        <v>0.42947272727272723</v>
      </c>
      <c r="Z4343" s="2" t="s">
        <v>3237</v>
      </c>
      <c r="AA4343" s="2" t="s">
        <v>76</v>
      </c>
      <c r="AB4343" s="2" t="s">
        <v>77</v>
      </c>
      <c r="AC4343" s="2" t="s">
        <v>78</v>
      </c>
      <c r="AK4343" s="2">
        <f t="shared" si="648"/>
        <v>94.483999999999995</v>
      </c>
      <c r="AL4343" s="5">
        <f t="shared" si="649"/>
        <v>0.42947272727272723</v>
      </c>
    </row>
    <row r="4344" spans="1:38" hidden="1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50"/>
        <v>0.34040000000000004</v>
      </c>
      <c r="V4344" s="2">
        <f t="shared" si="651"/>
        <v>1.8204</v>
      </c>
      <c r="W4344" s="2">
        <v>1.48</v>
      </c>
      <c r="X4344" s="5">
        <f t="shared" si="652"/>
        <v>0</v>
      </c>
      <c r="Z4344" s="2" t="s">
        <v>3237</v>
      </c>
      <c r="AA4344" s="2" t="s">
        <v>97</v>
      </c>
      <c r="AB4344" s="2" t="s">
        <v>77</v>
      </c>
      <c r="AC4344" s="2" t="s">
        <v>94</v>
      </c>
      <c r="AK4344" s="2">
        <f t="shared" si="648"/>
        <v>0</v>
      </c>
      <c r="AL4344" s="5">
        <f t="shared" si="649"/>
        <v>0</v>
      </c>
    </row>
    <row r="4345" spans="1:38" hidden="1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50"/>
        <v>50.6</v>
      </c>
      <c r="V4345" s="2">
        <f t="shared" si="651"/>
        <v>270.60000000000002</v>
      </c>
      <c r="W4345" s="2">
        <v>125.51600000000001</v>
      </c>
      <c r="X4345" s="5">
        <f t="shared" si="652"/>
        <v>0.42947272727272723</v>
      </c>
      <c r="Z4345" s="2" t="s">
        <v>3237</v>
      </c>
      <c r="AA4345" s="2" t="s">
        <v>76</v>
      </c>
      <c r="AB4345" s="2" t="s">
        <v>77</v>
      </c>
      <c r="AC4345" s="2" t="s">
        <v>78</v>
      </c>
      <c r="AK4345" s="2">
        <f t="shared" si="648"/>
        <v>94.483999999999995</v>
      </c>
      <c r="AL4345" s="5">
        <f t="shared" si="649"/>
        <v>0.42947272727272723</v>
      </c>
    </row>
    <row r="4346" spans="1:38" hidden="1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50"/>
        <v>0.34040000000000004</v>
      </c>
      <c r="V4346" s="2">
        <f t="shared" si="651"/>
        <v>1.8204</v>
      </c>
      <c r="X4346" s="5">
        <f t="shared" si="652"/>
        <v>1</v>
      </c>
      <c r="Z4346" s="2" t="s">
        <v>3237</v>
      </c>
      <c r="AA4346" s="2" t="s">
        <v>97</v>
      </c>
      <c r="AB4346" s="2" t="s">
        <v>77</v>
      </c>
      <c r="AC4346" s="2" t="s">
        <v>94</v>
      </c>
      <c r="AK4346" s="2">
        <f t="shared" si="648"/>
        <v>1.48</v>
      </c>
      <c r="AL4346" s="5">
        <f t="shared" si="649"/>
        <v>1</v>
      </c>
    </row>
    <row r="4347" spans="1:38" hidden="1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50"/>
        <v>116.99640000000001</v>
      </c>
      <c r="V4347" s="2">
        <f t="shared" si="651"/>
        <v>625.67640000000006</v>
      </c>
      <c r="W4347" s="2">
        <v>178.3383</v>
      </c>
      <c r="X4347" s="5">
        <f t="shared" si="652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48"/>
        <v>330.3417</v>
      </c>
      <c r="AL4347" s="5">
        <f t="shared" si="649"/>
        <v>0.64940964850200522</v>
      </c>
    </row>
    <row r="4348" spans="1:38" hidden="1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50"/>
        <v>20.851800000000001</v>
      </c>
      <c r="V4348" s="2">
        <f t="shared" si="651"/>
        <v>111.51179999999999</v>
      </c>
      <c r="W4348" s="2">
        <v>30.61</v>
      </c>
      <c r="X4348" s="5">
        <f t="shared" si="652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48"/>
        <v>60.05</v>
      </c>
      <c r="AL4348" s="5">
        <f t="shared" si="649"/>
        <v>0.66236487977057135</v>
      </c>
    </row>
    <row r="4349" spans="1:38" hidden="1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50"/>
        <v>84.64</v>
      </c>
      <c r="V4349" s="2">
        <f t="shared" si="651"/>
        <v>452.64</v>
      </c>
      <c r="W4349" s="2">
        <f>T4349*40%</f>
        <v>147.20000000000002</v>
      </c>
      <c r="X4349" s="5">
        <f t="shared" si="652"/>
        <v>0.6</v>
      </c>
      <c r="Z4349" s="2" t="s">
        <v>118</v>
      </c>
      <c r="AA4349" s="2" t="s">
        <v>191</v>
      </c>
      <c r="AK4349" s="2">
        <f t="shared" si="648"/>
        <v>220.79999999999998</v>
      </c>
      <c r="AL4349" s="5">
        <f t="shared" si="649"/>
        <v>0.6</v>
      </c>
    </row>
    <row r="4350" spans="1:38" hidden="1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50"/>
        <v>50.6</v>
      </c>
      <c r="V4350" s="2">
        <f t="shared" si="651"/>
        <v>270.60000000000002</v>
      </c>
      <c r="W4350" s="2">
        <f>T4350*50%</f>
        <v>110</v>
      </c>
      <c r="X4350" s="5">
        <f t="shared" si="652"/>
        <v>0.5</v>
      </c>
      <c r="Z4350" s="2" t="s">
        <v>118</v>
      </c>
      <c r="AA4350" s="2" t="s">
        <v>191</v>
      </c>
      <c r="AK4350" s="2">
        <f t="shared" si="648"/>
        <v>110</v>
      </c>
      <c r="AL4350" s="5">
        <f t="shared" si="649"/>
        <v>0.5</v>
      </c>
    </row>
    <row r="4351" spans="1:38" hidden="1" x14ac:dyDescent="0.2">
      <c r="A4351" s="2">
        <v>2026</v>
      </c>
      <c r="B4351" s="2">
        <v>7</v>
      </c>
      <c r="D4351" s="15" t="s">
        <v>2025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50"/>
        <v>17.25</v>
      </c>
      <c r="V4351" s="2">
        <f t="shared" si="651"/>
        <v>92.25</v>
      </c>
      <c r="W4351" s="2">
        <f>T4351*40%</f>
        <v>30</v>
      </c>
      <c r="X4351" s="5">
        <f t="shared" si="652"/>
        <v>0.6</v>
      </c>
      <c r="Z4351" s="2" t="s">
        <v>118</v>
      </c>
      <c r="AA4351" s="2" t="s">
        <v>191</v>
      </c>
      <c r="AK4351" s="2">
        <f t="shared" si="648"/>
        <v>45</v>
      </c>
      <c r="AL4351" s="5">
        <f t="shared" si="649"/>
        <v>0.6</v>
      </c>
    </row>
    <row r="4352" spans="1:38" hidden="1" x14ac:dyDescent="0.2">
      <c r="A4352" s="2">
        <v>2026</v>
      </c>
      <c r="B4352" s="2">
        <v>7</v>
      </c>
      <c r="D4352" s="15" t="s">
        <v>2025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50"/>
        <v>22.137499999999999</v>
      </c>
      <c r="V4352" s="2">
        <f t="shared" si="651"/>
        <v>118.3875</v>
      </c>
      <c r="W4352" s="2">
        <f>T4352*50%</f>
        <v>48.125</v>
      </c>
      <c r="X4352" s="5">
        <f t="shared" si="652"/>
        <v>0.5</v>
      </c>
      <c r="Z4352" s="2" t="s">
        <v>118</v>
      </c>
      <c r="AA4352" s="2" t="s">
        <v>191</v>
      </c>
      <c r="AK4352" s="2">
        <f t="shared" si="648"/>
        <v>48.125</v>
      </c>
      <c r="AL4352" s="5">
        <f t="shared" si="649"/>
        <v>0.5</v>
      </c>
    </row>
    <row r="4353" spans="1:38" hidden="1" x14ac:dyDescent="0.2">
      <c r="A4353" s="2">
        <v>2026</v>
      </c>
      <c r="B4353" s="2">
        <v>7</v>
      </c>
      <c r="D4353" s="15" t="s">
        <v>2025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50"/>
        <v>68.424999999999997</v>
      </c>
      <c r="V4353" s="2">
        <f t="shared" si="651"/>
        <v>365.92500000000001</v>
      </c>
      <c r="X4353" s="5">
        <f t="shared" si="652"/>
        <v>1</v>
      </c>
      <c r="Z4353" s="2" t="s">
        <v>120</v>
      </c>
      <c r="AA4353" s="2" t="s">
        <v>3392</v>
      </c>
      <c r="AK4353" s="2">
        <f t="shared" si="648"/>
        <v>297.5</v>
      </c>
      <c r="AL4353" s="5">
        <f t="shared" si="649"/>
        <v>1</v>
      </c>
    </row>
    <row r="4354" spans="1:38" hidden="1" x14ac:dyDescent="0.2">
      <c r="A4354" s="2">
        <v>2026</v>
      </c>
      <c r="B4354" s="2">
        <v>7</v>
      </c>
      <c r="D4354" s="15" t="s">
        <v>3347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50"/>
        <v>115</v>
      </c>
      <c r="V4354" s="2">
        <f t="shared" si="651"/>
        <v>615</v>
      </c>
      <c r="X4354" s="5">
        <f t="shared" si="652"/>
        <v>1</v>
      </c>
      <c r="Z4354" s="2" t="s">
        <v>120</v>
      </c>
      <c r="AA4354" s="2" t="s">
        <v>3392</v>
      </c>
      <c r="AK4354" s="2">
        <f t="shared" si="648"/>
        <v>500</v>
      </c>
      <c r="AL4354" s="5">
        <f t="shared" si="649"/>
        <v>1</v>
      </c>
    </row>
    <row r="4355" spans="1:38" hidden="1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50"/>
        <v>13.34</v>
      </c>
      <c r="V4355" s="2">
        <f t="shared" si="651"/>
        <v>71.34</v>
      </c>
      <c r="W4355" s="2">
        <f t="shared" ref="W4355:W4356" si="653">14.5099*S4355</f>
        <v>29.0198</v>
      </c>
      <c r="X4355" s="5">
        <f t="shared" si="652"/>
        <v>0.49965862068965516</v>
      </c>
      <c r="Z4355" s="2" t="s">
        <v>3237</v>
      </c>
      <c r="AA4355" s="2" t="s">
        <v>46</v>
      </c>
      <c r="AB4355" s="2" t="s">
        <v>61</v>
      </c>
      <c r="AC4355" s="2" t="s">
        <v>3343</v>
      </c>
      <c r="AK4355" s="2">
        <f t="shared" si="648"/>
        <v>28.9802</v>
      </c>
      <c r="AL4355" s="5">
        <f t="shared" si="649"/>
        <v>0.49965862068965516</v>
      </c>
    </row>
    <row r="4356" spans="1:38" hidden="1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50"/>
        <v>22.080000000000002</v>
      </c>
      <c r="V4356" s="2">
        <f t="shared" si="651"/>
        <v>118.08</v>
      </c>
      <c r="W4356" s="2">
        <f t="shared" si="653"/>
        <v>58.0396</v>
      </c>
      <c r="X4356" s="5">
        <f t="shared" si="652"/>
        <v>0.39542083333333333</v>
      </c>
      <c r="Z4356" s="2" t="s">
        <v>3237</v>
      </c>
      <c r="AA4356" s="2" t="s">
        <v>46</v>
      </c>
      <c r="AB4356" s="2" t="s">
        <v>61</v>
      </c>
      <c r="AC4356" s="2" t="s">
        <v>3343</v>
      </c>
      <c r="AK4356" s="2">
        <f t="shared" si="648"/>
        <v>37.9604</v>
      </c>
      <c r="AL4356" s="5">
        <f t="shared" si="649"/>
        <v>0.39542083333333333</v>
      </c>
    </row>
    <row r="4357" spans="1:38" hidden="1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50"/>
        <v>40.71</v>
      </c>
      <c r="V4357" s="2">
        <f t="shared" si="651"/>
        <v>217.71</v>
      </c>
      <c r="W4357" s="2">
        <f>T4357*40%</f>
        <v>70.8</v>
      </c>
      <c r="X4357" s="5">
        <f t="shared" si="652"/>
        <v>0.6</v>
      </c>
      <c r="Z4357" s="2" t="s">
        <v>118</v>
      </c>
      <c r="AA4357" s="2" t="s">
        <v>191</v>
      </c>
      <c r="AK4357" s="2">
        <f t="shared" si="648"/>
        <v>106.2</v>
      </c>
      <c r="AL4357" s="5">
        <f t="shared" si="649"/>
        <v>0.6</v>
      </c>
    </row>
    <row r="4358" spans="1:38" hidden="1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50"/>
        <v>12.65</v>
      </c>
      <c r="V4358" s="2">
        <f t="shared" si="651"/>
        <v>67.650000000000006</v>
      </c>
      <c r="W4358" s="2">
        <f>T4358*50%</f>
        <v>27.5</v>
      </c>
      <c r="X4358" s="5">
        <f t="shared" si="652"/>
        <v>0.5</v>
      </c>
      <c r="Z4358" s="2" t="s">
        <v>118</v>
      </c>
      <c r="AA4358" s="2" t="s">
        <v>191</v>
      </c>
      <c r="AK4358" s="2">
        <f t="shared" si="648"/>
        <v>27.5</v>
      </c>
      <c r="AL4358" s="5">
        <f t="shared" si="649"/>
        <v>0.5</v>
      </c>
    </row>
    <row r="4359" spans="1:38" hidden="1" x14ac:dyDescent="0.2">
      <c r="A4359" s="2">
        <v>2026</v>
      </c>
      <c r="B4359" s="2">
        <v>7</v>
      </c>
      <c r="C4359" s="2" t="s">
        <v>3306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2655</v>
      </c>
      <c r="R4359" s="15" t="s">
        <v>2656</v>
      </c>
      <c r="S4359" s="13">
        <v>1</v>
      </c>
      <c r="T4359" s="14">
        <v>0</v>
      </c>
      <c r="U4359" s="2">
        <f t="shared" si="650"/>
        <v>0</v>
      </c>
      <c r="V4359" s="2">
        <f t="shared" si="651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48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C4360" s="2" t="s">
        <v>3306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2659</v>
      </c>
      <c r="R4360" s="15" t="s">
        <v>2660</v>
      </c>
      <c r="S4360" s="13">
        <v>1</v>
      </c>
      <c r="T4360" s="14">
        <v>0</v>
      </c>
      <c r="U4360" s="2">
        <f t="shared" si="650"/>
        <v>0</v>
      </c>
      <c r="V4360" s="2">
        <f t="shared" si="651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48"/>
        <v>0</v>
      </c>
      <c r="AL4360" s="5">
        <v>0</v>
      </c>
    </row>
    <row r="4361" spans="1:38" hidden="1" x14ac:dyDescent="0.2">
      <c r="A4361" s="2">
        <v>2026</v>
      </c>
      <c r="B4361" s="2">
        <v>7</v>
      </c>
      <c r="C4361" s="2" t="s">
        <v>3306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3363</v>
      </c>
      <c r="R4361" s="15" t="s">
        <v>3364</v>
      </c>
      <c r="S4361" s="13">
        <v>1</v>
      </c>
      <c r="T4361" s="14">
        <v>12000</v>
      </c>
      <c r="U4361" s="2">
        <f t="shared" si="650"/>
        <v>2760</v>
      </c>
      <c r="V4361" s="2">
        <f t="shared" si="651"/>
        <v>14760</v>
      </c>
      <c r="W4361" s="2">
        <f>10440+150</f>
        <v>10590</v>
      </c>
      <c r="X4361" s="5">
        <f t="shared" si="652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48"/>
        <v>1410</v>
      </c>
      <c r="AL4361" s="5">
        <f t="shared" si="649"/>
        <v>0.11749999999999999</v>
      </c>
    </row>
    <row r="4362" spans="1:38" hidden="1" x14ac:dyDescent="0.2">
      <c r="A4362" s="2">
        <v>2026</v>
      </c>
      <c r="B4362" s="2">
        <v>7</v>
      </c>
      <c r="D4362" s="15" t="s">
        <v>3348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50"/>
        <v>43.7</v>
      </c>
      <c r="V4362" s="2">
        <f t="shared" si="651"/>
        <v>233.7</v>
      </c>
      <c r="W4362" s="2">
        <v>125.51600000000001</v>
      </c>
      <c r="X4362" s="5">
        <f t="shared" si="652"/>
        <v>0.33938947368421052</v>
      </c>
      <c r="Z4362" s="2" t="s">
        <v>3237</v>
      </c>
      <c r="AA4362" s="2" t="s">
        <v>76</v>
      </c>
      <c r="AB4362" s="2" t="s">
        <v>77</v>
      </c>
      <c r="AC4362" s="2" t="s">
        <v>78</v>
      </c>
      <c r="AK4362" s="2">
        <f t="shared" si="648"/>
        <v>64.483999999999995</v>
      </c>
      <c r="AL4362" s="5">
        <f t="shared" si="649"/>
        <v>0.33938947368421052</v>
      </c>
    </row>
    <row r="4363" spans="1:38" hidden="1" x14ac:dyDescent="0.2">
      <c r="A4363" s="2">
        <v>2026</v>
      </c>
      <c r="B4363" s="2">
        <v>7</v>
      </c>
      <c r="D4363" s="15" t="s">
        <v>3348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50"/>
        <v>0</v>
      </c>
      <c r="V4363" s="2">
        <f t="shared" si="651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48"/>
        <v>0</v>
      </c>
      <c r="AL4363" s="5">
        <v>0</v>
      </c>
    </row>
    <row r="4364" spans="1:38" hidden="1" x14ac:dyDescent="0.2">
      <c r="A4364" s="2">
        <v>2026</v>
      </c>
      <c r="B4364" s="2">
        <v>7</v>
      </c>
      <c r="D4364" s="15" t="s">
        <v>3348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50"/>
        <v>0.34040000000000004</v>
      </c>
      <c r="V4364" s="2">
        <f t="shared" si="651"/>
        <v>1.8204</v>
      </c>
      <c r="W4364" s="2">
        <v>1.48</v>
      </c>
      <c r="X4364" s="5">
        <f t="shared" si="652"/>
        <v>0</v>
      </c>
      <c r="Z4364" s="2" t="s">
        <v>3237</v>
      </c>
      <c r="AA4364" s="2" t="s">
        <v>97</v>
      </c>
      <c r="AB4364" s="2" t="s">
        <v>77</v>
      </c>
      <c r="AC4364" s="2" t="s">
        <v>94</v>
      </c>
      <c r="AK4364" s="2">
        <f t="shared" si="648"/>
        <v>0</v>
      </c>
      <c r="AL4364" s="5">
        <f t="shared" si="649"/>
        <v>0</v>
      </c>
    </row>
    <row r="4365" spans="1:38" hidden="1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50"/>
        <v>18.075700000000001</v>
      </c>
      <c r="V4365" s="2">
        <f t="shared" si="651"/>
        <v>96.665700000000001</v>
      </c>
      <c r="W4365" s="2">
        <f>36.2258</f>
        <v>36.2258</v>
      </c>
      <c r="X4365" s="5">
        <f t="shared" si="652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48"/>
        <v>42.364200000000004</v>
      </c>
      <c r="AL4365" s="5">
        <f t="shared" si="649"/>
        <v>0.53905331467107775</v>
      </c>
    </row>
    <row r="4366" spans="1:38" hidden="1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50"/>
        <v>1.61</v>
      </c>
      <c r="V4366" s="2">
        <f t="shared" si="651"/>
        <v>8.61</v>
      </c>
      <c r="X4366" s="5">
        <f t="shared" si="652"/>
        <v>1</v>
      </c>
      <c r="Z4366" s="2" t="s">
        <v>170</v>
      </c>
      <c r="AA4366" s="2" t="s">
        <v>170</v>
      </c>
      <c r="AK4366" s="2">
        <f t="shared" si="648"/>
        <v>7</v>
      </c>
      <c r="AL4366" s="5">
        <f t="shared" si="649"/>
        <v>1</v>
      </c>
    </row>
    <row r="4367" spans="1:38" x14ac:dyDescent="0.2">
      <c r="A4367" s="2">
        <v>2026</v>
      </c>
      <c r="B4367" s="2">
        <v>7</v>
      </c>
      <c r="D4367" s="15" t="s">
        <v>3432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50"/>
        <v>368</v>
      </c>
      <c r="V4367" s="2">
        <f t="shared" si="651"/>
        <v>1968</v>
      </c>
      <c r="W4367" s="2">
        <v>1244.2445</v>
      </c>
      <c r="X4367" s="5">
        <f t="shared" si="652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48"/>
        <v>355.75549999999998</v>
      </c>
      <c r="AL4367" s="5">
        <f t="shared" si="649"/>
        <v>0.22234718749999999</v>
      </c>
    </row>
    <row r="4368" spans="1:38" hidden="1" x14ac:dyDescent="0.2">
      <c r="A4368" s="2">
        <v>2026</v>
      </c>
      <c r="B4368" s="2">
        <v>7</v>
      </c>
      <c r="D4368" s="15" t="s">
        <v>3432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50"/>
        <v>1012</v>
      </c>
      <c r="V4368" s="2">
        <f t="shared" si="651"/>
        <v>5412</v>
      </c>
      <c r="W4368" s="2">
        <f>3229.76+112.87</f>
        <v>3342.63</v>
      </c>
      <c r="X4368" s="5">
        <f t="shared" si="652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54">T4368-W4368</f>
        <v>1057.3699999999999</v>
      </c>
      <c r="AL4368" s="5">
        <f t="shared" ref="AL4368:AL4431" si="655">(T4368-W4368)/T4368</f>
        <v>0.2403113636363636</v>
      </c>
    </row>
    <row r="4369" spans="1:38" hidden="1" x14ac:dyDescent="0.2">
      <c r="A4369" s="2">
        <v>2026</v>
      </c>
      <c r="B4369" s="2">
        <v>7</v>
      </c>
      <c r="D4369" s="15" t="s">
        <v>842</v>
      </c>
      <c r="E4369" s="2" t="s">
        <v>109</v>
      </c>
      <c r="F4369" s="2" t="s">
        <v>843</v>
      </c>
      <c r="G4369" s="2">
        <v>504981285</v>
      </c>
      <c r="H4369" s="2" t="s">
        <v>291</v>
      </c>
      <c r="I4369" s="2" t="s">
        <v>844</v>
      </c>
      <c r="J4369" s="2" t="s">
        <v>845</v>
      </c>
      <c r="K4369" s="2">
        <v>932209225</v>
      </c>
      <c r="L4369" s="2" t="s">
        <v>340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56">T4369*23%</f>
        <v>13.510200000000001</v>
      </c>
      <c r="V4369" s="2">
        <f t="shared" ref="V4369:V4432" si="657">T4369+U4369</f>
        <v>72.250200000000007</v>
      </c>
      <c r="W4369" s="2">
        <v>27.86</v>
      </c>
      <c r="X4369" s="5">
        <f t="shared" si="652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54"/>
        <v>30.880000000000003</v>
      </c>
      <c r="AL4369" s="5">
        <f t="shared" si="655"/>
        <v>0.52570650323459311</v>
      </c>
    </row>
    <row r="4370" spans="1:38" hidden="1" x14ac:dyDescent="0.2">
      <c r="A4370" s="2">
        <v>2026</v>
      </c>
      <c r="B4370" s="2">
        <v>7</v>
      </c>
      <c r="D4370" s="15" t="s">
        <v>842</v>
      </c>
      <c r="E4370" s="2" t="s">
        <v>109</v>
      </c>
      <c r="F4370" s="2" t="s">
        <v>843</v>
      </c>
      <c r="G4370" s="2">
        <v>504981285</v>
      </c>
      <c r="H4370" s="2" t="s">
        <v>291</v>
      </c>
      <c r="I4370" s="2" t="s">
        <v>844</v>
      </c>
      <c r="J4370" s="2" t="s">
        <v>845</v>
      </c>
      <c r="K4370" s="2">
        <v>932209225</v>
      </c>
      <c r="L4370" s="2" t="s">
        <v>340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56"/>
        <v>12.65</v>
      </c>
      <c r="V4370" s="2">
        <f t="shared" si="657"/>
        <v>67.650000000000006</v>
      </c>
      <c r="W4370" s="2">
        <f>T4370*40%</f>
        <v>22</v>
      </c>
      <c r="X4370" s="5">
        <f t="shared" si="652"/>
        <v>0.6</v>
      </c>
      <c r="Z4370" s="2" t="s">
        <v>118</v>
      </c>
      <c r="AA4370" s="2" t="s">
        <v>191</v>
      </c>
      <c r="AK4370" s="2">
        <f t="shared" si="654"/>
        <v>33</v>
      </c>
      <c r="AL4370" s="5">
        <f t="shared" si="655"/>
        <v>0.6</v>
      </c>
    </row>
    <row r="4371" spans="1:38" hidden="1" x14ac:dyDescent="0.2">
      <c r="A4371" s="2">
        <v>2026</v>
      </c>
      <c r="B4371" s="2">
        <v>7</v>
      </c>
      <c r="D4371" s="15" t="s">
        <v>842</v>
      </c>
      <c r="E4371" s="2" t="s">
        <v>109</v>
      </c>
      <c r="F4371" s="2" t="s">
        <v>843</v>
      </c>
      <c r="G4371" s="2">
        <v>504981285</v>
      </c>
      <c r="H4371" s="2" t="s">
        <v>291</v>
      </c>
      <c r="I4371" s="2" t="s">
        <v>844</v>
      </c>
      <c r="J4371" s="2" t="s">
        <v>845</v>
      </c>
      <c r="K4371" s="2">
        <v>932209225</v>
      </c>
      <c r="L4371" s="2" t="s">
        <v>340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56"/>
        <v>18.975000000000001</v>
      </c>
      <c r="V4371" s="2">
        <f t="shared" si="657"/>
        <v>101.47499999999999</v>
      </c>
      <c r="W4371" s="2">
        <f>T4371*50%</f>
        <v>41.25</v>
      </c>
      <c r="X4371" s="5">
        <f t="shared" si="652"/>
        <v>0.5</v>
      </c>
      <c r="Z4371" s="2" t="s">
        <v>118</v>
      </c>
      <c r="AA4371" s="2" t="s">
        <v>191</v>
      </c>
      <c r="AK4371" s="2">
        <f t="shared" si="654"/>
        <v>41.25</v>
      </c>
      <c r="AL4371" s="5">
        <f t="shared" si="655"/>
        <v>0.5</v>
      </c>
    </row>
    <row r="4372" spans="1:38" hidden="1" x14ac:dyDescent="0.2">
      <c r="A4372" s="2">
        <v>2026</v>
      </c>
      <c r="B4372" s="2">
        <v>7</v>
      </c>
      <c r="D4372" s="15" t="s">
        <v>842</v>
      </c>
      <c r="E4372" s="2" t="s">
        <v>109</v>
      </c>
      <c r="F4372" s="2" t="s">
        <v>843</v>
      </c>
      <c r="G4372" s="2">
        <v>504981285</v>
      </c>
      <c r="H4372" s="2" t="s">
        <v>291</v>
      </c>
      <c r="I4372" s="2" t="s">
        <v>844</v>
      </c>
      <c r="J4372" s="2" t="s">
        <v>845</v>
      </c>
      <c r="K4372" s="2">
        <v>932209225</v>
      </c>
      <c r="L4372" s="2" t="s">
        <v>340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56"/>
        <v>2.1482000000000001</v>
      </c>
      <c r="V4372" s="2">
        <f t="shared" si="657"/>
        <v>11.488199999999999</v>
      </c>
      <c r="X4372" s="5">
        <f t="shared" si="652"/>
        <v>1</v>
      </c>
      <c r="Z4372" s="2" t="s">
        <v>120</v>
      </c>
      <c r="AA4372" s="2" t="s">
        <v>3392</v>
      </c>
      <c r="AK4372" s="2">
        <f t="shared" si="654"/>
        <v>9.34</v>
      </c>
      <c r="AL4372" s="5">
        <f t="shared" si="655"/>
        <v>1</v>
      </c>
    </row>
    <row r="4373" spans="1:38" hidden="1" x14ac:dyDescent="0.2">
      <c r="A4373" s="2">
        <v>2026</v>
      </c>
      <c r="B4373" s="2">
        <v>7</v>
      </c>
      <c r="D4373" s="15" t="s">
        <v>3349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56"/>
        <v>160.839</v>
      </c>
      <c r="V4373" s="2">
        <f t="shared" si="657"/>
        <v>860.1389999999999</v>
      </c>
      <c r="W4373" s="2">
        <v>343.38580000000002</v>
      </c>
      <c r="X4373" s="5">
        <f t="shared" si="652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54"/>
        <v>355.91419999999994</v>
      </c>
      <c r="AL4373" s="5">
        <f t="shared" si="655"/>
        <v>0.50895781495781489</v>
      </c>
    </row>
    <row r="4374" spans="1:38" hidden="1" x14ac:dyDescent="0.2">
      <c r="A4374" s="2">
        <v>2026</v>
      </c>
      <c r="B4374" s="2">
        <v>7</v>
      </c>
      <c r="D4374" s="15" t="s">
        <v>3349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56"/>
        <v>40.25</v>
      </c>
      <c r="V4374" s="2">
        <f t="shared" si="657"/>
        <v>215.25</v>
      </c>
      <c r="W4374" s="2">
        <f>T4374*40%</f>
        <v>70</v>
      </c>
      <c r="X4374" s="5">
        <f t="shared" si="652"/>
        <v>0.6</v>
      </c>
      <c r="Z4374" s="2" t="s">
        <v>118</v>
      </c>
      <c r="AA4374" s="2" t="s">
        <v>191</v>
      </c>
      <c r="AK4374" s="2">
        <f t="shared" si="654"/>
        <v>105</v>
      </c>
      <c r="AL4374" s="5">
        <f t="shared" si="655"/>
        <v>0.6</v>
      </c>
    </row>
    <row r="4375" spans="1:38" hidden="1" x14ac:dyDescent="0.2">
      <c r="A4375" s="2">
        <v>2026</v>
      </c>
      <c r="B4375" s="2">
        <v>7</v>
      </c>
      <c r="D4375" s="15" t="s">
        <v>3349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56"/>
        <v>12.65</v>
      </c>
      <c r="V4375" s="2">
        <f t="shared" si="657"/>
        <v>67.650000000000006</v>
      </c>
      <c r="W4375" s="2">
        <f>T4375*50%</f>
        <v>27.5</v>
      </c>
      <c r="X4375" s="5">
        <f t="shared" si="652"/>
        <v>0.5</v>
      </c>
      <c r="Z4375" s="2" t="s">
        <v>118</v>
      </c>
      <c r="AA4375" s="2" t="s">
        <v>191</v>
      </c>
      <c r="AK4375" s="2">
        <f t="shared" si="654"/>
        <v>27.5</v>
      </c>
      <c r="AL4375" s="5">
        <f t="shared" si="655"/>
        <v>0.5</v>
      </c>
    </row>
    <row r="4376" spans="1:38" hidden="1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56"/>
        <v>2.99</v>
      </c>
      <c r="V4376" s="2">
        <f t="shared" si="657"/>
        <v>15.99</v>
      </c>
      <c r="W4376" s="2">
        <f>6.6267*S4376</f>
        <v>6.6266999999999996</v>
      </c>
      <c r="X4376" s="5">
        <f t="shared" si="652"/>
        <v>0.49025384615384621</v>
      </c>
      <c r="Z4376" s="2" t="s">
        <v>3237</v>
      </c>
      <c r="AA4376" s="2" t="s">
        <v>46</v>
      </c>
      <c r="AB4376" s="2" t="s">
        <v>47</v>
      </c>
      <c r="AC4376" s="2" t="s">
        <v>48</v>
      </c>
      <c r="AK4376" s="2">
        <f t="shared" si="654"/>
        <v>6.3733000000000004</v>
      </c>
      <c r="AL4376" s="5">
        <f t="shared" si="655"/>
        <v>0.49025384615384621</v>
      </c>
    </row>
    <row r="4377" spans="1:38" hidden="1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56"/>
        <v>8.2800000000000011</v>
      </c>
      <c r="V4377" s="2">
        <f t="shared" si="657"/>
        <v>44.28</v>
      </c>
      <c r="X4377" s="5">
        <f t="shared" si="652"/>
        <v>1</v>
      </c>
      <c r="Z4377" s="2" t="s">
        <v>3237</v>
      </c>
      <c r="AK4377" s="2">
        <f t="shared" si="654"/>
        <v>36</v>
      </c>
      <c r="AL4377" s="5">
        <f t="shared" si="655"/>
        <v>1</v>
      </c>
    </row>
    <row r="4378" spans="1:38" hidden="1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2">
        <v>100</v>
      </c>
      <c r="T4378" s="14">
        <v>13</v>
      </c>
      <c r="U4378" s="2">
        <f t="shared" si="656"/>
        <v>2.99</v>
      </c>
      <c r="V4378" s="2">
        <f t="shared" si="657"/>
        <v>15.99</v>
      </c>
      <c r="W4378" s="2">
        <f>0.0914*S4378</f>
        <v>9.1399999999999988</v>
      </c>
      <c r="X4378" s="5">
        <f t="shared" si="652"/>
        <v>0.29692307692307701</v>
      </c>
      <c r="Z4378" s="2" t="s">
        <v>3237</v>
      </c>
      <c r="AA4378" s="2" t="s">
        <v>46</v>
      </c>
      <c r="AB4378" s="2" t="s">
        <v>61</v>
      </c>
      <c r="AC4378" s="2" t="s">
        <v>58</v>
      </c>
      <c r="AK4378" s="2">
        <f t="shared" si="654"/>
        <v>3.8600000000000012</v>
      </c>
      <c r="AL4378" s="5">
        <f t="shared" si="655"/>
        <v>0.29692307692307701</v>
      </c>
    </row>
    <row r="4379" spans="1:38" hidden="1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56"/>
        <v>1.84</v>
      </c>
      <c r="V4379" s="2">
        <f t="shared" si="657"/>
        <v>9.84</v>
      </c>
      <c r="X4379" s="5">
        <f t="shared" si="652"/>
        <v>1</v>
      </c>
      <c r="Z4379" s="2" t="s">
        <v>170</v>
      </c>
      <c r="AA4379" s="2" t="s">
        <v>170</v>
      </c>
      <c r="AK4379" s="2">
        <f t="shared" si="654"/>
        <v>8</v>
      </c>
      <c r="AL4379" s="5">
        <f t="shared" si="655"/>
        <v>1</v>
      </c>
    </row>
    <row r="4380" spans="1:38" hidden="1" x14ac:dyDescent="0.2">
      <c r="A4380" s="2">
        <v>2026</v>
      </c>
      <c r="B4380" s="2">
        <v>7</v>
      </c>
      <c r="D4380" s="15" t="s">
        <v>3350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56"/>
        <v>9.66</v>
      </c>
      <c r="V4380" s="2">
        <f t="shared" si="657"/>
        <v>51.66</v>
      </c>
      <c r="W4380" s="2">
        <f>14.4*S4380</f>
        <v>28.8</v>
      </c>
      <c r="X4380" s="5">
        <f t="shared" si="652"/>
        <v>0.31428571428571428</v>
      </c>
      <c r="Z4380" s="2" t="s">
        <v>3237</v>
      </c>
      <c r="AA4380" s="2" t="s">
        <v>46</v>
      </c>
      <c r="AB4380" s="2" t="s">
        <v>47</v>
      </c>
      <c r="AC4380" s="2" t="s">
        <v>48</v>
      </c>
      <c r="AK4380" s="2">
        <f t="shared" si="654"/>
        <v>13.2</v>
      </c>
      <c r="AL4380" s="5">
        <f t="shared" si="655"/>
        <v>0.31428571428571428</v>
      </c>
    </row>
    <row r="4381" spans="1:38" hidden="1" x14ac:dyDescent="0.2">
      <c r="A4381" s="2">
        <v>2026</v>
      </c>
      <c r="B4381" s="2">
        <v>7</v>
      </c>
      <c r="D4381" s="15" t="s">
        <v>3350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56"/>
        <v>19.55</v>
      </c>
      <c r="V4381" s="2">
        <f t="shared" si="657"/>
        <v>104.55</v>
      </c>
      <c r="X4381" s="5">
        <f t="shared" si="652"/>
        <v>1</v>
      </c>
      <c r="Z4381" s="2" t="s">
        <v>3237</v>
      </c>
      <c r="AK4381" s="2">
        <f t="shared" si="654"/>
        <v>85</v>
      </c>
      <c r="AL4381" s="5">
        <f t="shared" si="655"/>
        <v>1</v>
      </c>
    </row>
    <row r="4382" spans="1:38" hidden="1" x14ac:dyDescent="0.2">
      <c r="A4382" s="2">
        <v>2026</v>
      </c>
      <c r="B4382" s="2">
        <v>7</v>
      </c>
      <c r="D4382" s="15" t="s">
        <v>3350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56"/>
        <v>10.58</v>
      </c>
      <c r="V4382" s="2">
        <f t="shared" si="657"/>
        <v>56.58</v>
      </c>
      <c r="W4382" s="2">
        <f>0.082*S4382</f>
        <v>32.800000000000004</v>
      </c>
      <c r="X4382" s="5">
        <f t="shared" si="652"/>
        <v>0.28695652173913033</v>
      </c>
      <c r="Z4382" s="2" t="s">
        <v>3237</v>
      </c>
      <c r="AA4382" s="2" t="s">
        <v>46</v>
      </c>
      <c r="AB4382" s="2" t="s">
        <v>61</v>
      </c>
      <c r="AC4382" s="2" t="s">
        <v>58</v>
      </c>
      <c r="AK4382" s="2">
        <f t="shared" si="654"/>
        <v>13.199999999999996</v>
      </c>
      <c r="AL4382" s="5">
        <f t="shared" si="655"/>
        <v>0.28695652173913033</v>
      </c>
    </row>
    <row r="4383" spans="1:38" hidden="1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56"/>
        <v>156.14930000000001</v>
      </c>
      <c r="V4383" s="2">
        <f t="shared" si="657"/>
        <v>835.05930000000001</v>
      </c>
      <c r="X4383" s="5">
        <f t="shared" si="652"/>
        <v>1</v>
      </c>
      <c r="Z4383" s="2" t="s">
        <v>120</v>
      </c>
      <c r="AA4383" s="2" t="s">
        <v>493</v>
      </c>
      <c r="AK4383" s="2">
        <f t="shared" si="654"/>
        <v>678.91</v>
      </c>
      <c r="AL4383" s="5">
        <f t="shared" si="655"/>
        <v>1</v>
      </c>
    </row>
    <row r="4384" spans="1:38" hidden="1" x14ac:dyDescent="0.2">
      <c r="A4384" s="2">
        <v>2026</v>
      </c>
      <c r="B4384" s="2">
        <v>7</v>
      </c>
      <c r="C4384" s="2" t="s">
        <v>3307</v>
      </c>
      <c r="D4384" s="15" t="s">
        <v>3351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56"/>
        <v>160.839</v>
      </c>
      <c r="V4384" s="2">
        <f t="shared" si="657"/>
        <v>860.1389999999999</v>
      </c>
      <c r="W4384" s="2">
        <v>343.38580000000002</v>
      </c>
      <c r="X4384" s="5">
        <f t="shared" si="652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54"/>
        <v>355.91419999999994</v>
      </c>
      <c r="AL4384" s="5">
        <f t="shared" si="655"/>
        <v>0.50895781495781489</v>
      </c>
    </row>
    <row r="4385" spans="1:38" hidden="1" x14ac:dyDescent="0.2">
      <c r="A4385" s="2">
        <v>2026</v>
      </c>
      <c r="B4385" s="2">
        <v>7</v>
      </c>
      <c r="C4385" s="2" t="s">
        <v>3307</v>
      </c>
      <c r="D4385" s="15" t="s">
        <v>3351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56"/>
        <v>13.8</v>
      </c>
      <c r="V4385" s="2">
        <f t="shared" si="657"/>
        <v>73.8</v>
      </c>
      <c r="W4385" s="2">
        <f>T4385*40%</f>
        <v>24</v>
      </c>
      <c r="X4385" s="5">
        <f t="shared" si="652"/>
        <v>0.6</v>
      </c>
      <c r="Z4385" s="2" t="s">
        <v>118</v>
      </c>
      <c r="AA4385" s="2" t="s">
        <v>191</v>
      </c>
      <c r="AK4385" s="2">
        <f t="shared" si="654"/>
        <v>36</v>
      </c>
      <c r="AL4385" s="5">
        <f t="shared" si="655"/>
        <v>0.6</v>
      </c>
    </row>
    <row r="4386" spans="1:38" hidden="1" x14ac:dyDescent="0.2">
      <c r="A4386" s="2">
        <v>2026</v>
      </c>
      <c r="B4386" s="2">
        <v>7</v>
      </c>
      <c r="C4386" s="2" t="s">
        <v>3307</v>
      </c>
      <c r="D4386" s="15" t="s">
        <v>3351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56"/>
        <v>12.65</v>
      </c>
      <c r="V4386" s="2">
        <f t="shared" si="657"/>
        <v>67.650000000000006</v>
      </c>
      <c r="W4386" s="2">
        <f>T4386*50%</f>
        <v>27.5</v>
      </c>
      <c r="X4386" s="5">
        <f t="shared" si="652"/>
        <v>0.5</v>
      </c>
      <c r="Z4386" s="2" t="s">
        <v>118</v>
      </c>
      <c r="AA4386" s="2" t="s">
        <v>191</v>
      </c>
      <c r="AK4386" s="2">
        <f t="shared" si="654"/>
        <v>27.5</v>
      </c>
      <c r="AL4386" s="5">
        <f t="shared" si="655"/>
        <v>0.5</v>
      </c>
    </row>
    <row r="4387" spans="1:38" hidden="1" x14ac:dyDescent="0.2">
      <c r="A4387" s="2">
        <v>2026</v>
      </c>
      <c r="B4387" s="2">
        <v>7</v>
      </c>
      <c r="D4387" s="15" t="s">
        <v>2161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56"/>
        <v>92.69</v>
      </c>
      <c r="V4387" s="2">
        <f t="shared" si="657"/>
        <v>495.69</v>
      </c>
      <c r="W4387" s="2">
        <f>T4387*40%</f>
        <v>161.20000000000002</v>
      </c>
      <c r="X4387" s="5">
        <f t="shared" si="652"/>
        <v>0.6</v>
      </c>
      <c r="Z4387" s="2" t="s">
        <v>118</v>
      </c>
      <c r="AA4387" s="2" t="s">
        <v>191</v>
      </c>
      <c r="AK4387" s="2">
        <f t="shared" si="654"/>
        <v>241.79999999999998</v>
      </c>
      <c r="AL4387" s="5">
        <f t="shared" si="655"/>
        <v>0.6</v>
      </c>
    </row>
    <row r="4388" spans="1:38" hidden="1" x14ac:dyDescent="0.2">
      <c r="A4388" s="2">
        <v>2026</v>
      </c>
      <c r="B4388" s="2">
        <v>7</v>
      </c>
      <c r="D4388" s="15" t="s">
        <v>2161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56"/>
        <v>12.65</v>
      </c>
      <c r="V4388" s="2">
        <f t="shared" si="657"/>
        <v>67.650000000000006</v>
      </c>
      <c r="W4388" s="2">
        <f>T4388*50%</f>
        <v>27.5</v>
      </c>
      <c r="X4388" s="5">
        <f t="shared" si="652"/>
        <v>0.5</v>
      </c>
      <c r="Z4388" s="2" t="s">
        <v>118</v>
      </c>
      <c r="AA4388" s="2" t="s">
        <v>191</v>
      </c>
      <c r="AK4388" s="2">
        <f t="shared" si="654"/>
        <v>27.5</v>
      </c>
      <c r="AL4388" s="5">
        <f t="shared" si="655"/>
        <v>0.5</v>
      </c>
    </row>
    <row r="4389" spans="1:38" hidden="1" x14ac:dyDescent="0.2">
      <c r="A4389" s="2">
        <v>2026</v>
      </c>
      <c r="B4389" s="2">
        <v>7</v>
      </c>
      <c r="D4389" s="15" t="s">
        <v>3118</v>
      </c>
      <c r="M4389" s="2" t="s">
        <v>40</v>
      </c>
      <c r="P4389" s="2" t="s">
        <v>115</v>
      </c>
      <c r="Q4389" s="16" t="s">
        <v>3365</v>
      </c>
      <c r="R4389" s="15" t="s">
        <v>3366</v>
      </c>
      <c r="S4389" s="13">
        <v>2</v>
      </c>
      <c r="T4389" s="14">
        <v>32.549999999999997</v>
      </c>
      <c r="U4389" s="2">
        <f t="shared" si="656"/>
        <v>7.4864999999999995</v>
      </c>
      <c r="V4389" s="2">
        <f t="shared" si="657"/>
        <v>40.036499999999997</v>
      </c>
      <c r="X4389" s="5">
        <f t="shared" si="652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54"/>
        <v>32.549999999999997</v>
      </c>
      <c r="AL4389" s="5">
        <f t="shared" si="655"/>
        <v>1</v>
      </c>
    </row>
    <row r="4390" spans="1:38" hidden="1" x14ac:dyDescent="0.2">
      <c r="A4390" s="2">
        <v>2026</v>
      </c>
      <c r="B4390" s="2">
        <v>7</v>
      </c>
      <c r="D4390" s="15" t="s">
        <v>2912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56"/>
        <v>6.67</v>
      </c>
      <c r="V4390" s="2">
        <f t="shared" si="657"/>
        <v>35.67</v>
      </c>
      <c r="W4390" s="2">
        <f>14.5099*S4390</f>
        <v>14.5099</v>
      </c>
      <c r="X4390" s="5">
        <f t="shared" si="652"/>
        <v>0.49965862068965516</v>
      </c>
      <c r="Z4390" s="2" t="s">
        <v>3237</v>
      </c>
      <c r="AA4390" s="2" t="s">
        <v>46</v>
      </c>
      <c r="AB4390" s="2" t="s">
        <v>61</v>
      </c>
      <c r="AC4390" s="2" t="s">
        <v>3343</v>
      </c>
      <c r="AK4390" s="2">
        <f t="shared" si="654"/>
        <v>14.4901</v>
      </c>
      <c r="AL4390" s="5">
        <f t="shared" si="655"/>
        <v>0.49965862068965516</v>
      </c>
    </row>
    <row r="4391" spans="1:38" hidden="1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3367</v>
      </c>
      <c r="R4391" s="15" t="s">
        <v>80</v>
      </c>
      <c r="S4391" s="13">
        <v>1</v>
      </c>
      <c r="T4391" s="14">
        <v>220</v>
      </c>
      <c r="U4391" s="2">
        <f t="shared" si="656"/>
        <v>50.6</v>
      </c>
      <c r="V4391" s="2">
        <f t="shared" si="657"/>
        <v>270.60000000000002</v>
      </c>
      <c r="W4391" s="2">
        <v>125.15</v>
      </c>
      <c r="X4391" s="5">
        <f t="shared" si="652"/>
        <v>0.4311363636363636</v>
      </c>
      <c r="Z4391" s="2" t="s">
        <v>3237</v>
      </c>
      <c r="AA4391" s="2" t="s">
        <v>76</v>
      </c>
      <c r="AB4391" s="2" t="s">
        <v>77</v>
      </c>
      <c r="AC4391" s="2" t="s">
        <v>78</v>
      </c>
      <c r="AK4391" s="2">
        <f t="shared" si="654"/>
        <v>94.85</v>
      </c>
      <c r="AL4391" s="5">
        <f t="shared" si="655"/>
        <v>0.4311363636363636</v>
      </c>
    </row>
    <row r="4392" spans="1:38" hidden="1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56"/>
        <v>0.34040000000000004</v>
      </c>
      <c r="V4392" s="2">
        <f t="shared" si="657"/>
        <v>1.8204</v>
      </c>
      <c r="X4392" s="5">
        <f t="shared" si="652"/>
        <v>1</v>
      </c>
      <c r="Z4392" s="2" t="s">
        <v>3237</v>
      </c>
      <c r="AA4392" s="2" t="s">
        <v>97</v>
      </c>
      <c r="AB4392" s="2" t="s">
        <v>77</v>
      </c>
      <c r="AC4392" s="2" t="s">
        <v>94</v>
      </c>
      <c r="AK4392" s="2">
        <f t="shared" si="654"/>
        <v>1.48</v>
      </c>
      <c r="AL4392" s="5">
        <f t="shared" si="655"/>
        <v>1</v>
      </c>
    </row>
    <row r="4393" spans="1:38" hidden="1" x14ac:dyDescent="0.2">
      <c r="A4393" s="2">
        <v>2026</v>
      </c>
      <c r="B4393" s="2">
        <v>7</v>
      </c>
      <c r="D4393" s="15" t="s">
        <v>3352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56"/>
        <v>68.08</v>
      </c>
      <c r="V4393" s="2">
        <f t="shared" si="657"/>
        <v>364.08</v>
      </c>
      <c r="W4393" s="2">
        <f>T4393*40%</f>
        <v>118.4</v>
      </c>
      <c r="X4393" s="5">
        <f t="shared" si="652"/>
        <v>0.6</v>
      </c>
      <c r="Z4393" s="2" t="s">
        <v>118</v>
      </c>
      <c r="AA4393" s="2" t="s">
        <v>191</v>
      </c>
      <c r="AK4393" s="2">
        <f t="shared" si="654"/>
        <v>177.6</v>
      </c>
      <c r="AL4393" s="5">
        <f t="shared" si="655"/>
        <v>0.6</v>
      </c>
    </row>
    <row r="4394" spans="1:38" hidden="1" x14ac:dyDescent="0.2">
      <c r="A4394" s="2">
        <v>2026</v>
      </c>
      <c r="B4394" s="2">
        <v>7</v>
      </c>
      <c r="D4394" s="15" t="s">
        <v>3352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56"/>
        <v>12.65</v>
      </c>
      <c r="V4394" s="2">
        <f t="shared" si="657"/>
        <v>67.650000000000006</v>
      </c>
      <c r="W4394" s="2">
        <f>T4394*50%</f>
        <v>27.5</v>
      </c>
      <c r="X4394" s="5">
        <f t="shared" si="652"/>
        <v>0.5</v>
      </c>
      <c r="Z4394" s="2" t="s">
        <v>118</v>
      </c>
      <c r="AA4394" s="2" t="s">
        <v>191</v>
      </c>
      <c r="AK4394" s="2">
        <f t="shared" si="654"/>
        <v>27.5</v>
      </c>
      <c r="AL4394" s="5">
        <f t="shared" si="655"/>
        <v>0.5</v>
      </c>
    </row>
    <row r="4395" spans="1:38" hidden="1" x14ac:dyDescent="0.2">
      <c r="A4395" s="2">
        <v>2026</v>
      </c>
      <c r="B4395" s="2">
        <v>7</v>
      </c>
      <c r="C4395" s="2" t="s">
        <v>3307</v>
      </c>
      <c r="D4395" s="15" t="s">
        <v>2529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56"/>
        <v>51.75</v>
      </c>
      <c r="V4395" s="2">
        <f t="shared" si="657"/>
        <v>276.75</v>
      </c>
      <c r="W4395" s="2">
        <v>125.51600000000001</v>
      </c>
      <c r="X4395" s="5">
        <f t="shared" si="652"/>
        <v>0.44215111111111111</v>
      </c>
      <c r="Z4395" s="2" t="s">
        <v>3237</v>
      </c>
      <c r="AA4395" s="2" t="s">
        <v>76</v>
      </c>
      <c r="AB4395" s="2" t="s">
        <v>77</v>
      </c>
      <c r="AC4395" s="2" t="s">
        <v>78</v>
      </c>
      <c r="AK4395" s="2">
        <f t="shared" si="654"/>
        <v>99.483999999999995</v>
      </c>
      <c r="AL4395" s="5">
        <f t="shared" si="655"/>
        <v>0.44215111111111111</v>
      </c>
    </row>
    <row r="4396" spans="1:38" hidden="1" x14ac:dyDescent="0.2">
      <c r="A4396" s="2">
        <v>2026</v>
      </c>
      <c r="B4396" s="2">
        <v>7</v>
      </c>
      <c r="C4396" s="2" t="s">
        <v>3307</v>
      </c>
      <c r="D4396" s="15" t="s">
        <v>2529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56"/>
        <v>0.34040000000000004</v>
      </c>
      <c r="V4396" s="2">
        <f t="shared" si="657"/>
        <v>1.8204</v>
      </c>
      <c r="W4396" s="2">
        <v>1.48</v>
      </c>
      <c r="X4396" s="5">
        <f t="shared" si="652"/>
        <v>0</v>
      </c>
      <c r="Z4396" s="2" t="s">
        <v>3237</v>
      </c>
      <c r="AA4396" s="2" t="s">
        <v>97</v>
      </c>
      <c r="AB4396" s="2" t="s">
        <v>77</v>
      </c>
      <c r="AC4396" s="2" t="s">
        <v>94</v>
      </c>
      <c r="AK4396" s="2">
        <f t="shared" si="654"/>
        <v>0</v>
      </c>
      <c r="AL4396" s="5">
        <f t="shared" si="655"/>
        <v>0</v>
      </c>
    </row>
    <row r="4397" spans="1:38" hidden="1" x14ac:dyDescent="0.2">
      <c r="A4397" s="2">
        <v>2026</v>
      </c>
      <c r="B4397" s="2">
        <v>7</v>
      </c>
      <c r="C4397" s="2" t="s">
        <v>3427</v>
      </c>
      <c r="D4397" s="15" t="s">
        <v>3353</v>
      </c>
      <c r="P4397" s="2" t="s">
        <v>73</v>
      </c>
      <c r="Q4397" s="16" t="s">
        <v>3368</v>
      </c>
      <c r="R4397" s="15" t="s">
        <v>198</v>
      </c>
      <c r="S4397" s="13">
        <v>1</v>
      </c>
      <c r="T4397" s="14">
        <v>375</v>
      </c>
      <c r="U4397" s="2">
        <f t="shared" si="656"/>
        <v>86.25</v>
      </c>
      <c r="V4397" s="2">
        <f t="shared" si="657"/>
        <v>461.25</v>
      </c>
      <c r="W4397" s="2">
        <v>227.14</v>
      </c>
      <c r="X4397" s="5">
        <f t="shared" si="652"/>
        <v>0.39429333333333338</v>
      </c>
      <c r="Z4397" s="2" t="s">
        <v>3237</v>
      </c>
      <c r="AA4397" s="2" t="s">
        <v>76</v>
      </c>
      <c r="AB4397" s="2" t="s">
        <v>77</v>
      </c>
      <c r="AC4397" s="2" t="s">
        <v>78</v>
      </c>
      <c r="AK4397" s="2">
        <f t="shared" si="654"/>
        <v>147.86000000000001</v>
      </c>
      <c r="AL4397" s="5">
        <f t="shared" si="655"/>
        <v>0.39429333333333338</v>
      </c>
    </row>
    <row r="4398" spans="1:38" hidden="1" x14ac:dyDescent="0.2">
      <c r="A4398" s="2">
        <v>2026</v>
      </c>
      <c r="B4398" s="2">
        <v>7</v>
      </c>
      <c r="C4398" s="2" t="s">
        <v>3427</v>
      </c>
      <c r="D4398" s="15" t="s">
        <v>3353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56"/>
        <v>0.34040000000000004</v>
      </c>
      <c r="V4398" s="2">
        <f t="shared" si="657"/>
        <v>1.8204</v>
      </c>
      <c r="W4398" s="2">
        <v>1.48</v>
      </c>
      <c r="X4398" s="5">
        <f t="shared" si="652"/>
        <v>0</v>
      </c>
      <c r="Z4398" s="2" t="s">
        <v>3237</v>
      </c>
      <c r="AA4398" s="2" t="s">
        <v>97</v>
      </c>
      <c r="AB4398" s="2" t="s">
        <v>77</v>
      </c>
      <c r="AC4398" s="2" t="s">
        <v>94</v>
      </c>
      <c r="AK4398" s="2">
        <f t="shared" si="654"/>
        <v>0</v>
      </c>
      <c r="AL4398" s="5">
        <f t="shared" si="655"/>
        <v>0</v>
      </c>
    </row>
    <row r="4399" spans="1:38" hidden="1" x14ac:dyDescent="0.2">
      <c r="A4399" s="2">
        <v>2026</v>
      </c>
      <c r="B4399" s="2">
        <v>7</v>
      </c>
      <c r="C4399" s="2" t="s">
        <v>3428</v>
      </c>
      <c r="D4399" s="15" t="s">
        <v>2567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56"/>
        <v>51.75</v>
      </c>
      <c r="V4399" s="2">
        <f t="shared" si="657"/>
        <v>276.75</v>
      </c>
      <c r="W4399" s="2">
        <v>132.35499999999999</v>
      </c>
      <c r="X4399" s="5">
        <f t="shared" si="652"/>
        <v>0.4117555555555556</v>
      </c>
      <c r="Z4399" s="2" t="s">
        <v>3237</v>
      </c>
      <c r="AA4399" s="2" t="s">
        <v>76</v>
      </c>
      <c r="AB4399" s="2" t="s">
        <v>77</v>
      </c>
      <c r="AC4399" s="2" t="s">
        <v>78</v>
      </c>
      <c r="AK4399" s="2">
        <f t="shared" si="654"/>
        <v>92.64500000000001</v>
      </c>
      <c r="AL4399" s="5">
        <f t="shared" si="655"/>
        <v>0.4117555555555556</v>
      </c>
    </row>
    <row r="4400" spans="1:38" hidden="1" x14ac:dyDescent="0.2">
      <c r="A4400" s="2">
        <v>2026</v>
      </c>
      <c r="B4400" s="2">
        <v>7</v>
      </c>
      <c r="C4400" s="2" t="s">
        <v>3428</v>
      </c>
      <c r="D4400" s="15" t="s">
        <v>2567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56"/>
        <v>0.34040000000000004</v>
      </c>
      <c r="V4400" s="2">
        <f t="shared" si="657"/>
        <v>1.8204</v>
      </c>
      <c r="W4400" s="2">
        <v>1.48</v>
      </c>
      <c r="X4400" s="5">
        <f t="shared" si="652"/>
        <v>0</v>
      </c>
      <c r="Z4400" s="2" t="s">
        <v>3237</v>
      </c>
      <c r="AA4400" s="2" t="s">
        <v>97</v>
      </c>
      <c r="AB4400" s="2" t="s">
        <v>77</v>
      </c>
      <c r="AC4400" s="2" t="s">
        <v>94</v>
      </c>
      <c r="AK4400" s="2">
        <f t="shared" si="654"/>
        <v>0</v>
      </c>
      <c r="AL4400" s="5">
        <f t="shared" si="655"/>
        <v>0</v>
      </c>
    </row>
    <row r="4401" spans="1:38" hidden="1" x14ac:dyDescent="0.2">
      <c r="A4401" s="2">
        <v>2026</v>
      </c>
      <c r="B4401" s="2">
        <v>7</v>
      </c>
      <c r="C4401" s="2" t="s">
        <v>3429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56"/>
        <v>8.2800000000000011</v>
      </c>
      <c r="V4401" s="2">
        <f t="shared" si="657"/>
        <v>44.28</v>
      </c>
      <c r="X4401" s="5">
        <f t="shared" ref="X4401:X4445" si="658">(T4401-W4401)/T4401</f>
        <v>1</v>
      </c>
      <c r="Z4401" s="2" t="s">
        <v>3237</v>
      </c>
      <c r="AA4401" s="2" t="s">
        <v>46</v>
      </c>
      <c r="AB4401" s="2" t="s">
        <v>61</v>
      </c>
      <c r="AC4401" s="2" t="s">
        <v>58</v>
      </c>
      <c r="AK4401" s="2">
        <f t="shared" si="654"/>
        <v>36</v>
      </c>
      <c r="AL4401" s="5">
        <f t="shared" si="655"/>
        <v>1</v>
      </c>
    </row>
    <row r="4402" spans="1:38" hidden="1" x14ac:dyDescent="0.2">
      <c r="A4402" s="2">
        <v>2026</v>
      </c>
      <c r="B4402" s="2">
        <v>7</v>
      </c>
      <c r="C4402" s="2" t="s">
        <v>3429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56"/>
        <v>13.8</v>
      </c>
      <c r="V4402" s="2">
        <f t="shared" si="657"/>
        <v>73.8</v>
      </c>
      <c r="X4402" s="5">
        <f t="shared" si="658"/>
        <v>1</v>
      </c>
      <c r="Z4402" s="2" t="s">
        <v>3237</v>
      </c>
      <c r="AA4402" s="2" t="s">
        <v>46</v>
      </c>
      <c r="AB4402" s="2" t="s">
        <v>61</v>
      </c>
      <c r="AC4402" s="2" t="s">
        <v>58</v>
      </c>
      <c r="AK4402" s="2">
        <f t="shared" si="654"/>
        <v>60</v>
      </c>
      <c r="AL4402" s="5">
        <f t="shared" si="655"/>
        <v>1</v>
      </c>
    </row>
    <row r="4403" spans="1:38" hidden="1" x14ac:dyDescent="0.2">
      <c r="A4403" s="2">
        <v>2026</v>
      </c>
      <c r="B4403" s="2">
        <v>7</v>
      </c>
      <c r="C4403" s="2" t="s">
        <v>3306</v>
      </c>
      <c r="D4403" s="15" t="s">
        <v>2284</v>
      </c>
      <c r="M4403" s="2" t="s">
        <v>40</v>
      </c>
      <c r="P4403" s="2" t="s">
        <v>115</v>
      </c>
      <c r="Q4403" s="16" t="s">
        <v>3369</v>
      </c>
      <c r="R4403" s="15" t="s">
        <v>1103</v>
      </c>
      <c r="S4403" s="13">
        <v>1</v>
      </c>
      <c r="T4403" s="14">
        <v>187.92</v>
      </c>
      <c r="U4403" s="2">
        <f t="shared" si="656"/>
        <v>43.221600000000002</v>
      </c>
      <c r="V4403" s="2">
        <f t="shared" si="657"/>
        <v>231.14159999999998</v>
      </c>
      <c r="W4403" s="2">
        <v>49.96</v>
      </c>
      <c r="X4403" s="5">
        <f t="shared" si="658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54"/>
        <v>137.95999999999998</v>
      </c>
      <c r="AL4403" s="5">
        <f t="shared" si="655"/>
        <v>0.73414218816517662</v>
      </c>
    </row>
    <row r="4404" spans="1:38" hidden="1" x14ac:dyDescent="0.2">
      <c r="A4404" s="2">
        <v>2026</v>
      </c>
      <c r="B4404" s="2">
        <v>7</v>
      </c>
      <c r="C4404" s="2" t="s">
        <v>3306</v>
      </c>
      <c r="D4404" s="15" t="s">
        <v>2284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56"/>
        <v>124.00909999999999</v>
      </c>
      <c r="V4404" s="2">
        <f t="shared" si="657"/>
        <v>663.17909999999995</v>
      </c>
      <c r="W4404" s="2">
        <v>257.3</v>
      </c>
      <c r="X4404" s="5">
        <f t="shared" si="658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54"/>
        <v>281.86999999999995</v>
      </c>
      <c r="AL4404" s="5">
        <f t="shared" si="655"/>
        <v>0.52278502142181493</v>
      </c>
    </row>
    <row r="4405" spans="1:38" hidden="1" x14ac:dyDescent="0.2">
      <c r="A4405" s="2">
        <v>2026</v>
      </c>
      <c r="B4405" s="2">
        <v>7</v>
      </c>
      <c r="C4405" s="2" t="s">
        <v>3306</v>
      </c>
      <c r="D4405" s="15" t="s">
        <v>2284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56"/>
        <v>34.270000000000003</v>
      </c>
      <c r="V4405" s="2">
        <f t="shared" si="657"/>
        <v>183.27</v>
      </c>
      <c r="W4405" s="2">
        <f>T4405*40%</f>
        <v>59.6</v>
      </c>
      <c r="X4405" s="5">
        <f t="shared" si="658"/>
        <v>0.60000000000000009</v>
      </c>
      <c r="Z4405" s="2" t="s">
        <v>118</v>
      </c>
      <c r="AA4405" s="2" t="s">
        <v>191</v>
      </c>
      <c r="AK4405" s="2">
        <f t="shared" si="654"/>
        <v>89.4</v>
      </c>
      <c r="AL4405" s="5">
        <f t="shared" si="655"/>
        <v>0.60000000000000009</v>
      </c>
    </row>
    <row r="4406" spans="1:38" hidden="1" x14ac:dyDescent="0.2">
      <c r="A4406" s="2">
        <v>2026</v>
      </c>
      <c r="B4406" s="2">
        <v>7</v>
      </c>
      <c r="C4406" s="2" t="s">
        <v>3306</v>
      </c>
      <c r="D4406" s="15" t="s">
        <v>2284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56"/>
        <v>25.3</v>
      </c>
      <c r="V4406" s="2">
        <f t="shared" si="657"/>
        <v>135.30000000000001</v>
      </c>
      <c r="W4406" s="2">
        <f>T4406*50%</f>
        <v>55</v>
      </c>
      <c r="X4406" s="5">
        <f t="shared" si="658"/>
        <v>0.5</v>
      </c>
      <c r="Z4406" s="2" t="s">
        <v>118</v>
      </c>
      <c r="AA4406" s="2" t="s">
        <v>191</v>
      </c>
      <c r="AK4406" s="2">
        <f t="shared" si="654"/>
        <v>55</v>
      </c>
      <c r="AL4406" s="5">
        <f t="shared" si="655"/>
        <v>0.5</v>
      </c>
    </row>
    <row r="4407" spans="1:38" hidden="1" x14ac:dyDescent="0.2">
      <c r="A4407" s="2">
        <v>2026</v>
      </c>
      <c r="B4407" s="2">
        <v>7</v>
      </c>
      <c r="C4407" s="2" t="s">
        <v>3307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3370</v>
      </c>
      <c r="R4407" s="15" t="s">
        <v>3371</v>
      </c>
      <c r="S4407" s="13">
        <v>8</v>
      </c>
      <c r="T4407" s="14">
        <v>100.8</v>
      </c>
      <c r="U4407" s="2">
        <f t="shared" si="656"/>
        <v>23.184000000000001</v>
      </c>
      <c r="V4407" s="2">
        <f t="shared" si="657"/>
        <v>123.98399999999999</v>
      </c>
      <c r="W4407" s="2">
        <f>3*S4407</f>
        <v>24</v>
      </c>
      <c r="X4407" s="5">
        <f t="shared" si="658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54"/>
        <v>76.8</v>
      </c>
      <c r="AL4407" s="5">
        <f t="shared" si="655"/>
        <v>0.76190476190476186</v>
      </c>
    </row>
    <row r="4408" spans="1:38" hidden="1" x14ac:dyDescent="0.2">
      <c r="A4408" s="2">
        <v>2026</v>
      </c>
      <c r="B4408" s="2">
        <v>7</v>
      </c>
      <c r="C4408" s="2" t="s">
        <v>3430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56"/>
        <v>11.258500000000002</v>
      </c>
      <c r="V4408" s="2">
        <f t="shared" si="657"/>
        <v>60.208500000000001</v>
      </c>
      <c r="W4408" s="2">
        <f>23.042*S4408</f>
        <v>23.042000000000002</v>
      </c>
      <c r="X4408" s="5">
        <f t="shared" si="658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54"/>
        <v>25.908000000000001</v>
      </c>
      <c r="AL4408" s="5">
        <f t="shared" si="655"/>
        <v>0.52927477017364655</v>
      </c>
    </row>
    <row r="4409" spans="1:38" hidden="1" x14ac:dyDescent="0.2">
      <c r="A4409" s="2">
        <v>2026</v>
      </c>
      <c r="B4409" s="2">
        <v>7</v>
      </c>
      <c r="C4409" s="2" t="s">
        <v>3430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56"/>
        <v>8.9700000000000006</v>
      </c>
      <c r="V4409" s="2">
        <f t="shared" si="657"/>
        <v>47.97</v>
      </c>
      <c r="W4409" s="2">
        <f>6.6267*S4409</f>
        <v>19.880099999999999</v>
      </c>
      <c r="X4409" s="5">
        <f t="shared" si="658"/>
        <v>0.49025384615384621</v>
      </c>
      <c r="Z4409" s="2" t="s">
        <v>3237</v>
      </c>
      <c r="AA4409" s="2" t="s">
        <v>46</v>
      </c>
      <c r="AB4409" s="2" t="s">
        <v>47</v>
      </c>
      <c r="AC4409" s="2" t="s">
        <v>48</v>
      </c>
      <c r="AK4409" s="2">
        <f t="shared" si="654"/>
        <v>19.119900000000001</v>
      </c>
      <c r="AL4409" s="5">
        <f t="shared" si="655"/>
        <v>0.49025384615384621</v>
      </c>
    </row>
    <row r="4410" spans="1:38" hidden="1" x14ac:dyDescent="0.2">
      <c r="A4410" s="2">
        <v>2026</v>
      </c>
      <c r="B4410" s="2">
        <v>7</v>
      </c>
      <c r="C4410" s="2" t="s">
        <v>3430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56"/>
        <v>34.5</v>
      </c>
      <c r="V4410" s="2">
        <f t="shared" si="657"/>
        <v>184.5</v>
      </c>
      <c r="W4410" s="2">
        <f>10.6*S4410</f>
        <v>106</v>
      </c>
      <c r="X4410" s="5">
        <f t="shared" si="658"/>
        <v>0.29333333333333333</v>
      </c>
      <c r="Z4410" s="2" t="s">
        <v>3237</v>
      </c>
      <c r="AK4410" s="2">
        <f t="shared" si="654"/>
        <v>44</v>
      </c>
      <c r="AL4410" s="5">
        <f t="shared" si="655"/>
        <v>0.29333333333333333</v>
      </c>
    </row>
    <row r="4411" spans="1:38" hidden="1" x14ac:dyDescent="0.2">
      <c r="A4411" s="2">
        <v>2026</v>
      </c>
      <c r="B4411" s="2">
        <v>7</v>
      </c>
      <c r="C4411" s="2" t="s">
        <v>3430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2">
        <v>100</v>
      </c>
      <c r="T4411" s="14">
        <v>14</v>
      </c>
      <c r="U4411" s="2">
        <f t="shared" si="656"/>
        <v>3.22</v>
      </c>
      <c r="V4411" s="2">
        <f t="shared" si="657"/>
        <v>17.22</v>
      </c>
      <c r="W4411" s="2">
        <f>0.0914*S4411</f>
        <v>9.1399999999999988</v>
      </c>
      <c r="X4411" s="5">
        <f t="shared" si="658"/>
        <v>0.34714285714285725</v>
      </c>
      <c r="Z4411" s="2" t="s">
        <v>3237</v>
      </c>
      <c r="AA4411" s="2" t="s">
        <v>46</v>
      </c>
      <c r="AB4411" s="2" t="s">
        <v>61</v>
      </c>
      <c r="AC4411" s="2" t="s">
        <v>58</v>
      </c>
      <c r="AK4411" s="2">
        <f t="shared" si="654"/>
        <v>4.8600000000000012</v>
      </c>
      <c r="AL4411" s="5">
        <f t="shared" si="655"/>
        <v>0.34714285714285725</v>
      </c>
    </row>
    <row r="4412" spans="1:38" hidden="1" x14ac:dyDescent="0.2">
      <c r="A4412" s="2">
        <v>2026</v>
      </c>
      <c r="B4412" s="2">
        <v>7</v>
      </c>
      <c r="C4412" s="2" t="s">
        <v>3430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56"/>
        <v>17.48</v>
      </c>
      <c r="V4412" s="2">
        <f t="shared" si="657"/>
        <v>93.48</v>
      </c>
      <c r="W4412" s="2">
        <f>T4412*40%</f>
        <v>30.400000000000002</v>
      </c>
      <c r="X4412" s="5">
        <f t="shared" si="658"/>
        <v>0.6</v>
      </c>
      <c r="Z4412" s="2" t="s">
        <v>118</v>
      </c>
      <c r="AA4412" s="2" t="s">
        <v>191</v>
      </c>
      <c r="AK4412" s="2">
        <f t="shared" si="654"/>
        <v>45.599999999999994</v>
      </c>
      <c r="AL4412" s="5">
        <f t="shared" si="655"/>
        <v>0.6</v>
      </c>
    </row>
    <row r="4413" spans="1:38" hidden="1" x14ac:dyDescent="0.2">
      <c r="A4413" s="2">
        <v>2026</v>
      </c>
      <c r="B4413" s="2">
        <v>7</v>
      </c>
      <c r="C4413" s="2" t="s">
        <v>3430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56"/>
        <v>12.65</v>
      </c>
      <c r="V4413" s="2">
        <f t="shared" si="657"/>
        <v>67.650000000000006</v>
      </c>
      <c r="W4413" s="2">
        <f>T4413*50%</f>
        <v>27.5</v>
      </c>
      <c r="X4413" s="5">
        <f t="shared" si="658"/>
        <v>0.5</v>
      </c>
      <c r="Z4413" s="2" t="s">
        <v>118</v>
      </c>
      <c r="AA4413" s="2" t="s">
        <v>191</v>
      </c>
      <c r="AK4413" s="2">
        <f t="shared" si="654"/>
        <v>27.5</v>
      </c>
      <c r="AL4413" s="5">
        <f t="shared" si="655"/>
        <v>0.5</v>
      </c>
    </row>
    <row r="4414" spans="1:38" hidden="1" x14ac:dyDescent="0.2">
      <c r="A4414" s="2">
        <v>2026</v>
      </c>
      <c r="B4414" s="2">
        <v>7</v>
      </c>
      <c r="C4414" s="2" t="s">
        <v>3431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56"/>
        <v>10.143000000000001</v>
      </c>
      <c r="V4414" s="2">
        <f t="shared" si="657"/>
        <v>54.243000000000002</v>
      </c>
      <c r="W4414" s="2">
        <f>11.098*S4414</f>
        <v>22.196000000000002</v>
      </c>
      <c r="X4414" s="5">
        <f t="shared" si="658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54"/>
        <v>21.904</v>
      </c>
      <c r="AL4414" s="5">
        <f t="shared" si="655"/>
        <v>0.49668934240362811</v>
      </c>
    </row>
    <row r="4415" spans="1:38" hidden="1" x14ac:dyDescent="0.2">
      <c r="A4415" s="2">
        <v>2026</v>
      </c>
      <c r="B4415" s="2">
        <v>7</v>
      </c>
      <c r="C4415" s="2" t="s">
        <v>3431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56"/>
        <v>1.84</v>
      </c>
      <c r="V4415" s="2">
        <f t="shared" si="657"/>
        <v>9.84</v>
      </c>
      <c r="X4415" s="5">
        <f t="shared" si="658"/>
        <v>1</v>
      </c>
      <c r="Z4415" s="2" t="s">
        <v>170</v>
      </c>
      <c r="AA4415" s="2" t="s">
        <v>170</v>
      </c>
      <c r="AK4415" s="2">
        <f t="shared" si="654"/>
        <v>8</v>
      </c>
      <c r="AL4415" s="5">
        <f t="shared" si="655"/>
        <v>1</v>
      </c>
    </row>
    <row r="4416" spans="1:38" hidden="1" x14ac:dyDescent="0.2">
      <c r="A4416" s="2">
        <v>2026</v>
      </c>
      <c r="B4416" s="2">
        <v>7</v>
      </c>
      <c r="C4416" s="2" t="s">
        <v>3307</v>
      </c>
      <c r="D4416" s="15" t="s">
        <v>2789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56"/>
        <v>13.144500000000001</v>
      </c>
      <c r="V4416" s="2">
        <f t="shared" si="657"/>
        <v>70.294499999999999</v>
      </c>
      <c r="W4416" s="2">
        <f>5.3525*S4416</f>
        <v>21.41</v>
      </c>
      <c r="X4416" s="5">
        <f t="shared" si="658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54"/>
        <v>35.739999999999995</v>
      </c>
      <c r="AL4416" s="5">
        <f t="shared" si="655"/>
        <v>0.62537182852143469</v>
      </c>
    </row>
    <row r="4417" spans="1:38" hidden="1" x14ac:dyDescent="0.2">
      <c r="A4417" s="2">
        <v>2026</v>
      </c>
      <c r="B4417" s="2">
        <v>7</v>
      </c>
      <c r="C4417" s="2" t="s">
        <v>3307</v>
      </c>
      <c r="D4417" s="15" t="s">
        <v>2789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56"/>
        <v>1.84</v>
      </c>
      <c r="V4417" s="2">
        <f t="shared" si="657"/>
        <v>9.84</v>
      </c>
      <c r="X4417" s="5">
        <f t="shared" si="658"/>
        <v>1</v>
      </c>
      <c r="Z4417" s="2" t="s">
        <v>170</v>
      </c>
      <c r="AA4417" s="2" t="s">
        <v>170</v>
      </c>
      <c r="AK4417" s="2">
        <f t="shared" si="654"/>
        <v>8</v>
      </c>
      <c r="AL4417" s="5">
        <f t="shared" si="655"/>
        <v>1</v>
      </c>
    </row>
    <row r="4418" spans="1:38" hidden="1" x14ac:dyDescent="0.2">
      <c r="A4418" s="2">
        <v>2026</v>
      </c>
      <c r="B4418" s="2">
        <v>7</v>
      </c>
      <c r="C4418" s="2" t="s">
        <v>3306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57"/>
        <v>577.91999999999996</v>
      </c>
      <c r="W4418" s="2">
        <v>344.89339999999999</v>
      </c>
      <c r="X4418" s="5">
        <f t="shared" si="658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54"/>
        <v>233.02659999999997</v>
      </c>
      <c r="AL4418" s="5">
        <f t="shared" si="655"/>
        <v>0.40321601605758584</v>
      </c>
    </row>
    <row r="4419" spans="1:38" hidden="1" x14ac:dyDescent="0.2">
      <c r="A4419" s="2">
        <v>2026</v>
      </c>
      <c r="B4419" s="2">
        <v>7</v>
      </c>
      <c r="C4419" s="2" t="s">
        <v>3306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56"/>
        <v>3220</v>
      </c>
      <c r="V4419" s="2">
        <f t="shared" si="657"/>
        <v>17220</v>
      </c>
      <c r="W4419" s="2">
        <f>10699.41+285.74</f>
        <v>10985.15</v>
      </c>
      <c r="X4419" s="5">
        <f t="shared" si="658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54"/>
        <v>3014.8500000000004</v>
      </c>
      <c r="AL4419" s="5">
        <f t="shared" si="655"/>
        <v>0.21534642857142861</v>
      </c>
    </row>
    <row r="4420" spans="1:38" hidden="1" x14ac:dyDescent="0.2">
      <c r="A4420" s="2">
        <v>2026</v>
      </c>
      <c r="B4420" s="2">
        <v>7</v>
      </c>
      <c r="C4420" s="2" t="s">
        <v>3306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56"/>
        <v>48.300000000000004</v>
      </c>
      <c r="V4420" s="2">
        <f t="shared" si="657"/>
        <v>258.3</v>
      </c>
      <c r="W4420" s="2">
        <f>113.905+11.25</f>
        <v>125.155</v>
      </c>
      <c r="X4420" s="5">
        <f t="shared" si="658"/>
        <v>0.40402380952380951</v>
      </c>
      <c r="Z4420" s="2" t="s">
        <v>3237</v>
      </c>
      <c r="AA4420" s="2" t="s">
        <v>76</v>
      </c>
      <c r="AB4420" s="2" t="s">
        <v>77</v>
      </c>
      <c r="AC4420" s="2" t="s">
        <v>78</v>
      </c>
      <c r="AK4420" s="2">
        <f t="shared" si="654"/>
        <v>84.844999999999999</v>
      </c>
      <c r="AL4420" s="5">
        <f t="shared" si="655"/>
        <v>0.40402380952380951</v>
      </c>
    </row>
    <row r="4421" spans="1:38" ht="12" hidden="1" customHeight="1" x14ac:dyDescent="0.2">
      <c r="A4421" s="2">
        <v>2026</v>
      </c>
      <c r="B4421" s="2">
        <v>7</v>
      </c>
      <c r="C4421" s="2" t="s">
        <v>3306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56"/>
        <v>0.34040000000000004</v>
      </c>
      <c r="V4421" s="2">
        <f t="shared" si="657"/>
        <v>1.8204</v>
      </c>
      <c r="W4421" s="2">
        <v>1.48</v>
      </c>
      <c r="X4421" s="5">
        <f t="shared" si="658"/>
        <v>0</v>
      </c>
      <c r="Z4421" s="2" t="s">
        <v>3237</v>
      </c>
      <c r="AA4421" s="2" t="s">
        <v>97</v>
      </c>
      <c r="AB4421" s="2" t="s">
        <v>77</v>
      </c>
      <c r="AC4421" s="2" t="s">
        <v>94</v>
      </c>
      <c r="AK4421" s="2">
        <f t="shared" si="654"/>
        <v>0</v>
      </c>
      <c r="AL4421" s="5">
        <f t="shared" si="655"/>
        <v>0</v>
      </c>
    </row>
    <row r="4422" spans="1:38" hidden="1" x14ac:dyDescent="0.2">
      <c r="A4422" s="2">
        <v>2026</v>
      </c>
      <c r="B4422" s="2">
        <v>7</v>
      </c>
      <c r="C4422" s="2" t="s">
        <v>3306</v>
      </c>
      <c r="D4422" s="15" t="s">
        <v>636</v>
      </c>
      <c r="E4422" s="2" t="s">
        <v>109</v>
      </c>
      <c r="F4422" s="2" t="s">
        <v>396</v>
      </c>
      <c r="G4422" s="2">
        <v>502967056</v>
      </c>
      <c r="H4422" s="2" t="s">
        <v>110</v>
      </c>
      <c r="I4422" s="2" t="s">
        <v>637</v>
      </c>
      <c r="J4422" s="2" t="s">
        <v>638</v>
      </c>
      <c r="L4422" s="2" t="s">
        <v>113</v>
      </c>
      <c r="M4422" s="2" t="s">
        <v>40</v>
      </c>
      <c r="P4422" s="2" t="s">
        <v>115</v>
      </c>
      <c r="Q4422" s="16" t="s">
        <v>3372</v>
      </c>
      <c r="R4422" s="15" t="s">
        <v>3373</v>
      </c>
      <c r="S4422" s="13">
        <v>1</v>
      </c>
      <c r="T4422" s="14">
        <v>103.55</v>
      </c>
      <c r="U4422" s="2">
        <f t="shared" si="656"/>
        <v>23.816500000000001</v>
      </c>
      <c r="V4422" s="2">
        <f t="shared" si="657"/>
        <v>127.3665</v>
      </c>
      <c r="W4422" s="2">
        <f>57.53+1</f>
        <v>58.53</v>
      </c>
      <c r="X4422" s="5">
        <f t="shared" si="658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54"/>
        <v>45.019999999999996</v>
      </c>
      <c r="AL4422" s="5">
        <f t="shared" si="655"/>
        <v>0.43476581361661032</v>
      </c>
    </row>
    <row r="4423" spans="1:38" hidden="1" x14ac:dyDescent="0.2">
      <c r="A4423" s="2">
        <v>2026</v>
      </c>
      <c r="B4423" s="2">
        <v>7</v>
      </c>
      <c r="C4423" s="2" t="s">
        <v>3305</v>
      </c>
      <c r="D4423" s="15" t="s">
        <v>3354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3098</v>
      </c>
      <c r="R4423" s="15" t="s">
        <v>3099</v>
      </c>
      <c r="S4423" s="13">
        <v>1</v>
      </c>
      <c r="T4423" s="14">
        <v>2490</v>
      </c>
      <c r="U4423" s="2">
        <f t="shared" si="656"/>
        <v>572.70000000000005</v>
      </c>
      <c r="V4423" s="2">
        <f t="shared" si="657"/>
        <v>3062.7</v>
      </c>
      <c r="W4423" s="2">
        <f>1907.5+49</f>
        <v>1956.5</v>
      </c>
      <c r="X4423" s="5">
        <f t="shared" si="658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54"/>
        <v>533.5</v>
      </c>
      <c r="AL4423" s="5">
        <f t="shared" si="655"/>
        <v>0.21425702811244979</v>
      </c>
    </row>
    <row r="4424" spans="1:38" hidden="1" x14ac:dyDescent="0.2">
      <c r="A4424" s="2">
        <v>2026</v>
      </c>
      <c r="B4424" s="2">
        <v>7</v>
      </c>
      <c r="C4424" s="2" t="s">
        <v>3306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3256</v>
      </c>
      <c r="J4424" s="2" t="s">
        <v>3257</v>
      </c>
      <c r="K4424" s="2">
        <v>96179412</v>
      </c>
      <c r="L4424" s="2" t="s">
        <v>462</v>
      </c>
      <c r="M4424" s="2" t="s">
        <v>40</v>
      </c>
      <c r="O4424" s="2" t="s">
        <v>3388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56"/>
        <v>160.839</v>
      </c>
      <c r="V4424" s="2">
        <f t="shared" si="657"/>
        <v>860.1389999999999</v>
      </c>
      <c r="W4424" s="2">
        <v>343.38580000000002</v>
      </c>
      <c r="X4424" s="5">
        <f t="shared" si="658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54"/>
        <v>355.91419999999994</v>
      </c>
      <c r="AL4424" s="5">
        <f t="shared" si="655"/>
        <v>0.50895781495781489</v>
      </c>
    </row>
    <row r="4425" spans="1:38" hidden="1" x14ac:dyDescent="0.2">
      <c r="A4425" s="2">
        <v>2026</v>
      </c>
      <c r="B4425" s="2">
        <v>7</v>
      </c>
      <c r="C4425" s="2" t="s">
        <v>3306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3256</v>
      </c>
      <c r="J4425" s="2" t="s">
        <v>3257</v>
      </c>
      <c r="K4425" s="2">
        <v>96179412</v>
      </c>
      <c r="L4425" s="2" t="s">
        <v>462</v>
      </c>
      <c r="M4425" s="2" t="s">
        <v>40</v>
      </c>
      <c r="O4425" s="2" t="s">
        <v>3388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56"/>
        <v>56.580000000000005</v>
      </c>
      <c r="V4425" s="2">
        <f t="shared" si="657"/>
        <v>302.58</v>
      </c>
      <c r="W4425" s="2">
        <f>T4425*40%</f>
        <v>98.4</v>
      </c>
      <c r="X4425" s="5">
        <f t="shared" si="658"/>
        <v>0.6</v>
      </c>
      <c r="Z4425" s="2" t="s">
        <v>118</v>
      </c>
      <c r="AA4425" s="2" t="s">
        <v>191</v>
      </c>
      <c r="AK4425" s="2">
        <f t="shared" si="654"/>
        <v>147.6</v>
      </c>
      <c r="AL4425" s="5">
        <f t="shared" si="655"/>
        <v>0.6</v>
      </c>
    </row>
    <row r="4426" spans="1:38" hidden="1" x14ac:dyDescent="0.2">
      <c r="A4426" s="2">
        <v>2026</v>
      </c>
      <c r="B4426" s="2">
        <v>7</v>
      </c>
      <c r="C4426" s="2" t="s">
        <v>3306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3256</v>
      </c>
      <c r="J4426" s="2" t="s">
        <v>3257</v>
      </c>
      <c r="K4426" s="2">
        <v>96179412</v>
      </c>
      <c r="L4426" s="2" t="s">
        <v>462</v>
      </c>
      <c r="M4426" s="2" t="s">
        <v>40</v>
      </c>
      <c r="O4426" s="2" t="s">
        <v>3388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56"/>
        <v>18.975000000000001</v>
      </c>
      <c r="V4426" s="2">
        <f t="shared" si="657"/>
        <v>101.47499999999999</v>
      </c>
      <c r="W4426" s="2">
        <f>T4426*50%</f>
        <v>41.25</v>
      </c>
      <c r="X4426" s="5">
        <f t="shared" si="658"/>
        <v>0.5</v>
      </c>
      <c r="Z4426" s="2" t="s">
        <v>118</v>
      </c>
      <c r="AA4426" s="2" t="s">
        <v>191</v>
      </c>
      <c r="AK4426" s="2">
        <f t="shared" si="654"/>
        <v>41.25</v>
      </c>
      <c r="AL4426" s="5">
        <f t="shared" si="655"/>
        <v>0.5</v>
      </c>
    </row>
    <row r="4427" spans="1:38" hidden="1" x14ac:dyDescent="0.2">
      <c r="A4427" s="2">
        <v>2026</v>
      </c>
      <c r="B4427" s="2">
        <v>7</v>
      </c>
      <c r="C4427" s="2" t="s">
        <v>3307</v>
      </c>
      <c r="D4427" s="15" t="s">
        <v>3355</v>
      </c>
      <c r="E4427" s="2" t="s">
        <v>38</v>
      </c>
      <c r="F4427" s="2" t="s">
        <v>39</v>
      </c>
      <c r="H4427" s="2" t="s">
        <v>40</v>
      </c>
      <c r="I4427" s="2" t="s">
        <v>3387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56"/>
        <v>52.900000000000006</v>
      </c>
      <c r="V4427" s="2">
        <f t="shared" si="657"/>
        <v>282.89999999999998</v>
      </c>
      <c r="W4427" s="2">
        <v>125.51600000000001</v>
      </c>
      <c r="X4427" s="5">
        <f t="shared" si="658"/>
        <v>0.45427826086956519</v>
      </c>
      <c r="Z4427" s="2" t="s">
        <v>3237</v>
      </c>
      <c r="AA4427" s="2" t="s">
        <v>76</v>
      </c>
      <c r="AB4427" s="2" t="s">
        <v>77</v>
      </c>
      <c r="AC4427" s="2" t="s">
        <v>78</v>
      </c>
      <c r="AK4427" s="2">
        <f t="shared" si="654"/>
        <v>104.48399999999999</v>
      </c>
      <c r="AL4427" s="5">
        <f t="shared" si="655"/>
        <v>0.45427826086956519</v>
      </c>
    </row>
    <row r="4428" spans="1:38" hidden="1" x14ac:dyDescent="0.2">
      <c r="A4428" s="2">
        <v>2026</v>
      </c>
      <c r="B4428" s="2">
        <v>7</v>
      </c>
      <c r="C4428" s="2" t="s">
        <v>3307</v>
      </c>
      <c r="D4428" s="15" t="s">
        <v>3355</v>
      </c>
      <c r="E4428" s="2" t="s">
        <v>38</v>
      </c>
      <c r="F4428" s="2" t="s">
        <v>39</v>
      </c>
      <c r="H4428" s="2" t="s">
        <v>40</v>
      </c>
      <c r="I4428" s="2" t="s">
        <v>3387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56"/>
        <v>0.34040000000000004</v>
      </c>
      <c r="V4428" s="2">
        <f t="shared" si="657"/>
        <v>1.8204</v>
      </c>
      <c r="W4428" s="2">
        <v>1.48</v>
      </c>
      <c r="X4428" s="5">
        <f t="shared" si="658"/>
        <v>0</v>
      </c>
      <c r="Z4428" s="2" t="s">
        <v>3237</v>
      </c>
      <c r="AA4428" s="2" t="s">
        <v>97</v>
      </c>
      <c r="AB4428" s="2" t="s">
        <v>77</v>
      </c>
      <c r="AC4428" s="2" t="s">
        <v>94</v>
      </c>
      <c r="AK4428" s="2">
        <f t="shared" si="654"/>
        <v>0</v>
      </c>
      <c r="AL4428" s="5">
        <f t="shared" si="655"/>
        <v>0</v>
      </c>
    </row>
    <row r="4429" spans="1:38" hidden="1" x14ac:dyDescent="0.2">
      <c r="A4429" s="2">
        <v>2026</v>
      </c>
      <c r="B4429" s="2">
        <v>7</v>
      </c>
      <c r="C4429" s="2" t="s">
        <v>3307</v>
      </c>
      <c r="D4429" s="15" t="s">
        <v>1316</v>
      </c>
      <c r="E4429" s="2" t="s">
        <v>38</v>
      </c>
      <c r="F4429" s="2" t="s">
        <v>39</v>
      </c>
      <c r="G4429" s="2">
        <v>509512739</v>
      </c>
      <c r="H4429" s="2" t="s">
        <v>41</v>
      </c>
      <c r="I4429" s="2" t="s">
        <v>178</v>
      </c>
      <c r="J4429" s="2" t="s">
        <v>1317</v>
      </c>
      <c r="L4429" s="2" t="s">
        <v>178</v>
      </c>
      <c r="M4429" s="2" t="s">
        <v>41</v>
      </c>
      <c r="O4429" s="2" t="s">
        <v>3386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56"/>
        <v>4.83</v>
      </c>
      <c r="V4429" s="2">
        <f t="shared" si="657"/>
        <v>25.83</v>
      </c>
      <c r="W4429" s="2">
        <f>9.3*S4429</f>
        <v>9.3000000000000007</v>
      </c>
      <c r="X4429" s="5">
        <f t="shared" si="658"/>
        <v>0.55714285714285716</v>
      </c>
      <c r="Z4429" s="2" t="s">
        <v>3237</v>
      </c>
      <c r="AA4429" s="2" t="s">
        <v>46</v>
      </c>
      <c r="AB4429" s="2" t="s">
        <v>47</v>
      </c>
      <c r="AC4429" s="2" t="s">
        <v>48</v>
      </c>
      <c r="AK4429" s="2">
        <f t="shared" si="654"/>
        <v>11.7</v>
      </c>
      <c r="AL4429" s="5">
        <f t="shared" si="655"/>
        <v>0.55714285714285716</v>
      </c>
    </row>
    <row r="4430" spans="1:38" hidden="1" x14ac:dyDescent="0.2">
      <c r="A4430" s="2">
        <v>2026</v>
      </c>
      <c r="B4430" s="2">
        <v>7</v>
      </c>
      <c r="C4430" s="2" t="s">
        <v>3307</v>
      </c>
      <c r="D4430" s="15" t="s">
        <v>1316</v>
      </c>
      <c r="E4430" s="2" t="s">
        <v>38</v>
      </c>
      <c r="F4430" s="2" t="s">
        <v>39</v>
      </c>
      <c r="G4430" s="2">
        <v>509512739</v>
      </c>
      <c r="H4430" s="2" t="s">
        <v>41</v>
      </c>
      <c r="I4430" s="2" t="s">
        <v>178</v>
      </c>
      <c r="J4430" s="2" t="s">
        <v>1317</v>
      </c>
      <c r="L4430" s="2" t="s">
        <v>178</v>
      </c>
      <c r="M4430" s="2" t="s">
        <v>41</v>
      </c>
      <c r="O4430" s="2" t="s">
        <v>3386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56"/>
        <v>8.2800000000000011</v>
      </c>
      <c r="V4430" s="2">
        <f t="shared" si="657"/>
        <v>44.28</v>
      </c>
      <c r="W4430" s="2">
        <f>10.6*S4430</f>
        <v>21.2</v>
      </c>
      <c r="X4430" s="5">
        <f t="shared" si="658"/>
        <v>0.41111111111111115</v>
      </c>
      <c r="Z4430" s="2" t="s">
        <v>3237</v>
      </c>
      <c r="AK4430" s="2">
        <f t="shared" si="654"/>
        <v>14.8</v>
      </c>
      <c r="AL4430" s="5">
        <f t="shared" si="655"/>
        <v>0.41111111111111115</v>
      </c>
    </row>
    <row r="4431" spans="1:38" hidden="1" x14ac:dyDescent="0.2">
      <c r="A4431" s="2">
        <v>2026</v>
      </c>
      <c r="B4431" s="2">
        <v>7</v>
      </c>
      <c r="C4431" s="2" t="s">
        <v>3307</v>
      </c>
      <c r="D4431" s="15" t="s">
        <v>1316</v>
      </c>
      <c r="E4431" s="2" t="s">
        <v>38</v>
      </c>
      <c r="F4431" s="2" t="s">
        <v>39</v>
      </c>
      <c r="G4431" s="2">
        <v>509512739</v>
      </c>
      <c r="H4431" s="2" t="s">
        <v>41</v>
      </c>
      <c r="I4431" s="2" t="s">
        <v>178</v>
      </c>
      <c r="J4431" s="2" t="s">
        <v>1317</v>
      </c>
      <c r="L4431" s="2" t="s">
        <v>178</v>
      </c>
      <c r="M4431" s="2" t="s">
        <v>41</v>
      </c>
      <c r="O4431" s="2" t="s">
        <v>3386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56"/>
        <v>3.22</v>
      </c>
      <c r="V4431" s="2">
        <f t="shared" si="657"/>
        <v>17.22</v>
      </c>
      <c r="W4431" s="2">
        <f>0.0914*S4431</f>
        <v>9.1399999999999988</v>
      </c>
      <c r="X4431" s="5">
        <f t="shared" si="658"/>
        <v>0.34714285714285725</v>
      </c>
      <c r="Z4431" s="2" t="s">
        <v>3237</v>
      </c>
      <c r="AA4431" s="2" t="s">
        <v>46</v>
      </c>
      <c r="AB4431" s="2" t="s">
        <v>61</v>
      </c>
      <c r="AC4431" s="2" t="s">
        <v>58</v>
      </c>
      <c r="AK4431" s="2">
        <f t="shared" si="654"/>
        <v>4.8600000000000012</v>
      </c>
      <c r="AL4431" s="5">
        <f t="shared" si="655"/>
        <v>0.34714285714285725</v>
      </c>
    </row>
    <row r="4432" spans="1:38" hidden="1" x14ac:dyDescent="0.2">
      <c r="A4432" s="2">
        <v>2026</v>
      </c>
      <c r="B4432" s="2">
        <v>7</v>
      </c>
      <c r="C4432" s="2" t="s">
        <v>3306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3385</v>
      </c>
      <c r="P4432" s="2" t="s">
        <v>115</v>
      </c>
      <c r="Q4432" s="16" t="s">
        <v>3374</v>
      </c>
      <c r="R4432" s="15" t="s">
        <v>3375</v>
      </c>
      <c r="S4432" s="13">
        <v>12</v>
      </c>
      <c r="T4432" s="14">
        <v>157.75</v>
      </c>
      <c r="U4432" s="2">
        <f t="shared" si="656"/>
        <v>36.282499999999999</v>
      </c>
      <c r="V4432" s="2">
        <f t="shared" si="657"/>
        <v>194.0325</v>
      </c>
      <c r="W4432" s="2">
        <f>6.26*S4432</f>
        <v>75.12</v>
      </c>
      <c r="X4432" s="5">
        <f t="shared" si="658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hidden="1" x14ac:dyDescent="0.2">
      <c r="A4433" s="2">
        <v>2026</v>
      </c>
      <c r="B4433" s="2">
        <v>7</v>
      </c>
      <c r="C4433" s="2" t="s">
        <v>3306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3385</v>
      </c>
      <c r="P4433" s="2" t="s">
        <v>115</v>
      </c>
      <c r="Q4433" s="16" t="s">
        <v>3376</v>
      </c>
      <c r="R4433" s="15" t="s">
        <v>3377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58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hidden="1" x14ac:dyDescent="0.2">
      <c r="A4434" s="2">
        <v>2026</v>
      </c>
      <c r="B4434" s="2">
        <v>7</v>
      </c>
      <c r="C4434" s="2" t="s">
        <v>3306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3385</v>
      </c>
      <c r="P4434" s="2" t="s">
        <v>115</v>
      </c>
      <c r="Q4434" s="16" t="s">
        <v>3378</v>
      </c>
      <c r="R4434" s="15" t="s">
        <v>3379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58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hidden="1" x14ac:dyDescent="0.2">
      <c r="A4435" s="2">
        <v>2026</v>
      </c>
      <c r="B4435" s="2">
        <v>7</v>
      </c>
      <c r="C4435" s="2" t="s">
        <v>3444</v>
      </c>
      <c r="D4435" s="2" t="s">
        <v>37</v>
      </c>
      <c r="E4435" s="2" t="s">
        <v>38</v>
      </c>
      <c r="F4435" s="2" t="s">
        <v>39</v>
      </c>
      <c r="L4435" s="2" t="s">
        <v>3281</v>
      </c>
      <c r="M4435" s="2" t="s">
        <v>81</v>
      </c>
      <c r="P4435" s="2" t="s">
        <v>43</v>
      </c>
      <c r="Q4435" s="23" t="s">
        <v>55</v>
      </c>
      <c r="R4435" s="23" t="s">
        <v>56</v>
      </c>
      <c r="S4435" s="21">
        <v>3</v>
      </c>
      <c r="T4435" s="22">
        <v>48</v>
      </c>
      <c r="U4435" s="2">
        <f>T4435*23%</f>
        <v>11.040000000000001</v>
      </c>
      <c r="V4435" s="2">
        <f>T4435+U4435</f>
        <v>59.04</v>
      </c>
      <c r="W4435" s="2">
        <f>10.6*S4435</f>
        <v>31.799999999999997</v>
      </c>
      <c r="X4435" s="5">
        <f t="shared" si="658"/>
        <v>0.33750000000000008</v>
      </c>
      <c r="Z4435" s="2" t="s">
        <v>3237</v>
      </c>
      <c r="AK4435" s="2">
        <f t="shared" ref="AK4435:AK4445" si="659">T4435-W4435</f>
        <v>16.200000000000003</v>
      </c>
      <c r="AL4435" s="5">
        <f t="shared" ref="AL4435:AL4445" si="660">(T4435-W4435)/T4435</f>
        <v>0.33750000000000008</v>
      </c>
    </row>
    <row r="4436" spans="1:38" hidden="1" x14ac:dyDescent="0.2">
      <c r="A4436" s="2">
        <v>2026</v>
      </c>
      <c r="B4436" s="2">
        <v>7</v>
      </c>
      <c r="C4436" s="2" t="s">
        <v>3444</v>
      </c>
      <c r="D4436" s="2" t="s">
        <v>37</v>
      </c>
      <c r="E4436" s="2" t="s">
        <v>38</v>
      </c>
      <c r="F4436" s="2" t="s">
        <v>39</v>
      </c>
      <c r="L4436" s="2" t="s">
        <v>3281</v>
      </c>
      <c r="M4436" s="2" t="s">
        <v>81</v>
      </c>
      <c r="P4436" s="2" t="s">
        <v>43</v>
      </c>
      <c r="Q4436" s="23" t="s">
        <v>62</v>
      </c>
      <c r="R4436" s="23" t="s">
        <v>63</v>
      </c>
      <c r="S4436" s="21">
        <v>700</v>
      </c>
      <c r="T4436" s="22">
        <v>70</v>
      </c>
      <c r="U4436" s="2">
        <f t="shared" ref="U4436:U4445" si="661">T4436*23%</f>
        <v>16.100000000000001</v>
      </c>
      <c r="V4436" s="2">
        <f t="shared" ref="V4436:V4445" si="662">T4436+U4436</f>
        <v>86.1</v>
      </c>
      <c r="W4436" s="2">
        <f>0.082*S4436</f>
        <v>57.400000000000006</v>
      </c>
      <c r="X4436" s="5">
        <f t="shared" si="658"/>
        <v>0.17999999999999991</v>
      </c>
      <c r="Z4436" s="2" t="s">
        <v>3237</v>
      </c>
      <c r="AK4436" s="2">
        <f t="shared" si="659"/>
        <v>12.599999999999994</v>
      </c>
      <c r="AL4436" s="5">
        <f t="shared" si="660"/>
        <v>0.17999999999999991</v>
      </c>
    </row>
    <row r="4437" spans="1:38" hidden="1" x14ac:dyDescent="0.2">
      <c r="A4437" s="2">
        <v>2026</v>
      </c>
      <c r="B4437" s="2">
        <v>7</v>
      </c>
      <c r="C4437" s="2" t="s">
        <v>3444</v>
      </c>
      <c r="D4437" s="23" t="s">
        <v>1550</v>
      </c>
      <c r="E4437" s="2" t="s">
        <v>109</v>
      </c>
      <c r="F4437" s="2" t="s">
        <v>39</v>
      </c>
      <c r="L4437" s="2" t="s">
        <v>178</v>
      </c>
      <c r="M4437" s="2" t="s">
        <v>40</v>
      </c>
      <c r="P4437" s="2" t="s">
        <v>115</v>
      </c>
      <c r="Q4437" s="23" t="s">
        <v>562</v>
      </c>
      <c r="R4437" s="23" t="s">
        <v>563</v>
      </c>
      <c r="S4437" s="21">
        <v>1</v>
      </c>
      <c r="T4437" s="22">
        <v>14.29</v>
      </c>
      <c r="U4437" s="2">
        <f t="shared" si="661"/>
        <v>3.2866999999999997</v>
      </c>
      <c r="V4437" s="2">
        <f t="shared" si="662"/>
        <v>17.576699999999999</v>
      </c>
      <c r="W4437" s="2">
        <v>5.3525</v>
      </c>
      <c r="X4437" s="5">
        <f t="shared" si="658"/>
        <v>0.62543736878936318</v>
      </c>
      <c r="Z4437" s="2" t="s">
        <v>118</v>
      </c>
      <c r="AA4437" s="2" t="s">
        <v>119</v>
      </c>
      <c r="AB4437" s="2" t="s">
        <v>120</v>
      </c>
      <c r="AC4437" s="2" t="s">
        <v>115</v>
      </c>
      <c r="AK4437" s="2">
        <f t="shared" si="659"/>
        <v>8.9375</v>
      </c>
      <c r="AL4437" s="5">
        <f t="shared" si="660"/>
        <v>0.62543736878936318</v>
      </c>
    </row>
    <row r="4438" spans="1:38" hidden="1" x14ac:dyDescent="0.2">
      <c r="A4438" s="2">
        <v>2026</v>
      </c>
      <c r="B4438" s="2">
        <v>7</v>
      </c>
      <c r="C4438" s="2" t="s">
        <v>3439</v>
      </c>
      <c r="D4438" s="23" t="s">
        <v>2782</v>
      </c>
      <c r="E4438" s="2" t="s">
        <v>109</v>
      </c>
      <c r="F4438" s="2" t="s">
        <v>39</v>
      </c>
      <c r="L4438" s="2" t="s">
        <v>2446</v>
      </c>
      <c r="M4438" s="2" t="s">
        <v>40</v>
      </c>
      <c r="P4438" s="2" t="s">
        <v>115</v>
      </c>
      <c r="Q4438" s="23" t="s">
        <v>468</v>
      </c>
      <c r="R4438" s="23" t="s">
        <v>469</v>
      </c>
      <c r="S4438" s="21">
        <v>1</v>
      </c>
      <c r="T4438" s="22">
        <v>418.99</v>
      </c>
      <c r="U4438" s="2">
        <f t="shared" si="661"/>
        <v>96.367699999999999</v>
      </c>
      <c r="V4438" s="2">
        <f t="shared" si="662"/>
        <v>515.35770000000002</v>
      </c>
      <c r="W4438" s="2">
        <v>237.8466</v>
      </c>
      <c r="X4438" s="5">
        <f t="shared" si="658"/>
        <v>0.43233346857920241</v>
      </c>
      <c r="Z4438" s="2" t="s">
        <v>118</v>
      </c>
      <c r="AA4438" s="2" t="s">
        <v>119</v>
      </c>
      <c r="AB4438" s="2" t="s">
        <v>120</v>
      </c>
      <c r="AC4438" s="2" t="s">
        <v>115</v>
      </c>
      <c r="AK4438" s="2">
        <f t="shared" si="659"/>
        <v>181.14340000000001</v>
      </c>
      <c r="AL4438" s="5">
        <f t="shared" si="660"/>
        <v>0.43233346857920241</v>
      </c>
    </row>
    <row r="4439" spans="1:38" hidden="1" x14ac:dyDescent="0.2">
      <c r="A4439" s="2">
        <v>2026</v>
      </c>
      <c r="B4439" s="2">
        <v>7</v>
      </c>
      <c r="C4439" s="2" t="s">
        <v>3444</v>
      </c>
      <c r="D4439" s="23" t="s">
        <v>2782</v>
      </c>
      <c r="E4439" s="2" t="s">
        <v>109</v>
      </c>
      <c r="F4439" s="2" t="s">
        <v>39</v>
      </c>
      <c r="L4439" s="2" t="s">
        <v>2446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99</v>
      </c>
      <c r="U4439" s="2">
        <f t="shared" si="661"/>
        <v>22.77</v>
      </c>
      <c r="V4439" s="2">
        <f t="shared" si="662"/>
        <v>121.77</v>
      </c>
      <c r="W4439" s="2">
        <f>T4439*40%</f>
        <v>39.6</v>
      </c>
      <c r="X4439" s="5">
        <f t="shared" si="658"/>
        <v>0.6</v>
      </c>
      <c r="Z4439" s="2" t="s">
        <v>118</v>
      </c>
      <c r="AA4439" s="2" t="s">
        <v>3442</v>
      </c>
      <c r="AK4439" s="2">
        <f t="shared" si="659"/>
        <v>59.4</v>
      </c>
      <c r="AL4439" s="5">
        <f t="shared" si="660"/>
        <v>0.6</v>
      </c>
    </row>
    <row r="4440" spans="1:38" hidden="1" x14ac:dyDescent="0.2">
      <c r="A4440" s="2">
        <v>2026</v>
      </c>
      <c r="B4440" s="2">
        <v>7</v>
      </c>
      <c r="C4440" s="2" t="s">
        <v>3444</v>
      </c>
      <c r="D4440" s="23" t="s">
        <v>2782</v>
      </c>
      <c r="E4440" s="2" t="s">
        <v>109</v>
      </c>
      <c r="F4440" s="2" t="s">
        <v>39</v>
      </c>
      <c r="L4440" s="2" t="s">
        <v>2446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1</v>
      </c>
      <c r="T4440" s="22">
        <v>49.5</v>
      </c>
      <c r="U4440" s="2">
        <f t="shared" si="661"/>
        <v>11.385</v>
      </c>
      <c r="V4440" s="2">
        <f t="shared" si="662"/>
        <v>60.884999999999998</v>
      </c>
      <c r="W4440" s="2">
        <f>T4440*50%</f>
        <v>24.75</v>
      </c>
      <c r="X4440" s="5">
        <f t="shared" si="658"/>
        <v>0.5</v>
      </c>
      <c r="Z4440" s="2" t="s">
        <v>118</v>
      </c>
      <c r="AA4440" s="2" t="s">
        <v>3442</v>
      </c>
      <c r="AK4440" s="2">
        <f t="shared" si="659"/>
        <v>24.75</v>
      </c>
      <c r="AL4440" s="5">
        <f t="shared" si="660"/>
        <v>0.5</v>
      </c>
    </row>
    <row r="4441" spans="1:38" hidden="1" x14ac:dyDescent="0.2">
      <c r="A4441" s="2">
        <v>2026</v>
      </c>
      <c r="B4441" s="2">
        <v>7</v>
      </c>
      <c r="C4441" s="2" t="s">
        <v>3444</v>
      </c>
      <c r="D4441" s="23" t="s">
        <v>1580</v>
      </c>
      <c r="E4441" s="2" t="s">
        <v>754</v>
      </c>
      <c r="F4441" s="2" t="s">
        <v>39</v>
      </c>
      <c r="L4441" s="2" t="s">
        <v>462</v>
      </c>
      <c r="M4441" s="2" t="s">
        <v>110</v>
      </c>
      <c r="P4441" s="2" t="s">
        <v>283</v>
      </c>
      <c r="Q4441" s="23" t="s">
        <v>3005</v>
      </c>
      <c r="R4441" s="23" t="s">
        <v>3006</v>
      </c>
      <c r="S4441" s="21">
        <v>1</v>
      </c>
      <c r="T4441" s="22">
        <v>1130.5</v>
      </c>
      <c r="U4441" s="2">
        <f t="shared" si="661"/>
        <v>260.01499999999999</v>
      </c>
      <c r="V4441" s="2">
        <f t="shared" si="662"/>
        <v>1390.5149999999999</v>
      </c>
      <c r="W4441" s="2">
        <v>773.5</v>
      </c>
      <c r="X4441" s="5">
        <f t="shared" si="658"/>
        <v>0.31578947368421051</v>
      </c>
      <c r="Z4441" s="2" t="s">
        <v>105</v>
      </c>
      <c r="AA4441" s="2" t="s">
        <v>182</v>
      </c>
      <c r="AB4441" s="2" t="s">
        <v>120</v>
      </c>
      <c r="AC4441" s="2" t="s">
        <v>1331</v>
      </c>
      <c r="AK4441" s="2">
        <f t="shared" si="659"/>
        <v>357</v>
      </c>
      <c r="AL4441" s="5">
        <f t="shared" si="660"/>
        <v>0.31578947368421051</v>
      </c>
    </row>
    <row r="4442" spans="1:38" hidden="1" x14ac:dyDescent="0.2">
      <c r="A4442" s="2">
        <v>2026</v>
      </c>
      <c r="B4442" s="2">
        <v>7</v>
      </c>
      <c r="C4442" s="2" t="s">
        <v>3444</v>
      </c>
      <c r="D4442" s="23" t="s">
        <v>842</v>
      </c>
      <c r="E4442" s="2" t="s">
        <v>109</v>
      </c>
      <c r="F4442" s="2" t="s">
        <v>843</v>
      </c>
      <c r="G4442" s="2">
        <v>504981285</v>
      </c>
      <c r="H4442" s="2" t="s">
        <v>291</v>
      </c>
      <c r="I4442" s="2" t="s">
        <v>844</v>
      </c>
      <c r="J4442" s="2" t="s">
        <v>845</v>
      </c>
      <c r="K4442" s="2">
        <v>932209225</v>
      </c>
      <c r="L4442" s="2" t="s">
        <v>340</v>
      </c>
      <c r="M4442" s="2" t="s">
        <v>40</v>
      </c>
      <c r="P4442" s="2" t="s">
        <v>188</v>
      </c>
      <c r="Q4442" s="23" t="s">
        <v>189</v>
      </c>
      <c r="R4442" s="23" t="s">
        <v>190</v>
      </c>
      <c r="S4442" s="21">
        <v>1</v>
      </c>
      <c r="T4442" s="22">
        <v>60</v>
      </c>
      <c r="U4442" s="2">
        <f t="shared" si="661"/>
        <v>13.8</v>
      </c>
      <c r="V4442" s="2">
        <f t="shared" si="662"/>
        <v>73.8</v>
      </c>
      <c r="W4442" s="2">
        <f>T4442*40%</f>
        <v>24</v>
      </c>
      <c r="X4442" s="5">
        <f t="shared" si="658"/>
        <v>0.6</v>
      </c>
      <c r="Z4442" s="2" t="s">
        <v>118</v>
      </c>
      <c r="AA4442" s="2" t="s">
        <v>191</v>
      </c>
      <c r="AK4442" s="2">
        <f t="shared" si="659"/>
        <v>36</v>
      </c>
      <c r="AL4442" s="5">
        <f t="shared" si="660"/>
        <v>0.6</v>
      </c>
    </row>
    <row r="4443" spans="1:38" hidden="1" x14ac:dyDescent="0.2">
      <c r="A4443" s="2">
        <v>2026</v>
      </c>
      <c r="B4443" s="2">
        <v>7</v>
      </c>
      <c r="C4443" s="2" t="s">
        <v>3444</v>
      </c>
      <c r="D4443" s="23" t="s">
        <v>842</v>
      </c>
      <c r="E4443" s="2" t="s">
        <v>109</v>
      </c>
      <c r="F4443" s="2" t="s">
        <v>843</v>
      </c>
      <c r="G4443" s="2">
        <v>504981285</v>
      </c>
      <c r="H4443" s="2" t="s">
        <v>291</v>
      </c>
      <c r="I4443" s="2" t="s">
        <v>844</v>
      </c>
      <c r="J4443" s="2" t="s">
        <v>845</v>
      </c>
      <c r="K4443" s="2">
        <v>932209225</v>
      </c>
      <c r="L4443" s="2" t="s">
        <v>340</v>
      </c>
      <c r="M4443" s="2" t="s">
        <v>40</v>
      </c>
      <c r="P4443" s="2" t="s">
        <v>188</v>
      </c>
      <c r="Q4443" s="23" t="s">
        <v>192</v>
      </c>
      <c r="R4443" s="23" t="s">
        <v>191</v>
      </c>
      <c r="S4443" s="21">
        <v>2</v>
      </c>
      <c r="T4443" s="22">
        <v>110</v>
      </c>
      <c r="U4443" s="2">
        <f t="shared" si="661"/>
        <v>25.3</v>
      </c>
      <c r="V4443" s="2">
        <f t="shared" si="662"/>
        <v>135.30000000000001</v>
      </c>
      <c r="W4443" s="2">
        <f>T4443*50%</f>
        <v>55</v>
      </c>
      <c r="X4443" s="5">
        <f t="shared" si="658"/>
        <v>0.5</v>
      </c>
      <c r="Z4443" s="2" t="s">
        <v>118</v>
      </c>
      <c r="AA4443" s="2" t="s">
        <v>191</v>
      </c>
      <c r="AK4443" s="2">
        <f t="shared" si="659"/>
        <v>55</v>
      </c>
      <c r="AL4443" s="5">
        <f t="shared" si="660"/>
        <v>0.5</v>
      </c>
    </row>
    <row r="4444" spans="1:38" hidden="1" x14ac:dyDescent="0.2">
      <c r="A4444" s="2">
        <v>2026</v>
      </c>
      <c r="B4444" s="2">
        <v>7</v>
      </c>
      <c r="C4444" s="2" t="s">
        <v>3444</v>
      </c>
      <c r="D4444" s="23" t="s">
        <v>1629</v>
      </c>
      <c r="E4444" s="2" t="s">
        <v>109</v>
      </c>
      <c r="F4444" s="2" t="s">
        <v>478</v>
      </c>
      <c r="G4444" s="2">
        <v>504161342</v>
      </c>
      <c r="H4444" s="2" t="s">
        <v>291</v>
      </c>
      <c r="I4444" s="2" t="s">
        <v>1630</v>
      </c>
      <c r="J4444" s="2" t="s">
        <v>1631</v>
      </c>
      <c r="L4444" s="2" t="s">
        <v>294</v>
      </c>
      <c r="M4444" s="2" t="s">
        <v>81</v>
      </c>
      <c r="P4444" s="2" t="s">
        <v>73</v>
      </c>
      <c r="Q4444" s="23" t="s">
        <v>307</v>
      </c>
      <c r="R4444" s="23" t="s">
        <v>308</v>
      </c>
      <c r="S4444" s="21">
        <v>1</v>
      </c>
      <c r="T4444" s="22">
        <v>230</v>
      </c>
      <c r="U4444" s="2">
        <f t="shared" si="661"/>
        <v>52.900000000000006</v>
      </c>
      <c r="V4444" s="2">
        <f t="shared" si="662"/>
        <v>282.89999999999998</v>
      </c>
      <c r="W4444" s="2">
        <v>134.57</v>
      </c>
      <c r="X4444" s="5">
        <f t="shared" si="658"/>
        <v>0.41491304347826091</v>
      </c>
      <c r="Z4444" s="2" t="s">
        <v>3237</v>
      </c>
      <c r="AA4444" s="2" t="s">
        <v>76</v>
      </c>
      <c r="AB4444" s="2" t="s">
        <v>77</v>
      </c>
      <c r="AC4444" s="2" t="s">
        <v>78</v>
      </c>
      <c r="AK4444" s="2">
        <f t="shared" si="659"/>
        <v>95.43</v>
      </c>
      <c r="AL4444" s="5">
        <f t="shared" si="660"/>
        <v>0.41491304347826091</v>
      </c>
    </row>
    <row r="4445" spans="1:38" hidden="1" x14ac:dyDescent="0.2">
      <c r="A4445" s="2">
        <v>2026</v>
      </c>
      <c r="B4445" s="2">
        <v>7</v>
      </c>
      <c r="C4445" s="2" t="s">
        <v>3444</v>
      </c>
      <c r="D4445" s="23" t="s">
        <v>1629</v>
      </c>
      <c r="E4445" s="2" t="s">
        <v>109</v>
      </c>
      <c r="F4445" s="2" t="s">
        <v>478</v>
      </c>
      <c r="G4445" s="2">
        <v>504161342</v>
      </c>
      <c r="H4445" s="2" t="s">
        <v>291</v>
      </c>
      <c r="I4445" s="2" t="s">
        <v>1630</v>
      </c>
      <c r="J4445" s="2" t="s">
        <v>1631</v>
      </c>
      <c r="L4445" s="2" t="s">
        <v>294</v>
      </c>
      <c r="M4445" s="2" t="s">
        <v>81</v>
      </c>
      <c r="P4445" s="2" t="s">
        <v>94</v>
      </c>
      <c r="Q4445" s="23" t="s">
        <v>95</v>
      </c>
      <c r="R4445" s="23" t="s">
        <v>96</v>
      </c>
      <c r="S4445" s="21">
        <v>1</v>
      </c>
      <c r="T4445" s="22">
        <v>1.48</v>
      </c>
      <c r="U4445" s="2">
        <f t="shared" si="661"/>
        <v>0.34040000000000004</v>
      </c>
      <c r="V4445" s="2">
        <f t="shared" si="662"/>
        <v>1.8204</v>
      </c>
      <c r="W4445" s="2">
        <v>1.48</v>
      </c>
      <c r="X4445" s="5">
        <f t="shared" si="658"/>
        <v>0</v>
      </c>
      <c r="Z4445" s="2" t="s">
        <v>3237</v>
      </c>
      <c r="AA4445" s="2" t="s">
        <v>97</v>
      </c>
      <c r="AB4445" s="2" t="s">
        <v>77</v>
      </c>
      <c r="AC4445" s="2" t="s">
        <v>94</v>
      </c>
      <c r="AK4445" s="2">
        <f t="shared" si="659"/>
        <v>0</v>
      </c>
      <c r="AL4445" s="5">
        <f t="shared" si="660"/>
        <v>0</v>
      </c>
    </row>
    <row r="4446" spans="1:38" hidden="1" x14ac:dyDescent="0.2"/>
    <row r="4447" spans="1:38" hidden="1" x14ac:dyDescent="0.2"/>
    <row r="4448" spans="1:38" hidden="1" x14ac:dyDescent="0.2"/>
    <row r="4449" hidden="1" x14ac:dyDescent="0.2"/>
    <row r="4450" hidden="1" x14ac:dyDescent="0.2"/>
    <row r="4451" hidden="1" x14ac:dyDescent="0.2"/>
    <row r="4452" hidden="1" x14ac:dyDescent="0.2"/>
    <row r="4453" hidden="1" x14ac:dyDescent="0.2"/>
    <row r="4454" hidden="1" x14ac:dyDescent="0.2"/>
    <row r="4455" hidden="1" x14ac:dyDescent="0.2"/>
  </sheetData>
  <autoFilter ref="A1:AL4455" xr:uid="{00000000-0001-0000-0000-000000000000}">
    <filterColumn colId="16">
      <filters>
        <filter val="01-6027703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Sheet1</vt:lpstr>
      <vt:lpstr>Gráfico1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2026-07-21T17:10:07Z</dcterms:modified>
</cp:coreProperties>
</file>