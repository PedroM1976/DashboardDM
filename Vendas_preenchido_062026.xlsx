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3149E73-9109-4BA8-9FFE-2D62115AC5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675" i="1" l="1"/>
  <c r="AL4675" i="1"/>
  <c r="AK4676" i="1"/>
  <c r="AL4676" i="1"/>
  <c r="AK4677" i="1"/>
  <c r="AL4677" i="1"/>
  <c r="AK4678" i="1"/>
  <c r="AL4678" i="1"/>
  <c r="AK4679" i="1"/>
  <c r="AL4679" i="1"/>
  <c r="AK4680" i="1"/>
  <c r="AL4680" i="1"/>
  <c r="AK4681" i="1"/>
  <c r="AL4681" i="1"/>
  <c r="AK4682" i="1"/>
  <c r="AL4682" i="1"/>
  <c r="AK4683" i="1"/>
  <c r="AL4683" i="1"/>
  <c r="AK4684" i="1"/>
  <c r="AL4684" i="1"/>
  <c r="AK4685" i="1"/>
  <c r="AL4685" i="1"/>
  <c r="AK4686" i="1"/>
  <c r="AL4686" i="1"/>
  <c r="AK4687" i="1"/>
  <c r="AL4687" i="1"/>
  <c r="AK4688" i="1"/>
  <c r="AL4688" i="1"/>
  <c r="AK4689" i="1"/>
  <c r="AL4689" i="1"/>
  <c r="AK4690" i="1"/>
  <c r="AL4690" i="1"/>
  <c r="AK4691" i="1"/>
  <c r="AL4691" i="1"/>
  <c r="AK4692" i="1"/>
  <c r="AL4692" i="1"/>
  <c r="AK4693" i="1"/>
  <c r="AL4693" i="1"/>
  <c r="AK4694" i="1"/>
  <c r="AL4694" i="1"/>
  <c r="AK4695" i="1"/>
  <c r="AL4695" i="1"/>
  <c r="AK4696" i="1"/>
  <c r="AL4696" i="1"/>
  <c r="AK4697" i="1"/>
  <c r="AL4697" i="1"/>
  <c r="AK4698" i="1"/>
  <c r="AL4698" i="1"/>
  <c r="AK4699" i="1"/>
  <c r="AL4699" i="1"/>
  <c r="AK4700" i="1"/>
  <c r="AL4700" i="1"/>
  <c r="AK4701" i="1"/>
  <c r="AL4701" i="1"/>
  <c r="AK4702" i="1"/>
  <c r="AL4702" i="1"/>
  <c r="AK4703" i="1"/>
  <c r="AL4703" i="1"/>
  <c r="AK4704" i="1"/>
  <c r="AL4704" i="1"/>
  <c r="AK4705" i="1"/>
  <c r="AL4705" i="1"/>
  <c r="AK4706" i="1"/>
  <c r="AL4706" i="1"/>
  <c r="AL3534" i="1"/>
  <c r="X3534" i="1"/>
  <c r="W4694" i="1"/>
  <c r="X4694" i="1" s="1"/>
  <c r="W4693" i="1"/>
  <c r="W4692" i="1"/>
  <c r="X4692" i="1" s="1"/>
  <c r="W4691" i="1"/>
  <c r="W4687" i="1"/>
  <c r="W4705" i="1"/>
  <c r="W4704" i="1"/>
  <c r="X4704" i="1" s="1"/>
  <c r="W4706" i="1"/>
  <c r="W4701" i="1"/>
  <c r="AF4677" i="1"/>
  <c r="W4676" i="1"/>
  <c r="X4676" i="1" s="1"/>
  <c r="W4675" i="1"/>
  <c r="X4675" i="1" s="1"/>
  <c r="W4703" i="1"/>
  <c r="X4703" i="1" s="1"/>
  <c r="W4698" i="1"/>
  <c r="X4698" i="1" s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3" i="1"/>
  <c r="X4695" i="1"/>
  <c r="X4696" i="1"/>
  <c r="X4697" i="1"/>
  <c r="X4699" i="1"/>
  <c r="X4700" i="1"/>
  <c r="X4701" i="1"/>
  <c r="X4702" i="1"/>
  <c r="X4706" i="1"/>
  <c r="X4707" i="1"/>
  <c r="U4676" i="1"/>
  <c r="V4676" i="1" s="1"/>
  <c r="U4677" i="1"/>
  <c r="V4677" i="1" s="1"/>
  <c r="U4678" i="1"/>
  <c r="V4678" i="1" s="1"/>
  <c r="U4679" i="1"/>
  <c r="V4679" i="1" s="1"/>
  <c r="U4680" i="1"/>
  <c r="V4680" i="1" s="1"/>
  <c r="U4681" i="1"/>
  <c r="V4681" i="1" s="1"/>
  <c r="U4682" i="1"/>
  <c r="V4682" i="1" s="1"/>
  <c r="U4683" i="1"/>
  <c r="V4683" i="1" s="1"/>
  <c r="U4684" i="1"/>
  <c r="V4684" i="1" s="1"/>
  <c r="U4685" i="1"/>
  <c r="V4685" i="1" s="1"/>
  <c r="U4686" i="1"/>
  <c r="V4686" i="1" s="1"/>
  <c r="U4687" i="1"/>
  <c r="V4687" i="1" s="1"/>
  <c r="U4688" i="1"/>
  <c r="V4688" i="1" s="1"/>
  <c r="U4689" i="1"/>
  <c r="V4689" i="1" s="1"/>
  <c r="U4690" i="1"/>
  <c r="V4690" i="1" s="1"/>
  <c r="U4691" i="1"/>
  <c r="V4691" i="1" s="1"/>
  <c r="U4692" i="1"/>
  <c r="V4692" i="1" s="1"/>
  <c r="U4693" i="1"/>
  <c r="V4693" i="1" s="1"/>
  <c r="U4694" i="1"/>
  <c r="V4694" i="1" s="1"/>
  <c r="U4695" i="1"/>
  <c r="V4695" i="1" s="1"/>
  <c r="U4696" i="1"/>
  <c r="V4696" i="1" s="1"/>
  <c r="U4697" i="1"/>
  <c r="V4697" i="1" s="1"/>
  <c r="U4698" i="1"/>
  <c r="V4698" i="1" s="1"/>
  <c r="U4699" i="1"/>
  <c r="V4699" i="1" s="1"/>
  <c r="U4700" i="1"/>
  <c r="V4700" i="1" s="1"/>
  <c r="U4701" i="1"/>
  <c r="V4701" i="1" s="1"/>
  <c r="U4702" i="1"/>
  <c r="V4702" i="1" s="1"/>
  <c r="U4703" i="1"/>
  <c r="V4703" i="1" s="1"/>
  <c r="U4704" i="1"/>
  <c r="V4704" i="1" s="1"/>
  <c r="U4705" i="1"/>
  <c r="V4705" i="1" s="1"/>
  <c r="U4706" i="1"/>
  <c r="V4706" i="1" s="1"/>
  <c r="U4707" i="1"/>
  <c r="V4707" i="1" s="1"/>
  <c r="U4675" i="1"/>
  <c r="V4675" i="1" s="1"/>
  <c r="W2751" i="1"/>
  <c r="AK2751" i="1" s="1"/>
  <c r="W4669" i="1"/>
  <c r="X4669" i="1" s="1"/>
  <c r="W4668" i="1"/>
  <c r="X4668" i="1" s="1"/>
  <c r="W4667" i="1"/>
  <c r="AK4667" i="1" s="1"/>
  <c r="W4653" i="1"/>
  <c r="AK4653" i="1" s="1"/>
  <c r="AK4666" i="1"/>
  <c r="AL4666" i="1"/>
  <c r="AK4670" i="1"/>
  <c r="AL4670" i="1"/>
  <c r="AK4671" i="1"/>
  <c r="AL4671" i="1"/>
  <c r="AK4672" i="1"/>
  <c r="AL4672" i="1"/>
  <c r="W4674" i="1"/>
  <c r="AL4674" i="1" s="1"/>
  <c r="W4673" i="1"/>
  <c r="X4673" i="1" s="1"/>
  <c r="X4666" i="1"/>
  <c r="X4670" i="1"/>
  <c r="X4671" i="1"/>
  <c r="X4672" i="1"/>
  <c r="U4667" i="1"/>
  <c r="V4667" i="1" s="1"/>
  <c r="U4668" i="1"/>
  <c r="V4668" i="1" s="1"/>
  <c r="U4669" i="1"/>
  <c r="V4669" i="1" s="1"/>
  <c r="U4670" i="1"/>
  <c r="V4670" i="1" s="1"/>
  <c r="U4671" i="1"/>
  <c r="V4671" i="1" s="1"/>
  <c r="U4672" i="1"/>
  <c r="V4672" i="1" s="1"/>
  <c r="U4673" i="1"/>
  <c r="V4673" i="1" s="1"/>
  <c r="U4674" i="1"/>
  <c r="V4674" i="1" s="1"/>
  <c r="U4666" i="1"/>
  <c r="V4666" i="1" s="1"/>
  <c r="W4654" i="1"/>
  <c r="AK4654" i="1" s="1"/>
  <c r="W4663" i="1"/>
  <c r="X4663" i="1" s="1"/>
  <c r="W4665" i="1"/>
  <c r="AL4665" i="1" s="1"/>
  <c r="W4662" i="1"/>
  <c r="W4661" i="1"/>
  <c r="W4656" i="1"/>
  <c r="X4656" i="1" s="1"/>
  <c r="W4660" i="1"/>
  <c r="X4660" i="1" s="1"/>
  <c r="X4655" i="1"/>
  <c r="X4657" i="1"/>
  <c r="X4658" i="1"/>
  <c r="X4659" i="1"/>
  <c r="X4661" i="1"/>
  <c r="X4662" i="1"/>
  <c r="X466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L4651" i="1"/>
  <c r="AL4652" i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K3534" i="1"/>
  <c r="AJ3534" i="1"/>
  <c r="AF3534" i="1" s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J2751" i="1"/>
  <c r="AF2751" i="1" s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705" i="1" l="1"/>
  <c r="AL2751" i="1"/>
  <c r="X2751" i="1"/>
  <c r="AL4668" i="1"/>
  <c r="X4653" i="1"/>
  <c r="AK4669" i="1"/>
  <c r="X4667" i="1"/>
  <c r="AK4668" i="1"/>
  <c r="AL4667" i="1"/>
  <c r="AL4653" i="1"/>
  <c r="AL4669" i="1"/>
  <c r="X2928" i="1"/>
  <c r="AL4673" i="1"/>
  <c r="AK4674" i="1"/>
  <c r="AK4673" i="1"/>
  <c r="X4674" i="1"/>
  <c r="X4654" i="1"/>
  <c r="AL4654" i="1"/>
  <c r="AL4660" i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<sst xmlns="http://schemas.openxmlformats.org/spreadsheetml/2006/main" count="63946" uniqueCount="3555">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</sst>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707"/>
  <sheetViews>
    <sheetView tabSelected="1" workbookViewId="0">
      <pane ySplit="1" topLeftCell="A4636" activePane="bottomLeft" state="frozen"/>
      <selection pane="bottomLeft" activeCell="E4659" sqref="E465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M988" s="2" t="s">
        <v>40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E1374" s="2" t="s">
        <v>38</v>
      </c>
      <c r="F1374" s="2" t="s">
        <v>39</v>
      </c>
      <c r="L1374" s="2" t="s">
        <v>571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E1592" s="2" t="s">
        <v>38</v>
      </c>
      <c r="F1592" s="2" t="s">
        <v>39</v>
      </c>
      <c r="L1592" s="2" t="s">
        <v>571</v>
      </c>
      <c r="M1592" s="2" t="s">
        <v>40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W1592" s="2">
        <v>26.77</v>
      </c>
      <c r="X1592" s="5">
        <f t="shared" si="241"/>
        <v>0.53733148980297274</v>
      </c>
      <c r="Z1592" s="2" t="s">
        <v>117</v>
      </c>
      <c r="AA1592" s="2" t="s">
        <v>118</v>
      </c>
      <c r="AB1592" s="2" t="s">
        <v>119</v>
      </c>
      <c r="AC1592" s="2" t="s">
        <v>114</v>
      </c>
      <c r="AF1592" s="2">
        <f t="shared" si="231"/>
        <v>0</v>
      </c>
      <c r="AJ1592" s="2">
        <f t="shared" si="232"/>
        <v>0</v>
      </c>
      <c r="AK1592" s="2">
        <f t="shared" si="239"/>
        <v>31.09</v>
      </c>
      <c r="AL1592" s="5">
        <f t="shared" si="242"/>
        <v>0.53733148980297274</v>
      </c>
    </row>
    <row r="1593" spans="1:38" x14ac:dyDescent="0.2">
      <c r="A1593" s="2">
        <v>2025</v>
      </c>
      <c r="B1593" s="2">
        <v>6</v>
      </c>
      <c r="D1593" s="2" t="s">
        <v>1590</v>
      </c>
      <c r="E1593" s="2" t="s">
        <v>38</v>
      </c>
      <c r="F1593" s="2" t="s">
        <v>39</v>
      </c>
      <c r="L1593" s="2" t="s">
        <v>571</v>
      </c>
      <c r="M1593" s="2" t="s">
        <v>40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W1593" s="2">
        <v>21.32</v>
      </c>
      <c r="X1593" s="5">
        <f t="shared" si="241"/>
        <v>0.67320662170447576</v>
      </c>
      <c r="Z1593" s="2" t="s">
        <v>117</v>
      </c>
      <c r="AA1593" s="2" t="s">
        <v>118</v>
      </c>
      <c r="AB1593" s="2" t="s">
        <v>119</v>
      </c>
      <c r="AC1593" s="2" t="s">
        <v>114</v>
      </c>
      <c r="AF1593" s="2">
        <f t="shared" si="231"/>
        <v>0</v>
      </c>
      <c r="AJ1593" s="2">
        <f t="shared" si="232"/>
        <v>0</v>
      </c>
      <c r="AK1593" s="2">
        <f t="shared" si="239"/>
        <v>43.919999999999995</v>
      </c>
      <c r="AL1593" s="5">
        <f t="shared" si="242"/>
        <v>0.67320662170447576</v>
      </c>
    </row>
    <row r="1594" spans="1:38" x14ac:dyDescent="0.2">
      <c r="A1594" s="2">
        <v>2025</v>
      </c>
      <c r="B1594" s="2">
        <v>6</v>
      </c>
      <c r="D1594" s="2" t="s">
        <v>1590</v>
      </c>
      <c r="E1594" s="2" t="s">
        <v>38</v>
      </c>
      <c r="F1594" s="2" t="s">
        <v>39</v>
      </c>
      <c r="L1594" s="2" t="s">
        <v>571</v>
      </c>
      <c r="M1594" s="2" t="s">
        <v>40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E1766" s="2" t="s">
        <v>38</v>
      </c>
      <c r="F1766" s="2" t="s">
        <v>39</v>
      </c>
      <c r="L1766" s="2" t="s">
        <v>571</v>
      </c>
      <c r="M1766" s="2" t="s">
        <v>40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W1766" s="2">
        <v>21.32</v>
      </c>
      <c r="X1766" s="5">
        <f t="shared" ref="X1766:X1787" si="269">(T1766-W1766)/T1766</f>
        <v>0.54239107104528872</v>
      </c>
      <c r="Z1766" s="2" t="s">
        <v>117</v>
      </c>
      <c r="AA1766" s="2" t="s">
        <v>118</v>
      </c>
      <c r="AB1766" s="2" t="s">
        <v>119</v>
      </c>
      <c r="AC1766" s="2" t="s">
        <v>114</v>
      </c>
      <c r="AF1766" s="2">
        <f t="shared" si="261"/>
        <v>0</v>
      </c>
      <c r="AJ1766" s="2">
        <f t="shared" si="262"/>
        <v>0</v>
      </c>
      <c r="AK1766" s="2">
        <f t="shared" si="268"/>
        <v>25.270000000000003</v>
      </c>
      <c r="AL1766" s="5">
        <f t="shared" si="267"/>
        <v>0.54239107104528872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C2215" s="2" t="s">
        <v>3440</v>
      </c>
      <c r="D2215" s="2" t="s">
        <v>2052</v>
      </c>
      <c r="E2215" s="2" t="s">
        <v>108</v>
      </c>
      <c r="F2215" s="2" t="s">
        <v>39</v>
      </c>
      <c r="L2215" s="2" t="s">
        <v>339</v>
      </c>
      <c r="M2215" s="2" t="s">
        <v>80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C2216" s="2" t="s">
        <v>3440</v>
      </c>
      <c r="D2216" s="2" t="s">
        <v>2052</v>
      </c>
      <c r="E2216" s="2" t="s">
        <v>108</v>
      </c>
      <c r="F2216" s="2" t="s">
        <v>39</v>
      </c>
      <c r="L2216" s="2" t="s">
        <v>339</v>
      </c>
      <c r="M2216" s="2" t="s">
        <v>80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E2483" s="2" t="s">
        <v>38</v>
      </c>
      <c r="F2483" s="2" t="s">
        <v>39</v>
      </c>
      <c r="L2483" s="2" t="s">
        <v>571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E2484" s="2" t="s">
        <v>38</v>
      </c>
      <c r="F2484" s="2" t="s">
        <v>39</v>
      </c>
      <c r="L2484" s="2" t="s">
        <v>571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M2641" s="2" t="s">
        <v>80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M2642" s="2" t="s">
        <v>80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W2751" s="2">
        <f>4.6858*S2751</f>
        <v>14.057400000000001</v>
      </c>
      <c r="X2751" s="5">
        <f t="shared" si="413"/>
        <v>0.40485182049110918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 t="shared" si="408"/>
        <v>0</v>
      </c>
      <c r="AJ2751" s="2">
        <f t="shared" si="409"/>
        <v>0</v>
      </c>
      <c r="AK2751" s="2">
        <f t="shared" si="410"/>
        <v>9.5625999999999998</v>
      </c>
      <c r="AL2751" s="5">
        <f t="shared" si="412"/>
        <v>0.40485182049110918</v>
      </c>
    </row>
    <row r="2752" spans="1:38" x14ac:dyDescent="0.2">
      <c r="A2752" s="2">
        <v>2025</v>
      </c>
      <c r="B2752" s="2">
        <v>9</v>
      </c>
      <c r="D2752" s="2" t="s">
        <v>1290</v>
      </c>
      <c r="M2752" s="2" t="s">
        <v>40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C2928" s="2" t="s">
        <v>3472</v>
      </c>
      <c r="D2928" s="2" t="s">
        <v>1590</v>
      </c>
      <c r="E2928" s="2" t="s">
        <v>38</v>
      </c>
      <c r="F2928" s="2" t="s">
        <v>39</v>
      </c>
      <c r="L2928" s="2" t="s">
        <v>571</v>
      </c>
      <c r="M2928" s="2" t="s">
        <v>3491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>SIGN(T2928)*((ABS(T2928)-W2928)/ABS(T2928))</f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C3199" s="2" t="s">
        <v>3453</v>
      </c>
      <c r="D3199" s="2" t="s">
        <v>2557</v>
      </c>
      <c r="E3199" s="2" t="s">
        <v>108</v>
      </c>
      <c r="F3199" s="2" t="s">
        <v>717</v>
      </c>
      <c r="G3199" s="2">
        <v>500228264</v>
      </c>
      <c r="H3199" s="2" t="s">
        <v>109</v>
      </c>
      <c r="I3199" s="2" t="s">
        <v>2937</v>
      </c>
      <c r="J3199" s="2" t="s">
        <v>2938</v>
      </c>
      <c r="K3199" s="2">
        <v>962004672</v>
      </c>
      <c r="L3199" s="2" t="s">
        <v>398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C3283" s="2" t="s">
        <v>3453</v>
      </c>
      <c r="D3283" s="2" t="s">
        <v>2557</v>
      </c>
      <c r="E3283" s="2" t="s">
        <v>108</v>
      </c>
      <c r="F3283" s="2" t="s">
        <v>717</v>
      </c>
      <c r="G3283" s="2">
        <v>500228264</v>
      </c>
      <c r="H3283" s="2" t="s">
        <v>109</v>
      </c>
      <c r="I3283" s="2" t="s">
        <v>2937</v>
      </c>
      <c r="J3283" s="2" t="s">
        <v>2938</v>
      </c>
      <c r="K3283" s="2">
        <v>962004672</v>
      </c>
      <c r="L3283" s="2" t="s">
        <v>398</v>
      </c>
      <c r="M3283" s="2" t="s">
        <v>80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E3315" s="2" t="s">
        <v>38</v>
      </c>
      <c r="F3315" s="2" t="s">
        <v>39</v>
      </c>
      <c r="L3315" s="2" t="s">
        <v>571</v>
      </c>
      <c r="M3315" s="2" t="s">
        <v>40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W3315" s="2">
        <v>64.87</v>
      </c>
      <c r="X3315" s="5">
        <f t="shared" si="515"/>
        <v>0.52382001027673775</v>
      </c>
      <c r="Z3315" s="2" t="s">
        <v>117</v>
      </c>
      <c r="AA3315" s="2" t="s">
        <v>118</v>
      </c>
      <c r="AB3315" s="2" t="s">
        <v>119</v>
      </c>
      <c r="AC3315" s="2" t="s">
        <v>114</v>
      </c>
      <c r="AF3315" s="2">
        <f t="shared" si="511"/>
        <v>0</v>
      </c>
      <c r="AJ3315" s="2">
        <f t="shared" si="512"/>
        <v>0</v>
      </c>
      <c r="AK3315" s="2">
        <f t="shared" si="516"/>
        <v>71.359999999999985</v>
      </c>
      <c r="AL3315" s="5">
        <f t="shared" si="517"/>
        <v>0.52382001027673775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C3492" s="2" t="s">
        <v>3504</v>
      </c>
      <c r="D3492" s="2" t="s">
        <v>2557</v>
      </c>
      <c r="E3492" s="2" t="s">
        <v>108</v>
      </c>
      <c r="F3492" s="2" t="s">
        <v>717</v>
      </c>
      <c r="G3492" s="2">
        <v>500228264</v>
      </c>
      <c r="H3492" s="2" t="s">
        <v>109</v>
      </c>
      <c r="I3492" s="2" t="s">
        <v>2937</v>
      </c>
      <c r="J3492" s="2" t="s">
        <v>2938</v>
      </c>
      <c r="K3492" s="2">
        <v>962004672</v>
      </c>
      <c r="L3492" s="2" t="s">
        <v>398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C3534" s="2" t="s">
        <v>3504</v>
      </c>
      <c r="D3534" s="2" t="s">
        <v>2557</v>
      </c>
      <c r="E3534" s="2" t="s">
        <v>108</v>
      </c>
      <c r="F3534" s="2" t="s">
        <v>717</v>
      </c>
      <c r="G3534" s="2">
        <v>500228264</v>
      </c>
      <c r="H3534" s="2" t="s">
        <v>109</v>
      </c>
      <c r="I3534" s="2" t="s">
        <v>2937</v>
      </c>
      <c r="J3534" s="2" t="s">
        <v>2938</v>
      </c>
      <c r="K3534" s="2">
        <v>962004672</v>
      </c>
      <c r="L3534" s="2" t="s">
        <v>398</v>
      </c>
      <c r="M3534" s="2" t="s">
        <v>80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18">
        <f t="shared" ref="X3534" si="567">SIGN(T3534)*((ABS(T3534)-W3534)/ABS(T3534))</f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18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8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9">T3540-W3540</f>
        <v>111</v>
      </c>
      <c r="AL3540" s="5">
        <f t="shared" ref="AL3540:AL3545" si="570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8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9"/>
        <v>0</v>
      </c>
      <c r="AL3541" s="5">
        <f t="shared" si="570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8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9"/>
        <v>0</v>
      </c>
      <c r="AL3542" s="5">
        <f t="shared" si="570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8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9"/>
        <v>0</v>
      </c>
      <c r="AL3543" s="5">
        <f t="shared" si="570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8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9"/>
        <v>0</v>
      </c>
      <c r="AL3544" s="5">
        <f t="shared" si="570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8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9"/>
        <v>0</v>
      </c>
      <c r="AL3545" s="5">
        <f t="shared" si="570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9"/>
        <v>0</v>
      </c>
      <c r="AL3546" s="18">
        <f t="shared" ref="AL3546" si="571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2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3">T3547-W3547</f>
        <v>0</v>
      </c>
      <c r="AL3547" s="5">
        <f t="shared" ref="AL3547:AL3578" si="574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2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3"/>
        <v>0</v>
      </c>
      <c r="AL3548" s="5">
        <f t="shared" si="574"/>
        <v>0</v>
      </c>
    </row>
    <row r="3549" spans="1:38" x14ac:dyDescent="0.2">
      <c r="A3549" s="2">
        <v>2026</v>
      </c>
      <c r="B3549" s="2">
        <v>3</v>
      </c>
      <c r="C3549" s="2" t="s">
        <v>3504</v>
      </c>
      <c r="D3549" s="2" t="s">
        <v>2557</v>
      </c>
      <c r="E3549" s="2" t="s">
        <v>108</v>
      </c>
      <c r="F3549" s="2" t="s">
        <v>717</v>
      </c>
      <c r="G3549" s="2">
        <v>500228264</v>
      </c>
      <c r="H3549" s="2" t="s">
        <v>109</v>
      </c>
      <c r="I3549" s="2" t="s">
        <v>2937</v>
      </c>
      <c r="J3549" s="2" t="s">
        <v>2938</v>
      </c>
      <c r="K3549" s="2">
        <v>962004672</v>
      </c>
      <c r="L3549" s="2" t="s">
        <v>398</v>
      </c>
      <c r="M3549" s="2" t="s">
        <v>80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2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3"/>
        <v>0</v>
      </c>
      <c r="AL3549" s="5">
        <f t="shared" si="574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2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3"/>
        <v>0</v>
      </c>
      <c r="AL3550" s="5">
        <f t="shared" si="574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2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3"/>
        <v>0</v>
      </c>
      <c r="AL3551" s="5">
        <f t="shared" si="574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2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3"/>
        <v>0</v>
      </c>
      <c r="AL3552" s="5">
        <f t="shared" si="574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2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3"/>
        <v>0</v>
      </c>
      <c r="AL3553" s="5">
        <f t="shared" si="574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2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3"/>
        <v>0</v>
      </c>
      <c r="AL3554" s="5">
        <f t="shared" si="574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2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3"/>
        <v>0</v>
      </c>
      <c r="AL3555" s="5">
        <f t="shared" si="574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2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3"/>
        <v>0</v>
      </c>
      <c r="AL3556" s="5">
        <f t="shared" si="574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2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3"/>
        <v>0</v>
      </c>
      <c r="AL3557" s="5">
        <f t="shared" si="574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2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3"/>
        <v>0</v>
      </c>
      <c r="AL3558" s="5">
        <f t="shared" si="574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2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3"/>
        <v>0</v>
      </c>
      <c r="AL3559" s="5">
        <f t="shared" si="574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2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3"/>
        <v>0</v>
      </c>
      <c r="AL3560" s="5">
        <f t="shared" si="574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2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3"/>
        <v>0</v>
      </c>
      <c r="AL3561" s="5">
        <f t="shared" si="574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2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3"/>
        <v>0</v>
      </c>
      <c r="AL3562" s="5">
        <f t="shared" si="574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2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3"/>
        <v>0</v>
      </c>
      <c r="AL3563" s="5">
        <f t="shared" si="574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2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3"/>
        <v>0</v>
      </c>
      <c r="AL3564" s="5">
        <f t="shared" si="574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2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3"/>
        <v>0</v>
      </c>
      <c r="AL3565" s="5">
        <f t="shared" si="574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2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3"/>
        <v>0</v>
      </c>
      <c r="AL3566" s="5">
        <f t="shared" si="574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2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3"/>
        <v>0</v>
      </c>
      <c r="AL3567" s="5">
        <f t="shared" si="574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2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3"/>
        <v>0</v>
      </c>
      <c r="AL3568" s="5">
        <f t="shared" si="574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2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3"/>
        <v>0</v>
      </c>
      <c r="AL3569" s="5">
        <f t="shared" si="574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2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3"/>
        <v>0</v>
      </c>
      <c r="AL3570" s="5">
        <f t="shared" si="574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2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3"/>
        <v>0</v>
      </c>
      <c r="AL3571" s="5">
        <f t="shared" si="574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5">T3572*70%</f>
        <v>403.2</v>
      </c>
      <c r="X3572" s="5">
        <f t="shared" si="572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3"/>
        <v>172.8</v>
      </c>
      <c r="AL3572" s="5">
        <f t="shared" si="574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5"/>
        <v>140</v>
      </c>
      <c r="X3573" s="5">
        <f t="shared" si="572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3"/>
        <v>60</v>
      </c>
      <c r="AL3573" s="5">
        <f t="shared" si="574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5"/>
        <v>125.99999999999999</v>
      </c>
      <c r="X3574" s="5">
        <f t="shared" si="572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3"/>
        <v>54.000000000000014</v>
      </c>
      <c r="AL3574" s="5">
        <f t="shared" si="574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5"/>
        <v>125.99999999999999</v>
      </c>
      <c r="X3575" s="5">
        <f t="shared" si="572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3"/>
        <v>54.000000000000014</v>
      </c>
      <c r="AL3575" s="5">
        <f t="shared" si="574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5"/>
        <v>47.04</v>
      </c>
      <c r="X3576" s="5">
        <f t="shared" si="572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3"/>
        <v>20.160000000000004</v>
      </c>
      <c r="AL3576" s="5">
        <f t="shared" si="574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2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3"/>
        <v>12.439999999999998</v>
      </c>
      <c r="AL3577" s="5">
        <f t="shared" si="574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2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3"/>
        <v>445.75559999999996</v>
      </c>
      <c r="AL3578" s="5">
        <f t="shared" si="574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6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7">T3579-W3579</f>
        <v>117.51000000000002</v>
      </c>
      <c r="AL3579" s="5">
        <f t="shared" ref="AL3579:AL3610" si="578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6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7"/>
        <v>5.43</v>
      </c>
      <c r="AL3580" s="5">
        <f t="shared" si="578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6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7"/>
        <v>9.1433</v>
      </c>
      <c r="AL3581" s="5">
        <f t="shared" si="578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6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7"/>
        <v>84.728400000000008</v>
      </c>
      <c r="AL3582" s="5">
        <f t="shared" si="578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6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7"/>
        <v>17.91</v>
      </c>
      <c r="AL3583" s="5">
        <f t="shared" si="578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6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7"/>
        <v>22.2</v>
      </c>
      <c r="AL3584" s="5">
        <f t="shared" si="578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6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9">AJ3585</f>
        <v>0</v>
      </c>
      <c r="AG3585" s="2">
        <f>63.89+1.02</f>
        <v>64.91</v>
      </c>
      <c r="AJ3585" s="2">
        <f t="shared" ref="AJ3585:AJ3648" si="580">AI3585*T3585</f>
        <v>0</v>
      </c>
      <c r="AK3585" s="2">
        <f t="shared" si="577"/>
        <v>69.259999999999991</v>
      </c>
      <c r="AL3585" s="5">
        <f t="shared" si="578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6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9"/>
        <v>0</v>
      </c>
      <c r="AG3586" s="2">
        <f>W3586</f>
        <v>100</v>
      </c>
      <c r="AJ3586" s="2">
        <f t="shared" si="580"/>
        <v>0</v>
      </c>
      <c r="AK3586" s="2">
        <f t="shared" si="577"/>
        <v>100</v>
      </c>
      <c r="AL3586" s="5">
        <f t="shared" si="578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6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9"/>
        <v>0</v>
      </c>
      <c r="AG3587" s="2">
        <v>183.26</v>
      </c>
      <c r="AJ3587" s="2">
        <f t="shared" si="580"/>
        <v>0</v>
      </c>
      <c r="AK3587" s="2">
        <f t="shared" si="577"/>
        <v>151.26999999999998</v>
      </c>
      <c r="AL3587" s="5">
        <f t="shared" si="578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6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9"/>
        <v>0</v>
      </c>
      <c r="AG3588" s="2">
        <v>22.2</v>
      </c>
      <c r="AJ3588" s="2">
        <f t="shared" si="580"/>
        <v>0</v>
      </c>
      <c r="AK3588" s="2">
        <f t="shared" si="577"/>
        <v>51.816000000000003</v>
      </c>
      <c r="AL3588" s="5">
        <f t="shared" si="578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6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9"/>
        <v>0</v>
      </c>
      <c r="AG3589" s="2">
        <v>22.2</v>
      </c>
      <c r="AJ3589" s="2">
        <f t="shared" si="580"/>
        <v>0</v>
      </c>
      <c r="AK3589" s="2">
        <f t="shared" si="577"/>
        <v>25.908000000000001</v>
      </c>
      <c r="AL3589" s="5">
        <f t="shared" si="578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6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9"/>
        <v>0</v>
      </c>
      <c r="AG3590" s="2">
        <f>249.84+4</f>
        <v>253.84</v>
      </c>
      <c r="AJ3590" s="2">
        <f t="shared" si="580"/>
        <v>0</v>
      </c>
      <c r="AK3590" s="2">
        <f t="shared" si="577"/>
        <v>270.81999999999994</v>
      </c>
      <c r="AL3590" s="5">
        <f t="shared" si="578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6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9"/>
        <v>0</v>
      </c>
      <c r="AG3591" s="2">
        <v>30.22</v>
      </c>
      <c r="AJ3591" s="2">
        <f t="shared" si="580"/>
        <v>0</v>
      </c>
      <c r="AK3591" s="2">
        <f t="shared" si="577"/>
        <v>32.85</v>
      </c>
      <c r="AL3591" s="5">
        <f t="shared" si="578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6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9"/>
        <v>0</v>
      </c>
      <c r="AG3592" s="2">
        <v>342.22</v>
      </c>
      <c r="AJ3592" s="2">
        <f t="shared" si="580"/>
        <v>0</v>
      </c>
      <c r="AK3592" s="2">
        <f t="shared" si="577"/>
        <v>354.09659999999997</v>
      </c>
      <c r="AL3592" s="5">
        <f t="shared" si="578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6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9"/>
        <v>0</v>
      </c>
      <c r="AG3593" s="2">
        <v>342.22</v>
      </c>
      <c r="AJ3593" s="2">
        <f t="shared" si="580"/>
        <v>0</v>
      </c>
      <c r="AK3593" s="2">
        <f t="shared" si="577"/>
        <v>354.09659999999997</v>
      </c>
      <c r="AL3593" s="5">
        <f t="shared" si="578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6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9"/>
        <v>0</v>
      </c>
      <c r="AG3594" s="2">
        <v>342.22</v>
      </c>
      <c r="AJ3594" s="2">
        <f t="shared" si="580"/>
        <v>0</v>
      </c>
      <c r="AK3594" s="2">
        <f t="shared" si="577"/>
        <v>354.09659999999997</v>
      </c>
      <c r="AL3594" s="5">
        <f t="shared" si="578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6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9"/>
        <v>0</v>
      </c>
      <c r="AJ3595" s="2">
        <f t="shared" si="580"/>
        <v>0</v>
      </c>
      <c r="AK3595" s="2">
        <f t="shared" si="577"/>
        <v>352.72999999999996</v>
      </c>
      <c r="AL3595" s="5">
        <f t="shared" si="578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6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9"/>
        <v>0</v>
      </c>
      <c r="AG3596" s="2">
        <v>346.57</v>
      </c>
      <c r="AJ3596" s="2">
        <f t="shared" si="580"/>
        <v>0</v>
      </c>
      <c r="AK3596" s="2">
        <f t="shared" si="577"/>
        <v>352.72999999999996</v>
      </c>
      <c r="AL3596" s="5">
        <f t="shared" si="578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6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9"/>
        <v>0</v>
      </c>
      <c r="AG3597" s="2">
        <v>346.57</v>
      </c>
      <c r="AJ3597" s="2">
        <f t="shared" si="580"/>
        <v>0</v>
      </c>
      <c r="AK3597" s="2">
        <f t="shared" si="577"/>
        <v>352.72999999999996</v>
      </c>
      <c r="AL3597" s="5">
        <f t="shared" si="578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6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9"/>
        <v>0</v>
      </c>
      <c r="AJ3598" s="2">
        <f t="shared" si="580"/>
        <v>0</v>
      </c>
      <c r="AK3598" s="2">
        <f t="shared" si="577"/>
        <v>352.72999999999996</v>
      </c>
      <c r="AL3598" s="5">
        <f t="shared" si="578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6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9"/>
        <v>0</v>
      </c>
      <c r="AJ3599" s="2">
        <f t="shared" si="580"/>
        <v>0</v>
      </c>
      <c r="AK3599" s="2">
        <f t="shared" si="577"/>
        <v>229.38000000000005</v>
      </c>
      <c r="AL3599" s="5">
        <f t="shared" si="578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6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9"/>
        <v>0</v>
      </c>
      <c r="AG3600" s="2">
        <f>167.92</f>
        <v>167.92</v>
      </c>
      <c r="AJ3600" s="2">
        <f t="shared" si="580"/>
        <v>0</v>
      </c>
      <c r="AK3600" s="2">
        <f t="shared" si="577"/>
        <v>188.89000000000001</v>
      </c>
      <c r="AL3600" s="5">
        <f t="shared" si="578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6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9"/>
        <v>0</v>
      </c>
      <c r="AG3601" s="2">
        <f>W3601</f>
        <v>36.800000000000004</v>
      </c>
      <c r="AJ3601" s="2">
        <f t="shared" si="580"/>
        <v>0</v>
      </c>
      <c r="AK3601" s="2">
        <f t="shared" si="577"/>
        <v>55.199999999999996</v>
      </c>
      <c r="AL3601" s="5">
        <f t="shared" si="578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6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9"/>
        <v>0</v>
      </c>
      <c r="AG3602" s="2">
        <f>231.78+0.96</f>
        <v>232.74</v>
      </c>
      <c r="AJ3602" s="2">
        <f t="shared" si="580"/>
        <v>0</v>
      </c>
      <c r="AK3602" s="2">
        <f t="shared" si="577"/>
        <v>250.9734</v>
      </c>
      <c r="AL3602" s="5">
        <f t="shared" si="578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6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9"/>
        <v>0</v>
      </c>
      <c r="AG3603" s="2">
        <v>565.755</v>
      </c>
      <c r="AJ3603" s="2">
        <f t="shared" si="580"/>
        <v>0</v>
      </c>
      <c r="AK3603" s="2">
        <f t="shared" si="577"/>
        <v>1279.1445000000001</v>
      </c>
      <c r="AL3603" s="5">
        <f t="shared" si="578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6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9"/>
        <v>0</v>
      </c>
      <c r="AG3604" s="2">
        <v>255.65</v>
      </c>
      <c r="AJ3604" s="2">
        <f t="shared" si="580"/>
        <v>0</v>
      </c>
      <c r="AK3604" s="2">
        <f t="shared" si="577"/>
        <v>514.59</v>
      </c>
      <c r="AL3604" s="5">
        <f t="shared" si="578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6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9"/>
        <v>0</v>
      </c>
      <c r="AG3605" s="2">
        <v>102.88249999999999</v>
      </c>
      <c r="AJ3605" s="2">
        <f t="shared" si="580"/>
        <v>0</v>
      </c>
      <c r="AK3605" s="2">
        <f t="shared" si="577"/>
        <v>112.075</v>
      </c>
      <c r="AL3605" s="5">
        <f t="shared" si="578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6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9"/>
        <v>0</v>
      </c>
      <c r="AG3606" s="2">
        <v>42.436799999999998</v>
      </c>
      <c r="AJ3606" s="2">
        <f t="shared" si="580"/>
        <v>0</v>
      </c>
      <c r="AK3606" s="2">
        <f t="shared" si="577"/>
        <v>46.603200000000008</v>
      </c>
      <c r="AL3606" s="5">
        <f t="shared" si="578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6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9"/>
        <v>0</v>
      </c>
      <c r="AG3607" s="2">
        <v>42.436799999999998</v>
      </c>
      <c r="AJ3607" s="2">
        <f t="shared" si="580"/>
        <v>0</v>
      </c>
      <c r="AK3607" s="2">
        <f t="shared" si="577"/>
        <v>11.613199999999999</v>
      </c>
      <c r="AL3607" s="5">
        <f t="shared" si="578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6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9"/>
        <v>0</v>
      </c>
      <c r="AG3608" s="2">
        <f>15.49+0.25</f>
        <v>15.74</v>
      </c>
      <c r="AJ3608" s="2">
        <f t="shared" si="580"/>
        <v>0</v>
      </c>
      <c r="AK3608" s="2">
        <f t="shared" si="577"/>
        <v>16.79</v>
      </c>
      <c r="AL3608" s="5">
        <f t="shared" si="578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E3609" s="2" t="s">
        <v>38</v>
      </c>
      <c r="F3609" s="2" t="s">
        <v>39</v>
      </c>
      <c r="L3609" s="2" t="s">
        <v>571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6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9"/>
        <v>0</v>
      </c>
      <c r="AG3609" s="2">
        <v>21.32</v>
      </c>
      <c r="AJ3609" s="2">
        <f t="shared" si="580"/>
        <v>0</v>
      </c>
      <c r="AK3609" s="2">
        <f t="shared" si="577"/>
        <v>25.270000000000003</v>
      </c>
      <c r="AL3609" s="5">
        <f t="shared" si="578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6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9"/>
        <v>0</v>
      </c>
      <c r="AG3610" s="2">
        <v>19.5167</v>
      </c>
      <c r="AJ3610" s="2">
        <f t="shared" si="580"/>
        <v>0</v>
      </c>
      <c r="AK3610" s="2">
        <f t="shared" si="577"/>
        <v>21.823300000000003</v>
      </c>
      <c r="AL3610" s="5">
        <f t="shared" si="578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9"/>
        <v>0</v>
      </c>
      <c r="AJ3611" s="2">
        <f t="shared" si="580"/>
        <v>0</v>
      </c>
      <c r="AK3611" s="2">
        <f t="shared" si="577"/>
        <v>-121.31</v>
      </c>
      <c r="AL3611" s="18">
        <f t="shared" ref="AL3611" si="581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2">(T3612-W3612)/T3612</f>
        <v>1</v>
      </c>
      <c r="Z3612" s="2" t="s">
        <v>117</v>
      </c>
      <c r="AF3612" s="2">
        <f t="shared" si="579"/>
        <v>0</v>
      </c>
      <c r="AJ3612" s="2">
        <f t="shared" si="580"/>
        <v>0</v>
      </c>
      <c r="AK3612" s="2">
        <f t="shared" ref="AK3612:AK3635" si="583">T3612-W3612</f>
        <v>140.24</v>
      </c>
      <c r="AL3612" s="5">
        <f t="shared" ref="AL3612:AL3634" si="584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2"/>
        <v>1</v>
      </c>
      <c r="Z3613" s="2" t="s">
        <v>117</v>
      </c>
      <c r="AF3613" s="2">
        <f t="shared" si="579"/>
        <v>0</v>
      </c>
      <c r="AJ3613" s="2">
        <f t="shared" si="580"/>
        <v>0</v>
      </c>
      <c r="AK3613" s="2">
        <f t="shared" si="583"/>
        <v>1031.94</v>
      </c>
      <c r="AL3613" s="5">
        <f t="shared" si="584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2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9"/>
        <v>0</v>
      </c>
      <c r="AJ3614" s="2">
        <f t="shared" si="580"/>
        <v>0</v>
      </c>
      <c r="AK3614" s="2">
        <f t="shared" si="583"/>
        <v>1028.0500000000002</v>
      </c>
      <c r="AL3614" s="5">
        <f t="shared" si="584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2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9"/>
        <v>0</v>
      </c>
      <c r="AJ3615" s="2">
        <f t="shared" si="580"/>
        <v>0</v>
      </c>
      <c r="AK3615" s="2">
        <f t="shared" si="583"/>
        <v>5320.6</v>
      </c>
      <c r="AL3615" s="5">
        <f t="shared" si="584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2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9"/>
        <v>0</v>
      </c>
      <c r="AJ3616" s="2">
        <f t="shared" si="580"/>
        <v>0</v>
      </c>
      <c r="AK3616" s="2">
        <f t="shared" si="583"/>
        <v>4004.8500000000004</v>
      </c>
      <c r="AL3616" s="5">
        <f t="shared" si="584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2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9"/>
        <v>0</v>
      </c>
      <c r="AG3617" s="2">
        <f>6193.4+275.33</f>
        <v>6468.73</v>
      </c>
      <c r="AJ3617" s="2">
        <f t="shared" si="580"/>
        <v>0</v>
      </c>
      <c r="AK3617" s="2">
        <f t="shared" si="583"/>
        <v>2461.2700000000004</v>
      </c>
      <c r="AL3617" s="5">
        <f t="shared" si="584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2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9"/>
        <v>0</v>
      </c>
      <c r="AG3618" s="2">
        <v>6468.73</v>
      </c>
      <c r="AJ3618" s="2">
        <f t="shared" si="580"/>
        <v>0</v>
      </c>
      <c r="AK3618" s="2">
        <f t="shared" si="583"/>
        <v>2461.2700000000004</v>
      </c>
      <c r="AL3618" s="5">
        <f t="shared" si="584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2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9"/>
        <v>0</v>
      </c>
      <c r="AG3619" s="2">
        <f>4893.23+171</f>
        <v>5064.2299999999996</v>
      </c>
      <c r="AJ3619" s="2">
        <f t="shared" si="580"/>
        <v>0</v>
      </c>
      <c r="AK3619" s="2">
        <f t="shared" si="583"/>
        <v>2275.7700000000004</v>
      </c>
      <c r="AL3619" s="5">
        <f t="shared" si="584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2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9"/>
        <v>0</v>
      </c>
      <c r="AG3620" s="2">
        <f>4893.23+171</f>
        <v>5064.2299999999996</v>
      </c>
      <c r="AJ3620" s="2">
        <f t="shared" si="580"/>
        <v>0</v>
      </c>
      <c r="AK3620" s="2">
        <f t="shared" si="583"/>
        <v>1925.7700000000004</v>
      </c>
      <c r="AL3620" s="5">
        <f t="shared" si="584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2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9"/>
        <v>0</v>
      </c>
      <c r="AG3621" s="2">
        <v>10.15</v>
      </c>
      <c r="AJ3621" s="2">
        <f t="shared" si="580"/>
        <v>0</v>
      </c>
      <c r="AK3621" s="2">
        <f t="shared" si="583"/>
        <v>58.71</v>
      </c>
      <c r="AL3621" s="5">
        <f t="shared" si="584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2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9"/>
        <v>0</v>
      </c>
      <c r="AJ3622" s="2">
        <f t="shared" si="580"/>
        <v>0</v>
      </c>
      <c r="AK3622" s="2">
        <f t="shared" si="583"/>
        <v>1963.1800000000003</v>
      </c>
      <c r="AL3622" s="5">
        <f t="shared" si="584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2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9"/>
        <v>0</v>
      </c>
      <c r="AG3623" s="2">
        <v>14.34</v>
      </c>
      <c r="AJ3623" s="2">
        <f t="shared" si="580"/>
        <v>0</v>
      </c>
      <c r="AK3623" s="2">
        <f t="shared" si="583"/>
        <v>29.119999999999997</v>
      </c>
      <c r="AL3623" s="5">
        <f t="shared" si="584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2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9"/>
        <v>0</v>
      </c>
      <c r="AJ3624" s="2">
        <f t="shared" si="580"/>
        <v>0</v>
      </c>
      <c r="AK3624" s="2">
        <f t="shared" si="583"/>
        <v>1.129999999999999</v>
      </c>
      <c r="AL3624" s="5">
        <f t="shared" si="584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2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9"/>
        <v>0</v>
      </c>
      <c r="AJ3625" s="2">
        <f t="shared" si="580"/>
        <v>0</v>
      </c>
      <c r="AK3625" s="2">
        <f t="shared" si="583"/>
        <v>8.9499999999999886</v>
      </c>
      <c r="AL3625" s="5">
        <f t="shared" si="584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2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9"/>
        <v>0</v>
      </c>
      <c r="AG3626" s="2">
        <v>1458</v>
      </c>
      <c r="AJ3626" s="2">
        <f t="shared" si="580"/>
        <v>0</v>
      </c>
      <c r="AK3626" s="2">
        <f t="shared" si="583"/>
        <v>532</v>
      </c>
      <c r="AL3626" s="5">
        <f t="shared" si="584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2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9"/>
        <v>0</v>
      </c>
      <c r="AJ3627" s="2">
        <f t="shared" si="580"/>
        <v>0</v>
      </c>
      <c r="AK3627" s="2">
        <f t="shared" si="583"/>
        <v>497.29999999999995</v>
      </c>
      <c r="AL3627" s="5">
        <f t="shared" si="584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2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9"/>
        <v>0</v>
      </c>
      <c r="AJ3628" s="2">
        <f t="shared" si="580"/>
        <v>0</v>
      </c>
      <c r="AK3628" s="2">
        <f t="shared" si="583"/>
        <v>298.29999999999995</v>
      </c>
      <c r="AL3628" s="5">
        <f t="shared" si="584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2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9"/>
        <v>0</v>
      </c>
      <c r="AG3629" s="2">
        <v>1458</v>
      </c>
      <c r="AJ3629" s="2">
        <f t="shared" si="580"/>
        <v>0</v>
      </c>
      <c r="AK3629" s="2">
        <f t="shared" si="583"/>
        <v>532</v>
      </c>
      <c r="AL3629" s="5">
        <f t="shared" si="584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2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9"/>
        <v>0</v>
      </c>
      <c r="AG3630" s="2">
        <v>1578</v>
      </c>
      <c r="AJ3630" s="2">
        <f t="shared" si="580"/>
        <v>0</v>
      </c>
      <c r="AK3630" s="2">
        <f t="shared" si="583"/>
        <v>412</v>
      </c>
      <c r="AL3630" s="5">
        <f t="shared" si="584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2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9"/>
        <v>0</v>
      </c>
      <c r="AJ3631" s="2">
        <f t="shared" si="580"/>
        <v>0</v>
      </c>
      <c r="AK3631" s="2">
        <f t="shared" si="583"/>
        <v>357</v>
      </c>
      <c r="AL3631" s="5">
        <f t="shared" si="584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2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9"/>
        <v>0</v>
      </c>
      <c r="AJ3632" s="2">
        <f t="shared" si="580"/>
        <v>0</v>
      </c>
      <c r="AK3632" s="2">
        <f t="shared" si="583"/>
        <v>37.5</v>
      </c>
      <c r="AL3632" s="5">
        <f t="shared" si="584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2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9"/>
        <v>0</v>
      </c>
      <c r="AG3633" s="2">
        <v>299.25</v>
      </c>
      <c r="AJ3633" s="2">
        <f t="shared" si="580"/>
        <v>0</v>
      </c>
      <c r="AK3633" s="2">
        <f t="shared" si="583"/>
        <v>87.779999999999973</v>
      </c>
      <c r="AL3633" s="5">
        <f t="shared" si="584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2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9"/>
        <v>0</v>
      </c>
      <c r="AG3634" s="2">
        <v>77.400000000000006</v>
      </c>
      <c r="AJ3634" s="2">
        <f t="shared" si="580"/>
        <v>0</v>
      </c>
      <c r="AK3634" s="2">
        <f t="shared" si="583"/>
        <v>47.72999999999999</v>
      </c>
      <c r="AL3634" s="5">
        <f t="shared" si="584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9"/>
        <v>0</v>
      </c>
      <c r="AJ3635" s="2">
        <f t="shared" si="580"/>
        <v>0</v>
      </c>
      <c r="AK3635" s="2">
        <f t="shared" si="583"/>
        <v>-345</v>
      </c>
      <c r="AL3635" s="18">
        <f t="shared" ref="AL3635" si="585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9"/>
        <v>0</v>
      </c>
      <c r="AJ3636" s="2">
        <f t="shared" si="580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9"/>
        <v>0</v>
      </c>
      <c r="AJ3637" s="2">
        <f t="shared" si="580"/>
        <v>0</v>
      </c>
      <c r="AK3637" s="2">
        <f t="shared" ref="AK3637" si="586">T3637-W3637</f>
        <v>-345</v>
      </c>
      <c r="AL3637" s="18">
        <f t="shared" ref="AL3637" si="587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8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9"/>
        <v>0</v>
      </c>
      <c r="AG3638" s="2">
        <v>14.535</v>
      </c>
      <c r="AH3638" s="2">
        <v>25.2</v>
      </c>
      <c r="AJ3638" s="2">
        <f t="shared" si="580"/>
        <v>0</v>
      </c>
      <c r="AK3638" s="2">
        <f t="shared" ref="AK3638:AK3669" si="589">T3638-W3638</f>
        <v>10.664999999999999</v>
      </c>
      <c r="AL3638" s="5">
        <f t="shared" ref="AL3638:AL3669" si="590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8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9"/>
        <v>0</v>
      </c>
      <c r="AG3639" s="2">
        <v>10</v>
      </c>
      <c r="AH3639" s="2">
        <v>21</v>
      </c>
      <c r="AJ3639" s="2">
        <f t="shared" si="580"/>
        <v>0</v>
      </c>
      <c r="AK3639" s="2">
        <f t="shared" si="589"/>
        <v>11</v>
      </c>
      <c r="AL3639" s="5">
        <f t="shared" si="590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8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9"/>
        <v>0</v>
      </c>
      <c r="AG3640" s="2">
        <v>10.67</v>
      </c>
      <c r="AH3640" s="2">
        <v>21</v>
      </c>
      <c r="AJ3640" s="2">
        <f t="shared" si="580"/>
        <v>0</v>
      </c>
      <c r="AK3640" s="2">
        <f t="shared" si="589"/>
        <v>10.33</v>
      </c>
      <c r="AL3640" s="5">
        <f t="shared" si="590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8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9"/>
        <v>0</v>
      </c>
      <c r="AG3641" s="2">
        <v>122.446</v>
      </c>
      <c r="AH3641" s="2">
        <v>230</v>
      </c>
      <c r="AJ3641" s="2">
        <f t="shared" si="580"/>
        <v>0</v>
      </c>
      <c r="AK3641" s="2">
        <f t="shared" si="589"/>
        <v>107.554</v>
      </c>
      <c r="AL3641" s="5">
        <f t="shared" si="590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8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9"/>
        <v>0</v>
      </c>
      <c r="AG3642" s="2">
        <v>1.48</v>
      </c>
      <c r="AH3642" s="2">
        <v>1.48</v>
      </c>
      <c r="AJ3642" s="2">
        <f t="shared" si="580"/>
        <v>0</v>
      </c>
      <c r="AK3642" s="2">
        <f t="shared" si="589"/>
        <v>0</v>
      </c>
      <c r="AL3642" s="5">
        <f t="shared" si="590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1">6.6267*S3643</f>
        <v>6.6266999999999996</v>
      </c>
      <c r="X3643" s="5">
        <f t="shared" si="588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9"/>
        <v>0</v>
      </c>
      <c r="AG3643" s="2">
        <v>6.6266999999999996</v>
      </c>
      <c r="AH3643" s="2">
        <v>12</v>
      </c>
      <c r="AJ3643" s="2">
        <f t="shared" si="580"/>
        <v>0</v>
      </c>
      <c r="AK3643" s="2">
        <f t="shared" si="589"/>
        <v>6.3733000000000004</v>
      </c>
      <c r="AL3643" s="5">
        <f t="shared" si="590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1"/>
        <v>19.880099999999999</v>
      </c>
      <c r="X3644" s="5">
        <f t="shared" si="588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9"/>
        <v>0</v>
      </c>
      <c r="AG3644" s="2">
        <v>6.6266999999999996</v>
      </c>
      <c r="AH3644" s="2">
        <v>12</v>
      </c>
      <c r="AJ3644" s="2">
        <f t="shared" si="580"/>
        <v>0</v>
      </c>
      <c r="AK3644" s="2">
        <f t="shared" si="589"/>
        <v>19.119900000000001</v>
      </c>
      <c r="AL3644" s="5">
        <f t="shared" si="590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1"/>
        <v>6.6266999999999996</v>
      </c>
      <c r="X3645" s="5">
        <f t="shared" si="588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9"/>
        <v>0</v>
      </c>
      <c r="AG3645" s="2">
        <v>6.6266999999999996</v>
      </c>
      <c r="AH3645" s="2">
        <v>12</v>
      </c>
      <c r="AJ3645" s="2">
        <f t="shared" si="580"/>
        <v>0</v>
      </c>
      <c r="AK3645" s="2">
        <f t="shared" si="589"/>
        <v>12.5733</v>
      </c>
      <c r="AL3645" s="5">
        <f t="shared" si="590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1"/>
        <v>6.6266999999999996</v>
      </c>
      <c r="X3646" s="5">
        <f t="shared" si="588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9"/>
        <v>0</v>
      </c>
      <c r="AG3646" s="2">
        <v>6.6266999999999996</v>
      </c>
      <c r="AH3646" s="2">
        <v>12</v>
      </c>
      <c r="AJ3646" s="2">
        <f t="shared" si="580"/>
        <v>0</v>
      </c>
      <c r="AK3646" s="2">
        <f t="shared" si="589"/>
        <v>5.3733000000000004</v>
      </c>
      <c r="AL3646" s="5">
        <f t="shared" si="590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1"/>
        <v>13.253399999999999</v>
      </c>
      <c r="X3647" s="5">
        <f t="shared" si="588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9"/>
        <v>0</v>
      </c>
      <c r="AG3647" s="2">
        <v>6.6266999999999996</v>
      </c>
      <c r="AH3647" s="2">
        <v>12</v>
      </c>
      <c r="AJ3647" s="2">
        <f t="shared" si="580"/>
        <v>0</v>
      </c>
      <c r="AK3647" s="2">
        <f t="shared" si="589"/>
        <v>10.746600000000001</v>
      </c>
      <c r="AL3647" s="5">
        <f t="shared" si="590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1"/>
        <v>13.253399999999999</v>
      </c>
      <c r="X3648" s="5">
        <f t="shared" si="588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9"/>
        <v>0</v>
      </c>
      <c r="AG3648" s="2">
        <v>6.6266999999999996</v>
      </c>
      <c r="AH3648" s="2">
        <v>12</v>
      </c>
      <c r="AJ3648" s="2">
        <f t="shared" si="580"/>
        <v>0</v>
      </c>
      <c r="AK3648" s="2">
        <f t="shared" si="589"/>
        <v>10.746600000000001</v>
      </c>
      <c r="AL3648" s="5">
        <f t="shared" si="590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8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2">AJ3649</f>
        <v>0</v>
      </c>
      <c r="AJ3649" s="2">
        <f t="shared" ref="AJ3649:AJ3712" si="593">AI3649*T3649</f>
        <v>0</v>
      </c>
      <c r="AK3649" s="2">
        <f t="shared" si="589"/>
        <v>48.900000000000006</v>
      </c>
      <c r="AL3649" s="5">
        <f t="shared" si="590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8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2"/>
        <v>0</v>
      </c>
      <c r="AJ3650" s="2">
        <f t="shared" si="593"/>
        <v>0</v>
      </c>
      <c r="AK3650" s="2">
        <f t="shared" si="589"/>
        <v>24.704999999999998</v>
      </c>
      <c r="AL3650" s="5">
        <f t="shared" si="590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8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2"/>
        <v>0</v>
      </c>
      <c r="AJ3651" s="2">
        <f t="shared" si="593"/>
        <v>0</v>
      </c>
      <c r="AK3651" s="2">
        <f t="shared" si="589"/>
        <v>49.41</v>
      </c>
      <c r="AL3651" s="5">
        <f t="shared" si="590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8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2"/>
        <v>0</v>
      </c>
      <c r="AG3652" s="2">
        <v>122.446</v>
      </c>
      <c r="AH3652" s="2">
        <v>230</v>
      </c>
      <c r="AJ3652" s="2">
        <f t="shared" si="593"/>
        <v>0</v>
      </c>
      <c r="AK3652" s="2">
        <f t="shared" si="589"/>
        <v>107.554</v>
      </c>
      <c r="AL3652" s="5">
        <f t="shared" si="590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8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2"/>
        <v>0</v>
      </c>
      <c r="AG3653" s="2">
        <v>14.4</v>
      </c>
      <c r="AH3653" s="2">
        <v>21</v>
      </c>
      <c r="AJ3653" s="2">
        <f t="shared" si="593"/>
        <v>0</v>
      </c>
      <c r="AK3653" s="2">
        <f t="shared" si="589"/>
        <v>6.6</v>
      </c>
      <c r="AL3653" s="5">
        <f t="shared" si="590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8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2"/>
        <v>0</v>
      </c>
      <c r="AG3654" s="2">
        <v>1.48</v>
      </c>
      <c r="AH3654" s="2">
        <v>1.48</v>
      </c>
      <c r="AJ3654" s="2">
        <f t="shared" si="593"/>
        <v>0</v>
      </c>
      <c r="AK3654" s="2">
        <f t="shared" si="589"/>
        <v>0</v>
      </c>
      <c r="AL3654" s="5">
        <f t="shared" si="590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8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2"/>
        <v>0</v>
      </c>
      <c r="AG3655" s="2">
        <v>3.7357999999999998</v>
      </c>
      <c r="AH3655" s="2">
        <v>9</v>
      </c>
      <c r="AJ3655" s="2">
        <f t="shared" si="593"/>
        <v>0</v>
      </c>
      <c r="AK3655" s="2">
        <f t="shared" si="589"/>
        <v>5.2642000000000007</v>
      </c>
      <c r="AL3655" s="5">
        <f t="shared" si="590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8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2"/>
        <v>0</v>
      </c>
      <c r="AG3656" s="2">
        <v>3.7357999999999998</v>
      </c>
      <c r="AH3656" s="2">
        <v>9</v>
      </c>
      <c r="AJ3656" s="2">
        <f t="shared" si="593"/>
        <v>0</v>
      </c>
      <c r="AK3656" s="2">
        <f t="shared" si="589"/>
        <v>5.2642000000000007</v>
      </c>
      <c r="AL3656" s="5">
        <f t="shared" si="590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8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2"/>
        <v>0</v>
      </c>
      <c r="AG3657" s="2">
        <v>5.2972999999999999</v>
      </c>
      <c r="AH3657" s="2">
        <v>10.8</v>
      </c>
      <c r="AJ3657" s="2">
        <f t="shared" si="593"/>
        <v>0</v>
      </c>
      <c r="AK3657" s="2">
        <f t="shared" si="589"/>
        <v>5.5027000000000008</v>
      </c>
      <c r="AL3657" s="5">
        <f t="shared" si="590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8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2"/>
        <v>0</v>
      </c>
      <c r="AG3658" s="2">
        <v>12.73</v>
      </c>
      <c r="AH3658" s="2">
        <v>30</v>
      </c>
      <c r="AJ3658" s="2">
        <f t="shared" si="593"/>
        <v>0</v>
      </c>
      <c r="AK3658" s="2">
        <f t="shared" si="589"/>
        <v>17.27</v>
      </c>
      <c r="AL3658" s="5">
        <f t="shared" si="590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8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2"/>
        <v>0</v>
      </c>
      <c r="AJ3659" s="2">
        <f t="shared" si="593"/>
        <v>0</v>
      </c>
      <c r="AK3659" s="2">
        <f t="shared" si="589"/>
        <v>14.17</v>
      </c>
      <c r="AL3659" s="5">
        <f t="shared" si="590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8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2"/>
        <v>0</v>
      </c>
      <c r="AJ3660" s="2">
        <f t="shared" si="593"/>
        <v>0</v>
      </c>
      <c r="AK3660" s="2">
        <f t="shared" si="589"/>
        <v>9.1649999999999991</v>
      </c>
      <c r="AL3660" s="5">
        <f t="shared" si="590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8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2"/>
        <v>0</v>
      </c>
      <c r="AJ3661" s="2">
        <f t="shared" si="593"/>
        <v>0</v>
      </c>
      <c r="AK3661" s="2">
        <f t="shared" si="589"/>
        <v>10.956599999999998</v>
      </c>
      <c r="AL3661" s="5">
        <f t="shared" si="590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8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2"/>
        <v>0</v>
      </c>
      <c r="AG3662" s="2">
        <v>6.6266999999999996</v>
      </c>
      <c r="AH3662" s="2">
        <v>12</v>
      </c>
      <c r="AJ3662" s="2">
        <f t="shared" si="593"/>
        <v>0</v>
      </c>
      <c r="AK3662" s="2">
        <f t="shared" si="589"/>
        <v>5.3733000000000004</v>
      </c>
      <c r="AL3662" s="5">
        <f t="shared" si="590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8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2"/>
        <v>0</v>
      </c>
      <c r="AG3663" s="2">
        <v>7.2217000000000002</v>
      </c>
      <c r="AH3663" s="2">
        <v>14.4</v>
      </c>
      <c r="AJ3663" s="2">
        <f t="shared" si="593"/>
        <v>0</v>
      </c>
      <c r="AK3663" s="2">
        <f t="shared" si="589"/>
        <v>7.1783000000000001</v>
      </c>
      <c r="AL3663" s="5">
        <f t="shared" si="590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8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2"/>
        <v>0</v>
      </c>
      <c r="AG3664" s="2">
        <v>7.2217000000000002</v>
      </c>
      <c r="AH3664" s="2">
        <v>14.4</v>
      </c>
      <c r="AJ3664" s="2">
        <f t="shared" si="593"/>
        <v>0</v>
      </c>
      <c r="AK3664" s="2">
        <f t="shared" si="589"/>
        <v>7.1783000000000001</v>
      </c>
      <c r="AL3664" s="5">
        <f t="shared" si="590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8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2"/>
        <v>0</v>
      </c>
      <c r="AJ3665" s="2">
        <f t="shared" si="593"/>
        <v>0</v>
      </c>
      <c r="AK3665" s="2">
        <f t="shared" si="589"/>
        <v>8.3249999999999993</v>
      </c>
      <c r="AL3665" s="5">
        <f t="shared" si="590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8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2"/>
        <v>0</v>
      </c>
      <c r="AJ3666" s="2">
        <f t="shared" si="593"/>
        <v>0</v>
      </c>
      <c r="AK3666" s="2">
        <f t="shared" si="589"/>
        <v>8.3249999999999993</v>
      </c>
      <c r="AL3666" s="5">
        <f t="shared" si="590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4">11.045*S3667</f>
        <v>11.045</v>
      </c>
      <c r="X3667" s="5">
        <f t="shared" si="588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2"/>
        <v>0</v>
      </c>
      <c r="AJ3667" s="2">
        <f t="shared" si="593"/>
        <v>0</v>
      </c>
      <c r="AK3667" s="2">
        <f t="shared" si="589"/>
        <v>9.9550000000000001</v>
      </c>
      <c r="AL3667" s="5">
        <f t="shared" si="590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4"/>
        <v>11.045</v>
      </c>
      <c r="X3668" s="5">
        <f t="shared" si="588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2"/>
        <v>0</v>
      </c>
      <c r="AJ3668" s="2">
        <f t="shared" si="593"/>
        <v>0</v>
      </c>
      <c r="AK3668" s="2">
        <f t="shared" si="589"/>
        <v>9.9550000000000001</v>
      </c>
      <c r="AL3668" s="5">
        <f t="shared" si="590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5">13.4067*S3669</f>
        <v>26.813400000000001</v>
      </c>
      <c r="X3669" s="5">
        <f t="shared" si="588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2"/>
        <v>0</v>
      </c>
      <c r="AJ3669" s="2">
        <f t="shared" si="593"/>
        <v>0</v>
      </c>
      <c r="AK3669" s="2">
        <f t="shared" si="589"/>
        <v>23.586599999999997</v>
      </c>
      <c r="AL3669" s="5">
        <f t="shared" si="590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5"/>
        <v>13.406700000000001</v>
      </c>
      <c r="X3670" s="5">
        <f t="shared" ref="X3670:X3698" si="596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2"/>
        <v>0</v>
      </c>
      <c r="AJ3670" s="2">
        <f t="shared" si="593"/>
        <v>0</v>
      </c>
      <c r="AK3670" s="2">
        <f t="shared" ref="AK3670:AK3699" si="597">T3670-W3670</f>
        <v>11.793299999999999</v>
      </c>
      <c r="AL3670" s="5">
        <f t="shared" ref="AL3670:AL3698" si="598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9">16.2249*S3671</f>
        <v>32.449800000000003</v>
      </c>
      <c r="X3671" s="5">
        <f t="shared" si="596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2"/>
        <v>0</v>
      </c>
      <c r="AJ3671" s="2">
        <f t="shared" si="593"/>
        <v>0</v>
      </c>
      <c r="AK3671" s="2">
        <f t="shared" si="597"/>
        <v>27.550199999999997</v>
      </c>
      <c r="AL3671" s="5">
        <f t="shared" si="598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9"/>
        <v>16.224900000000002</v>
      </c>
      <c r="X3672" s="5">
        <f t="shared" si="596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2"/>
        <v>0</v>
      </c>
      <c r="AJ3672" s="2">
        <f t="shared" si="593"/>
        <v>0</v>
      </c>
      <c r="AK3672" s="2">
        <f t="shared" si="597"/>
        <v>13.775099999999998</v>
      </c>
      <c r="AL3672" s="5">
        <f t="shared" si="598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600">9.2346*S3673</f>
        <v>18.469200000000001</v>
      </c>
      <c r="X3673" s="5">
        <f t="shared" si="596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2"/>
        <v>0</v>
      </c>
      <c r="AJ3673" s="2">
        <f t="shared" si="593"/>
        <v>0</v>
      </c>
      <c r="AK3673" s="2">
        <f t="shared" si="597"/>
        <v>17.530799999999999</v>
      </c>
      <c r="AL3673" s="5">
        <f t="shared" si="598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600"/>
        <v>9.2346000000000004</v>
      </c>
      <c r="X3674" s="5">
        <f t="shared" si="596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2"/>
        <v>0</v>
      </c>
      <c r="AJ3674" s="2">
        <f t="shared" si="593"/>
        <v>0</v>
      </c>
      <c r="AK3674" s="2">
        <f t="shared" si="597"/>
        <v>8.7653999999999996</v>
      </c>
      <c r="AL3674" s="5">
        <f t="shared" si="598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1">10.6*S3675</f>
        <v>31.799999999999997</v>
      </c>
      <c r="X3675" s="5">
        <f t="shared" si="596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2"/>
        <v>0</v>
      </c>
      <c r="AG3675" s="2">
        <v>10.6</v>
      </c>
      <c r="AH3675" s="2">
        <v>18</v>
      </c>
      <c r="AJ3675" s="2">
        <f t="shared" si="593"/>
        <v>0</v>
      </c>
      <c r="AK3675" s="2">
        <f t="shared" si="597"/>
        <v>22.200000000000003</v>
      </c>
      <c r="AL3675" s="5">
        <f t="shared" si="598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1"/>
        <v>21.2</v>
      </c>
      <c r="X3676" s="5">
        <f t="shared" si="596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2"/>
        <v>0</v>
      </c>
      <c r="AG3676" s="2">
        <v>10.6</v>
      </c>
      <c r="AH3676" s="2">
        <v>18</v>
      </c>
      <c r="AJ3676" s="2">
        <f t="shared" si="593"/>
        <v>0</v>
      </c>
      <c r="AK3676" s="2">
        <f t="shared" si="597"/>
        <v>14.8</v>
      </c>
      <c r="AL3676" s="5">
        <f t="shared" si="598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1"/>
        <v>10.6</v>
      </c>
      <c r="X3677" s="5">
        <f t="shared" si="596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2"/>
        <v>0</v>
      </c>
      <c r="AG3677" s="2">
        <v>10.6</v>
      </c>
      <c r="AH3677" s="2">
        <v>18</v>
      </c>
      <c r="AJ3677" s="2">
        <f t="shared" si="593"/>
        <v>0</v>
      </c>
      <c r="AK3677" s="2">
        <f t="shared" si="597"/>
        <v>7.4</v>
      </c>
      <c r="AL3677" s="5">
        <f t="shared" si="598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1"/>
        <v>106</v>
      </c>
      <c r="X3678" s="5">
        <f t="shared" si="596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2"/>
        <v>0</v>
      </c>
      <c r="AG3678" s="2">
        <v>10.6</v>
      </c>
      <c r="AH3678" s="2">
        <v>18</v>
      </c>
      <c r="AJ3678" s="2">
        <f t="shared" si="593"/>
        <v>0</v>
      </c>
      <c r="AK3678" s="2">
        <f t="shared" si="597"/>
        <v>44</v>
      </c>
      <c r="AL3678" s="5">
        <f t="shared" si="598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1"/>
        <v>106</v>
      </c>
      <c r="X3679" s="5">
        <f t="shared" si="596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2"/>
        <v>0</v>
      </c>
      <c r="AG3679" s="2">
        <v>10.6</v>
      </c>
      <c r="AH3679" s="2">
        <v>18</v>
      </c>
      <c r="AJ3679" s="2">
        <f t="shared" si="593"/>
        <v>0</v>
      </c>
      <c r="AK3679" s="2">
        <f t="shared" si="597"/>
        <v>44</v>
      </c>
      <c r="AL3679" s="5">
        <f t="shared" si="598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1"/>
        <v>10.6</v>
      </c>
      <c r="X3680" s="5">
        <f t="shared" si="596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2"/>
        <v>0</v>
      </c>
      <c r="AG3680" s="2">
        <v>10.6</v>
      </c>
      <c r="AH3680" s="2">
        <v>18</v>
      </c>
      <c r="AJ3680" s="2">
        <f t="shared" si="593"/>
        <v>0</v>
      </c>
      <c r="AK3680" s="2">
        <f t="shared" si="597"/>
        <v>7.4</v>
      </c>
      <c r="AL3680" s="5">
        <f t="shared" si="598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6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2"/>
        <v>0</v>
      </c>
      <c r="AJ3681" s="2">
        <f t="shared" si="593"/>
        <v>0</v>
      </c>
      <c r="AK3681" s="2">
        <f t="shared" si="597"/>
        <v>3.96</v>
      </c>
      <c r="AL3681" s="5">
        <f t="shared" si="598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6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2"/>
        <v>0</v>
      </c>
      <c r="AJ3682" s="2">
        <f t="shared" si="593"/>
        <v>0</v>
      </c>
      <c r="AK3682" s="2">
        <f t="shared" si="597"/>
        <v>49.808399999999999</v>
      </c>
      <c r="AL3682" s="5">
        <f t="shared" si="598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6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2"/>
        <v>0</v>
      </c>
      <c r="AG3683" s="2">
        <v>9.14</v>
      </c>
      <c r="AH3683" s="2">
        <v>16</v>
      </c>
      <c r="AJ3683" s="2">
        <f t="shared" si="593"/>
        <v>0</v>
      </c>
      <c r="AK3683" s="2">
        <f t="shared" si="597"/>
        <v>3.8600000000000012</v>
      </c>
      <c r="AL3683" s="5">
        <f t="shared" si="598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6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2"/>
        <v>0</v>
      </c>
      <c r="AG3684" s="2">
        <v>9.14</v>
      </c>
      <c r="AH3684" s="2">
        <v>16</v>
      </c>
      <c r="AJ3684" s="2">
        <f t="shared" si="593"/>
        <v>0</v>
      </c>
      <c r="AK3684" s="2">
        <f t="shared" si="597"/>
        <v>7.7200000000000024</v>
      </c>
      <c r="AL3684" s="5">
        <f t="shared" si="598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2">0.082*S3685</f>
        <v>82</v>
      </c>
      <c r="X3685" s="5">
        <f t="shared" si="596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2"/>
        <v>0</v>
      </c>
      <c r="AG3685" s="2">
        <v>8.1999999999999993</v>
      </c>
      <c r="AH3685" s="2">
        <v>13</v>
      </c>
      <c r="AJ3685" s="2">
        <f t="shared" si="593"/>
        <v>0</v>
      </c>
      <c r="AK3685" s="2">
        <f t="shared" si="597"/>
        <v>28</v>
      </c>
      <c r="AL3685" s="5">
        <f t="shared" si="598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2"/>
        <v>82</v>
      </c>
      <c r="X3686" s="5">
        <f t="shared" si="596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2"/>
        <v>0</v>
      </c>
      <c r="AG3686" s="2">
        <v>8.1999999999999993</v>
      </c>
      <c r="AH3686" s="2">
        <v>13</v>
      </c>
      <c r="AJ3686" s="2">
        <f t="shared" si="593"/>
        <v>0</v>
      </c>
      <c r="AK3686" s="2">
        <f t="shared" si="597"/>
        <v>28</v>
      </c>
      <c r="AL3686" s="5">
        <f t="shared" si="598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2"/>
        <v>41</v>
      </c>
      <c r="X3687" s="5">
        <f t="shared" si="596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2"/>
        <v>0</v>
      </c>
      <c r="AG3687" s="2">
        <v>8.1999999999999993</v>
      </c>
      <c r="AH3687" s="2">
        <v>13</v>
      </c>
      <c r="AJ3687" s="2">
        <f t="shared" si="593"/>
        <v>0</v>
      </c>
      <c r="AK3687" s="2">
        <f t="shared" si="597"/>
        <v>24</v>
      </c>
      <c r="AL3687" s="5">
        <f t="shared" si="598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2"/>
        <v>32.800000000000004</v>
      </c>
      <c r="X3688" s="5">
        <f t="shared" si="596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2"/>
        <v>0</v>
      </c>
      <c r="AG3688" s="2">
        <v>8.1999999999999993</v>
      </c>
      <c r="AH3688" s="2">
        <v>13</v>
      </c>
      <c r="AJ3688" s="2">
        <f t="shared" si="593"/>
        <v>0</v>
      </c>
      <c r="AK3688" s="2">
        <f t="shared" si="597"/>
        <v>19.199999999999996</v>
      </c>
      <c r="AL3688" s="5">
        <f t="shared" si="598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2"/>
        <v>82</v>
      </c>
      <c r="X3689" s="5">
        <f t="shared" si="596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2"/>
        <v>0</v>
      </c>
      <c r="AG3689" s="2">
        <v>8.1999999999999993</v>
      </c>
      <c r="AH3689" s="2">
        <v>13</v>
      </c>
      <c r="AJ3689" s="2">
        <f t="shared" si="593"/>
        <v>0</v>
      </c>
      <c r="AK3689" s="2">
        <f t="shared" si="597"/>
        <v>28</v>
      </c>
      <c r="AL3689" s="5">
        <f t="shared" si="598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2"/>
        <v>82</v>
      </c>
      <c r="X3690" s="5">
        <f t="shared" si="596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2"/>
        <v>0</v>
      </c>
      <c r="AG3690" s="2">
        <v>8.1999999999999993</v>
      </c>
      <c r="AH3690" s="2">
        <v>13</v>
      </c>
      <c r="AJ3690" s="2">
        <f t="shared" si="593"/>
        <v>0</v>
      </c>
      <c r="AK3690" s="2">
        <f t="shared" si="597"/>
        <v>28</v>
      </c>
      <c r="AL3690" s="5">
        <f t="shared" si="598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2"/>
        <v>16.400000000000002</v>
      </c>
      <c r="X3691" s="5">
        <f t="shared" si="596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2"/>
        <v>0</v>
      </c>
      <c r="AG3691" s="2">
        <v>8.1999999999999993</v>
      </c>
      <c r="AH3691" s="2">
        <v>13</v>
      </c>
      <c r="AJ3691" s="2">
        <f t="shared" si="593"/>
        <v>0</v>
      </c>
      <c r="AK3691" s="2">
        <f t="shared" si="597"/>
        <v>9.5999999999999979</v>
      </c>
      <c r="AL3691" s="5">
        <f t="shared" si="598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6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2"/>
        <v>0</v>
      </c>
      <c r="AJ3692" s="2">
        <f t="shared" si="593"/>
        <v>0</v>
      </c>
      <c r="AK3692" s="2">
        <f t="shared" si="597"/>
        <v>24.300000000000004</v>
      </c>
      <c r="AL3692" s="5">
        <f t="shared" si="598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6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2"/>
        <v>0</v>
      </c>
      <c r="AJ3693" s="2">
        <f t="shared" si="593"/>
        <v>0</v>
      </c>
      <c r="AK3693" s="2">
        <f t="shared" si="597"/>
        <v>4.8600000000000012</v>
      </c>
      <c r="AL3693" s="5">
        <f t="shared" si="598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6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2"/>
        <v>0</v>
      </c>
      <c r="AJ3694" s="2">
        <f t="shared" si="593"/>
        <v>0</v>
      </c>
      <c r="AK3694" s="2">
        <f t="shared" si="597"/>
        <v>12.120000000000001</v>
      </c>
      <c r="AL3694" s="5">
        <f t="shared" si="598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6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2"/>
        <v>0</v>
      </c>
      <c r="AJ3695" s="2">
        <f t="shared" si="593"/>
        <v>0</v>
      </c>
      <c r="AK3695" s="2">
        <f t="shared" si="597"/>
        <v>26</v>
      </c>
      <c r="AL3695" s="5">
        <f t="shared" si="598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6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2"/>
        <v>0</v>
      </c>
      <c r="AJ3696" s="2">
        <f t="shared" si="593"/>
        <v>0</v>
      </c>
      <c r="AK3696" s="2">
        <f t="shared" si="597"/>
        <v>26</v>
      </c>
      <c r="AL3696" s="5">
        <f t="shared" si="598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6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2"/>
        <v>0</v>
      </c>
      <c r="AG3697" s="2">
        <v>1.1122000000000001</v>
      </c>
      <c r="AH3697" s="2">
        <v>3</v>
      </c>
      <c r="AJ3697" s="2">
        <f t="shared" si="593"/>
        <v>0</v>
      </c>
      <c r="AK3697" s="2">
        <f t="shared" si="597"/>
        <v>15.102399999999999</v>
      </c>
      <c r="AL3697" s="5">
        <f t="shared" si="598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6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2"/>
        <v>0</v>
      </c>
      <c r="AG3698" s="2">
        <v>1.4114</v>
      </c>
      <c r="AH3698" s="2">
        <v>3</v>
      </c>
      <c r="AJ3698" s="2">
        <f t="shared" si="593"/>
        <v>0</v>
      </c>
      <c r="AK3698" s="2">
        <f t="shared" si="597"/>
        <v>63.543999999999997</v>
      </c>
      <c r="AL3698" s="5">
        <f t="shared" si="598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2"/>
        <v>0</v>
      </c>
      <c r="AJ3699" s="2">
        <f t="shared" si="593"/>
        <v>0</v>
      </c>
      <c r="AK3699" s="2">
        <f t="shared" si="597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3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2"/>
        <v>0</v>
      </c>
      <c r="AG3700" s="2">
        <v>16.692499999999999</v>
      </c>
      <c r="AH3700" s="2">
        <v>27.6</v>
      </c>
      <c r="AJ3700" s="2">
        <f t="shared" si="593"/>
        <v>0</v>
      </c>
      <c r="AK3700" s="2">
        <f t="shared" ref="AK3700:AK3716" si="604">T3700-W3700</f>
        <v>11.615000000000002</v>
      </c>
      <c r="AL3700" s="5">
        <f t="shared" ref="AL3700:AL3715" si="605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3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2"/>
        <v>0</v>
      </c>
      <c r="AG3701" s="2">
        <v>16.692499999999999</v>
      </c>
      <c r="AH3701" s="2">
        <v>27.6</v>
      </c>
      <c r="AJ3701" s="2">
        <f t="shared" si="593"/>
        <v>0</v>
      </c>
      <c r="AK3701" s="2">
        <f t="shared" si="604"/>
        <v>6.307500000000001</v>
      </c>
      <c r="AL3701" s="5">
        <f t="shared" si="605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3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2"/>
        <v>0</v>
      </c>
      <c r="AJ3702" s="2">
        <f t="shared" si="593"/>
        <v>0</v>
      </c>
      <c r="AK3702" s="2">
        <f t="shared" si="604"/>
        <v>111.07439999999997</v>
      </c>
      <c r="AL3702" s="5">
        <f t="shared" si="605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3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2"/>
        <v>0</v>
      </c>
      <c r="AJ3703" s="2">
        <f t="shared" si="593"/>
        <v>0</v>
      </c>
      <c r="AK3703" s="2">
        <f t="shared" si="604"/>
        <v>97.579200000000014</v>
      </c>
      <c r="AL3703" s="5">
        <f t="shared" si="605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3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2"/>
        <v>0</v>
      </c>
      <c r="AJ3704" s="2">
        <f t="shared" si="593"/>
        <v>0</v>
      </c>
      <c r="AK3704" s="2">
        <f t="shared" si="604"/>
        <v>6.7280000000000006</v>
      </c>
      <c r="AL3704" s="5">
        <f t="shared" si="605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3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2"/>
        <v>0</v>
      </c>
      <c r="AG3705" s="2">
        <v>7.9611999999999998</v>
      </c>
      <c r="AH3705" s="2">
        <v>14.4</v>
      </c>
      <c r="AJ3705" s="2">
        <f t="shared" si="593"/>
        <v>0</v>
      </c>
      <c r="AK3705" s="2">
        <f t="shared" si="604"/>
        <v>28.155200000000001</v>
      </c>
      <c r="AL3705" s="5">
        <f t="shared" si="605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6">15.0203*S3706</f>
        <v>15.020300000000001</v>
      </c>
      <c r="X3706" s="5">
        <f t="shared" si="603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2"/>
        <v>0</v>
      </c>
      <c r="AG3706" s="2">
        <v>15.020300000000001</v>
      </c>
      <c r="AH3706" s="2">
        <v>27.6</v>
      </c>
      <c r="AJ3706" s="2">
        <f t="shared" si="593"/>
        <v>0</v>
      </c>
      <c r="AK3706" s="2">
        <f t="shared" si="604"/>
        <v>12.579700000000001</v>
      </c>
      <c r="AL3706" s="5">
        <f t="shared" si="605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6"/>
        <v>45.060900000000004</v>
      </c>
      <c r="X3707" s="5">
        <f t="shared" si="603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2"/>
        <v>0</v>
      </c>
      <c r="AG3707" s="2">
        <v>15.020300000000001</v>
      </c>
      <c r="AH3707" s="2">
        <v>27.6</v>
      </c>
      <c r="AJ3707" s="2">
        <f t="shared" si="593"/>
        <v>0</v>
      </c>
      <c r="AK3707" s="2">
        <f t="shared" si="604"/>
        <v>26.939099999999996</v>
      </c>
      <c r="AL3707" s="5">
        <f t="shared" si="605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6"/>
        <v>15.020300000000001</v>
      </c>
      <c r="X3708" s="5">
        <f t="shared" si="603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2"/>
        <v>0</v>
      </c>
      <c r="AG3708" s="2">
        <v>15.020300000000001</v>
      </c>
      <c r="AH3708" s="2">
        <v>27.6</v>
      </c>
      <c r="AJ3708" s="2">
        <f t="shared" si="593"/>
        <v>0</v>
      </c>
      <c r="AK3708" s="2">
        <f t="shared" si="604"/>
        <v>12.579700000000001</v>
      </c>
      <c r="AL3708" s="5">
        <f t="shared" si="605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6"/>
        <v>150.203</v>
      </c>
      <c r="X3709" s="5">
        <f t="shared" si="603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2"/>
        <v>0</v>
      </c>
      <c r="AG3709" s="2">
        <v>15.020300000000001</v>
      </c>
      <c r="AH3709" s="2">
        <v>27.6</v>
      </c>
      <c r="AJ3709" s="2">
        <f t="shared" si="593"/>
        <v>0</v>
      </c>
      <c r="AK3709" s="2">
        <f t="shared" si="604"/>
        <v>64.796999999999997</v>
      </c>
      <c r="AL3709" s="5">
        <f t="shared" si="605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6"/>
        <v>15.020300000000001</v>
      </c>
      <c r="X3710" s="5">
        <f t="shared" si="603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2"/>
        <v>0</v>
      </c>
      <c r="AG3710" s="2">
        <v>15.020300000000001</v>
      </c>
      <c r="AH3710" s="2">
        <v>27.6</v>
      </c>
      <c r="AJ3710" s="2">
        <f t="shared" si="593"/>
        <v>0</v>
      </c>
      <c r="AK3710" s="2">
        <f t="shared" si="604"/>
        <v>12.579700000000001</v>
      </c>
      <c r="AL3710" s="5">
        <f t="shared" si="605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6"/>
        <v>600.81200000000001</v>
      </c>
      <c r="X3711" s="5">
        <f t="shared" si="603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2"/>
        <v>0</v>
      </c>
      <c r="AG3711" s="2">
        <v>15.020300000000001</v>
      </c>
      <c r="AH3711" s="2">
        <v>27.6</v>
      </c>
      <c r="AJ3711" s="2">
        <f t="shared" si="593"/>
        <v>0</v>
      </c>
      <c r="AK3711" s="2">
        <f t="shared" si="604"/>
        <v>239.18799999999999</v>
      </c>
      <c r="AL3711" s="5">
        <f t="shared" si="605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3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2"/>
        <v>0</v>
      </c>
      <c r="AG3712" s="2">
        <v>8.3145000000000007</v>
      </c>
      <c r="AH3712" s="2">
        <v>15</v>
      </c>
      <c r="AJ3712" s="2">
        <f t="shared" si="593"/>
        <v>0</v>
      </c>
      <c r="AK3712" s="2">
        <f t="shared" si="604"/>
        <v>11.370999999999999</v>
      </c>
      <c r="AL3712" s="5">
        <f t="shared" si="605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3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7">AJ3713</f>
        <v>0</v>
      </c>
      <c r="AG3713" s="2">
        <v>8.3145000000000007</v>
      </c>
      <c r="AH3713" s="2">
        <v>15</v>
      </c>
      <c r="AJ3713" s="2">
        <f t="shared" ref="AJ3713:AJ3776" si="608">AI3713*T3713</f>
        <v>0</v>
      </c>
      <c r="AK3713" s="2">
        <f t="shared" si="604"/>
        <v>6.6854999999999993</v>
      </c>
      <c r="AL3713" s="5">
        <f t="shared" si="605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3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7"/>
        <v>0</v>
      </c>
      <c r="AG3714" s="2">
        <v>35.78</v>
      </c>
      <c r="AH3714" s="2">
        <v>63.6</v>
      </c>
      <c r="AJ3714" s="2">
        <f t="shared" si="608"/>
        <v>0</v>
      </c>
      <c r="AK3714" s="2">
        <f t="shared" si="604"/>
        <v>24.22</v>
      </c>
      <c r="AL3714" s="5">
        <f t="shared" si="605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3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7"/>
        <v>0</v>
      </c>
      <c r="AJ3715" s="2">
        <f t="shared" si="608"/>
        <v>0</v>
      </c>
      <c r="AK3715" s="2">
        <f t="shared" si="604"/>
        <v>7073.38</v>
      </c>
      <c r="AL3715" s="5">
        <f t="shared" si="605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7"/>
        <v>0</v>
      </c>
      <c r="AJ3716" s="2">
        <f t="shared" si="608"/>
        <v>0</v>
      </c>
      <c r="AK3716" s="2">
        <f t="shared" si="604"/>
        <v>-291.39</v>
      </c>
      <c r="AL3716" s="18">
        <f t="shared" ref="AL3716" si="609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10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7"/>
        <v>0</v>
      </c>
      <c r="AG3717" s="2">
        <v>125.51600000000001</v>
      </c>
      <c r="AH3717" s="2">
        <v>220</v>
      </c>
      <c r="AJ3717" s="2">
        <f t="shared" si="608"/>
        <v>0</v>
      </c>
      <c r="AK3717" s="2">
        <f t="shared" ref="AK3717:AK3742" si="611">T3717-W3717</f>
        <v>94.483999999999995</v>
      </c>
      <c r="AL3717" s="5">
        <f t="shared" ref="AL3717:AL3741" si="612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10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7"/>
        <v>0</v>
      </c>
      <c r="AG3718" s="2">
        <v>125.51600000000001</v>
      </c>
      <c r="AH3718" s="2">
        <v>220</v>
      </c>
      <c r="AJ3718" s="2">
        <f t="shared" si="608"/>
        <v>0</v>
      </c>
      <c r="AK3718" s="2">
        <f t="shared" si="611"/>
        <v>94.483999999999995</v>
      </c>
      <c r="AL3718" s="5">
        <f t="shared" si="612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10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7"/>
        <v>0</v>
      </c>
      <c r="AG3719" s="2">
        <v>125.51600000000001</v>
      </c>
      <c r="AH3719" s="2">
        <v>220</v>
      </c>
      <c r="AJ3719" s="2">
        <f t="shared" si="608"/>
        <v>0</v>
      </c>
      <c r="AK3719" s="2">
        <f t="shared" si="611"/>
        <v>94.483999999999995</v>
      </c>
      <c r="AL3719" s="5">
        <f t="shared" si="612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10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7"/>
        <v>0</v>
      </c>
      <c r="AG3720" s="2">
        <v>125.51600000000001</v>
      </c>
      <c r="AH3720" s="2">
        <v>220</v>
      </c>
      <c r="AJ3720" s="2">
        <f t="shared" si="608"/>
        <v>0</v>
      </c>
      <c r="AK3720" s="2">
        <f t="shared" si="611"/>
        <v>94.483999999999995</v>
      </c>
      <c r="AL3720" s="5">
        <f t="shared" si="612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10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7"/>
        <v>0</v>
      </c>
      <c r="AG3721" s="2">
        <v>125.51600000000001</v>
      </c>
      <c r="AH3721" s="2">
        <v>220</v>
      </c>
      <c r="AJ3721" s="2">
        <f t="shared" si="608"/>
        <v>0</v>
      </c>
      <c r="AK3721" s="2">
        <f t="shared" si="611"/>
        <v>188.96799999999999</v>
      </c>
      <c r="AL3721" s="5">
        <f t="shared" si="612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10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7"/>
        <v>0</v>
      </c>
      <c r="AG3722" s="2">
        <v>125.51600000000001</v>
      </c>
      <c r="AH3722" s="2">
        <v>220</v>
      </c>
      <c r="AJ3722" s="2">
        <f t="shared" si="608"/>
        <v>0</v>
      </c>
      <c r="AK3722" s="2">
        <f t="shared" si="611"/>
        <v>94.483999999999995</v>
      </c>
      <c r="AL3722" s="5">
        <f t="shared" si="612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10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7"/>
        <v>0</v>
      </c>
      <c r="AG3723" s="2">
        <v>125.51600000000001</v>
      </c>
      <c r="AH3723" s="2">
        <v>220</v>
      </c>
      <c r="AJ3723" s="2">
        <f t="shared" si="608"/>
        <v>0</v>
      </c>
      <c r="AK3723" s="2">
        <f t="shared" si="611"/>
        <v>87.884</v>
      </c>
      <c r="AL3723" s="5">
        <f t="shared" si="612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10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7"/>
        <v>0</v>
      </c>
      <c r="AG3724" s="2">
        <v>125.51600000000001</v>
      </c>
      <c r="AH3724" s="2">
        <v>220</v>
      </c>
      <c r="AJ3724" s="2">
        <f t="shared" si="608"/>
        <v>0</v>
      </c>
      <c r="AK3724" s="2">
        <f t="shared" si="611"/>
        <v>94.483999999999995</v>
      </c>
      <c r="AL3724" s="5">
        <f t="shared" si="612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10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7"/>
        <v>0</v>
      </c>
      <c r="AG3725" s="2">
        <v>104.49</v>
      </c>
      <c r="AH3725" s="2">
        <v>220</v>
      </c>
      <c r="AJ3725" s="2">
        <f t="shared" si="608"/>
        <v>0</v>
      </c>
      <c r="AK3725" s="2">
        <f t="shared" si="611"/>
        <v>115.51</v>
      </c>
      <c r="AL3725" s="5">
        <f t="shared" si="612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10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7"/>
        <v>0</v>
      </c>
      <c r="AG3726" s="2">
        <v>115.05</v>
      </c>
      <c r="AJ3726" s="2">
        <f t="shared" si="608"/>
        <v>0</v>
      </c>
      <c r="AK3726" s="2">
        <f t="shared" si="611"/>
        <v>104.95</v>
      </c>
      <c r="AL3726" s="5">
        <f t="shared" si="612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10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7"/>
        <v>0</v>
      </c>
      <c r="AG3727" s="2">
        <v>143.91999999999999</v>
      </c>
      <c r="AJ3727" s="2">
        <f t="shared" si="608"/>
        <v>0</v>
      </c>
      <c r="AK3727" s="2">
        <f t="shared" si="611"/>
        <v>86.080000000000013</v>
      </c>
      <c r="AL3727" s="5">
        <f t="shared" si="612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10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7"/>
        <v>0</v>
      </c>
      <c r="AJ3728" s="2">
        <f t="shared" si="608"/>
        <v>0</v>
      </c>
      <c r="AK3728" s="2">
        <f t="shared" si="611"/>
        <v>90.539999999999992</v>
      </c>
      <c r="AL3728" s="5">
        <f t="shared" si="612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10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7"/>
        <v>0</v>
      </c>
      <c r="AJ3729" s="2">
        <f t="shared" si="608"/>
        <v>0</v>
      </c>
      <c r="AK3729" s="2">
        <f t="shared" si="611"/>
        <v>91.699999999999989</v>
      </c>
      <c r="AL3729" s="5">
        <f t="shared" si="612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10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7"/>
        <v>0</v>
      </c>
      <c r="AG3730" s="2">
        <v>105.59</v>
      </c>
      <c r="AJ3730" s="2">
        <f t="shared" si="608"/>
        <v>0</v>
      </c>
      <c r="AK3730" s="2">
        <f t="shared" si="611"/>
        <v>78.544999999999987</v>
      </c>
      <c r="AL3730" s="5">
        <f t="shared" si="612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10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7"/>
        <v>0</v>
      </c>
      <c r="AG3731" s="2">
        <v>119.33</v>
      </c>
      <c r="AH3731" s="2">
        <v>220</v>
      </c>
      <c r="AJ3731" s="2">
        <f t="shared" si="608"/>
        <v>0</v>
      </c>
      <c r="AK3731" s="2">
        <f t="shared" si="611"/>
        <v>100.67</v>
      </c>
      <c r="AL3731" s="5">
        <f t="shared" si="612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10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7"/>
        <v>0</v>
      </c>
      <c r="AG3732" s="2">
        <v>113.33</v>
      </c>
      <c r="AH3732" s="2">
        <v>220</v>
      </c>
      <c r="AJ3732" s="2">
        <f t="shared" si="608"/>
        <v>0</v>
      </c>
      <c r="AK3732" s="2">
        <f t="shared" si="611"/>
        <v>106.67</v>
      </c>
      <c r="AL3732" s="5">
        <f t="shared" si="612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10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7"/>
        <v>0</v>
      </c>
      <c r="AG3733" s="2">
        <v>113.33</v>
      </c>
      <c r="AH3733" s="2">
        <v>220</v>
      </c>
      <c r="AJ3733" s="2">
        <f t="shared" si="608"/>
        <v>0</v>
      </c>
      <c r="AK3733" s="2">
        <f t="shared" si="611"/>
        <v>89.070000000000007</v>
      </c>
      <c r="AL3733" s="5">
        <f t="shared" si="612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10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7"/>
        <v>0</v>
      </c>
      <c r="AG3734" s="2">
        <v>111.98</v>
      </c>
      <c r="AH3734" s="2">
        <v>210</v>
      </c>
      <c r="AJ3734" s="2">
        <f t="shared" si="608"/>
        <v>0</v>
      </c>
      <c r="AK3734" s="2">
        <f t="shared" si="611"/>
        <v>108.02</v>
      </c>
      <c r="AL3734" s="5">
        <f t="shared" si="612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10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7"/>
        <v>0</v>
      </c>
      <c r="AG3735" s="2">
        <v>187.99</v>
      </c>
      <c r="AJ3735" s="2">
        <f t="shared" si="608"/>
        <v>0</v>
      </c>
      <c r="AK3735" s="2">
        <f t="shared" si="611"/>
        <v>112.00999999999999</v>
      </c>
      <c r="AL3735" s="5">
        <f t="shared" si="612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10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7"/>
        <v>0</v>
      </c>
      <c r="AJ3736" s="2">
        <f t="shared" si="608"/>
        <v>0</v>
      </c>
      <c r="AK3736" s="2">
        <f t="shared" si="611"/>
        <v>172.76</v>
      </c>
      <c r="AL3736" s="5">
        <f t="shared" si="612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10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7"/>
        <v>0</v>
      </c>
      <c r="AG3737" s="2">
        <v>141.16</v>
      </c>
      <c r="AJ3737" s="2">
        <f t="shared" si="608"/>
        <v>0</v>
      </c>
      <c r="AK3737" s="2">
        <f t="shared" si="611"/>
        <v>72.240000000000009</v>
      </c>
      <c r="AL3737" s="5">
        <f t="shared" si="612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10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7"/>
        <v>0</v>
      </c>
      <c r="AG3738" s="2">
        <v>115</v>
      </c>
      <c r="AJ3738" s="2">
        <f t="shared" si="608"/>
        <v>0</v>
      </c>
      <c r="AK3738" s="2">
        <f t="shared" si="611"/>
        <v>483</v>
      </c>
      <c r="AL3738" s="5">
        <f t="shared" si="612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10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7"/>
        <v>0</v>
      </c>
      <c r="AG3739" s="2">
        <v>115</v>
      </c>
      <c r="AJ3739" s="2">
        <f t="shared" si="608"/>
        <v>0</v>
      </c>
      <c r="AK3739" s="2">
        <f t="shared" si="611"/>
        <v>105</v>
      </c>
      <c r="AL3739" s="5">
        <f t="shared" si="612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10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7"/>
        <v>0</v>
      </c>
      <c r="AJ3740" s="2">
        <f t="shared" si="608"/>
        <v>0</v>
      </c>
      <c r="AK3740" s="2">
        <f t="shared" si="611"/>
        <v>179.38</v>
      </c>
      <c r="AL3740" s="5">
        <f t="shared" si="612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10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7"/>
        <v>0</v>
      </c>
      <c r="AG3741" s="2">
        <v>153.34</v>
      </c>
      <c r="AJ3741" s="2">
        <f t="shared" si="608"/>
        <v>0</v>
      </c>
      <c r="AK3741" s="2">
        <f t="shared" si="611"/>
        <v>121.53999999999999</v>
      </c>
      <c r="AL3741" s="5">
        <f t="shared" si="612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7"/>
        <v>0</v>
      </c>
      <c r="AJ3742" s="2">
        <f t="shared" si="608"/>
        <v>0</v>
      </c>
      <c r="AK3742" s="2">
        <f t="shared" si="611"/>
        <v>-443.34000000000003</v>
      </c>
      <c r="AL3742" s="18">
        <f t="shared" ref="AL3742" si="613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4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7"/>
        <v>0</v>
      </c>
      <c r="AJ3743" s="2">
        <f t="shared" si="608"/>
        <v>0</v>
      </c>
      <c r="AK3743" s="2">
        <f t="shared" ref="AK3743:AK3774" si="615">T3743-W3743</f>
        <v>7.1050000000000004</v>
      </c>
      <c r="AL3743" s="5">
        <f t="shared" ref="AL3743:AL3765" si="616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4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7"/>
        <v>0</v>
      </c>
      <c r="AG3744" s="2">
        <v>10.6</v>
      </c>
      <c r="AH3744" s="2">
        <v>18</v>
      </c>
      <c r="AJ3744" s="2">
        <f t="shared" si="608"/>
        <v>0</v>
      </c>
      <c r="AK3744" s="2">
        <f t="shared" si="615"/>
        <v>7.4</v>
      </c>
      <c r="AL3744" s="5">
        <f t="shared" si="616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4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7"/>
        <v>0</v>
      </c>
      <c r="AJ3745" s="2">
        <f t="shared" si="608"/>
        <v>0</v>
      </c>
      <c r="AK3745" s="2">
        <f t="shared" si="615"/>
        <v>5.14</v>
      </c>
      <c r="AL3745" s="5">
        <f t="shared" si="616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4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7"/>
        <v>0</v>
      </c>
      <c r="AJ3746" s="2">
        <f t="shared" si="608"/>
        <v>0</v>
      </c>
      <c r="AK3746" s="2">
        <f t="shared" si="615"/>
        <v>5.14</v>
      </c>
      <c r="AL3746" s="5">
        <f t="shared" si="616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4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7"/>
        <v>0</v>
      </c>
      <c r="AG3747" s="2">
        <v>2.94</v>
      </c>
      <c r="AJ3747" s="2">
        <f t="shared" si="608"/>
        <v>0</v>
      </c>
      <c r="AK3747" s="2">
        <f t="shared" si="615"/>
        <v>6.12</v>
      </c>
      <c r="AL3747" s="5">
        <f t="shared" si="616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4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7"/>
        <v>0</v>
      </c>
      <c r="AJ3748" s="2">
        <f t="shared" si="608"/>
        <v>0</v>
      </c>
      <c r="AK3748" s="2">
        <f t="shared" si="615"/>
        <v>9.66</v>
      </c>
      <c r="AL3748" s="5">
        <f t="shared" si="616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4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7"/>
        <v>0</v>
      </c>
      <c r="AJ3749" s="2">
        <f t="shared" si="608"/>
        <v>0</v>
      </c>
      <c r="AK3749" s="2">
        <f t="shared" si="615"/>
        <v>3.45</v>
      </c>
      <c r="AL3749" s="5">
        <f t="shared" si="616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4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7"/>
        <v>0</v>
      </c>
      <c r="AG3750" s="2">
        <v>2.5051000000000001</v>
      </c>
      <c r="AJ3750" s="2">
        <f t="shared" si="608"/>
        <v>0</v>
      </c>
      <c r="AK3750" s="2">
        <f t="shared" si="615"/>
        <v>4.6949000000000005</v>
      </c>
      <c r="AL3750" s="5">
        <f t="shared" si="616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4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7"/>
        <v>0</v>
      </c>
      <c r="AJ3751" s="2">
        <f t="shared" si="608"/>
        <v>0</v>
      </c>
      <c r="AK3751" s="2">
        <f t="shared" si="615"/>
        <v>10.094899999999999</v>
      </c>
      <c r="AL3751" s="5">
        <f t="shared" si="616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4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7"/>
        <v>0</v>
      </c>
      <c r="AG3752" s="2">
        <v>149.25</v>
      </c>
      <c r="AJ3752" s="2">
        <f t="shared" si="608"/>
        <v>0</v>
      </c>
      <c r="AK3752" s="2">
        <f t="shared" si="615"/>
        <v>49.75</v>
      </c>
      <c r="AL3752" s="5">
        <f t="shared" si="616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4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7"/>
        <v>0</v>
      </c>
      <c r="AJ3753" s="2">
        <f t="shared" si="608"/>
        <v>0</v>
      </c>
      <c r="AK3753" s="2">
        <f t="shared" si="615"/>
        <v>304.87750000000005</v>
      </c>
      <c r="AL3753" s="5">
        <f t="shared" si="616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4"/>
        <v>1</v>
      </c>
      <c r="Z3754" s="2" t="s">
        <v>117</v>
      </c>
      <c r="AA3754" s="2" t="s">
        <v>317</v>
      </c>
      <c r="AF3754" s="2">
        <f t="shared" si="607"/>
        <v>0</v>
      </c>
      <c r="AJ3754" s="2">
        <f t="shared" si="608"/>
        <v>0</v>
      </c>
      <c r="AK3754" s="2">
        <f t="shared" si="615"/>
        <v>1099</v>
      </c>
      <c r="AL3754" s="5">
        <f t="shared" si="616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4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7"/>
        <v>0</v>
      </c>
      <c r="AG3755" s="2">
        <f>W3755</f>
        <v>27.5</v>
      </c>
      <c r="AJ3755" s="2">
        <f t="shared" si="608"/>
        <v>0</v>
      </c>
      <c r="AK3755" s="2">
        <f t="shared" si="615"/>
        <v>27.5</v>
      </c>
      <c r="AL3755" s="5">
        <f t="shared" si="616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4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7"/>
        <v>0</v>
      </c>
      <c r="AG3756" s="2">
        <f>W3756</f>
        <v>25.200000000000003</v>
      </c>
      <c r="AJ3756" s="2">
        <f t="shared" si="608"/>
        <v>0</v>
      </c>
      <c r="AK3756" s="2">
        <f t="shared" si="615"/>
        <v>37.799999999999997</v>
      </c>
      <c r="AL3756" s="5">
        <f t="shared" si="616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4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7"/>
        <v>0</v>
      </c>
      <c r="AG3757" s="2">
        <v>8.1999999999999993</v>
      </c>
      <c r="AH3757" s="2">
        <v>13</v>
      </c>
      <c r="AJ3757" s="2">
        <f t="shared" si="608"/>
        <v>0</v>
      </c>
      <c r="AK3757" s="2">
        <f t="shared" si="615"/>
        <v>9.5999999999999979</v>
      </c>
      <c r="AL3757" s="5">
        <f t="shared" si="616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4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7"/>
        <v>0</v>
      </c>
      <c r="AG3758" s="2">
        <f t="shared" ref="AG3758:AG3782" si="617">W3758</f>
        <v>34.375</v>
      </c>
      <c r="AJ3758" s="2">
        <f t="shared" si="608"/>
        <v>0</v>
      </c>
      <c r="AK3758" s="2">
        <f t="shared" si="615"/>
        <v>34.375</v>
      </c>
      <c r="AL3758" s="5">
        <f t="shared" si="616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4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7"/>
        <v>0</v>
      </c>
      <c r="AG3759" s="2">
        <f t="shared" si="617"/>
        <v>20</v>
      </c>
      <c r="AJ3759" s="2">
        <f t="shared" si="608"/>
        <v>0</v>
      </c>
      <c r="AK3759" s="2">
        <f t="shared" si="615"/>
        <v>30</v>
      </c>
      <c r="AL3759" s="5">
        <f t="shared" si="616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4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7"/>
        <v>0</v>
      </c>
      <c r="AG3760" s="2">
        <f t="shared" si="617"/>
        <v>25</v>
      </c>
      <c r="AJ3760" s="2">
        <f t="shared" si="608"/>
        <v>0</v>
      </c>
      <c r="AK3760" s="2">
        <f t="shared" si="615"/>
        <v>25</v>
      </c>
      <c r="AL3760" s="5">
        <f t="shared" si="616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4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7"/>
        <v>0</v>
      </c>
      <c r="AG3761" s="2">
        <f t="shared" si="617"/>
        <v>45.6</v>
      </c>
      <c r="AJ3761" s="2">
        <f t="shared" si="608"/>
        <v>0</v>
      </c>
      <c r="AK3761" s="2">
        <f t="shared" si="615"/>
        <v>68.400000000000006</v>
      </c>
      <c r="AL3761" s="5">
        <f t="shared" si="616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4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7"/>
        <v>0</v>
      </c>
      <c r="AG3762" s="2">
        <f t="shared" si="617"/>
        <v>100</v>
      </c>
      <c r="AJ3762" s="2">
        <f t="shared" si="608"/>
        <v>0</v>
      </c>
      <c r="AK3762" s="2">
        <f t="shared" si="615"/>
        <v>100</v>
      </c>
      <c r="AL3762" s="5">
        <f t="shared" si="616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4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7"/>
        <v>0</v>
      </c>
      <c r="AG3763" s="2">
        <f t="shared" si="617"/>
        <v>58.800000000000004</v>
      </c>
      <c r="AJ3763" s="2">
        <f t="shared" si="608"/>
        <v>0</v>
      </c>
      <c r="AK3763" s="2">
        <f t="shared" si="615"/>
        <v>88.199999999999989</v>
      </c>
      <c r="AL3763" s="5">
        <f t="shared" si="616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4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7"/>
        <v>0</v>
      </c>
      <c r="AG3764" s="2">
        <f t="shared" si="617"/>
        <v>34.375</v>
      </c>
      <c r="AJ3764" s="2">
        <f t="shared" si="608"/>
        <v>0</v>
      </c>
      <c r="AK3764" s="2">
        <f t="shared" si="615"/>
        <v>34.375</v>
      </c>
      <c r="AL3764" s="5">
        <f t="shared" si="616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4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7"/>
        <v>0</v>
      </c>
      <c r="AG3765" s="2">
        <f t="shared" si="617"/>
        <v>31.45</v>
      </c>
      <c r="AJ3765" s="2">
        <f t="shared" si="608"/>
        <v>0</v>
      </c>
      <c r="AK3765" s="2">
        <f t="shared" si="615"/>
        <v>31.45</v>
      </c>
      <c r="AL3765" s="5">
        <f t="shared" si="616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7"/>
        <v>0</v>
      </c>
      <c r="AG3766" s="2">
        <f t="shared" si="617"/>
        <v>0</v>
      </c>
      <c r="AJ3766" s="2">
        <f t="shared" si="608"/>
        <v>0</v>
      </c>
      <c r="AK3766" s="2">
        <f t="shared" si="615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7"/>
        <v>0</v>
      </c>
      <c r="AG3767" s="2">
        <f t="shared" si="617"/>
        <v>27.5</v>
      </c>
      <c r="AJ3767" s="2">
        <f t="shared" si="608"/>
        <v>0</v>
      </c>
      <c r="AK3767" s="2">
        <f t="shared" si="615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7"/>
        <v>0</v>
      </c>
      <c r="AG3768" s="2">
        <f t="shared" si="617"/>
        <v>65.600000000000009</v>
      </c>
      <c r="AJ3768" s="2">
        <f t="shared" si="608"/>
        <v>0</v>
      </c>
      <c r="AK3768" s="2">
        <f t="shared" si="615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7"/>
        <v>0</v>
      </c>
      <c r="AG3769" s="2">
        <f t="shared" si="617"/>
        <v>41.25</v>
      </c>
      <c r="AJ3769" s="2">
        <f t="shared" si="608"/>
        <v>0</v>
      </c>
      <c r="AK3769" s="2">
        <f t="shared" si="615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7"/>
        <v>0</v>
      </c>
      <c r="AG3770" s="2">
        <f t="shared" si="617"/>
        <v>0</v>
      </c>
      <c r="AJ3770" s="2">
        <f t="shared" si="608"/>
        <v>0</v>
      </c>
      <c r="AK3770" s="2">
        <f t="shared" si="615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7"/>
        <v>0</v>
      </c>
      <c r="AG3771" s="2">
        <f t="shared" si="617"/>
        <v>0</v>
      </c>
      <c r="AJ3771" s="2">
        <f t="shared" si="608"/>
        <v>0</v>
      </c>
      <c r="AK3771" s="2">
        <f t="shared" si="615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8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7"/>
        <v>0</v>
      </c>
      <c r="AG3772" s="2">
        <f t="shared" si="617"/>
        <v>60.400000000000006</v>
      </c>
      <c r="AJ3772" s="2">
        <f t="shared" si="608"/>
        <v>0</v>
      </c>
      <c r="AK3772" s="2">
        <f t="shared" si="615"/>
        <v>90.6</v>
      </c>
      <c r="AL3772" s="5">
        <f t="shared" ref="AL3772:AL3777" si="619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8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7"/>
        <v>0</v>
      </c>
      <c r="AG3773" s="2">
        <f t="shared" si="617"/>
        <v>82.5</v>
      </c>
      <c r="AJ3773" s="2">
        <f t="shared" si="608"/>
        <v>0</v>
      </c>
      <c r="AK3773" s="2">
        <f t="shared" si="615"/>
        <v>82.5</v>
      </c>
      <c r="AL3773" s="5">
        <f t="shared" si="619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8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7"/>
        <v>0</v>
      </c>
      <c r="AG3774" s="2">
        <f t="shared" si="617"/>
        <v>20</v>
      </c>
      <c r="AJ3774" s="2">
        <f t="shared" si="608"/>
        <v>0</v>
      </c>
      <c r="AK3774" s="2">
        <f t="shared" si="615"/>
        <v>30</v>
      </c>
      <c r="AL3774" s="5">
        <f t="shared" si="619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8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7"/>
        <v>0</v>
      </c>
      <c r="AG3775" s="2">
        <f t="shared" si="617"/>
        <v>25</v>
      </c>
      <c r="AJ3775" s="2">
        <f t="shared" si="608"/>
        <v>0</v>
      </c>
      <c r="AK3775" s="2">
        <f t="shared" ref="AK3775:AK3806" si="620">T3775-W3775</f>
        <v>25</v>
      </c>
      <c r="AL3775" s="5">
        <f t="shared" si="619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8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7"/>
        <v>0</v>
      </c>
      <c r="AG3776" s="2">
        <f t="shared" si="617"/>
        <v>22</v>
      </c>
      <c r="AJ3776" s="2">
        <f t="shared" si="608"/>
        <v>0</v>
      </c>
      <c r="AK3776" s="2">
        <f t="shared" si="620"/>
        <v>33</v>
      </c>
      <c r="AL3776" s="5">
        <f t="shared" si="619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8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1">AJ3777</f>
        <v>0</v>
      </c>
      <c r="AG3777" s="2">
        <f t="shared" si="617"/>
        <v>50</v>
      </c>
      <c r="AJ3777" s="2">
        <f t="shared" ref="AJ3777:AJ3840" si="622">AI3777*T3777</f>
        <v>0</v>
      </c>
      <c r="AK3777" s="2">
        <f t="shared" si="620"/>
        <v>50</v>
      </c>
      <c r="AL3777" s="5">
        <f t="shared" si="619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1"/>
        <v>0</v>
      </c>
      <c r="AG3778" s="2">
        <f t="shared" si="617"/>
        <v>0</v>
      </c>
      <c r="AJ3778" s="2">
        <f t="shared" si="622"/>
        <v>0</v>
      </c>
      <c r="AK3778" s="2">
        <f t="shared" si="620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1"/>
        <v>0</v>
      </c>
      <c r="AG3779" s="2">
        <f t="shared" si="617"/>
        <v>0</v>
      </c>
      <c r="AJ3779" s="2">
        <f t="shared" si="622"/>
        <v>0</v>
      </c>
      <c r="AK3779" s="2">
        <f t="shared" si="620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1"/>
        <v>0</v>
      </c>
      <c r="AG3780" s="2">
        <f t="shared" si="617"/>
        <v>20</v>
      </c>
      <c r="AJ3780" s="2">
        <f t="shared" si="622"/>
        <v>0</v>
      </c>
      <c r="AK3780" s="2">
        <f t="shared" si="620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1"/>
        <v>0</v>
      </c>
      <c r="AG3781" s="2">
        <f t="shared" si="617"/>
        <v>25</v>
      </c>
      <c r="AJ3781" s="2">
        <f t="shared" si="622"/>
        <v>0</v>
      </c>
      <c r="AK3781" s="2">
        <f t="shared" si="620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3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1"/>
        <v>0</v>
      </c>
      <c r="AG3782" s="2">
        <f t="shared" si="617"/>
        <v>20</v>
      </c>
      <c r="AJ3782" s="2">
        <f t="shared" si="622"/>
        <v>0</v>
      </c>
      <c r="AK3782" s="2">
        <f t="shared" si="620"/>
        <v>-70</v>
      </c>
      <c r="AL3782" s="18">
        <f t="shared" ref="AL3782" si="624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1"/>
        <v>0</v>
      </c>
      <c r="AJ3783" s="2">
        <f t="shared" si="622"/>
        <v>0</v>
      </c>
      <c r="AK3783" s="2">
        <f t="shared" si="620"/>
        <v>2</v>
      </c>
      <c r="AL3783" s="5">
        <f t="shared" ref="AL3783:AL3791" si="625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6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1"/>
        <v>0</v>
      </c>
      <c r="AG3784" s="2">
        <f t="shared" ref="AG3784:AG3808" si="627">W3784</f>
        <v>25</v>
      </c>
      <c r="AJ3784" s="2">
        <f t="shared" si="622"/>
        <v>0</v>
      </c>
      <c r="AK3784" s="2">
        <f t="shared" si="620"/>
        <v>-75</v>
      </c>
      <c r="AL3784" s="18">
        <f t="shared" ref="AL3784" si="628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9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1"/>
        <v>0</v>
      </c>
      <c r="AG3785" s="2">
        <f t="shared" si="627"/>
        <v>20</v>
      </c>
      <c r="AJ3785" s="2">
        <f t="shared" si="622"/>
        <v>0</v>
      </c>
      <c r="AK3785" s="2">
        <f t="shared" si="620"/>
        <v>30</v>
      </c>
      <c r="AL3785" s="5">
        <f t="shared" si="625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9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1"/>
        <v>0</v>
      </c>
      <c r="AG3786" s="2">
        <f t="shared" si="627"/>
        <v>25</v>
      </c>
      <c r="AJ3786" s="2">
        <f t="shared" si="622"/>
        <v>0</v>
      </c>
      <c r="AK3786" s="2">
        <f t="shared" si="620"/>
        <v>25</v>
      </c>
      <c r="AL3786" s="5">
        <f t="shared" si="625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9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1"/>
        <v>0</v>
      </c>
      <c r="AG3787" s="2">
        <f t="shared" si="627"/>
        <v>22</v>
      </c>
      <c r="AJ3787" s="2">
        <f t="shared" si="622"/>
        <v>0</v>
      </c>
      <c r="AK3787" s="2">
        <f t="shared" si="620"/>
        <v>33</v>
      </c>
      <c r="AL3787" s="5">
        <f t="shared" si="625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9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1"/>
        <v>0</v>
      </c>
      <c r="AG3788" s="2">
        <f t="shared" si="627"/>
        <v>27.5</v>
      </c>
      <c r="AJ3788" s="2">
        <f t="shared" si="622"/>
        <v>0</v>
      </c>
      <c r="AK3788" s="2">
        <f t="shared" si="620"/>
        <v>27.5</v>
      </c>
      <c r="AL3788" s="5">
        <f t="shared" si="625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9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1"/>
        <v>0</v>
      </c>
      <c r="AG3789" s="2">
        <f t="shared" si="627"/>
        <v>33.200000000000003</v>
      </c>
      <c r="AJ3789" s="2">
        <f t="shared" si="622"/>
        <v>0</v>
      </c>
      <c r="AK3789" s="2">
        <f t="shared" si="620"/>
        <v>49.8</v>
      </c>
      <c r="AL3789" s="5">
        <f t="shared" si="625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9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1"/>
        <v>0</v>
      </c>
      <c r="AG3790" s="2">
        <f t="shared" si="627"/>
        <v>20.625</v>
      </c>
      <c r="AJ3790" s="2">
        <f t="shared" si="622"/>
        <v>0</v>
      </c>
      <c r="AK3790" s="2">
        <f t="shared" si="620"/>
        <v>20.625</v>
      </c>
      <c r="AL3790" s="5">
        <f t="shared" si="625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9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1"/>
        <v>0</v>
      </c>
      <c r="AG3791" s="2">
        <f t="shared" si="627"/>
        <v>25.200000000000003</v>
      </c>
      <c r="AJ3791" s="2">
        <f t="shared" si="622"/>
        <v>0</v>
      </c>
      <c r="AK3791" s="2">
        <f t="shared" si="620"/>
        <v>37.799999999999997</v>
      </c>
      <c r="AL3791" s="5">
        <f t="shared" si="625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1"/>
        <v>0</v>
      </c>
      <c r="AG3792" s="2">
        <f t="shared" si="627"/>
        <v>0</v>
      </c>
      <c r="AJ3792" s="2">
        <f t="shared" si="622"/>
        <v>0</v>
      </c>
      <c r="AK3792" s="2">
        <f t="shared" si="620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1"/>
        <v>0</v>
      </c>
      <c r="AG3793" s="2">
        <f t="shared" si="627"/>
        <v>228.8</v>
      </c>
      <c r="AJ3793" s="2">
        <f t="shared" si="622"/>
        <v>0</v>
      </c>
      <c r="AK3793" s="2">
        <f t="shared" si="620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1"/>
        <v>0</v>
      </c>
      <c r="AG3794" s="2">
        <f t="shared" si="627"/>
        <v>50</v>
      </c>
      <c r="AJ3794" s="2">
        <f t="shared" si="622"/>
        <v>0</v>
      </c>
      <c r="AK3794" s="2">
        <f t="shared" si="620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30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1"/>
        <v>0</v>
      </c>
      <c r="AG3795" s="2">
        <f t="shared" si="627"/>
        <v>114.4</v>
      </c>
      <c r="AJ3795" s="2">
        <f t="shared" si="622"/>
        <v>0</v>
      </c>
      <c r="AK3795" s="2">
        <f t="shared" si="620"/>
        <v>-400.4</v>
      </c>
      <c r="AL3795" s="18">
        <f t="shared" ref="AL3795:AL3796" si="631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30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1"/>
        <v>0</v>
      </c>
      <c r="AG3796" s="2">
        <f t="shared" si="627"/>
        <v>25</v>
      </c>
      <c r="AJ3796" s="2">
        <f t="shared" si="622"/>
        <v>0</v>
      </c>
      <c r="AK3796" s="2">
        <f t="shared" si="620"/>
        <v>-75</v>
      </c>
      <c r="AL3796" s="18">
        <f t="shared" si="631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2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1"/>
        <v>0</v>
      </c>
      <c r="AG3797" s="2">
        <f t="shared" si="627"/>
        <v>71.2</v>
      </c>
      <c r="AJ3797" s="2">
        <f t="shared" si="622"/>
        <v>0</v>
      </c>
      <c r="AK3797" s="2">
        <f t="shared" si="620"/>
        <v>106.8</v>
      </c>
      <c r="AL3797" s="5">
        <f t="shared" ref="AL3797:AL3824" si="633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2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1"/>
        <v>0</v>
      </c>
      <c r="AG3798" s="2">
        <f t="shared" si="627"/>
        <v>41.25</v>
      </c>
      <c r="AJ3798" s="2">
        <f t="shared" si="622"/>
        <v>0</v>
      </c>
      <c r="AK3798" s="2">
        <f t="shared" si="620"/>
        <v>41.25</v>
      </c>
      <c r="AL3798" s="5">
        <f t="shared" si="633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2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1"/>
        <v>0</v>
      </c>
      <c r="AG3799" s="2">
        <f t="shared" si="627"/>
        <v>22</v>
      </c>
      <c r="AJ3799" s="2">
        <f t="shared" si="622"/>
        <v>0</v>
      </c>
      <c r="AK3799" s="2">
        <f t="shared" si="620"/>
        <v>33</v>
      </c>
      <c r="AL3799" s="5">
        <f t="shared" si="633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2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1"/>
        <v>0</v>
      </c>
      <c r="AG3800" s="2">
        <f t="shared" si="627"/>
        <v>27.5</v>
      </c>
      <c r="AJ3800" s="2">
        <f t="shared" si="622"/>
        <v>0</v>
      </c>
      <c r="AK3800" s="2">
        <f t="shared" si="620"/>
        <v>27.5</v>
      </c>
      <c r="AL3800" s="5">
        <f t="shared" si="633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2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1"/>
        <v>0</v>
      </c>
      <c r="AG3801" s="2">
        <f t="shared" si="627"/>
        <v>31.6</v>
      </c>
      <c r="AJ3801" s="2">
        <f t="shared" si="622"/>
        <v>0</v>
      </c>
      <c r="AK3801" s="2">
        <f t="shared" si="620"/>
        <v>47.4</v>
      </c>
      <c r="AL3801" s="5">
        <f t="shared" si="633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2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1"/>
        <v>0</v>
      </c>
      <c r="AG3802" s="2">
        <f t="shared" si="627"/>
        <v>50</v>
      </c>
      <c r="AJ3802" s="2">
        <f t="shared" si="622"/>
        <v>0</v>
      </c>
      <c r="AK3802" s="2">
        <f t="shared" si="620"/>
        <v>50</v>
      </c>
      <c r="AL3802" s="5">
        <f t="shared" si="633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2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1"/>
        <v>0</v>
      </c>
      <c r="AG3803" s="2">
        <f t="shared" si="627"/>
        <v>33.200000000000003</v>
      </c>
      <c r="AJ3803" s="2">
        <f t="shared" si="622"/>
        <v>0</v>
      </c>
      <c r="AK3803" s="2">
        <f t="shared" si="620"/>
        <v>49.8</v>
      </c>
      <c r="AL3803" s="5">
        <f t="shared" si="633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2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1"/>
        <v>0</v>
      </c>
      <c r="AG3804" s="2">
        <f t="shared" si="627"/>
        <v>27.5</v>
      </c>
      <c r="AJ3804" s="2">
        <f t="shared" si="622"/>
        <v>0</v>
      </c>
      <c r="AK3804" s="2">
        <f t="shared" si="620"/>
        <v>27.5</v>
      </c>
      <c r="AL3804" s="5">
        <f t="shared" si="633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2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1"/>
        <v>0</v>
      </c>
      <c r="AG3805" s="2">
        <f t="shared" si="627"/>
        <v>24.400000000000002</v>
      </c>
      <c r="AJ3805" s="2">
        <f t="shared" si="622"/>
        <v>0</v>
      </c>
      <c r="AK3805" s="2">
        <f t="shared" si="620"/>
        <v>36.599999999999994</v>
      </c>
      <c r="AL3805" s="5">
        <f t="shared" si="633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2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1"/>
        <v>0</v>
      </c>
      <c r="AG3806" s="2">
        <f t="shared" si="627"/>
        <v>27.5</v>
      </c>
      <c r="AJ3806" s="2">
        <f t="shared" si="622"/>
        <v>0</v>
      </c>
      <c r="AK3806" s="2">
        <f t="shared" si="620"/>
        <v>27.5</v>
      </c>
      <c r="AL3806" s="5">
        <f t="shared" si="633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2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1"/>
        <v>0</v>
      </c>
      <c r="AG3807" s="2">
        <f t="shared" si="627"/>
        <v>26.8</v>
      </c>
      <c r="AJ3807" s="2">
        <f t="shared" si="622"/>
        <v>0</v>
      </c>
      <c r="AK3807" s="2">
        <f t="shared" ref="AK3807:AK3826" si="634">T3807-W3807</f>
        <v>40.200000000000003</v>
      </c>
      <c r="AL3807" s="5">
        <f t="shared" si="633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2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1"/>
        <v>0</v>
      </c>
      <c r="AG3808" s="2">
        <f t="shared" si="627"/>
        <v>27.5</v>
      </c>
      <c r="AJ3808" s="2">
        <f t="shared" si="622"/>
        <v>0</v>
      </c>
      <c r="AK3808" s="2">
        <f t="shared" si="634"/>
        <v>27.5</v>
      </c>
      <c r="AL3808" s="5">
        <f t="shared" si="633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2"/>
        <v>-0.25</v>
      </c>
      <c r="Z3809" s="2" t="s">
        <v>169</v>
      </c>
      <c r="AA3809" s="2" t="s">
        <v>169</v>
      </c>
      <c r="AF3809" s="2">
        <f t="shared" si="621"/>
        <v>0</v>
      </c>
      <c r="AJ3809" s="2">
        <f t="shared" si="622"/>
        <v>0</v>
      </c>
      <c r="AK3809" s="2">
        <f t="shared" si="634"/>
        <v>-30</v>
      </c>
      <c r="AL3809" s="5">
        <f t="shared" si="633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2"/>
        <v>-0.2</v>
      </c>
      <c r="Z3810" s="2" t="s">
        <v>169</v>
      </c>
      <c r="AA3810" s="2" t="s">
        <v>169</v>
      </c>
      <c r="AF3810" s="2">
        <f t="shared" si="621"/>
        <v>0</v>
      </c>
      <c r="AJ3810" s="2">
        <f t="shared" si="622"/>
        <v>0</v>
      </c>
      <c r="AK3810" s="2">
        <f t="shared" si="634"/>
        <v>-1</v>
      </c>
      <c r="AL3810" s="5">
        <f t="shared" si="633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2"/>
        <v>-0.2</v>
      </c>
      <c r="Z3811" s="2" t="s">
        <v>169</v>
      </c>
      <c r="AA3811" s="2" t="s">
        <v>169</v>
      </c>
      <c r="AF3811" s="2">
        <f t="shared" si="621"/>
        <v>0</v>
      </c>
      <c r="AJ3811" s="2">
        <f t="shared" si="622"/>
        <v>0</v>
      </c>
      <c r="AK3811" s="2">
        <f t="shared" si="634"/>
        <v>-1</v>
      </c>
      <c r="AL3811" s="5">
        <f t="shared" si="633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2"/>
        <v>0.23333333333333334</v>
      </c>
      <c r="Z3812" s="2" t="s">
        <v>169</v>
      </c>
      <c r="AA3812" s="2" t="s">
        <v>169</v>
      </c>
      <c r="AF3812" s="2">
        <f t="shared" si="621"/>
        <v>0</v>
      </c>
      <c r="AJ3812" s="2">
        <f t="shared" si="622"/>
        <v>0</v>
      </c>
      <c r="AK3812" s="2">
        <f t="shared" si="634"/>
        <v>7</v>
      </c>
      <c r="AL3812" s="5">
        <f t="shared" si="633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2"/>
        <v>0.25</v>
      </c>
      <c r="Z3813" s="2" t="s">
        <v>169</v>
      </c>
      <c r="AA3813" s="2" t="s">
        <v>169</v>
      </c>
      <c r="AF3813" s="2">
        <f t="shared" si="621"/>
        <v>0</v>
      </c>
      <c r="AJ3813" s="2">
        <f t="shared" si="622"/>
        <v>0</v>
      </c>
      <c r="AK3813" s="2">
        <f t="shared" si="634"/>
        <v>2</v>
      </c>
      <c r="AL3813" s="5">
        <f t="shared" si="633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2"/>
        <v>-0.53333333333333333</v>
      </c>
      <c r="Z3814" s="2" t="s">
        <v>169</v>
      </c>
      <c r="AA3814" s="2" t="s">
        <v>169</v>
      </c>
      <c r="AF3814" s="2">
        <f t="shared" si="621"/>
        <v>0</v>
      </c>
      <c r="AJ3814" s="2">
        <f t="shared" si="622"/>
        <v>0</v>
      </c>
      <c r="AK3814" s="2">
        <f t="shared" si="634"/>
        <v>-8</v>
      </c>
      <c r="AL3814" s="5">
        <f t="shared" si="633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2"/>
        <v>0.23333333333333334</v>
      </c>
      <c r="Z3815" s="2" t="s">
        <v>169</v>
      </c>
      <c r="AA3815" s="2" t="s">
        <v>169</v>
      </c>
      <c r="AF3815" s="2">
        <f t="shared" si="621"/>
        <v>0</v>
      </c>
      <c r="AG3815" s="2">
        <v>23</v>
      </c>
      <c r="AJ3815" s="2">
        <f t="shared" si="622"/>
        <v>0</v>
      </c>
      <c r="AK3815" s="2">
        <f t="shared" si="634"/>
        <v>7</v>
      </c>
      <c r="AL3815" s="5">
        <f t="shared" si="633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1"/>
        <v>0</v>
      </c>
      <c r="AJ3816" s="2">
        <f t="shared" si="622"/>
        <v>0</v>
      </c>
      <c r="AK3816" s="2">
        <f t="shared" si="634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5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1"/>
        <v>0</v>
      </c>
      <c r="AJ3817" s="2">
        <f t="shared" si="622"/>
        <v>0</v>
      </c>
      <c r="AK3817" s="2">
        <f t="shared" si="634"/>
        <v>0</v>
      </c>
      <c r="AL3817" s="5">
        <f t="shared" si="633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5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1"/>
        <v>0</v>
      </c>
      <c r="AG3818" s="2">
        <v>1.48</v>
      </c>
      <c r="AH3818" s="2">
        <v>1.48</v>
      </c>
      <c r="AJ3818" s="2">
        <f t="shared" si="622"/>
        <v>0</v>
      </c>
      <c r="AK3818" s="2">
        <f t="shared" si="634"/>
        <v>0</v>
      </c>
      <c r="AL3818" s="5">
        <f t="shared" si="633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5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1"/>
        <v>0</v>
      </c>
      <c r="AJ3819" s="2">
        <f t="shared" si="622"/>
        <v>0</v>
      </c>
      <c r="AK3819" s="2">
        <f t="shared" si="634"/>
        <v>0</v>
      </c>
      <c r="AL3819" s="5">
        <f t="shared" si="633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5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1"/>
        <v>0</v>
      </c>
      <c r="AJ3820" s="2">
        <f t="shared" si="622"/>
        <v>0</v>
      </c>
      <c r="AK3820" s="2">
        <f t="shared" si="634"/>
        <v>0</v>
      </c>
      <c r="AL3820" s="5">
        <f t="shared" si="633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5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1"/>
        <v>0</v>
      </c>
      <c r="AJ3821" s="2">
        <f t="shared" si="622"/>
        <v>0</v>
      </c>
      <c r="AK3821" s="2">
        <f t="shared" si="634"/>
        <v>0</v>
      </c>
      <c r="AL3821" s="5">
        <f t="shared" si="633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5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1"/>
        <v>0</v>
      </c>
      <c r="AG3822" s="2">
        <v>1.48</v>
      </c>
      <c r="AH3822" s="2">
        <v>1.48</v>
      </c>
      <c r="AJ3822" s="2">
        <f t="shared" si="622"/>
        <v>0</v>
      </c>
      <c r="AK3822" s="2">
        <f t="shared" si="634"/>
        <v>0</v>
      </c>
      <c r="AL3822" s="5">
        <f t="shared" si="633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5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1"/>
        <v>0</v>
      </c>
      <c r="AJ3823" s="2">
        <f t="shared" si="622"/>
        <v>0</v>
      </c>
      <c r="AK3823" s="2">
        <f t="shared" si="634"/>
        <v>0</v>
      </c>
      <c r="AL3823" s="5">
        <f t="shared" si="633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5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1"/>
        <v>0</v>
      </c>
      <c r="AG3824" s="2">
        <v>1.48</v>
      </c>
      <c r="AH3824" s="2">
        <v>1.48</v>
      </c>
      <c r="AJ3824" s="2">
        <f t="shared" si="622"/>
        <v>0</v>
      </c>
      <c r="AK3824" s="2">
        <f t="shared" si="634"/>
        <v>0</v>
      </c>
      <c r="AL3824" s="5">
        <f t="shared" si="633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1"/>
        <v>0</v>
      </c>
      <c r="AJ3825" s="2">
        <f t="shared" si="622"/>
        <v>0</v>
      </c>
      <c r="AK3825" s="2">
        <f t="shared" si="634"/>
        <v>-2.96</v>
      </c>
      <c r="AL3825" s="18">
        <f t="shared" ref="AL3825:AL3826" si="636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1"/>
        <v>0</v>
      </c>
      <c r="AJ3826" s="2">
        <f t="shared" si="622"/>
        <v>0</v>
      </c>
      <c r="AK3826" s="2">
        <f t="shared" si="634"/>
        <v>-2.96</v>
      </c>
      <c r="AL3826" s="18">
        <f t="shared" si="636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7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1"/>
        <v>0</v>
      </c>
      <c r="AJ3827" s="2">
        <f t="shared" si="622"/>
        <v>0</v>
      </c>
      <c r="AK3827" s="2">
        <f t="shared" ref="AK3827:AK3858" si="638">T3827-W3827</f>
        <v>0</v>
      </c>
      <c r="AL3827" s="5">
        <f t="shared" ref="AL3827:AL3843" si="639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7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1"/>
        <v>0</v>
      </c>
      <c r="AG3828" s="2">
        <v>1.48</v>
      </c>
      <c r="AH3828" s="2">
        <v>1.48</v>
      </c>
      <c r="AJ3828" s="2">
        <f t="shared" si="622"/>
        <v>0</v>
      </c>
      <c r="AK3828" s="2">
        <f t="shared" si="638"/>
        <v>0</v>
      </c>
      <c r="AL3828" s="5">
        <f t="shared" si="639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7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1"/>
        <v>0</v>
      </c>
      <c r="AJ3829" s="2">
        <f t="shared" si="622"/>
        <v>0</v>
      </c>
      <c r="AK3829" s="2">
        <f t="shared" si="638"/>
        <v>0</v>
      </c>
      <c r="AL3829" s="5">
        <f t="shared" si="639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7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1"/>
        <v>0</v>
      </c>
      <c r="AJ3830" s="2">
        <f t="shared" si="622"/>
        <v>0</v>
      </c>
      <c r="AK3830" s="2">
        <f t="shared" si="638"/>
        <v>0</v>
      </c>
      <c r="AL3830" s="5">
        <f t="shared" si="639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7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1"/>
        <v>0</v>
      </c>
      <c r="AG3831" s="2">
        <v>1.48</v>
      </c>
      <c r="AH3831" s="2">
        <v>1.48</v>
      </c>
      <c r="AJ3831" s="2">
        <f t="shared" si="622"/>
        <v>0</v>
      </c>
      <c r="AK3831" s="2">
        <f t="shared" si="638"/>
        <v>0</v>
      </c>
      <c r="AL3831" s="5">
        <f t="shared" si="639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7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1"/>
        <v>0</v>
      </c>
      <c r="AJ3832" s="2">
        <f t="shared" si="622"/>
        <v>0</v>
      </c>
      <c r="AK3832" s="2">
        <f t="shared" si="638"/>
        <v>0</v>
      </c>
      <c r="AL3832" s="5">
        <f t="shared" si="639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7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1"/>
        <v>0</v>
      </c>
      <c r="AJ3833" s="2">
        <f t="shared" si="622"/>
        <v>0</v>
      </c>
      <c r="AK3833" s="2">
        <f t="shared" si="638"/>
        <v>0</v>
      </c>
      <c r="AL3833" s="5">
        <f t="shared" si="639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7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1"/>
        <v>0</v>
      </c>
      <c r="AG3834" s="2">
        <v>1.48</v>
      </c>
      <c r="AH3834" s="2">
        <v>1.48</v>
      </c>
      <c r="AJ3834" s="2">
        <f t="shared" si="622"/>
        <v>0</v>
      </c>
      <c r="AK3834" s="2">
        <f t="shared" si="638"/>
        <v>0</v>
      </c>
      <c r="AL3834" s="5">
        <f t="shared" si="639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7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1"/>
        <v>0</v>
      </c>
      <c r="AJ3835" s="2">
        <f t="shared" si="622"/>
        <v>0</v>
      </c>
      <c r="AK3835" s="2">
        <f t="shared" si="638"/>
        <v>0</v>
      </c>
      <c r="AL3835" s="5">
        <f t="shared" si="639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7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1"/>
        <v>0</v>
      </c>
      <c r="AJ3836" s="2">
        <f t="shared" si="622"/>
        <v>0</v>
      </c>
      <c r="AK3836" s="2">
        <f t="shared" si="638"/>
        <v>0</v>
      </c>
      <c r="AL3836" s="5">
        <f t="shared" si="639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7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1"/>
        <v>0</v>
      </c>
      <c r="AG3837" s="2">
        <v>1.48</v>
      </c>
      <c r="AH3837" s="2">
        <v>1.48</v>
      </c>
      <c r="AJ3837" s="2">
        <f t="shared" si="622"/>
        <v>0</v>
      </c>
      <c r="AK3837" s="2">
        <f t="shared" si="638"/>
        <v>0</v>
      </c>
      <c r="AL3837" s="5">
        <f t="shared" si="639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7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1"/>
        <v>0</v>
      </c>
      <c r="AJ3838" s="2">
        <f t="shared" si="622"/>
        <v>0</v>
      </c>
      <c r="AK3838" s="2">
        <f t="shared" si="638"/>
        <v>0</v>
      </c>
      <c r="AL3838" s="5">
        <f t="shared" si="639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1"/>
        <v>0</v>
      </c>
      <c r="AJ3839" s="2">
        <f t="shared" si="622"/>
        <v>0</v>
      </c>
      <c r="AK3839" s="2">
        <f t="shared" si="638"/>
        <v>0</v>
      </c>
      <c r="AL3839" s="5" t="e">
        <f t="shared" si="639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40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1"/>
        <v>0</v>
      </c>
      <c r="AJ3840" s="2">
        <f t="shared" si="622"/>
        <v>0</v>
      </c>
      <c r="AK3840" s="2">
        <f t="shared" si="638"/>
        <v>21.711000000000006</v>
      </c>
      <c r="AL3840" s="5">
        <f t="shared" si="639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40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1">AJ3841</f>
        <v>0</v>
      </c>
      <c r="AJ3841" s="2">
        <f t="shared" ref="AJ3841:AJ3904" si="642">AI3841*T3841</f>
        <v>0</v>
      </c>
      <c r="AK3841" s="2">
        <f t="shared" si="638"/>
        <v>85.908000000000015</v>
      </c>
      <c r="AL3841" s="5">
        <f t="shared" si="639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40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1"/>
        <v>0</v>
      </c>
      <c r="AJ3842" s="2">
        <f t="shared" si="642"/>
        <v>0</v>
      </c>
      <c r="AK3842" s="2">
        <f t="shared" si="638"/>
        <v>22.575000000000003</v>
      </c>
      <c r="AL3842" s="5">
        <f t="shared" si="639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1"/>
        <v>0</v>
      </c>
      <c r="AJ3843" s="2">
        <f t="shared" si="642"/>
        <v>0</v>
      </c>
      <c r="AK3843" s="2">
        <f t="shared" si="638"/>
        <v>8.4</v>
      </c>
      <c r="AL3843" s="5">
        <f t="shared" si="639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1"/>
        <v>0</v>
      </c>
      <c r="AG3844" s="2">
        <v>6.6266999999999996</v>
      </c>
      <c r="AH3844" s="2">
        <v>12</v>
      </c>
      <c r="AJ3844" s="2">
        <f t="shared" si="642"/>
        <v>0</v>
      </c>
      <c r="AK3844" s="2">
        <f t="shared" si="638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3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1"/>
        <v>0</v>
      </c>
      <c r="AG3845" s="2">
        <v>10.6</v>
      </c>
      <c r="AH3845" s="2">
        <v>18</v>
      </c>
      <c r="AJ3845" s="2">
        <f t="shared" si="642"/>
        <v>0</v>
      </c>
      <c r="AK3845" s="2">
        <f t="shared" si="638"/>
        <v>17.5</v>
      </c>
      <c r="AL3845" s="5">
        <f t="shared" ref="AL3845:AL3876" si="644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3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1"/>
        <v>0</v>
      </c>
      <c r="AG3846" s="2">
        <v>8.1999999999999993</v>
      </c>
      <c r="AH3846" s="2">
        <v>13</v>
      </c>
      <c r="AJ3846" s="2">
        <f t="shared" si="642"/>
        <v>0</v>
      </c>
      <c r="AK3846" s="2">
        <f t="shared" si="638"/>
        <v>14.199999999999996</v>
      </c>
      <c r="AL3846" s="5">
        <f t="shared" si="644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3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1"/>
        <v>0</v>
      </c>
      <c r="AG3847" s="2">
        <v>0.85609999999999997</v>
      </c>
      <c r="AH3847" s="2">
        <v>1.8</v>
      </c>
      <c r="AJ3847" s="2">
        <f t="shared" si="642"/>
        <v>0</v>
      </c>
      <c r="AK3847" s="2">
        <f t="shared" si="638"/>
        <v>18.878</v>
      </c>
      <c r="AL3847" s="5">
        <f t="shared" si="644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3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1"/>
        <v>0</v>
      </c>
      <c r="AG3848" s="2">
        <v>1.1122000000000001</v>
      </c>
      <c r="AH3848" s="2">
        <v>3</v>
      </c>
      <c r="AJ3848" s="2">
        <f t="shared" si="642"/>
        <v>0</v>
      </c>
      <c r="AK3848" s="2">
        <f t="shared" si="638"/>
        <v>32.092599999999997</v>
      </c>
      <c r="AL3848" s="5">
        <f t="shared" si="644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3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1"/>
        <v>0</v>
      </c>
      <c r="AG3849" s="2">
        <v>15.020300000000001</v>
      </c>
      <c r="AH3849" s="2">
        <v>27.6</v>
      </c>
      <c r="AJ3849" s="2">
        <f t="shared" si="642"/>
        <v>0</v>
      </c>
      <c r="AK3849" s="2">
        <f t="shared" si="638"/>
        <v>32.918799999999997</v>
      </c>
      <c r="AL3849" s="5">
        <f t="shared" si="644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3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1"/>
        <v>0</v>
      </c>
      <c r="AJ3850" s="2">
        <f t="shared" si="642"/>
        <v>0</v>
      </c>
      <c r="AK3850" s="2">
        <f t="shared" si="638"/>
        <v>112.30999999999999</v>
      </c>
      <c r="AL3850" s="5">
        <f t="shared" si="644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3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1"/>
        <v>0</v>
      </c>
      <c r="AJ3851" s="2">
        <f t="shared" si="642"/>
        <v>0</v>
      </c>
      <c r="AK3851" s="2">
        <f t="shared" si="638"/>
        <v>109.13499999999999</v>
      </c>
      <c r="AL3851" s="5">
        <f t="shared" si="644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3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1"/>
        <v>0</v>
      </c>
      <c r="AG3852" s="2">
        <v>122.446</v>
      </c>
      <c r="AH3852" s="2">
        <v>230</v>
      </c>
      <c r="AJ3852" s="2">
        <f t="shared" si="642"/>
        <v>0</v>
      </c>
      <c r="AK3852" s="2">
        <f t="shared" si="638"/>
        <v>17.554000000000002</v>
      </c>
      <c r="AL3852" s="5">
        <f t="shared" si="644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3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1"/>
        <v>0</v>
      </c>
      <c r="AJ3853" s="2">
        <f t="shared" si="642"/>
        <v>0</v>
      </c>
      <c r="AK3853" s="2">
        <f t="shared" si="638"/>
        <v>151.35000000000002</v>
      </c>
      <c r="AL3853" s="5">
        <f t="shared" si="644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3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1"/>
        <v>0</v>
      </c>
      <c r="AJ3854" s="2">
        <f t="shared" si="642"/>
        <v>0</v>
      </c>
      <c r="AK3854" s="2">
        <f t="shared" si="638"/>
        <v>0</v>
      </c>
      <c r="AL3854" s="5">
        <f t="shared" si="644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3"/>
        <v>1</v>
      </c>
      <c r="Z3855" s="2" t="s">
        <v>119</v>
      </c>
      <c r="AA3855" s="2" t="s">
        <v>2921</v>
      </c>
      <c r="AF3855" s="2">
        <f t="shared" si="641"/>
        <v>0</v>
      </c>
      <c r="AJ3855" s="2">
        <f t="shared" si="642"/>
        <v>0</v>
      </c>
      <c r="AK3855" s="2">
        <f t="shared" si="638"/>
        <v>200</v>
      </c>
      <c r="AL3855" s="5">
        <f t="shared" si="644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3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1"/>
        <v>0</v>
      </c>
      <c r="AG3856" s="2">
        <v>10.6</v>
      </c>
      <c r="AH3856" s="2">
        <v>18</v>
      </c>
      <c r="AJ3856" s="2">
        <f t="shared" si="642"/>
        <v>0</v>
      </c>
      <c r="AK3856" s="2">
        <f t="shared" si="638"/>
        <v>14.8</v>
      </c>
      <c r="AL3856" s="5">
        <f t="shared" si="644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3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1"/>
        <v>0</v>
      </c>
      <c r="AJ3857" s="2">
        <f t="shared" si="642"/>
        <v>0</v>
      </c>
      <c r="AK3857" s="2">
        <f t="shared" si="638"/>
        <v>34.904200000000003</v>
      </c>
      <c r="AL3857" s="5">
        <f t="shared" si="644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3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1"/>
        <v>0</v>
      </c>
      <c r="AG3858" s="2">
        <v>73</v>
      </c>
      <c r="AJ3858" s="2">
        <f t="shared" si="642"/>
        <v>0</v>
      </c>
      <c r="AK3858" s="2">
        <f t="shared" si="638"/>
        <v>46.900000000000006</v>
      </c>
      <c r="AL3858" s="5">
        <f t="shared" si="644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3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1"/>
        <v>0</v>
      </c>
      <c r="AG3859" s="2">
        <v>18.14</v>
      </c>
      <c r="AJ3859" s="2">
        <f t="shared" si="642"/>
        <v>0</v>
      </c>
      <c r="AK3859" s="2">
        <f t="shared" ref="AK3859:AK3890" si="645">T3859-W3859</f>
        <v>9.75</v>
      </c>
      <c r="AL3859" s="5">
        <f t="shared" si="644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3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1"/>
        <v>0</v>
      </c>
      <c r="AG3860" s="2">
        <v>5.23</v>
      </c>
      <c r="AH3860" s="2">
        <v>10.8</v>
      </c>
      <c r="AJ3860" s="2">
        <f t="shared" si="642"/>
        <v>0</v>
      </c>
      <c r="AK3860" s="2">
        <f t="shared" si="645"/>
        <v>5.57</v>
      </c>
      <c r="AL3860" s="5">
        <f t="shared" si="644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3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1"/>
        <v>0</v>
      </c>
      <c r="AG3861" s="2">
        <v>0.97</v>
      </c>
      <c r="AH3861" s="2">
        <v>6</v>
      </c>
      <c r="AJ3861" s="2">
        <f t="shared" si="642"/>
        <v>0</v>
      </c>
      <c r="AK3861" s="2">
        <f t="shared" si="645"/>
        <v>10.52</v>
      </c>
      <c r="AL3861" s="5">
        <f t="shared" si="644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3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1"/>
        <v>0</v>
      </c>
      <c r="AG3862" s="2">
        <v>5.9066999999999998</v>
      </c>
      <c r="AH3862" s="2">
        <v>12.6</v>
      </c>
      <c r="AJ3862" s="2">
        <f t="shared" si="642"/>
        <v>0</v>
      </c>
      <c r="AK3862" s="2">
        <f t="shared" si="645"/>
        <v>6.6932999999999998</v>
      </c>
      <c r="AL3862" s="5">
        <f t="shared" si="644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3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1"/>
        <v>0</v>
      </c>
      <c r="AG3863" s="2">
        <v>7.2217000000000002</v>
      </c>
      <c r="AH3863" s="2">
        <v>14.4</v>
      </c>
      <c r="AJ3863" s="2">
        <f t="shared" si="642"/>
        <v>0</v>
      </c>
      <c r="AK3863" s="2">
        <f t="shared" si="645"/>
        <v>7.1783000000000001</v>
      </c>
      <c r="AL3863" s="5">
        <f t="shared" si="644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3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1"/>
        <v>0</v>
      </c>
      <c r="AJ3864" s="2">
        <f t="shared" si="642"/>
        <v>0</v>
      </c>
      <c r="AK3864" s="2">
        <f t="shared" si="645"/>
        <v>8.3249999999999993</v>
      </c>
      <c r="AL3864" s="5">
        <f t="shared" si="644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3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1"/>
        <v>0</v>
      </c>
      <c r="AJ3865" s="2">
        <f t="shared" si="642"/>
        <v>0</v>
      </c>
      <c r="AK3865" s="2">
        <f t="shared" si="645"/>
        <v>9.9550000000000001</v>
      </c>
      <c r="AL3865" s="5">
        <f t="shared" si="644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3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1"/>
        <v>0</v>
      </c>
      <c r="AJ3866" s="2">
        <f t="shared" si="642"/>
        <v>0</v>
      </c>
      <c r="AK3866" s="2">
        <f t="shared" si="645"/>
        <v>11.793299999999999</v>
      </c>
      <c r="AL3866" s="5">
        <f t="shared" si="644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3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1"/>
        <v>0</v>
      </c>
      <c r="AJ3867" s="2">
        <f t="shared" si="642"/>
        <v>0</v>
      </c>
      <c r="AK3867" s="2">
        <f t="shared" si="645"/>
        <v>13.775099999999998</v>
      </c>
      <c r="AL3867" s="5">
        <f t="shared" si="644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3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1"/>
        <v>0</v>
      </c>
      <c r="AJ3868" s="2">
        <f t="shared" si="642"/>
        <v>0</v>
      </c>
      <c r="AK3868" s="2">
        <f t="shared" si="645"/>
        <v>8.7653999999999996</v>
      </c>
      <c r="AL3868" s="5">
        <f t="shared" si="644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3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1"/>
        <v>0</v>
      </c>
      <c r="AJ3869" s="2">
        <f t="shared" si="642"/>
        <v>0</v>
      </c>
      <c r="AK3869" s="2">
        <f t="shared" si="645"/>
        <v>9.2733000000000008</v>
      </c>
      <c r="AL3869" s="5">
        <f t="shared" si="644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3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1"/>
        <v>0</v>
      </c>
      <c r="AJ3870" s="2">
        <f t="shared" si="642"/>
        <v>0</v>
      </c>
      <c r="AK3870" s="2">
        <f t="shared" si="645"/>
        <v>10.5396</v>
      </c>
      <c r="AL3870" s="5">
        <f t="shared" si="644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3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1"/>
        <v>0</v>
      </c>
      <c r="AJ3871" s="2">
        <f t="shared" si="642"/>
        <v>0</v>
      </c>
      <c r="AK3871" s="2">
        <f t="shared" si="645"/>
        <v>11.29</v>
      </c>
      <c r="AL3871" s="5">
        <f t="shared" si="644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3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1"/>
        <v>0</v>
      </c>
      <c r="AG3872" s="2">
        <v>10.6</v>
      </c>
      <c r="AH3872" s="2">
        <v>18</v>
      </c>
      <c r="AJ3872" s="2">
        <f t="shared" si="642"/>
        <v>0</v>
      </c>
      <c r="AK3872" s="2">
        <f t="shared" si="645"/>
        <v>39</v>
      </c>
      <c r="AL3872" s="5">
        <f t="shared" si="644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3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1"/>
        <v>0</v>
      </c>
      <c r="AG3873" s="2">
        <v>25.094999999999999</v>
      </c>
      <c r="AH3873" s="2">
        <v>66</v>
      </c>
      <c r="AJ3873" s="2">
        <f t="shared" si="642"/>
        <v>0</v>
      </c>
      <c r="AK3873" s="2">
        <f t="shared" si="645"/>
        <v>24.904199999999999</v>
      </c>
      <c r="AL3873" s="5">
        <f t="shared" si="644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3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1"/>
        <v>0</v>
      </c>
      <c r="AG3874" s="2">
        <v>9.14</v>
      </c>
      <c r="AH3874" s="2">
        <v>16</v>
      </c>
      <c r="AJ3874" s="2">
        <f t="shared" si="642"/>
        <v>0</v>
      </c>
      <c r="AK3874" s="2">
        <f t="shared" si="645"/>
        <v>3.8600000000000012</v>
      </c>
      <c r="AL3874" s="5">
        <f t="shared" si="644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3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1"/>
        <v>0</v>
      </c>
      <c r="AG3875" s="2">
        <v>8.1999999999999993</v>
      </c>
      <c r="AH3875" s="2">
        <v>13</v>
      </c>
      <c r="AJ3875" s="2">
        <f t="shared" si="642"/>
        <v>0</v>
      </c>
      <c r="AK3875" s="2">
        <f t="shared" si="645"/>
        <v>19.199999999999996</v>
      </c>
      <c r="AL3875" s="5">
        <f t="shared" si="644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3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1"/>
        <v>0</v>
      </c>
      <c r="AJ3876" s="2">
        <f t="shared" si="642"/>
        <v>0</v>
      </c>
      <c r="AK3876" s="2">
        <f t="shared" si="645"/>
        <v>3.8600000000000012</v>
      </c>
      <c r="AL3876" s="5">
        <f t="shared" si="644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6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1"/>
        <v>0</v>
      </c>
      <c r="AG3877" s="2">
        <v>0.85609999999999997</v>
      </c>
      <c r="AH3877" s="2">
        <v>1.8</v>
      </c>
      <c r="AJ3877" s="2">
        <f t="shared" si="642"/>
        <v>0</v>
      </c>
      <c r="AK3877" s="2">
        <f t="shared" si="645"/>
        <v>7.5512000000000006</v>
      </c>
      <c r="AL3877" s="5">
        <f t="shared" ref="AL3877:AL3913" si="647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6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1"/>
        <v>0</v>
      </c>
      <c r="AG3878" s="2">
        <v>1.1122000000000001</v>
      </c>
      <c r="AH3878" s="2">
        <v>3</v>
      </c>
      <c r="AJ3878" s="2">
        <f t="shared" si="642"/>
        <v>0</v>
      </c>
      <c r="AK3878" s="2">
        <f t="shared" si="645"/>
        <v>15.102399999999999</v>
      </c>
      <c r="AL3878" s="5">
        <f t="shared" si="647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6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1"/>
        <v>0</v>
      </c>
      <c r="AG3879" s="2">
        <v>1.4114</v>
      </c>
      <c r="AH3879" s="2">
        <v>3</v>
      </c>
      <c r="AJ3879" s="2">
        <f t="shared" si="642"/>
        <v>0</v>
      </c>
      <c r="AK3879" s="2">
        <f t="shared" si="645"/>
        <v>6.3544</v>
      </c>
      <c r="AL3879" s="5">
        <f t="shared" si="647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6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1"/>
        <v>0</v>
      </c>
      <c r="AJ3880" s="2">
        <f t="shared" si="642"/>
        <v>0</v>
      </c>
      <c r="AK3880" s="2">
        <f t="shared" si="645"/>
        <v>5.2299999999999995</v>
      </c>
      <c r="AL3880" s="5">
        <f t="shared" si="647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6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1"/>
        <v>0</v>
      </c>
      <c r="AG3881" s="2">
        <v>15.020300000000001</v>
      </c>
      <c r="AH3881" s="2">
        <v>27.6</v>
      </c>
      <c r="AJ3881" s="2">
        <f t="shared" si="642"/>
        <v>0</v>
      </c>
      <c r="AK3881" s="2">
        <f t="shared" si="645"/>
        <v>7.9796999999999993</v>
      </c>
      <c r="AL3881" s="5">
        <f t="shared" si="647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6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1"/>
        <v>0</v>
      </c>
      <c r="AG3882" s="2">
        <v>8.3145000000000007</v>
      </c>
      <c r="AH3882" s="2">
        <v>15</v>
      </c>
      <c r="AJ3882" s="2">
        <f t="shared" si="642"/>
        <v>0</v>
      </c>
      <c r="AK3882" s="2">
        <f t="shared" si="645"/>
        <v>4.6854999999999993</v>
      </c>
      <c r="AL3882" s="5">
        <f t="shared" si="647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6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1"/>
        <v>0</v>
      </c>
      <c r="AJ3883" s="2">
        <f t="shared" si="642"/>
        <v>0</v>
      </c>
      <c r="AK3883" s="2">
        <f t="shared" si="645"/>
        <v>5.4499999999999993</v>
      </c>
      <c r="AL3883" s="5">
        <f t="shared" si="647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6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1"/>
        <v>0</v>
      </c>
      <c r="AG3884" s="2">
        <v>139.5</v>
      </c>
      <c r="AJ3884" s="2">
        <f t="shared" si="642"/>
        <v>0</v>
      </c>
      <c r="AK3884" s="2">
        <f t="shared" si="645"/>
        <v>25.5</v>
      </c>
      <c r="AL3884" s="5">
        <f t="shared" si="647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6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1"/>
        <v>0</v>
      </c>
      <c r="AG3885" s="2">
        <v>3.7357999999999998</v>
      </c>
      <c r="AH3885" s="2">
        <v>9</v>
      </c>
      <c r="AJ3885" s="2">
        <f t="shared" si="642"/>
        <v>0</v>
      </c>
      <c r="AK3885" s="2">
        <f t="shared" si="645"/>
        <v>21.056800000000003</v>
      </c>
      <c r="AL3885" s="5">
        <f t="shared" si="647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6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1"/>
        <v>0</v>
      </c>
      <c r="AG3886" s="2">
        <v>8.1999999999999993</v>
      </c>
      <c r="AH3886" s="2">
        <v>13</v>
      </c>
      <c r="AJ3886" s="2">
        <f t="shared" si="642"/>
        <v>0</v>
      </c>
      <c r="AK3886" s="2">
        <f t="shared" si="645"/>
        <v>4.7999999999999989</v>
      </c>
      <c r="AL3886" s="5">
        <f t="shared" si="647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6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1"/>
        <v>0</v>
      </c>
      <c r="AG3887" s="2">
        <v>15.020300000000001</v>
      </c>
      <c r="AH3887" s="2">
        <v>27.6</v>
      </c>
      <c r="AJ3887" s="2">
        <f t="shared" si="642"/>
        <v>0</v>
      </c>
      <c r="AK3887" s="2">
        <f t="shared" si="645"/>
        <v>7.9796999999999993</v>
      </c>
      <c r="AL3887" s="5">
        <f t="shared" si="647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6"/>
        <v>-0.2</v>
      </c>
      <c r="Z3888" s="2" t="s">
        <v>169</v>
      </c>
      <c r="AA3888" s="2" t="s">
        <v>169</v>
      </c>
      <c r="AF3888" s="2">
        <f t="shared" si="641"/>
        <v>0</v>
      </c>
      <c r="AJ3888" s="2">
        <f t="shared" si="642"/>
        <v>0</v>
      </c>
      <c r="AK3888" s="2">
        <f t="shared" si="645"/>
        <v>-1</v>
      </c>
      <c r="AL3888" s="5">
        <f t="shared" si="647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6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1"/>
        <v>0</v>
      </c>
      <c r="AJ3889" s="2">
        <f t="shared" si="642"/>
        <v>0</v>
      </c>
      <c r="AK3889" s="2">
        <f t="shared" si="645"/>
        <v>1649.08</v>
      </c>
      <c r="AL3889" s="5">
        <f t="shared" si="647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6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1"/>
        <v>0</v>
      </c>
      <c r="AG3890" s="2">
        <f>W3890</f>
        <v>95.100000000000009</v>
      </c>
      <c r="AJ3890" s="2">
        <f t="shared" si="642"/>
        <v>0</v>
      </c>
      <c r="AK3890" s="2">
        <f t="shared" si="645"/>
        <v>142.64999999999998</v>
      </c>
      <c r="AL3890" s="5">
        <f t="shared" si="647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6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1"/>
        <v>0</v>
      </c>
      <c r="AG3891" s="2">
        <f>W3891</f>
        <v>27.5</v>
      </c>
      <c r="AJ3891" s="2">
        <f t="shared" si="642"/>
        <v>0</v>
      </c>
      <c r="AK3891" s="2">
        <f t="shared" ref="AK3891:AK3922" si="648">T3891-W3891</f>
        <v>27.5</v>
      </c>
      <c r="AL3891" s="5">
        <f t="shared" si="647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6"/>
        <v>0.3</v>
      </c>
      <c r="Z3892" s="2" t="s">
        <v>119</v>
      </c>
      <c r="AA3892" s="2" t="s">
        <v>3378</v>
      </c>
      <c r="AF3892" s="2">
        <f t="shared" si="641"/>
        <v>0</v>
      </c>
      <c r="AJ3892" s="2">
        <f t="shared" si="642"/>
        <v>0</v>
      </c>
      <c r="AK3892" s="2">
        <f t="shared" si="648"/>
        <v>89.25</v>
      </c>
      <c r="AL3892" s="5">
        <f t="shared" si="647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6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1"/>
        <v>0</v>
      </c>
      <c r="AJ3893" s="2">
        <f t="shared" si="642"/>
        <v>0</v>
      </c>
      <c r="AK3893" s="2">
        <f t="shared" si="648"/>
        <v>146.92000000000002</v>
      </c>
      <c r="AL3893" s="5">
        <f t="shared" si="647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6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1"/>
        <v>0</v>
      </c>
      <c r="AG3894" s="2">
        <v>121.46</v>
      </c>
      <c r="AH3894" s="2">
        <v>210</v>
      </c>
      <c r="AJ3894" s="2">
        <f t="shared" si="642"/>
        <v>0</v>
      </c>
      <c r="AK3894" s="2">
        <f t="shared" si="648"/>
        <v>108.54</v>
      </c>
      <c r="AL3894" s="5">
        <f t="shared" si="647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6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1"/>
        <v>0</v>
      </c>
      <c r="AJ3895" s="2">
        <f t="shared" si="642"/>
        <v>0</v>
      </c>
      <c r="AK3895" s="2">
        <f t="shared" si="648"/>
        <v>0</v>
      </c>
      <c r="AL3895" s="5">
        <f t="shared" si="647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6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1"/>
        <v>0</v>
      </c>
      <c r="AJ3896" s="2">
        <f t="shared" si="642"/>
        <v>0</v>
      </c>
      <c r="AK3896" s="2">
        <f t="shared" si="648"/>
        <v>117.15</v>
      </c>
      <c r="AL3896" s="5">
        <f t="shared" si="647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6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1"/>
        <v>0</v>
      </c>
      <c r="AJ3897" s="2">
        <f t="shared" si="642"/>
        <v>0</v>
      </c>
      <c r="AK3897" s="2">
        <f t="shared" si="648"/>
        <v>0</v>
      </c>
      <c r="AL3897" s="5">
        <f t="shared" si="647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6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1"/>
        <v>0</v>
      </c>
      <c r="AG3898" s="2">
        <v>8.1999999999999993</v>
      </c>
      <c r="AH3898" s="2">
        <v>13</v>
      </c>
      <c r="AJ3898" s="2">
        <f t="shared" si="642"/>
        <v>0</v>
      </c>
      <c r="AK3898" s="2">
        <f t="shared" si="648"/>
        <v>5.7999999999999989</v>
      </c>
      <c r="AL3898" s="5">
        <f t="shared" si="647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6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1"/>
        <v>0</v>
      </c>
      <c r="AG3899" s="2">
        <v>10.6</v>
      </c>
      <c r="AH3899" s="2">
        <v>18</v>
      </c>
      <c r="AJ3899" s="2">
        <f t="shared" si="642"/>
        <v>0</v>
      </c>
      <c r="AK3899" s="2">
        <f t="shared" si="648"/>
        <v>14.8</v>
      </c>
      <c r="AL3899" s="5">
        <f t="shared" si="647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6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1"/>
        <v>0</v>
      </c>
      <c r="AG3900" s="2">
        <v>125.51600000000001</v>
      </c>
      <c r="AH3900" s="2">
        <v>220</v>
      </c>
      <c r="AJ3900" s="2">
        <f t="shared" si="642"/>
        <v>0</v>
      </c>
      <c r="AK3900" s="2">
        <f t="shared" si="648"/>
        <v>94.483999999999995</v>
      </c>
      <c r="AL3900" s="5">
        <f t="shared" si="647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6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1"/>
        <v>0</v>
      </c>
      <c r="AG3901" s="2">
        <v>111.98</v>
      </c>
      <c r="AH3901" s="2">
        <v>210</v>
      </c>
      <c r="AJ3901" s="2">
        <f t="shared" si="642"/>
        <v>0</v>
      </c>
      <c r="AK3901" s="2">
        <f t="shared" si="648"/>
        <v>93.02</v>
      </c>
      <c r="AL3901" s="5">
        <f t="shared" si="647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6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1"/>
        <v>0</v>
      </c>
      <c r="AG3902" s="2">
        <v>1.48</v>
      </c>
      <c r="AH3902" s="2">
        <v>1.48</v>
      </c>
      <c r="AJ3902" s="2">
        <f t="shared" si="642"/>
        <v>0</v>
      </c>
      <c r="AK3902" s="2">
        <f t="shared" si="648"/>
        <v>0</v>
      </c>
      <c r="AL3902" s="5">
        <f t="shared" si="647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6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1"/>
        <v>0</v>
      </c>
      <c r="AJ3903" s="2">
        <f t="shared" si="642"/>
        <v>0</v>
      </c>
      <c r="AK3903" s="2">
        <f t="shared" si="648"/>
        <v>17.555</v>
      </c>
      <c r="AL3903" s="5">
        <f t="shared" si="647"/>
        <v>0.39011111111111113</v>
      </c>
    </row>
    <row r="3904" spans="1:38" x14ac:dyDescent="0.2">
      <c r="A3904" s="2">
        <v>2026</v>
      </c>
      <c r="B3904" s="2">
        <v>5</v>
      </c>
      <c r="C3904" s="2" t="s">
        <v>3433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6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1"/>
        <v>0</v>
      </c>
      <c r="AG3904" s="2">
        <v>104.49</v>
      </c>
      <c r="AH3904" s="2">
        <v>220</v>
      </c>
      <c r="AJ3904" s="2">
        <f t="shared" si="642"/>
        <v>0</v>
      </c>
      <c r="AK3904" s="2">
        <f t="shared" si="648"/>
        <v>115.51</v>
      </c>
      <c r="AL3904" s="5">
        <f t="shared" si="647"/>
        <v>0.52504545454545459</v>
      </c>
    </row>
    <row r="3905" spans="1:38" x14ac:dyDescent="0.2">
      <c r="A3905" s="2">
        <v>2026</v>
      </c>
      <c r="B3905" s="2">
        <v>5</v>
      </c>
      <c r="C3905" s="2" t="s">
        <v>3433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W3905" s="2">
        <v>1.48</v>
      </c>
      <c r="X3905" s="5">
        <f t="shared" si="646"/>
        <v>0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9">AJ3905</f>
        <v>0</v>
      </c>
      <c r="AJ3905" s="2">
        <f t="shared" ref="AJ3905:AJ3968" si="650">AI3905*T3905</f>
        <v>0</v>
      </c>
      <c r="AK3905" s="2">
        <f t="shared" si="648"/>
        <v>0</v>
      </c>
      <c r="AL3905" s="5">
        <f t="shared" si="647"/>
        <v>0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6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9"/>
        <v>0</v>
      </c>
      <c r="AG3906" s="2">
        <v>14.4</v>
      </c>
      <c r="AH3906" s="2">
        <v>21</v>
      </c>
      <c r="AJ3906" s="2">
        <f t="shared" si="650"/>
        <v>0</v>
      </c>
      <c r="AK3906" s="2">
        <f t="shared" si="648"/>
        <v>6.6</v>
      </c>
      <c r="AL3906" s="5">
        <f t="shared" si="647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6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9"/>
        <v>0</v>
      </c>
      <c r="AG3907" s="2">
        <v>10.6</v>
      </c>
      <c r="AH3907" s="2">
        <v>18</v>
      </c>
      <c r="AJ3907" s="2">
        <f t="shared" si="650"/>
        <v>0</v>
      </c>
      <c r="AK3907" s="2">
        <f t="shared" si="648"/>
        <v>44</v>
      </c>
      <c r="AL3907" s="5">
        <f t="shared" si="647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6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9"/>
        <v>0</v>
      </c>
      <c r="AG3908" s="2">
        <v>15.020300000000001</v>
      </c>
      <c r="AH3908" s="2">
        <v>27.6</v>
      </c>
      <c r="AJ3908" s="2">
        <f t="shared" si="650"/>
        <v>0</v>
      </c>
      <c r="AK3908" s="2">
        <f t="shared" si="648"/>
        <v>9.4796999999999993</v>
      </c>
      <c r="AL3908" s="5">
        <f t="shared" si="647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1">(T3909-W3909)/T3909</f>
        <v>0.3</v>
      </c>
      <c r="Z3909" s="2" t="s">
        <v>117</v>
      </c>
      <c r="AA3909" s="2" t="s">
        <v>1310</v>
      </c>
      <c r="AF3909" s="2">
        <f t="shared" si="649"/>
        <v>0</v>
      </c>
      <c r="AJ3909" s="2">
        <f t="shared" si="650"/>
        <v>0</v>
      </c>
      <c r="AK3909" s="2">
        <f t="shared" si="648"/>
        <v>31.448999999999998</v>
      </c>
      <c r="AL3909" s="5">
        <f t="shared" si="647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1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9"/>
        <v>0</v>
      </c>
      <c r="AG3910" s="2">
        <v>10.6</v>
      </c>
      <c r="AH3910" s="2">
        <v>18</v>
      </c>
      <c r="AJ3910" s="2">
        <f t="shared" si="650"/>
        <v>0</v>
      </c>
      <c r="AK3910" s="2">
        <f t="shared" si="648"/>
        <v>44</v>
      </c>
      <c r="AL3910" s="5">
        <f t="shared" si="647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1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9"/>
        <v>0</v>
      </c>
      <c r="AG3911" s="2">
        <v>8.1999999999999993</v>
      </c>
      <c r="AH3911" s="2">
        <v>13</v>
      </c>
      <c r="AJ3911" s="2">
        <f t="shared" si="650"/>
        <v>0</v>
      </c>
      <c r="AK3911" s="2">
        <f t="shared" si="648"/>
        <v>28</v>
      </c>
      <c r="AL3911" s="5">
        <f t="shared" si="647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1"/>
        <v>-0.2</v>
      </c>
      <c r="Z3912" s="2" t="s">
        <v>169</v>
      </c>
      <c r="AA3912" s="2" t="s">
        <v>169</v>
      </c>
      <c r="AF3912" s="2">
        <f t="shared" si="649"/>
        <v>0</v>
      </c>
      <c r="AJ3912" s="2">
        <f t="shared" si="650"/>
        <v>0</v>
      </c>
      <c r="AK3912" s="2">
        <f t="shared" si="648"/>
        <v>-1</v>
      </c>
      <c r="AL3912" s="5">
        <f t="shared" si="647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1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9"/>
        <v>0</v>
      </c>
      <c r="AG3913" s="2">
        <v>125.51600000000001</v>
      </c>
      <c r="AH3913" s="2">
        <v>220</v>
      </c>
      <c r="AJ3913" s="2">
        <f t="shared" si="650"/>
        <v>0</v>
      </c>
      <c r="AK3913" s="2">
        <f t="shared" si="648"/>
        <v>64.483999999999995</v>
      </c>
      <c r="AL3913" s="5">
        <f t="shared" si="647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9"/>
        <v>0</v>
      </c>
      <c r="AJ3914" s="2">
        <f t="shared" si="650"/>
        <v>0</v>
      </c>
      <c r="AK3914" s="2">
        <f t="shared" si="648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9"/>
        <v>0</v>
      </c>
      <c r="AJ3915" s="2">
        <f t="shared" si="650"/>
        <v>0</v>
      </c>
      <c r="AK3915" s="2">
        <f t="shared" si="648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9"/>
        <v>0</v>
      </c>
      <c r="AG3916" s="2">
        <v>35.931699999999999</v>
      </c>
      <c r="AJ3916" s="2">
        <f t="shared" si="650"/>
        <v>0</v>
      </c>
      <c r="AK3916" s="2">
        <f t="shared" si="648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9"/>
        <v>0</v>
      </c>
      <c r="AG3917" s="2">
        <v>5.33</v>
      </c>
      <c r="AJ3917" s="2">
        <f t="shared" si="650"/>
        <v>0</v>
      </c>
      <c r="AK3917" s="2">
        <f t="shared" si="648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2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9"/>
        <v>0</v>
      </c>
      <c r="AG3918" s="2">
        <f>W3918</f>
        <v>27.400000000000002</v>
      </c>
      <c r="AJ3918" s="2">
        <f t="shared" si="650"/>
        <v>0</v>
      </c>
      <c r="AK3918" s="2">
        <f t="shared" si="648"/>
        <v>-95.9</v>
      </c>
      <c r="AL3918" s="18">
        <f t="shared" ref="AL3918:AL3919" si="653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2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9"/>
        <v>0</v>
      </c>
      <c r="AG3919" s="2">
        <f>W3919</f>
        <v>3.125</v>
      </c>
      <c r="AJ3919" s="2">
        <f t="shared" si="650"/>
        <v>0</v>
      </c>
      <c r="AK3919" s="2">
        <f t="shared" si="648"/>
        <v>-9.375</v>
      </c>
      <c r="AL3919" s="18">
        <f t="shared" si="653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4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9"/>
        <v>0</v>
      </c>
      <c r="AJ3920" s="2">
        <f t="shared" si="650"/>
        <v>0</v>
      </c>
      <c r="AK3920" s="2">
        <f t="shared" si="648"/>
        <v>146.92000000000002</v>
      </c>
      <c r="AL3920" s="5">
        <f t="shared" ref="AL3920:AL3939" si="655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4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9"/>
        <v>0</v>
      </c>
      <c r="AG3921" s="2">
        <v>10.6</v>
      </c>
      <c r="AH3921" s="2">
        <v>18</v>
      </c>
      <c r="AJ3921" s="2">
        <f t="shared" si="650"/>
        <v>0</v>
      </c>
      <c r="AK3921" s="2">
        <f t="shared" si="648"/>
        <v>17.600000000000001</v>
      </c>
      <c r="AL3921" s="5">
        <f t="shared" si="655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4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9"/>
        <v>0</v>
      </c>
      <c r="AJ3922" s="2">
        <f t="shared" si="650"/>
        <v>0</v>
      </c>
      <c r="AK3922" s="2">
        <f t="shared" si="648"/>
        <v>14.219999999999999</v>
      </c>
      <c r="AL3922" s="5">
        <f t="shared" si="655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4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9"/>
        <v>0</v>
      </c>
      <c r="AG3923" s="2">
        <v>35.931699999999999</v>
      </c>
      <c r="AJ3923" s="2">
        <f t="shared" si="650"/>
        <v>0</v>
      </c>
      <c r="AK3923" s="2">
        <f t="shared" ref="AK3923:AK3940" si="656">T3923-W3923</f>
        <v>84.728400000000008</v>
      </c>
      <c r="AL3923" s="5">
        <f t="shared" si="655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4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9"/>
        <v>0</v>
      </c>
      <c r="AG3924" s="2">
        <v>15.020300000000001</v>
      </c>
      <c r="AH3924" s="2">
        <v>27.6</v>
      </c>
      <c r="AJ3924" s="2">
        <f t="shared" si="650"/>
        <v>0</v>
      </c>
      <c r="AK3924" s="2">
        <f t="shared" si="656"/>
        <v>12.579700000000001</v>
      </c>
      <c r="AL3924" s="5">
        <f t="shared" si="655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4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9"/>
        <v>0</v>
      </c>
      <c r="AG3925" s="2">
        <v>131.93</v>
      </c>
      <c r="AH3925" s="2">
        <v>220</v>
      </c>
      <c r="AJ3925" s="2">
        <f t="shared" si="650"/>
        <v>0</v>
      </c>
      <c r="AK3925" s="2">
        <f t="shared" si="656"/>
        <v>98.07</v>
      </c>
      <c r="AL3925" s="5">
        <f t="shared" si="655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4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9"/>
        <v>0</v>
      </c>
      <c r="AJ3926" s="2">
        <f t="shared" si="650"/>
        <v>0</v>
      </c>
      <c r="AK3926" s="2">
        <f t="shared" si="656"/>
        <v>0</v>
      </c>
      <c r="AL3926" s="5">
        <f t="shared" si="655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4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9"/>
        <v>0</v>
      </c>
      <c r="AG3927" s="2">
        <v>5.23</v>
      </c>
      <c r="AH3927" s="2">
        <v>10.8</v>
      </c>
      <c r="AJ3927" s="2">
        <f t="shared" si="650"/>
        <v>0</v>
      </c>
      <c r="AK3927" s="2">
        <f t="shared" si="656"/>
        <v>9.77</v>
      </c>
      <c r="AL3927" s="5">
        <f t="shared" si="655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4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9"/>
        <v>0</v>
      </c>
      <c r="AG3928" s="2">
        <v>0.97</v>
      </c>
      <c r="AH3928" s="2">
        <v>6</v>
      </c>
      <c r="AJ3928" s="2">
        <f t="shared" si="650"/>
        <v>0</v>
      </c>
      <c r="AK3928" s="2">
        <f t="shared" si="656"/>
        <v>4.03</v>
      </c>
      <c r="AL3928" s="5">
        <f t="shared" si="655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4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9"/>
        <v>0</v>
      </c>
      <c r="AG3929" s="2">
        <v>3.7357999999999998</v>
      </c>
      <c r="AH3929" s="2">
        <v>9</v>
      </c>
      <c r="AJ3929" s="2">
        <f t="shared" si="650"/>
        <v>0</v>
      </c>
      <c r="AK3929" s="2">
        <f t="shared" si="656"/>
        <v>5.2642000000000007</v>
      </c>
      <c r="AL3929" s="5">
        <f t="shared" si="655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4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9"/>
        <v>0</v>
      </c>
      <c r="AG3930" s="2">
        <v>10.6</v>
      </c>
      <c r="AH3930" s="2">
        <v>18</v>
      </c>
      <c r="AJ3930" s="2">
        <f t="shared" si="650"/>
        <v>0</v>
      </c>
      <c r="AK3930" s="2">
        <f t="shared" si="656"/>
        <v>37</v>
      </c>
      <c r="AL3930" s="5">
        <f t="shared" si="655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4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9"/>
        <v>0</v>
      </c>
      <c r="AG3931" s="2">
        <v>8.1999999999999993</v>
      </c>
      <c r="AH3931" s="2">
        <v>13</v>
      </c>
      <c r="AJ3931" s="2">
        <f t="shared" si="650"/>
        <v>0</v>
      </c>
      <c r="AK3931" s="2">
        <f t="shared" si="656"/>
        <v>32.599999999999994</v>
      </c>
      <c r="AL3931" s="5">
        <f t="shared" si="655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4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9"/>
        <v>0</v>
      </c>
      <c r="AJ3932" s="2">
        <f t="shared" si="650"/>
        <v>0</v>
      </c>
      <c r="AK3932" s="2">
        <f t="shared" si="656"/>
        <v>6.8600000000000012</v>
      </c>
      <c r="AL3932" s="5">
        <f t="shared" si="655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4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9"/>
        <v>0</v>
      </c>
      <c r="AG3933" s="2">
        <v>8.1999999999999993</v>
      </c>
      <c r="AH3933" s="2">
        <v>13</v>
      </c>
      <c r="AJ3933" s="2">
        <f t="shared" si="650"/>
        <v>0</v>
      </c>
      <c r="AK3933" s="2">
        <f t="shared" si="656"/>
        <v>4.7999999999999989</v>
      </c>
      <c r="AL3933" s="5">
        <f t="shared" si="655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4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9"/>
        <v>0</v>
      </c>
      <c r="AG3934" s="2">
        <v>125.51600000000001</v>
      </c>
      <c r="AH3934" s="2">
        <v>220</v>
      </c>
      <c r="AJ3934" s="2">
        <f t="shared" si="650"/>
        <v>0</v>
      </c>
      <c r="AK3934" s="2">
        <f t="shared" si="656"/>
        <v>94.483999999999995</v>
      </c>
      <c r="AL3934" s="5">
        <f t="shared" si="655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4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9"/>
        <v>0</v>
      </c>
      <c r="AJ3935" s="2">
        <f t="shared" si="650"/>
        <v>0</v>
      </c>
      <c r="AK3935" s="2">
        <f t="shared" si="656"/>
        <v>0</v>
      </c>
      <c r="AL3935" s="5">
        <f t="shared" si="655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4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9"/>
        <v>0</v>
      </c>
      <c r="AJ3936" s="2">
        <f t="shared" si="650"/>
        <v>0</v>
      </c>
      <c r="AK3936" s="2">
        <f t="shared" si="656"/>
        <v>94</v>
      </c>
      <c r="AL3936" s="5">
        <f t="shared" si="655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4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9"/>
        <v>0</v>
      </c>
      <c r="AG3937" s="2">
        <v>1.48</v>
      </c>
      <c r="AH3937" s="2">
        <v>1.48</v>
      </c>
      <c r="AJ3937" s="2">
        <f t="shared" si="650"/>
        <v>0</v>
      </c>
      <c r="AK3937" s="2">
        <f t="shared" si="656"/>
        <v>0</v>
      </c>
      <c r="AL3937" s="5">
        <f t="shared" si="655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4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9"/>
        <v>0</v>
      </c>
      <c r="AG3938" s="2">
        <f>144.14+15.4</f>
        <v>159.54</v>
      </c>
      <c r="AH3938" s="2">
        <v>280</v>
      </c>
      <c r="AJ3938" s="2">
        <f t="shared" si="650"/>
        <v>0</v>
      </c>
      <c r="AK3938" s="2">
        <f t="shared" si="656"/>
        <v>98.060000000000031</v>
      </c>
      <c r="AL3938" s="5">
        <f t="shared" si="655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4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9"/>
        <v>0</v>
      </c>
      <c r="AJ3939" s="2">
        <f t="shared" si="650"/>
        <v>0</v>
      </c>
      <c r="AK3939" s="2">
        <f t="shared" si="656"/>
        <v>0</v>
      </c>
      <c r="AL3939" s="5">
        <f t="shared" si="655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9"/>
        <v>0</v>
      </c>
      <c r="AJ3940" s="2">
        <f t="shared" si="650"/>
        <v>0</v>
      </c>
      <c r="AK3940" s="2">
        <f t="shared" si="656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7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9"/>
        <v>0</v>
      </c>
      <c r="AG3941" s="2">
        <v>5.1349999999999998</v>
      </c>
      <c r="AJ3941" s="2">
        <f t="shared" si="650"/>
        <v>0</v>
      </c>
      <c r="AK3941" s="2">
        <f t="shared" ref="AK3941:AK3950" si="658">T3941-W3941</f>
        <v>17.650000000000006</v>
      </c>
      <c r="AL3941" s="5">
        <f t="shared" ref="AL3941:AL3946" si="659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7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9"/>
        <v>0</v>
      </c>
      <c r="AG3942" s="2">
        <v>5.1349999999999998</v>
      </c>
      <c r="AJ3942" s="2">
        <f t="shared" si="650"/>
        <v>0</v>
      </c>
      <c r="AK3942" s="2">
        <f t="shared" si="658"/>
        <v>17.650000000000006</v>
      </c>
      <c r="AL3942" s="5">
        <f t="shared" si="659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7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9"/>
        <v>0</v>
      </c>
      <c r="AG3943" s="2">
        <v>14.4</v>
      </c>
      <c r="AH3943" s="2">
        <v>21</v>
      </c>
      <c r="AJ3943" s="2">
        <f t="shared" si="650"/>
        <v>0</v>
      </c>
      <c r="AK3943" s="2">
        <f t="shared" si="658"/>
        <v>6.6</v>
      </c>
      <c r="AL3943" s="5">
        <f t="shared" si="659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7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9"/>
        <v>0</v>
      </c>
      <c r="AJ3944" s="2">
        <f t="shared" si="650"/>
        <v>0</v>
      </c>
      <c r="AK3944" s="2">
        <f t="shared" si="658"/>
        <v>26</v>
      </c>
      <c r="AL3944" s="5">
        <f t="shared" si="659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7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9"/>
        <v>0</v>
      </c>
      <c r="AG3945" s="2">
        <v>9.2346000000000004</v>
      </c>
      <c r="AJ3945" s="2">
        <f t="shared" si="650"/>
        <v>0</v>
      </c>
      <c r="AK3945" s="2">
        <f t="shared" si="658"/>
        <v>8.7653999999999996</v>
      </c>
      <c r="AL3945" s="5">
        <f t="shared" si="659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7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9"/>
        <v>0</v>
      </c>
      <c r="AG3946" s="2">
        <v>8.1999999999999993</v>
      </c>
      <c r="AH3946" s="2">
        <v>13</v>
      </c>
      <c r="AJ3946" s="2">
        <f t="shared" si="650"/>
        <v>0</v>
      </c>
      <c r="AK3946" s="2">
        <f t="shared" si="658"/>
        <v>28</v>
      </c>
      <c r="AL3946" s="5">
        <f t="shared" si="659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9"/>
        <v>0</v>
      </c>
      <c r="AG3947" s="2">
        <v>19.68</v>
      </c>
      <c r="AJ3947" s="2">
        <f t="shared" si="650"/>
        <v>0</v>
      </c>
      <c r="AK3947" s="2">
        <f t="shared" si="658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9"/>
        <v>0</v>
      </c>
      <c r="AG3948" s="2">
        <v>11.525</v>
      </c>
      <c r="AJ3948" s="2">
        <f t="shared" si="650"/>
        <v>0</v>
      </c>
      <c r="AK3948" s="2">
        <f t="shared" si="658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9"/>
        <v>0</v>
      </c>
      <c r="AG3949" s="2">
        <v>25.2</v>
      </c>
      <c r="AJ3949" s="2">
        <f t="shared" si="650"/>
        <v>0</v>
      </c>
      <c r="AK3949" s="2">
        <f t="shared" si="658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9"/>
        <v>0</v>
      </c>
      <c r="AG3950" s="2">
        <f>4893.23+171</f>
        <v>5064.2299999999996</v>
      </c>
      <c r="AJ3950" s="2">
        <f t="shared" si="650"/>
        <v>0</v>
      </c>
      <c r="AK3950" s="2">
        <f t="shared" si="658"/>
        <v>-12054.23</v>
      </c>
      <c r="AL3950" s="18">
        <f t="shared" ref="AL3950" si="660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1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9"/>
        <v>0</v>
      </c>
      <c r="AG3951" s="2">
        <v>6468.73</v>
      </c>
      <c r="AJ3951" s="2">
        <f t="shared" si="650"/>
        <v>0</v>
      </c>
      <c r="AK3951" s="2">
        <f t="shared" ref="AK3951:AK3982" si="662">T3951-W3951</f>
        <v>3461.2700000000004</v>
      </c>
      <c r="AL3951" s="5">
        <f t="shared" ref="AL3951:AL3982" si="663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1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9"/>
        <v>0</v>
      </c>
      <c r="AJ3952" s="2">
        <f t="shared" si="650"/>
        <v>0</v>
      </c>
      <c r="AK3952" s="2">
        <f t="shared" si="662"/>
        <v>1163.8</v>
      </c>
      <c r="AL3952" s="5">
        <f t="shared" si="663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1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9"/>
        <v>0</v>
      </c>
      <c r="AG3953" s="2">
        <v>122.446</v>
      </c>
      <c r="AH3953" s="2">
        <v>230</v>
      </c>
      <c r="AJ3953" s="2">
        <f t="shared" si="650"/>
        <v>0</v>
      </c>
      <c r="AK3953" s="2">
        <f t="shared" si="662"/>
        <v>107.554</v>
      </c>
      <c r="AL3953" s="5">
        <f t="shared" si="663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1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9"/>
        <v>0</v>
      </c>
      <c r="AJ3954" s="2">
        <f t="shared" si="650"/>
        <v>0</v>
      </c>
      <c r="AK3954" s="2">
        <f t="shared" si="662"/>
        <v>0</v>
      </c>
      <c r="AL3954" s="5">
        <f t="shared" si="663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1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9"/>
        <v>0</v>
      </c>
      <c r="AG3955" s="2">
        <v>6.6266999999999996</v>
      </c>
      <c r="AH3955" s="2">
        <v>12</v>
      </c>
      <c r="AJ3955" s="2">
        <f t="shared" si="650"/>
        <v>0</v>
      </c>
      <c r="AK3955" s="2">
        <f t="shared" si="662"/>
        <v>5.3733000000000004</v>
      </c>
      <c r="AL3955" s="5">
        <f t="shared" si="663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1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9"/>
        <v>0</v>
      </c>
      <c r="AG3956" s="2">
        <v>10.6</v>
      </c>
      <c r="AH3956" s="2">
        <v>18</v>
      </c>
      <c r="AJ3956" s="2">
        <f t="shared" si="650"/>
        <v>0</v>
      </c>
      <c r="AK3956" s="2">
        <f t="shared" si="662"/>
        <v>14.8</v>
      </c>
      <c r="AL3956" s="5">
        <f t="shared" si="663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1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9"/>
        <v>0</v>
      </c>
      <c r="AG3957" s="2">
        <v>71.381</v>
      </c>
      <c r="AJ3957" s="2">
        <f t="shared" si="650"/>
        <v>0</v>
      </c>
      <c r="AK3957" s="2">
        <f t="shared" si="662"/>
        <v>81.028999999999996</v>
      </c>
      <c r="AL3957" s="5">
        <f t="shared" si="663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1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9"/>
        <v>0</v>
      </c>
      <c r="AG3958" s="2">
        <f>9.75+0.63</f>
        <v>10.38</v>
      </c>
      <c r="AJ3958" s="2">
        <f t="shared" si="650"/>
        <v>0</v>
      </c>
      <c r="AK3958" s="2">
        <f t="shared" si="662"/>
        <v>22.23</v>
      </c>
      <c r="AL3958" s="5">
        <f t="shared" si="663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1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9"/>
        <v>0</v>
      </c>
      <c r="AG3959" s="2">
        <v>122.446</v>
      </c>
      <c r="AH3959" s="2">
        <v>230</v>
      </c>
      <c r="AJ3959" s="2">
        <f t="shared" si="650"/>
        <v>0</v>
      </c>
      <c r="AK3959" s="2">
        <f t="shared" si="662"/>
        <v>107.554</v>
      </c>
      <c r="AL3959" s="5">
        <f t="shared" si="663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1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9"/>
        <v>0</v>
      </c>
      <c r="AJ3960" s="2">
        <f t="shared" si="650"/>
        <v>0</v>
      </c>
      <c r="AK3960" s="2">
        <f t="shared" si="662"/>
        <v>112.15</v>
      </c>
      <c r="AL3960" s="5">
        <f t="shared" si="663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1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9"/>
        <v>0</v>
      </c>
      <c r="AJ3961" s="2">
        <f t="shared" si="650"/>
        <v>0</v>
      </c>
      <c r="AK3961" s="2">
        <f t="shared" si="662"/>
        <v>0</v>
      </c>
      <c r="AL3961" s="5">
        <f t="shared" si="663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1"/>
        <v>1</v>
      </c>
      <c r="Z3962" s="2" t="s">
        <v>119</v>
      </c>
      <c r="AA3962" s="2" t="s">
        <v>492</v>
      </c>
      <c r="AF3962" s="2">
        <f t="shared" si="649"/>
        <v>0</v>
      </c>
      <c r="AJ3962" s="2">
        <f t="shared" si="650"/>
        <v>0</v>
      </c>
      <c r="AK3962" s="2">
        <f t="shared" si="662"/>
        <v>1357.82</v>
      </c>
      <c r="AL3962" s="5">
        <f t="shared" si="663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1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9"/>
        <v>0</v>
      </c>
      <c r="AG3963" s="2">
        <f>88.6+1.81</f>
        <v>90.41</v>
      </c>
      <c r="AJ3963" s="2">
        <f t="shared" si="650"/>
        <v>0</v>
      </c>
      <c r="AK3963" s="2">
        <f t="shared" si="662"/>
        <v>97.509999999999991</v>
      </c>
      <c r="AL3963" s="5">
        <f t="shared" si="663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1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9"/>
        <v>0</v>
      </c>
      <c r="AG3964" s="2">
        <f>12.87+0.3</f>
        <v>13.17</v>
      </c>
      <c r="AJ3964" s="2">
        <f t="shared" si="650"/>
        <v>0</v>
      </c>
      <c r="AK3964" s="2">
        <f t="shared" si="662"/>
        <v>14.664999999999999</v>
      </c>
      <c r="AL3964" s="5">
        <f t="shared" si="663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1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9"/>
        <v>0</v>
      </c>
      <c r="AG3965" s="2">
        <f>W3965</f>
        <v>37.6</v>
      </c>
      <c r="AJ3965" s="2">
        <f t="shared" si="650"/>
        <v>0</v>
      </c>
      <c r="AK3965" s="2">
        <f t="shared" si="662"/>
        <v>56.4</v>
      </c>
      <c r="AL3965" s="5">
        <f t="shared" si="663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1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9"/>
        <v>0</v>
      </c>
      <c r="AG3966" s="2">
        <f>W3966</f>
        <v>27.5</v>
      </c>
      <c r="AJ3966" s="2">
        <f t="shared" si="650"/>
        <v>0</v>
      </c>
      <c r="AK3966" s="2">
        <f t="shared" si="662"/>
        <v>27.5</v>
      </c>
      <c r="AL3966" s="5">
        <f t="shared" si="663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1"/>
        <v>0.3000000000000001</v>
      </c>
      <c r="Z3967" s="2" t="s">
        <v>117</v>
      </c>
      <c r="AA3967" s="2" t="s">
        <v>1310</v>
      </c>
      <c r="AF3967" s="2">
        <f t="shared" si="649"/>
        <v>0</v>
      </c>
      <c r="AJ3967" s="2">
        <f t="shared" si="650"/>
        <v>0</v>
      </c>
      <c r="AK3967" s="2">
        <f t="shared" si="662"/>
        <v>26.250000000000007</v>
      </c>
      <c r="AL3967" s="5">
        <f t="shared" si="663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1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9"/>
        <v>0</v>
      </c>
      <c r="AG3968" s="2">
        <v>110.68</v>
      </c>
      <c r="AH3968" s="2">
        <v>210</v>
      </c>
      <c r="AJ3968" s="2">
        <f t="shared" si="650"/>
        <v>0</v>
      </c>
      <c r="AK3968" s="2">
        <f t="shared" si="662"/>
        <v>198.64</v>
      </c>
      <c r="AL3968" s="5">
        <f t="shared" si="663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1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4">AJ3969</f>
        <v>0</v>
      </c>
      <c r="AJ3969" s="2">
        <f t="shared" ref="AJ3969:AJ4032" si="665">AI3969*T3969</f>
        <v>0</v>
      </c>
      <c r="AK3969" s="2">
        <f t="shared" si="662"/>
        <v>0</v>
      </c>
      <c r="AL3969" s="5">
        <f t="shared" si="663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4"/>
        <v>0</v>
      </c>
      <c r="AG3970" s="2">
        <v>125.51600000000001</v>
      </c>
      <c r="AH3970" s="2">
        <v>220</v>
      </c>
      <c r="AJ3970" s="2">
        <f t="shared" si="665"/>
        <v>0</v>
      </c>
      <c r="AK3970" s="2">
        <f t="shared" si="662"/>
        <v>94.483999999999995</v>
      </c>
      <c r="AL3970" s="5">
        <f t="shared" si="663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6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4"/>
        <v>0</v>
      </c>
      <c r="AJ3971" s="2">
        <f t="shared" si="665"/>
        <v>0</v>
      </c>
      <c r="AK3971" s="2">
        <f t="shared" si="662"/>
        <v>0</v>
      </c>
      <c r="AL3971" s="5">
        <f t="shared" si="663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6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4"/>
        <v>0</v>
      </c>
      <c r="AG3972" s="2">
        <v>110.68</v>
      </c>
      <c r="AH3972" s="2">
        <v>210</v>
      </c>
      <c r="AJ3972" s="2">
        <f t="shared" si="665"/>
        <v>0</v>
      </c>
      <c r="AK3972" s="2">
        <f t="shared" si="662"/>
        <v>89.32</v>
      </c>
      <c r="AL3972" s="5">
        <f t="shared" si="663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6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4"/>
        <v>0</v>
      </c>
      <c r="AJ3973" s="2">
        <f t="shared" si="665"/>
        <v>0</v>
      </c>
      <c r="AK3973" s="2">
        <f t="shared" si="662"/>
        <v>0</v>
      </c>
      <c r="AL3973" s="5">
        <f t="shared" si="663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6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4"/>
        <v>0</v>
      </c>
      <c r="AG3974" s="2">
        <v>143.91999999999999</v>
      </c>
      <c r="AJ3974" s="2">
        <f t="shared" si="665"/>
        <v>0</v>
      </c>
      <c r="AK3974" s="2">
        <f t="shared" si="662"/>
        <v>86.080000000000013</v>
      </c>
      <c r="AL3974" s="5">
        <f t="shared" si="663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6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4"/>
        <v>0</v>
      </c>
      <c r="AG3975" s="2">
        <v>1.48</v>
      </c>
      <c r="AH3975" s="2">
        <v>1.48</v>
      </c>
      <c r="AJ3975" s="2">
        <f t="shared" si="665"/>
        <v>0</v>
      </c>
      <c r="AK3975" s="2">
        <f t="shared" si="662"/>
        <v>0</v>
      </c>
      <c r="AL3975" s="5">
        <f t="shared" si="663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6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4"/>
        <v>0</v>
      </c>
      <c r="AG3976" s="2">
        <v>120.78</v>
      </c>
      <c r="AH3976" s="2">
        <v>210</v>
      </c>
      <c r="AJ3976" s="2">
        <f t="shared" si="665"/>
        <v>0</v>
      </c>
      <c r="AK3976" s="2">
        <f t="shared" si="662"/>
        <v>139.22</v>
      </c>
      <c r="AL3976" s="5">
        <f t="shared" si="663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6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4"/>
        <v>0</v>
      </c>
      <c r="AJ3977" s="2">
        <f t="shared" si="665"/>
        <v>0</v>
      </c>
      <c r="AK3977" s="2">
        <f t="shared" si="662"/>
        <v>0</v>
      </c>
      <c r="AL3977" s="5">
        <f t="shared" si="663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6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4"/>
        <v>0</v>
      </c>
      <c r="AG3978" s="2">
        <f>W3978</f>
        <v>24</v>
      </c>
      <c r="AJ3978" s="2">
        <f t="shared" si="665"/>
        <v>0</v>
      </c>
      <c r="AK3978" s="2">
        <f t="shared" si="662"/>
        <v>36</v>
      </c>
      <c r="AL3978" s="5">
        <f t="shared" si="663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6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4"/>
        <v>0</v>
      </c>
      <c r="AG3979" s="2">
        <f>W3979</f>
        <v>27.5</v>
      </c>
      <c r="AJ3979" s="2">
        <f t="shared" si="665"/>
        <v>0</v>
      </c>
      <c r="AK3979" s="2">
        <f t="shared" si="662"/>
        <v>27.5</v>
      </c>
      <c r="AL3979" s="5">
        <f t="shared" si="663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4"/>
        <v>0</v>
      </c>
      <c r="AG3980" s="2">
        <v>10.15</v>
      </c>
      <c r="AJ3980" s="2">
        <f t="shared" si="665"/>
        <v>0</v>
      </c>
      <c r="AK3980" s="2">
        <f t="shared" si="662"/>
        <v>-79.010000000000005</v>
      </c>
      <c r="AL3980" s="18">
        <f t="shared" ref="AL3980" si="667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8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4"/>
        <v>0</v>
      </c>
      <c r="AG3981" s="2">
        <f>W3981</f>
        <v>58.800000000000004</v>
      </c>
      <c r="AJ3981" s="2">
        <f t="shared" si="665"/>
        <v>0</v>
      </c>
      <c r="AK3981" s="2">
        <f t="shared" si="662"/>
        <v>88.199999999999989</v>
      </c>
      <c r="AL3981" s="5">
        <f t="shared" si="663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8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4"/>
        <v>0</v>
      </c>
      <c r="AG3982" s="2">
        <f>W3982</f>
        <v>27.5</v>
      </c>
      <c r="AJ3982" s="2">
        <f t="shared" si="665"/>
        <v>0</v>
      </c>
      <c r="AK3982" s="2">
        <f t="shared" si="662"/>
        <v>27.5</v>
      </c>
      <c r="AL3982" s="5">
        <f t="shared" si="663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8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4"/>
        <v>0</v>
      </c>
      <c r="AG3983" s="2">
        <v>125.51600000000001</v>
      </c>
      <c r="AH3983" s="2">
        <v>220</v>
      </c>
      <c r="AJ3983" s="2">
        <f t="shared" si="665"/>
        <v>0</v>
      </c>
      <c r="AK3983" s="2">
        <f t="shared" ref="AK3983:AK4014" si="669">T3983-W3983</f>
        <v>224.21199999999999</v>
      </c>
      <c r="AL3983" s="5">
        <f t="shared" ref="AL3983:AL4018" si="670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8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4"/>
        <v>0</v>
      </c>
      <c r="AJ3984" s="2">
        <f t="shared" si="665"/>
        <v>0</v>
      </c>
      <c r="AK3984" s="2">
        <f t="shared" si="669"/>
        <v>123.72999999999999</v>
      </c>
      <c r="AL3984" s="5">
        <f t="shared" si="670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8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4"/>
        <v>0</v>
      </c>
      <c r="AG3985" s="2">
        <v>110.68</v>
      </c>
      <c r="AH3985" s="2">
        <v>210</v>
      </c>
      <c r="AJ3985" s="2">
        <f t="shared" si="665"/>
        <v>0</v>
      </c>
      <c r="AK3985" s="2">
        <f t="shared" si="669"/>
        <v>100.91999999999999</v>
      </c>
      <c r="AL3985" s="5">
        <f t="shared" si="670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8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4"/>
        <v>0</v>
      </c>
      <c r="AJ3986" s="2">
        <f t="shared" si="665"/>
        <v>0</v>
      </c>
      <c r="AK3986" s="2">
        <f t="shared" si="669"/>
        <v>0</v>
      </c>
      <c r="AL3986" s="5">
        <f t="shared" si="670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8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4"/>
        <v>0</v>
      </c>
      <c r="AJ3987" s="2">
        <f t="shared" si="665"/>
        <v>0</v>
      </c>
      <c r="AK3987" s="2">
        <f t="shared" si="669"/>
        <v>191.39000000000004</v>
      </c>
      <c r="AL3987" s="5">
        <f t="shared" si="670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8"/>
        <v>0.23333333333333334</v>
      </c>
      <c r="Z3988" s="2" t="s">
        <v>169</v>
      </c>
      <c r="AA3988" s="2" t="s">
        <v>169</v>
      </c>
      <c r="AF3988" s="2">
        <f t="shared" si="664"/>
        <v>0</v>
      </c>
      <c r="AJ3988" s="2">
        <f t="shared" si="665"/>
        <v>0</v>
      </c>
      <c r="AK3988" s="2">
        <f t="shared" si="669"/>
        <v>7</v>
      </c>
      <c r="AL3988" s="5">
        <f t="shared" si="670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8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4"/>
        <v>0</v>
      </c>
      <c r="AJ3989" s="2">
        <f t="shared" si="665"/>
        <v>0</v>
      </c>
      <c r="AK3989" s="2">
        <f t="shared" si="669"/>
        <v>0</v>
      </c>
      <c r="AL3989" s="5">
        <f t="shared" si="670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8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4"/>
        <v>0</v>
      </c>
      <c r="AG3990" s="2">
        <v>110.68</v>
      </c>
      <c r="AH3990" s="2">
        <v>210</v>
      </c>
      <c r="AJ3990" s="2">
        <f t="shared" si="665"/>
        <v>0</v>
      </c>
      <c r="AK3990" s="2">
        <f t="shared" si="669"/>
        <v>31.539999999999992</v>
      </c>
      <c r="AL3990" s="5">
        <f t="shared" si="670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8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4"/>
        <v>0</v>
      </c>
      <c r="AJ3991" s="2">
        <f t="shared" si="665"/>
        <v>0</v>
      </c>
      <c r="AK3991" s="2">
        <f t="shared" si="669"/>
        <v>0</v>
      </c>
      <c r="AL3991" s="5">
        <f t="shared" si="670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8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4"/>
        <v>0</v>
      </c>
      <c r="AG3992" s="2">
        <v>125.51600000000001</v>
      </c>
      <c r="AH3992" s="2">
        <v>220</v>
      </c>
      <c r="AJ3992" s="2">
        <f t="shared" si="665"/>
        <v>0</v>
      </c>
      <c r="AK3992" s="2">
        <f t="shared" si="669"/>
        <v>94.483999999999995</v>
      </c>
      <c r="AL3992" s="5">
        <f t="shared" si="670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8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4"/>
        <v>0</v>
      </c>
      <c r="AJ3993" s="2">
        <f t="shared" si="665"/>
        <v>0</v>
      </c>
      <c r="AK3993" s="2">
        <f t="shared" si="669"/>
        <v>0</v>
      </c>
      <c r="AL3993" s="5">
        <f t="shared" si="670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8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4"/>
        <v>0</v>
      </c>
      <c r="AJ3994" s="2">
        <f t="shared" si="665"/>
        <v>0</v>
      </c>
      <c r="AK3994" s="2">
        <f t="shared" si="669"/>
        <v>9.715799999999998</v>
      </c>
      <c r="AL3994" s="5">
        <f t="shared" si="670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8"/>
        <v>-0.2</v>
      </c>
      <c r="Z3995" s="2" t="s">
        <v>169</v>
      </c>
      <c r="AA3995" s="2" t="s">
        <v>169</v>
      </c>
      <c r="AF3995" s="2">
        <f t="shared" si="664"/>
        <v>0</v>
      </c>
      <c r="AJ3995" s="2">
        <f t="shared" si="665"/>
        <v>0</v>
      </c>
      <c r="AK3995" s="2">
        <f t="shared" si="669"/>
        <v>-1</v>
      </c>
      <c r="AL3995" s="5">
        <f t="shared" si="670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8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4"/>
        <v>0</v>
      </c>
      <c r="AG3996" s="2">
        <v>773.5</v>
      </c>
      <c r="AJ3996" s="2">
        <f t="shared" si="665"/>
        <v>0</v>
      </c>
      <c r="AK3996" s="2">
        <f t="shared" si="669"/>
        <v>357</v>
      </c>
      <c r="AL3996" s="5">
        <f t="shared" si="670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8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4"/>
        <v>0</v>
      </c>
      <c r="AG3997" s="2">
        <v>343.38</v>
      </c>
      <c r="AJ3997" s="2">
        <f t="shared" si="665"/>
        <v>0</v>
      </c>
      <c r="AK3997" s="2">
        <f t="shared" si="669"/>
        <v>347.23</v>
      </c>
      <c r="AL3997" s="5">
        <f t="shared" si="670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8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4"/>
        <v>0</v>
      </c>
      <c r="AG3998" s="2">
        <f>4893.23+171</f>
        <v>5064.2299999999996</v>
      </c>
      <c r="AJ3998" s="2">
        <f t="shared" si="665"/>
        <v>0</v>
      </c>
      <c r="AK3998" s="2">
        <f t="shared" si="669"/>
        <v>1925.7700000000004</v>
      </c>
      <c r="AL3998" s="5">
        <f t="shared" si="670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8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4"/>
        <v>0</v>
      </c>
      <c r="AG3999" s="2">
        <v>131.93</v>
      </c>
      <c r="AH3999" s="2">
        <v>220</v>
      </c>
      <c r="AJ3999" s="2">
        <f t="shared" si="665"/>
        <v>0</v>
      </c>
      <c r="AK3999" s="2">
        <f t="shared" si="669"/>
        <v>68.069999999999993</v>
      </c>
      <c r="AL3999" s="5">
        <f t="shared" si="670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8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4"/>
        <v>0</v>
      </c>
      <c r="AJ4000" s="2">
        <f t="shared" si="665"/>
        <v>0</v>
      </c>
      <c r="AK4000" s="2">
        <f t="shared" si="669"/>
        <v>0</v>
      </c>
      <c r="AL4000" s="5">
        <f t="shared" si="670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8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4"/>
        <v>0</v>
      </c>
      <c r="AG4001" s="2">
        <v>120.636</v>
      </c>
      <c r="AH4001" s="2">
        <v>220</v>
      </c>
      <c r="AJ4001" s="2">
        <f t="shared" si="665"/>
        <v>0</v>
      </c>
      <c r="AK4001" s="2">
        <f t="shared" si="669"/>
        <v>99.364000000000004</v>
      </c>
      <c r="AL4001" s="5">
        <f t="shared" si="670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8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4"/>
        <v>0</v>
      </c>
      <c r="AJ4002" s="2">
        <f t="shared" si="665"/>
        <v>0</v>
      </c>
      <c r="AK4002" s="2">
        <f t="shared" si="669"/>
        <v>0</v>
      </c>
      <c r="AL4002" s="5">
        <f t="shared" si="670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8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4"/>
        <v>0</v>
      </c>
      <c r="AG4003" s="2">
        <f>78.74+0.63</f>
        <v>79.36999999999999</v>
      </c>
      <c r="AJ4003" s="2">
        <f t="shared" si="665"/>
        <v>0</v>
      </c>
      <c r="AK4003" s="2">
        <f t="shared" si="669"/>
        <v>73.650000000000006</v>
      </c>
      <c r="AL4003" s="5">
        <f t="shared" si="670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8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4"/>
        <v>0</v>
      </c>
      <c r="AG4004" s="2">
        <f>78.74+0.63</f>
        <v>79.36999999999999</v>
      </c>
      <c r="AJ4004" s="2">
        <f t="shared" si="665"/>
        <v>0</v>
      </c>
      <c r="AK4004" s="2">
        <f t="shared" si="669"/>
        <v>9.9999999999994316E-2</v>
      </c>
      <c r="AL4004" s="5">
        <f t="shared" si="670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8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4"/>
        <v>0</v>
      </c>
      <c r="AJ4005" s="2">
        <f t="shared" si="665"/>
        <v>0</v>
      </c>
      <c r="AK4005" s="2">
        <f t="shared" si="669"/>
        <v>3990</v>
      </c>
      <c r="AL4005" s="5">
        <f t="shared" si="670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8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4"/>
        <v>0</v>
      </c>
      <c r="AG4006" s="2">
        <v>3.7555999999999998</v>
      </c>
      <c r="AH4006" s="2">
        <v>7.2</v>
      </c>
      <c r="AJ4006" s="2">
        <f t="shared" si="665"/>
        <v>0</v>
      </c>
      <c r="AK4006" s="2">
        <f t="shared" si="669"/>
        <v>51.666000000000004</v>
      </c>
      <c r="AL4006" s="5">
        <f t="shared" si="670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8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4"/>
        <v>0</v>
      </c>
      <c r="AG4007" s="2">
        <v>1.1122000000000001</v>
      </c>
      <c r="AH4007" s="2">
        <v>3</v>
      </c>
      <c r="AJ4007" s="2">
        <f t="shared" si="665"/>
        <v>0</v>
      </c>
      <c r="AK4007" s="2">
        <f t="shared" si="669"/>
        <v>37.756</v>
      </c>
      <c r="AL4007" s="5">
        <f t="shared" si="670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8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4"/>
        <v>0</v>
      </c>
      <c r="AG4008" s="2">
        <v>15.020300000000001</v>
      </c>
      <c r="AH4008" s="2">
        <v>27.6</v>
      </c>
      <c r="AJ4008" s="2">
        <f t="shared" si="665"/>
        <v>0</v>
      </c>
      <c r="AK4008" s="2">
        <f t="shared" si="669"/>
        <v>18.959399999999999</v>
      </c>
      <c r="AL4008" s="5">
        <f t="shared" si="670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8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4"/>
        <v>0</v>
      </c>
      <c r="AJ4009" s="2">
        <f t="shared" si="665"/>
        <v>0</v>
      </c>
      <c r="AK4009" s="2">
        <f t="shared" si="669"/>
        <v>4.8600000000000012</v>
      </c>
      <c r="AL4009" s="5">
        <f t="shared" si="670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8"/>
        <v>-0.2</v>
      </c>
      <c r="Z4010" s="2" t="s">
        <v>169</v>
      </c>
      <c r="AA4010" s="2" t="s">
        <v>169</v>
      </c>
      <c r="AF4010" s="2">
        <f t="shared" si="664"/>
        <v>0</v>
      </c>
      <c r="AJ4010" s="2">
        <f t="shared" si="665"/>
        <v>0</v>
      </c>
      <c r="AK4010" s="2">
        <f t="shared" si="669"/>
        <v>-1</v>
      </c>
      <c r="AL4010" s="5">
        <f t="shared" si="670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8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4"/>
        <v>0</v>
      </c>
      <c r="AG4011" s="2">
        <v>14.4</v>
      </c>
      <c r="AH4011" s="2">
        <v>21</v>
      </c>
      <c r="AJ4011" s="2">
        <f t="shared" si="665"/>
        <v>0</v>
      </c>
      <c r="AK4011" s="2">
        <f t="shared" si="669"/>
        <v>6.6</v>
      </c>
      <c r="AL4011" s="5">
        <f t="shared" si="670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8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4"/>
        <v>0</v>
      </c>
      <c r="AG4012" s="2">
        <v>8.1999999999999993</v>
      </c>
      <c r="AH4012" s="2">
        <v>13</v>
      </c>
      <c r="AJ4012" s="2">
        <f t="shared" si="665"/>
        <v>0</v>
      </c>
      <c r="AK4012" s="2">
        <f t="shared" si="669"/>
        <v>28</v>
      </c>
      <c r="AL4012" s="5">
        <f t="shared" si="670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8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4"/>
        <v>0</v>
      </c>
      <c r="AJ4013" s="2">
        <f t="shared" si="665"/>
        <v>0</v>
      </c>
      <c r="AK4013" s="2">
        <f t="shared" si="669"/>
        <v>5.1525000000000007</v>
      </c>
      <c r="AL4013" s="5">
        <f t="shared" si="670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8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4"/>
        <v>0</v>
      </c>
      <c r="AG4014" s="2">
        <f>W4014</f>
        <v>30.400000000000002</v>
      </c>
      <c r="AJ4014" s="2">
        <f t="shared" si="665"/>
        <v>0</v>
      </c>
      <c r="AK4014" s="2">
        <f t="shared" si="669"/>
        <v>45.599999999999994</v>
      </c>
      <c r="AL4014" s="5">
        <f t="shared" si="670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8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4"/>
        <v>0</v>
      </c>
      <c r="AG4015" s="2">
        <f>W4015</f>
        <v>27.5</v>
      </c>
      <c r="AJ4015" s="2">
        <f t="shared" si="665"/>
        <v>0</v>
      </c>
      <c r="AK4015" s="2">
        <f t="shared" ref="AK4015:AK4046" si="671">T4015-W4015</f>
        <v>27.5</v>
      </c>
      <c r="AL4015" s="5">
        <f t="shared" si="670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8"/>
        <v>0.3000000000000001</v>
      </c>
      <c r="Z4016" s="2" t="s">
        <v>119</v>
      </c>
      <c r="AA4016" s="2" t="s">
        <v>3378</v>
      </c>
      <c r="AF4016" s="2">
        <f t="shared" si="664"/>
        <v>0</v>
      </c>
      <c r="AJ4016" s="2">
        <f t="shared" si="665"/>
        <v>0</v>
      </c>
      <c r="AK4016" s="2">
        <f t="shared" si="671"/>
        <v>1.7970000000000006</v>
      </c>
      <c r="AL4016" s="5">
        <f t="shared" si="670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8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4"/>
        <v>0</v>
      </c>
      <c r="AG4017" s="2">
        <v>343.38</v>
      </c>
      <c r="AJ4017" s="2">
        <f t="shared" si="665"/>
        <v>0</v>
      </c>
      <c r="AK4017" s="2">
        <f t="shared" si="671"/>
        <v>355.91999999999996</v>
      </c>
      <c r="AL4017" s="5">
        <f t="shared" si="670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8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4"/>
        <v>0</v>
      </c>
      <c r="AG4018" s="2">
        <f>W4018</f>
        <v>90</v>
      </c>
      <c r="AJ4018" s="2">
        <f t="shared" si="665"/>
        <v>0</v>
      </c>
      <c r="AK4018" s="2">
        <f t="shared" si="671"/>
        <v>135</v>
      </c>
      <c r="AL4018" s="5">
        <f t="shared" si="670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4"/>
        <v>0</v>
      </c>
      <c r="AG4019" s="2">
        <f>W4019</f>
        <v>0</v>
      </c>
      <c r="AJ4019" s="2">
        <f t="shared" si="665"/>
        <v>0</v>
      </c>
      <c r="AK4019" s="2">
        <f t="shared" si="671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2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4"/>
        <v>0</v>
      </c>
      <c r="AG4020" s="2">
        <v>111.98</v>
      </c>
      <c r="AH4020" s="2">
        <v>210</v>
      </c>
      <c r="AJ4020" s="2">
        <f t="shared" si="665"/>
        <v>0</v>
      </c>
      <c r="AK4020" s="2">
        <f t="shared" si="671"/>
        <v>98.02</v>
      </c>
      <c r="AL4020" s="5">
        <f t="shared" ref="AL4020:AL4046" si="673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2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4"/>
        <v>0</v>
      </c>
      <c r="AG4021" s="2">
        <v>1.48</v>
      </c>
      <c r="AH4021" s="2">
        <v>1.48</v>
      </c>
      <c r="AJ4021" s="2">
        <f t="shared" si="665"/>
        <v>0</v>
      </c>
      <c r="AK4021" s="2">
        <f t="shared" si="671"/>
        <v>0</v>
      </c>
      <c r="AL4021" s="5">
        <f t="shared" si="673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2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4"/>
        <v>0</v>
      </c>
      <c r="AJ4022" s="2">
        <f t="shared" si="665"/>
        <v>0</v>
      </c>
      <c r="AK4022" s="2">
        <f t="shared" si="671"/>
        <v>48.900000000000006</v>
      </c>
      <c r="AL4022" s="5">
        <f t="shared" si="673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2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4"/>
        <v>0</v>
      </c>
      <c r="AG4023" s="2">
        <v>3.7357999999999998</v>
      </c>
      <c r="AH4023" s="2">
        <v>9</v>
      </c>
      <c r="AJ4023" s="2">
        <f t="shared" si="665"/>
        <v>0</v>
      </c>
      <c r="AK4023" s="2">
        <f t="shared" si="671"/>
        <v>10.528400000000001</v>
      </c>
      <c r="AL4023" s="5">
        <f t="shared" si="673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2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4"/>
        <v>0</v>
      </c>
      <c r="AG4024" s="2">
        <v>10.6</v>
      </c>
      <c r="AH4024" s="2">
        <v>18</v>
      </c>
      <c r="AJ4024" s="2">
        <f t="shared" si="665"/>
        <v>0</v>
      </c>
      <c r="AK4024" s="2">
        <f t="shared" si="671"/>
        <v>39</v>
      </c>
      <c r="AL4024" s="5">
        <f t="shared" si="673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2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4"/>
        <v>0</v>
      </c>
      <c r="AG4025" s="2">
        <v>9.14</v>
      </c>
      <c r="AH4025" s="2">
        <v>16</v>
      </c>
      <c r="AJ4025" s="2">
        <f t="shared" si="665"/>
        <v>0</v>
      </c>
      <c r="AK4025" s="2">
        <f t="shared" si="671"/>
        <v>11.580000000000002</v>
      </c>
      <c r="AL4025" s="5">
        <f t="shared" si="673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2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4"/>
        <v>0</v>
      </c>
      <c r="AG4026" s="2">
        <v>8.1999999999999993</v>
      </c>
      <c r="AH4026" s="2">
        <v>13</v>
      </c>
      <c r="AJ4026" s="2">
        <f t="shared" si="665"/>
        <v>0</v>
      </c>
      <c r="AK4026" s="2">
        <f t="shared" si="671"/>
        <v>14.399999999999999</v>
      </c>
      <c r="AL4026" s="5">
        <f t="shared" si="673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2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4"/>
        <v>0</v>
      </c>
      <c r="AG4027" s="2">
        <v>0.90300000000000002</v>
      </c>
      <c r="AH4027" s="2">
        <v>2.4</v>
      </c>
      <c r="AJ4027" s="2">
        <f t="shared" si="665"/>
        <v>0</v>
      </c>
      <c r="AK4027" s="2">
        <f t="shared" si="671"/>
        <v>17.963999999999999</v>
      </c>
      <c r="AL4027" s="5">
        <f t="shared" si="673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2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4"/>
        <v>0</v>
      </c>
      <c r="AG4028" s="2">
        <v>0.90200000000000002</v>
      </c>
      <c r="AH4028" s="2">
        <v>2.8</v>
      </c>
      <c r="AJ4028" s="2">
        <f t="shared" si="665"/>
        <v>0</v>
      </c>
      <c r="AK4028" s="2">
        <f t="shared" si="671"/>
        <v>17.975999999999999</v>
      </c>
      <c r="AL4028" s="5">
        <f t="shared" si="673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2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4"/>
        <v>0</v>
      </c>
      <c r="AG4029" s="2">
        <f>104.4+1.77</f>
        <v>106.17</v>
      </c>
      <c r="AJ4029" s="2">
        <f t="shared" si="665"/>
        <v>0</v>
      </c>
      <c r="AK4029" s="2">
        <f t="shared" si="671"/>
        <v>139.08000000000001</v>
      </c>
      <c r="AL4029" s="5">
        <f t="shared" si="673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2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4"/>
        <v>0</v>
      </c>
      <c r="AG4030" s="2">
        <v>342.22</v>
      </c>
      <c r="AJ4030" s="2">
        <f t="shared" si="665"/>
        <v>0</v>
      </c>
      <c r="AK4030" s="2">
        <f t="shared" si="671"/>
        <v>120.4966</v>
      </c>
      <c r="AL4030" s="5">
        <f t="shared" si="673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2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4"/>
        <v>0</v>
      </c>
      <c r="AG4031" s="2">
        <v>125.51600000000001</v>
      </c>
      <c r="AH4031" s="2">
        <v>220</v>
      </c>
      <c r="AJ4031" s="2">
        <f t="shared" si="665"/>
        <v>0</v>
      </c>
      <c r="AK4031" s="2">
        <f t="shared" si="671"/>
        <v>94.483999999999995</v>
      </c>
      <c r="AL4031" s="5">
        <f t="shared" si="673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2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4"/>
        <v>0</v>
      </c>
      <c r="AJ4032" s="2">
        <f t="shared" si="665"/>
        <v>0</v>
      </c>
      <c r="AK4032" s="2">
        <f t="shared" si="671"/>
        <v>0</v>
      </c>
      <c r="AL4032" s="5">
        <f t="shared" si="673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2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4">AJ4033</f>
        <v>0</v>
      </c>
      <c r="AJ4033" s="2">
        <f t="shared" ref="AJ4033:AJ4046" si="675">AI4033*T4033</f>
        <v>0</v>
      </c>
      <c r="AK4033" s="2">
        <f t="shared" si="671"/>
        <v>352.72999999999996</v>
      </c>
      <c r="AL4033" s="5">
        <f t="shared" si="673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2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4"/>
        <v>0</v>
      </c>
      <c r="AG4034" s="2">
        <f>W4034</f>
        <v>70</v>
      </c>
      <c r="AJ4034" s="2">
        <f t="shared" si="675"/>
        <v>0</v>
      </c>
      <c r="AK4034" s="2">
        <f t="shared" si="671"/>
        <v>105</v>
      </c>
      <c r="AL4034" s="5">
        <f t="shared" si="673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2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4"/>
        <v>0</v>
      </c>
      <c r="AG4035" s="2">
        <f>W4035</f>
        <v>110</v>
      </c>
      <c r="AJ4035" s="2">
        <f t="shared" si="675"/>
        <v>0</v>
      </c>
      <c r="AK4035" s="2">
        <f t="shared" si="671"/>
        <v>110</v>
      </c>
      <c r="AL4035" s="5">
        <f t="shared" si="673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2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4"/>
        <v>0</v>
      </c>
      <c r="AG4036" s="2">
        <v>125.51600000000001</v>
      </c>
      <c r="AH4036" s="2">
        <v>220</v>
      </c>
      <c r="AJ4036" s="2">
        <f t="shared" si="675"/>
        <v>0</v>
      </c>
      <c r="AK4036" s="2">
        <f t="shared" si="671"/>
        <v>76.13</v>
      </c>
      <c r="AL4036" s="5">
        <f t="shared" si="673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2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4"/>
        <v>0</v>
      </c>
      <c r="AG4037" s="2">
        <v>110.68</v>
      </c>
      <c r="AH4037" s="2">
        <v>210</v>
      </c>
      <c r="AJ4037" s="2">
        <f t="shared" si="675"/>
        <v>0</v>
      </c>
      <c r="AK4037" s="2">
        <f t="shared" si="671"/>
        <v>109.32</v>
      </c>
      <c r="AL4037" s="5">
        <f t="shared" si="673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2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4"/>
        <v>0</v>
      </c>
      <c r="AJ4038" s="2">
        <f t="shared" si="675"/>
        <v>0</v>
      </c>
      <c r="AK4038" s="2">
        <f t="shared" si="671"/>
        <v>100.94</v>
      </c>
      <c r="AL4038" s="5">
        <f t="shared" si="673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2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4"/>
        <v>0</v>
      </c>
      <c r="AJ4039" s="2">
        <f t="shared" si="675"/>
        <v>0</v>
      </c>
      <c r="AK4039" s="2">
        <f t="shared" si="671"/>
        <v>0</v>
      </c>
      <c r="AL4039" s="5">
        <f t="shared" si="673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2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4"/>
        <v>0</v>
      </c>
      <c r="AG4040" s="2">
        <v>285</v>
      </c>
      <c r="AJ4040" s="2">
        <f t="shared" si="675"/>
        <v>0</v>
      </c>
      <c r="AK4040" s="2">
        <f t="shared" si="671"/>
        <v>-45</v>
      </c>
      <c r="AL4040" s="5">
        <f t="shared" si="673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2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4"/>
        <v>0</v>
      </c>
      <c r="AG4041" s="2">
        <v>10.6</v>
      </c>
      <c r="AH4041" s="2">
        <v>18</v>
      </c>
      <c r="AJ4041" s="2">
        <f t="shared" si="675"/>
        <v>0</v>
      </c>
      <c r="AK4041" s="2">
        <f t="shared" si="671"/>
        <v>25.6</v>
      </c>
      <c r="AL4041" s="5">
        <f t="shared" si="673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6">T4042*23%</f>
        <v>1262.7</v>
      </c>
      <c r="V4042" s="2">
        <f t="shared" ref="V4042:V4064" si="677">T4042+U4042</f>
        <v>6752.7</v>
      </c>
      <c r="W4042" s="2">
        <v>5064.2299999999996</v>
      </c>
      <c r="X4042" s="5">
        <f t="shared" si="672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5"/>
        <v>0</v>
      </c>
      <c r="AK4042" s="2">
        <f t="shared" si="671"/>
        <v>425.77000000000044</v>
      </c>
      <c r="AL4042" s="5">
        <f t="shared" si="673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6"/>
        <v>16.79</v>
      </c>
      <c r="V4043" s="2">
        <f t="shared" si="677"/>
        <v>89.789999999999992</v>
      </c>
      <c r="W4043" s="2">
        <f>T4043*40%</f>
        <v>29.200000000000003</v>
      </c>
      <c r="X4043" s="5">
        <f t="shared" si="672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5"/>
        <v>0</v>
      </c>
      <c r="AK4043" s="2">
        <f t="shared" si="671"/>
        <v>43.8</v>
      </c>
      <c r="AL4043" s="5">
        <f t="shared" si="673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6"/>
        <v>12.65</v>
      </c>
      <c r="V4044" s="2">
        <f t="shared" si="677"/>
        <v>67.650000000000006</v>
      </c>
      <c r="W4044" s="2">
        <f>T4044*50%</f>
        <v>27.5</v>
      </c>
      <c r="X4044" s="5">
        <f t="shared" si="672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5"/>
        <v>0</v>
      </c>
      <c r="AK4044" s="2">
        <f t="shared" si="671"/>
        <v>27.5</v>
      </c>
      <c r="AL4044" s="5">
        <f t="shared" si="673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6"/>
        <v>59.800000000000004</v>
      </c>
      <c r="V4045" s="10">
        <f t="shared" si="677"/>
        <v>319.8</v>
      </c>
      <c r="W4045" s="2">
        <v>152.85</v>
      </c>
      <c r="X4045" s="5">
        <f t="shared" si="672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5"/>
        <v>0</v>
      </c>
      <c r="AK4045" s="2">
        <f t="shared" si="671"/>
        <v>107.15</v>
      </c>
      <c r="AL4045" s="5">
        <f t="shared" si="673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6"/>
        <v>0.34040000000000004</v>
      </c>
      <c r="V4046" s="10">
        <f t="shared" si="677"/>
        <v>1.8204</v>
      </c>
      <c r="W4046" s="2">
        <f>1.48*S4046</f>
        <v>1.48</v>
      </c>
      <c r="X4046" s="5">
        <f t="shared" si="672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5"/>
        <v>0</v>
      </c>
      <c r="AK4046" s="2">
        <f t="shared" si="671"/>
        <v>0</v>
      </c>
      <c r="AL4046" s="5">
        <f t="shared" si="673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6"/>
        <v>17.820400000000003</v>
      </c>
      <c r="V4047" s="10">
        <f t="shared" si="677"/>
        <v>95.30040000000001</v>
      </c>
      <c r="X4047" s="5">
        <f t="shared" si="672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6"/>
        <v>107.3134</v>
      </c>
      <c r="V4048" s="10">
        <f t="shared" si="677"/>
        <v>573.89339999999993</v>
      </c>
      <c r="W4048" s="2">
        <v>222.18</v>
      </c>
      <c r="X4048" s="5">
        <f t="shared" si="672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8">T4048-W4048</f>
        <v>244.39999999999998</v>
      </c>
      <c r="AL4048" s="5">
        <f t="shared" ref="AL4048" si="679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6"/>
        <v>28.75</v>
      </c>
      <c r="V4049" s="2">
        <f t="shared" si="677"/>
        <v>153.75</v>
      </c>
      <c r="W4049" s="2">
        <f>T4049*40%</f>
        <v>50</v>
      </c>
      <c r="X4049" s="5">
        <f t="shared" si="672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6"/>
        <v>25.3</v>
      </c>
      <c r="V4050" s="2">
        <f t="shared" si="677"/>
        <v>135.30000000000001</v>
      </c>
      <c r="W4050" s="2">
        <f>T4050*50%</f>
        <v>55</v>
      </c>
      <c r="X4050" s="5">
        <f t="shared" si="672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6"/>
        <v>4.1400000000000006</v>
      </c>
      <c r="V4051" s="10">
        <f t="shared" si="677"/>
        <v>22.14</v>
      </c>
      <c r="W4051" s="2">
        <v>10.6</v>
      </c>
      <c r="X4051" s="5">
        <f t="shared" si="672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6"/>
        <v>2.99</v>
      </c>
      <c r="V4052" s="10">
        <f t="shared" si="677"/>
        <v>15.99</v>
      </c>
      <c r="W4052" s="2">
        <f>0.082*S4052</f>
        <v>8.2000000000000011</v>
      </c>
      <c r="X4052" s="5">
        <f t="shared" ref="X4052:X4074" si="680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6"/>
        <v>4.6000000000000005</v>
      </c>
      <c r="V4053" s="10">
        <f t="shared" si="677"/>
        <v>24.6</v>
      </c>
      <c r="W4053" s="2">
        <f>15.0203*S4053</f>
        <v>15.020300000000001</v>
      </c>
      <c r="X4053" s="5">
        <f t="shared" si="680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1">T4053-W4053</f>
        <v>4.9796999999999993</v>
      </c>
      <c r="AL4053" s="5">
        <f t="shared" ref="AL4053" si="682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6"/>
        <v>64.400000000000006</v>
      </c>
      <c r="V4054" s="2">
        <f t="shared" si="677"/>
        <v>344.4</v>
      </c>
      <c r="W4054" s="2">
        <v>153.4</v>
      </c>
      <c r="X4054" s="5">
        <f t="shared" si="680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6"/>
        <v>0.34040000000000004</v>
      </c>
      <c r="V4055" s="10">
        <f t="shared" si="677"/>
        <v>1.8204</v>
      </c>
      <c r="W4055" s="2">
        <f>1.48*S4055</f>
        <v>1.48</v>
      </c>
      <c r="X4055" s="5">
        <f t="shared" si="680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6"/>
        <v>4.83</v>
      </c>
      <c r="V4056" s="10">
        <f t="shared" si="677"/>
        <v>25.83</v>
      </c>
      <c r="W4056" s="2">
        <f>11.045*S4056</f>
        <v>11.045</v>
      </c>
      <c r="X4056" s="5">
        <f t="shared" si="680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3">T4056-W4056</f>
        <v>9.9550000000000001</v>
      </c>
      <c r="AL4056" s="5">
        <f t="shared" ref="AL4056" si="684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6"/>
        <v>6.9</v>
      </c>
      <c r="V4057" s="10">
        <f t="shared" si="677"/>
        <v>36.9</v>
      </c>
      <c r="W4057" s="2">
        <f>16.2249*S4057</f>
        <v>16.224900000000002</v>
      </c>
      <c r="X4057" s="5">
        <f t="shared" si="680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6"/>
        <v>4.5540000000000003</v>
      </c>
      <c r="V4058" s="10">
        <f t="shared" si="677"/>
        <v>24.353999999999999</v>
      </c>
      <c r="W4058" s="2">
        <f>10.5267*S4058</f>
        <v>10.5267</v>
      </c>
      <c r="X4058" s="5">
        <f t="shared" si="680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5">T4058-W4058</f>
        <v>9.2733000000000008</v>
      </c>
      <c r="AL4058" s="5">
        <f t="shared" ref="AL4058" si="686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6"/>
        <v>8.2800000000000011</v>
      </c>
      <c r="V4059" s="10">
        <f t="shared" si="677"/>
        <v>44.28</v>
      </c>
      <c r="W4059" s="2">
        <f>10.6*S4059</f>
        <v>21.2</v>
      </c>
      <c r="X4059" s="5">
        <f t="shared" si="680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6"/>
        <v>50.6</v>
      </c>
      <c r="V4060" s="10">
        <f t="shared" si="677"/>
        <v>270.60000000000002</v>
      </c>
      <c r="W4060" s="2">
        <v>131.93</v>
      </c>
      <c r="X4060" s="5">
        <f t="shared" si="680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6"/>
        <v>0.34040000000000004</v>
      </c>
      <c r="V4061" s="10">
        <f t="shared" si="677"/>
        <v>1.8204</v>
      </c>
      <c r="W4061" s="2">
        <f>1.48*S4061</f>
        <v>1.48</v>
      </c>
      <c r="X4061" s="5">
        <f t="shared" si="680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6"/>
        <v>13.8</v>
      </c>
      <c r="V4062" s="2">
        <f t="shared" si="677"/>
        <v>73.8</v>
      </c>
      <c r="W4062" s="2">
        <f>T4062*40%</f>
        <v>24</v>
      </c>
      <c r="X4062" s="5">
        <f t="shared" si="680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6"/>
        <v>12.65</v>
      </c>
      <c r="V4063" s="2">
        <f t="shared" si="677"/>
        <v>67.650000000000006</v>
      </c>
      <c r="W4063" s="2">
        <f>T4063*50%</f>
        <v>27.5</v>
      </c>
      <c r="X4063" s="5">
        <f t="shared" si="680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6"/>
        <v>160.839</v>
      </c>
      <c r="V4064" s="10">
        <f t="shared" si="677"/>
        <v>860.1389999999999</v>
      </c>
      <c r="W4064" s="2">
        <v>345.20339999999999</v>
      </c>
      <c r="X4064" s="5">
        <f t="shared" si="680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80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7">T4066*23%</f>
        <v>26.68</v>
      </c>
      <c r="V4066" s="10">
        <f t="shared" ref="V4066:V4074" si="688">T4066+U4066</f>
        <v>142.68</v>
      </c>
      <c r="W4066" s="2">
        <f>18.9342*S4066</f>
        <v>75.736800000000002</v>
      </c>
      <c r="X4066" s="5">
        <f t="shared" si="680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9">T4066-W4066</f>
        <v>40.263199999999998</v>
      </c>
      <c r="AL4066" s="5">
        <f t="shared" ref="AL4066" si="690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7"/>
        <v>4577</v>
      </c>
      <c r="V4067" s="2">
        <f t="shared" si="688"/>
        <v>24477</v>
      </c>
      <c r="W4067" s="2">
        <f>10699.41+285.74</f>
        <v>10985.15</v>
      </c>
      <c r="X4067" s="5">
        <f t="shared" si="680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7"/>
        <v>2053.9</v>
      </c>
      <c r="V4068" s="10">
        <f t="shared" si="688"/>
        <v>10983.9</v>
      </c>
      <c r="W4068" s="2">
        <f>6348.73+221.85</f>
        <v>6570.58</v>
      </c>
      <c r="X4068" s="5">
        <f t="shared" si="680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1">T4068-W4068</f>
        <v>2359.42</v>
      </c>
      <c r="AL4068" s="5">
        <f t="shared" ref="AL4068" si="692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7"/>
        <v>1607.7</v>
      </c>
      <c r="V4069" s="10">
        <f t="shared" si="688"/>
        <v>8597.7000000000007</v>
      </c>
      <c r="W4069" s="2">
        <f>4893.23+171</f>
        <v>5064.2299999999996</v>
      </c>
      <c r="X4069" s="5">
        <f t="shared" si="680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3">T4069-W4069</f>
        <v>1925.7700000000004</v>
      </c>
      <c r="AL4069" s="5">
        <f t="shared" ref="AL4069:AL4074" si="694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7"/>
        <v>72.22</v>
      </c>
      <c r="V4070" s="2">
        <f t="shared" si="688"/>
        <v>386.22</v>
      </c>
      <c r="W4070" s="2">
        <f>T4070*40%</f>
        <v>125.60000000000001</v>
      </c>
      <c r="X4070" s="5">
        <f t="shared" si="680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3"/>
        <v>188.39999999999998</v>
      </c>
      <c r="AL4070" s="5">
        <f t="shared" si="694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7"/>
        <v>50.6</v>
      </c>
      <c r="V4071" s="2">
        <f t="shared" si="688"/>
        <v>270.60000000000002</v>
      </c>
      <c r="W4071" s="2">
        <f>T4071*50%</f>
        <v>110</v>
      </c>
      <c r="X4071" s="5">
        <f t="shared" si="680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3"/>
        <v>110</v>
      </c>
      <c r="AL4071" s="5">
        <f t="shared" si="694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7"/>
        <v>23</v>
      </c>
      <c r="V4072" s="10">
        <f t="shared" si="688"/>
        <v>123</v>
      </c>
      <c r="W4072" s="2">
        <f>T4072*70%</f>
        <v>70</v>
      </c>
      <c r="X4072" s="5">
        <f t="shared" si="680"/>
        <v>0.3</v>
      </c>
      <c r="Z4072" s="2" t="s">
        <v>119</v>
      </c>
      <c r="AA4072" s="2" t="s">
        <v>3378</v>
      </c>
      <c r="AI4072" s="2"/>
      <c r="AK4072" s="2">
        <f t="shared" si="693"/>
        <v>30</v>
      </c>
      <c r="AL4072" s="5">
        <f t="shared" si="694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7"/>
        <v>129.0231</v>
      </c>
      <c r="V4073" s="2">
        <f t="shared" si="688"/>
        <v>689.99310000000003</v>
      </c>
      <c r="W4073" s="2">
        <f>80.93*4</f>
        <v>323.72000000000003</v>
      </c>
      <c r="X4073" s="5">
        <f t="shared" si="680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3"/>
        <v>237.25</v>
      </c>
      <c r="AL4073" s="5">
        <f t="shared" si="694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7"/>
        <v>8.2800000000000011</v>
      </c>
      <c r="V4074" s="10">
        <f t="shared" si="688"/>
        <v>44.28</v>
      </c>
      <c r="W4074" s="2">
        <f>0.8561*S4074</f>
        <v>17.122</v>
      </c>
      <c r="X4074" s="5">
        <f t="shared" si="680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3"/>
        <v>18.878</v>
      </c>
      <c r="AL4074" s="5">
        <f t="shared" si="694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3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5">T4076*23%</f>
        <v>161</v>
      </c>
      <c r="V4076" s="10">
        <f t="shared" ref="V4076:V4107" si="696">T4076+U4076</f>
        <v>861</v>
      </c>
      <c r="W4076" s="2">
        <f>484.5+21.54</f>
        <v>506.04</v>
      </c>
      <c r="X4076" s="5">
        <f t="shared" ref="X4076:X4091" si="697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8">T4076-W4076</f>
        <v>193.95999999999998</v>
      </c>
      <c r="AL4076" s="5">
        <f t="shared" ref="AL4076:AL4091" si="699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5"/>
        <v>2645</v>
      </c>
      <c r="V4077" s="10">
        <f t="shared" si="696"/>
        <v>14145</v>
      </c>
      <c r="W4077" s="2">
        <v>7437.5950000000003</v>
      </c>
      <c r="X4077" s="5">
        <f t="shared" si="697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8"/>
        <v>4062.4049999999997</v>
      </c>
      <c r="AL4077" s="5">
        <f t="shared" si="699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5"/>
        <v>2.4840000000000004</v>
      </c>
      <c r="V4078" s="10">
        <f t="shared" si="696"/>
        <v>13.284000000000001</v>
      </c>
      <c r="W4078" s="2">
        <v>5.23</v>
      </c>
      <c r="X4078" s="5">
        <f t="shared" si="697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8"/>
        <v>5.57</v>
      </c>
      <c r="AL4078" s="5">
        <f t="shared" si="699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5"/>
        <v>0.82800000000000007</v>
      </c>
      <c r="V4079" s="10">
        <f t="shared" si="696"/>
        <v>4.4279999999999999</v>
      </c>
      <c r="W4079" s="2">
        <f>0.97*S4079</f>
        <v>0.97</v>
      </c>
      <c r="X4079" s="5">
        <f t="shared" si="697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8"/>
        <v>2.63</v>
      </c>
      <c r="AL4079" s="5">
        <f t="shared" si="699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5"/>
        <v>4.83</v>
      </c>
      <c r="V4080" s="10">
        <f t="shared" si="696"/>
        <v>25.83</v>
      </c>
      <c r="W4080" s="2">
        <f>10.67*S4080</f>
        <v>10.67</v>
      </c>
      <c r="X4080" s="5">
        <f t="shared" si="697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8"/>
        <v>10.33</v>
      </c>
      <c r="AL4080" s="5">
        <f t="shared" si="699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5"/>
        <v>4.83</v>
      </c>
      <c r="V4081" s="10">
        <f t="shared" si="696"/>
        <v>25.83</v>
      </c>
      <c r="W4081" s="2">
        <f>9.3*S4081</f>
        <v>9.3000000000000007</v>
      </c>
      <c r="X4081" s="5">
        <f t="shared" si="697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8"/>
        <v>11.7</v>
      </c>
      <c r="AL4081" s="5">
        <f t="shared" si="699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5"/>
        <v>2.0700000000000003</v>
      </c>
      <c r="V4082" s="10">
        <f t="shared" si="696"/>
        <v>11.07</v>
      </c>
      <c r="W4082" s="2">
        <f>3.7358*S4082</f>
        <v>3.7357999999999998</v>
      </c>
      <c r="X4082" s="5">
        <f t="shared" si="697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8"/>
        <v>5.2642000000000007</v>
      </c>
      <c r="AL4082" s="5">
        <f t="shared" si="699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5"/>
        <v>3.3120000000000003</v>
      </c>
      <c r="V4083" s="10">
        <f t="shared" si="696"/>
        <v>17.712</v>
      </c>
      <c r="W4083" s="2">
        <v>7.2217000000000002</v>
      </c>
      <c r="X4083" s="5">
        <f t="shared" si="697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8"/>
        <v>7.1783000000000001</v>
      </c>
      <c r="AL4083" s="5">
        <f t="shared" si="699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5"/>
        <v>4.0019999999999998</v>
      </c>
      <c r="V4084" s="10">
        <f t="shared" si="696"/>
        <v>21.401999999999997</v>
      </c>
      <c r="W4084" s="2">
        <f>9.075*S4084</f>
        <v>9.0749999999999993</v>
      </c>
      <c r="X4084" s="5">
        <f t="shared" si="697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8"/>
        <v>8.3249999999999993</v>
      </c>
      <c r="AL4084" s="5">
        <f t="shared" si="699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5"/>
        <v>4.83</v>
      </c>
      <c r="V4085" s="10">
        <f t="shared" si="696"/>
        <v>25.83</v>
      </c>
      <c r="W4085" s="2">
        <f>11.045*S4085</f>
        <v>11.045</v>
      </c>
      <c r="X4085" s="5">
        <f t="shared" si="697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8"/>
        <v>9.9550000000000001</v>
      </c>
      <c r="AL4085" s="5">
        <f t="shared" si="699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5"/>
        <v>5.7960000000000003</v>
      </c>
      <c r="V4086" s="10">
        <f t="shared" si="696"/>
        <v>30.995999999999999</v>
      </c>
      <c r="W4086" s="2">
        <f>13.4067*S4086</f>
        <v>13.406700000000001</v>
      </c>
      <c r="X4086" s="5">
        <f t="shared" si="697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8"/>
        <v>11.793299999999999</v>
      </c>
      <c r="AL4086" s="5">
        <f t="shared" si="699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5"/>
        <v>6.9</v>
      </c>
      <c r="V4087" s="10">
        <f t="shared" si="696"/>
        <v>36.9</v>
      </c>
      <c r="W4087" s="2">
        <f>16.2249*S4087</f>
        <v>16.224900000000002</v>
      </c>
      <c r="X4087" s="5">
        <f t="shared" si="697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8"/>
        <v>13.775099999999998</v>
      </c>
      <c r="AL4087" s="5">
        <f t="shared" si="699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5"/>
        <v>4.1400000000000006</v>
      </c>
      <c r="V4088" s="10">
        <f t="shared" si="696"/>
        <v>22.14</v>
      </c>
      <c r="W4088" s="2">
        <f>9.2346*S4088</f>
        <v>9.2346000000000004</v>
      </c>
      <c r="X4088" s="5">
        <f t="shared" si="697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8"/>
        <v>8.7653999999999996</v>
      </c>
      <c r="AL4088" s="5">
        <f t="shared" si="699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5"/>
        <v>4.5540000000000003</v>
      </c>
      <c r="V4089" s="10">
        <f t="shared" si="696"/>
        <v>24.353999999999999</v>
      </c>
      <c r="W4089" s="2">
        <f>10.5267*S4089</f>
        <v>10.5267</v>
      </c>
      <c r="X4089" s="5">
        <f t="shared" si="697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8"/>
        <v>9.2733000000000008</v>
      </c>
      <c r="AL4089" s="5">
        <f t="shared" si="699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5"/>
        <v>5.2440000000000007</v>
      </c>
      <c r="V4090" s="10">
        <f t="shared" si="696"/>
        <v>28.044</v>
      </c>
      <c r="W4090" s="2">
        <f>12.2604*S4090</f>
        <v>12.260400000000001</v>
      </c>
      <c r="X4090" s="5">
        <f t="shared" si="697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8"/>
        <v>10.5396</v>
      </c>
      <c r="AL4090" s="5">
        <f t="shared" si="699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5"/>
        <v>5.5200000000000005</v>
      </c>
      <c r="V4091" s="10">
        <f t="shared" si="696"/>
        <v>29.52</v>
      </c>
      <c r="W4091" s="2">
        <f>12.71*S4091</f>
        <v>12.71</v>
      </c>
      <c r="X4091" s="5">
        <f t="shared" si="697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8"/>
        <v>11.29</v>
      </c>
      <c r="AL4091" s="5">
        <f t="shared" si="699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5"/>
        <v>0</v>
      </c>
      <c r="V4092" s="10">
        <f t="shared" si="696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700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5"/>
        <v>3.22</v>
      </c>
      <c r="V4093" s="10">
        <f t="shared" si="696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5"/>
        <v>2.99</v>
      </c>
      <c r="V4094" s="10">
        <f t="shared" si="696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5"/>
        <v>3.22</v>
      </c>
      <c r="V4095" s="10">
        <f t="shared" si="696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5"/>
        <v>0</v>
      </c>
      <c r="V4096" s="10">
        <f t="shared" si="696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5"/>
        <v>9.2000000000000011</v>
      </c>
      <c r="V4097" s="10">
        <f t="shared" si="696"/>
        <v>49.2</v>
      </c>
      <c r="W4097" s="2">
        <f>11.525*S4097</f>
        <v>23.05</v>
      </c>
      <c r="X4097" s="5">
        <f t="shared" ref="X4097:X4128" si="701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2">T4097-W4097</f>
        <v>16.95</v>
      </c>
      <c r="AL4097" s="5">
        <f t="shared" ref="AL4097:AL4119" si="703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5"/>
        <v>0.69000000000000006</v>
      </c>
      <c r="V4098" s="10">
        <f t="shared" si="696"/>
        <v>3.69</v>
      </c>
      <c r="W4098" s="2">
        <f>0.98*S4098</f>
        <v>0.98</v>
      </c>
      <c r="X4098" s="5">
        <f t="shared" si="701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2"/>
        <v>2.02</v>
      </c>
      <c r="AL4098" s="5">
        <f t="shared" si="703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5"/>
        <v>4.83</v>
      </c>
      <c r="V4099" s="10">
        <f t="shared" si="696"/>
        <v>25.83</v>
      </c>
      <c r="W4099" s="2">
        <f>8*S4099</f>
        <v>8</v>
      </c>
      <c r="X4099" s="5">
        <f t="shared" si="701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2"/>
        <v>13</v>
      </c>
      <c r="AL4099" s="5">
        <f t="shared" si="703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5"/>
        <v>3.3120000000000003</v>
      </c>
      <c r="V4100" s="10">
        <f t="shared" si="696"/>
        <v>17.712</v>
      </c>
      <c r="W4100" s="2">
        <f>0.8561*S4100</f>
        <v>6.8487999999999998</v>
      </c>
      <c r="X4100" s="5">
        <f t="shared" si="701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2"/>
        <v>7.5512000000000006</v>
      </c>
      <c r="AL4100" s="5">
        <f t="shared" si="703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5"/>
        <v>2.7600000000000002</v>
      </c>
      <c r="V4101" s="10">
        <f t="shared" si="696"/>
        <v>14.76</v>
      </c>
      <c r="W4101" s="2">
        <f>1.4114*S4101</f>
        <v>5.6456</v>
      </c>
      <c r="X4101" s="5">
        <f t="shared" si="701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2"/>
        <v>6.3544</v>
      </c>
      <c r="AL4101" s="5">
        <f t="shared" si="703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5"/>
        <v>2.7600000000000002</v>
      </c>
      <c r="V4102" s="10">
        <f t="shared" si="696"/>
        <v>14.76</v>
      </c>
      <c r="W4102" s="2">
        <f>0.677*S4102</f>
        <v>6.7700000000000005</v>
      </c>
      <c r="X4102" s="5">
        <f t="shared" si="701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2"/>
        <v>5.2299999999999995</v>
      </c>
      <c r="AL4102" s="5">
        <f t="shared" si="703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5"/>
        <v>5.29</v>
      </c>
      <c r="V4103" s="10">
        <f t="shared" si="696"/>
        <v>28.29</v>
      </c>
      <c r="W4103" s="2">
        <f>15.0203*S4103</f>
        <v>15.020300000000001</v>
      </c>
      <c r="X4103" s="5">
        <f t="shared" si="701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2"/>
        <v>7.9796999999999993</v>
      </c>
      <c r="AL4103" s="5">
        <f t="shared" si="703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5"/>
        <v>1.794</v>
      </c>
      <c r="V4104" s="10">
        <f t="shared" si="696"/>
        <v>9.5939999999999994</v>
      </c>
      <c r="W4104" s="2">
        <v>5.43</v>
      </c>
      <c r="X4104" s="5">
        <f t="shared" si="701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2"/>
        <v>2.37</v>
      </c>
      <c r="AL4104" s="5">
        <f t="shared" si="703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5"/>
        <v>2.7600000000000002</v>
      </c>
      <c r="V4105" s="2">
        <f t="shared" si="696"/>
        <v>14.76</v>
      </c>
      <c r="W4105" s="2">
        <f>6.895*S4105</f>
        <v>6.8949999999999996</v>
      </c>
      <c r="X4105" s="5">
        <f t="shared" si="701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2"/>
        <v>5.1050000000000004</v>
      </c>
      <c r="AL4105" s="5">
        <f t="shared" si="703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5"/>
        <v>2.7600000000000002</v>
      </c>
      <c r="V4106" s="2">
        <f t="shared" si="696"/>
        <v>14.76</v>
      </c>
      <c r="W4106" s="2">
        <v>6.86</v>
      </c>
      <c r="X4106" s="5">
        <f t="shared" si="701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2"/>
        <v>5.14</v>
      </c>
      <c r="AL4106" s="5">
        <f t="shared" si="703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5"/>
        <v>0.69000000000000006</v>
      </c>
      <c r="V4107" s="2">
        <f t="shared" si="696"/>
        <v>3.69</v>
      </c>
      <c r="W4107" s="2">
        <v>1.67</v>
      </c>
      <c r="X4107" s="5">
        <f t="shared" si="701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2"/>
        <v>1.33</v>
      </c>
      <c r="AL4107" s="5">
        <f t="shared" si="703"/>
        <v>0.44333333333333336</v>
      </c>
    </row>
    <row r="4108" spans="1:38" x14ac:dyDescent="0.2">
      <c r="A4108" s="8">
        <v>2026</v>
      </c>
      <c r="B4108" s="8">
        <v>6</v>
      </c>
      <c r="C4108" s="8" t="s">
        <v>3321</v>
      </c>
      <c r="D4108" s="2" t="s">
        <v>2557</v>
      </c>
      <c r="E4108" s="2" t="s">
        <v>108</v>
      </c>
      <c r="F4108" s="2" t="s">
        <v>717</v>
      </c>
      <c r="G4108" s="2">
        <v>500228264</v>
      </c>
      <c r="H4108" s="2" t="s">
        <v>109</v>
      </c>
      <c r="I4108" s="2" t="s">
        <v>2937</v>
      </c>
      <c r="J4108" s="2" t="s">
        <v>2938</v>
      </c>
      <c r="K4108" s="2">
        <v>962004672</v>
      </c>
      <c r="L4108" s="2" t="s">
        <v>398</v>
      </c>
      <c r="M4108" s="2" t="s">
        <v>40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4">T4108*23%</f>
        <v>32.2851</v>
      </c>
      <c r="V4108" s="10">
        <f t="shared" ref="V4108:V4139" si="705">T4108+U4108</f>
        <v>172.6551</v>
      </c>
      <c r="W4108" s="2">
        <v>64.001000000000005</v>
      </c>
      <c r="X4108" s="5">
        <f t="shared" si="701"/>
        <v>0.5440549975065897</v>
      </c>
      <c r="Z4108" s="2" t="s">
        <v>117</v>
      </c>
      <c r="AA4108" s="2" t="s">
        <v>118</v>
      </c>
      <c r="AB4108" s="2" t="s">
        <v>119</v>
      </c>
      <c r="AC4108" s="2" t="s">
        <v>114</v>
      </c>
      <c r="AI4108" s="2"/>
      <c r="AK4108" s="2">
        <f t="shared" si="702"/>
        <v>76.369</v>
      </c>
      <c r="AL4108" s="5">
        <f t="shared" si="703"/>
        <v>0.5440549975065897</v>
      </c>
    </row>
    <row r="4109" spans="1:38" x14ac:dyDescent="0.2">
      <c r="A4109" s="8">
        <v>2026</v>
      </c>
      <c r="B4109" s="8">
        <v>6</v>
      </c>
      <c r="C4109" s="8" t="s">
        <v>3321</v>
      </c>
      <c r="D4109" s="2" t="s">
        <v>2557</v>
      </c>
      <c r="E4109" s="2" t="s">
        <v>108</v>
      </c>
      <c r="F4109" s="2" t="s">
        <v>717</v>
      </c>
      <c r="G4109" s="2">
        <v>500228264</v>
      </c>
      <c r="H4109" s="2" t="s">
        <v>109</v>
      </c>
      <c r="I4109" s="2" t="s">
        <v>2937</v>
      </c>
      <c r="J4109" s="2" t="s">
        <v>2938</v>
      </c>
      <c r="K4109" s="2">
        <v>962004672</v>
      </c>
      <c r="L4109" s="2" t="s">
        <v>398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4"/>
        <v>76.59</v>
      </c>
      <c r="V4109" s="2">
        <f t="shared" si="705"/>
        <v>409.59000000000003</v>
      </c>
      <c r="W4109" s="2">
        <f>T4109*40%</f>
        <v>133.20000000000002</v>
      </c>
      <c r="X4109" s="5">
        <f t="shared" si="701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2"/>
        <v>199.79999999999998</v>
      </c>
      <c r="AL4109" s="5">
        <f t="shared" si="703"/>
        <v>0.6</v>
      </c>
    </row>
    <row r="4110" spans="1:38" x14ac:dyDescent="0.2">
      <c r="A4110" s="8">
        <v>2026</v>
      </c>
      <c r="B4110" s="8">
        <v>6</v>
      </c>
      <c r="C4110" s="8" t="s">
        <v>3321</v>
      </c>
      <c r="D4110" s="2" t="s">
        <v>2557</v>
      </c>
      <c r="E4110" s="2" t="s">
        <v>108</v>
      </c>
      <c r="F4110" s="2" t="s">
        <v>717</v>
      </c>
      <c r="G4110" s="2">
        <v>500228264</v>
      </c>
      <c r="H4110" s="2" t="s">
        <v>109</v>
      </c>
      <c r="I4110" s="2" t="s">
        <v>2937</v>
      </c>
      <c r="J4110" s="2" t="s">
        <v>2938</v>
      </c>
      <c r="K4110" s="2">
        <v>962004672</v>
      </c>
      <c r="L4110" s="2" t="s">
        <v>398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4"/>
        <v>25.3</v>
      </c>
      <c r="V4110" s="2">
        <f t="shared" si="705"/>
        <v>135.30000000000001</v>
      </c>
      <c r="W4110" s="2">
        <f>T4110*50%</f>
        <v>55</v>
      </c>
      <c r="X4110" s="5">
        <f t="shared" si="701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2"/>
        <v>55</v>
      </c>
      <c r="AL4110" s="5">
        <f t="shared" si="703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E4111" s="2" t="s">
        <v>108</v>
      </c>
      <c r="F4111" s="2" t="s">
        <v>39</v>
      </c>
      <c r="G4111" s="2">
        <v>510039537</v>
      </c>
      <c r="H4111" s="2" t="s">
        <v>40</v>
      </c>
      <c r="I4111" s="2" t="s">
        <v>571</v>
      </c>
      <c r="J4111" s="2" t="s">
        <v>750</v>
      </c>
      <c r="K4111" s="2">
        <v>969042927</v>
      </c>
      <c r="L4111" s="2" t="s">
        <v>571</v>
      </c>
      <c r="M4111" s="2" t="s">
        <v>40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4"/>
        <v>17.514500000000002</v>
      </c>
      <c r="V4111" s="10">
        <f t="shared" si="705"/>
        <v>93.664500000000004</v>
      </c>
      <c r="X4111" s="5">
        <f t="shared" si="701"/>
        <v>1</v>
      </c>
      <c r="AI4111" s="2"/>
      <c r="AK4111" s="2">
        <f t="shared" si="702"/>
        <v>76.150000000000006</v>
      </c>
      <c r="AL4111" s="5">
        <f t="shared" si="703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E4112" s="2" t="s">
        <v>108</v>
      </c>
      <c r="F4112" s="2" t="s">
        <v>39</v>
      </c>
      <c r="G4112" s="2">
        <v>510039537</v>
      </c>
      <c r="H4112" s="2" t="s">
        <v>40</v>
      </c>
      <c r="I4112" s="2" t="s">
        <v>571</v>
      </c>
      <c r="J4112" s="2" t="s">
        <v>750</v>
      </c>
      <c r="K4112" s="2">
        <v>969042927</v>
      </c>
      <c r="L4112" s="2" t="s">
        <v>571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4"/>
        <v>275.72399999999999</v>
      </c>
      <c r="V4112" s="10">
        <f t="shared" si="705"/>
        <v>1474.5239999999999</v>
      </c>
      <c r="W4112" s="2">
        <f>346.57*S4112</f>
        <v>693.14</v>
      </c>
      <c r="X4112" s="5">
        <f t="shared" si="701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2"/>
        <v>505.65999999999997</v>
      </c>
      <c r="AL4112" s="5">
        <f t="shared" si="703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E4113" s="2" t="s">
        <v>108</v>
      </c>
      <c r="F4113" s="2" t="s">
        <v>39</v>
      </c>
      <c r="G4113" s="2">
        <v>510039537</v>
      </c>
      <c r="H4113" s="2" t="s">
        <v>40</v>
      </c>
      <c r="I4113" s="2" t="s">
        <v>571</v>
      </c>
      <c r="J4113" s="2" t="s">
        <v>750</v>
      </c>
      <c r="K4113" s="2">
        <v>969042927</v>
      </c>
      <c r="L4113" s="2" t="s">
        <v>571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4"/>
        <v>96.367699999999999</v>
      </c>
      <c r="V4113" s="10">
        <f t="shared" si="705"/>
        <v>515.35770000000002</v>
      </c>
      <c r="W4113" s="2">
        <v>237.8466</v>
      </c>
      <c r="X4113" s="5">
        <f t="shared" si="701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2"/>
        <v>181.14340000000001</v>
      </c>
      <c r="AL4113" s="5">
        <f t="shared" si="703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E4114" s="2" t="s">
        <v>108</v>
      </c>
      <c r="F4114" s="2" t="s">
        <v>39</v>
      </c>
      <c r="G4114" s="2">
        <v>510039537</v>
      </c>
      <c r="H4114" s="2" t="s">
        <v>40</v>
      </c>
      <c r="I4114" s="2" t="s">
        <v>571</v>
      </c>
      <c r="J4114" s="2" t="s">
        <v>750</v>
      </c>
      <c r="K4114" s="2">
        <v>969042927</v>
      </c>
      <c r="L4114" s="2" t="s">
        <v>571</v>
      </c>
      <c r="M4114" s="2" t="s">
        <v>40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4"/>
        <v>30.166800000000002</v>
      </c>
      <c r="V4114" s="10">
        <f t="shared" si="705"/>
        <v>161.32679999999999</v>
      </c>
      <c r="X4114" s="5">
        <f t="shared" si="701"/>
        <v>1</v>
      </c>
      <c r="AI4114" s="2"/>
      <c r="AK4114" s="2">
        <f t="shared" si="702"/>
        <v>131.16</v>
      </c>
      <c r="AL4114" s="5">
        <f t="shared" si="703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E4115" s="2" t="s">
        <v>108</v>
      </c>
      <c r="F4115" s="2" t="s">
        <v>39</v>
      </c>
      <c r="G4115" s="2">
        <v>510039537</v>
      </c>
      <c r="H4115" s="2" t="s">
        <v>40</v>
      </c>
      <c r="I4115" s="2" t="s">
        <v>571</v>
      </c>
      <c r="J4115" s="2" t="s">
        <v>750</v>
      </c>
      <c r="K4115" s="2">
        <v>969042927</v>
      </c>
      <c r="L4115" s="2" t="s">
        <v>571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4"/>
        <v>54.74</v>
      </c>
      <c r="V4115" s="2">
        <f t="shared" si="705"/>
        <v>292.74</v>
      </c>
      <c r="W4115" s="2">
        <f>T4115*40%</f>
        <v>95.2</v>
      </c>
      <c r="X4115" s="5">
        <f t="shared" si="701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2"/>
        <v>142.80000000000001</v>
      </c>
      <c r="AL4115" s="5">
        <f t="shared" si="703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E4116" s="2" t="s">
        <v>108</v>
      </c>
      <c r="F4116" s="2" t="s">
        <v>39</v>
      </c>
      <c r="G4116" s="2">
        <v>510039537</v>
      </c>
      <c r="H4116" s="2" t="s">
        <v>40</v>
      </c>
      <c r="I4116" s="2" t="s">
        <v>571</v>
      </c>
      <c r="J4116" s="2" t="s">
        <v>750</v>
      </c>
      <c r="K4116" s="2">
        <v>969042927</v>
      </c>
      <c r="L4116" s="2" t="s">
        <v>571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4"/>
        <v>12.65</v>
      </c>
      <c r="V4116" s="2">
        <f t="shared" si="705"/>
        <v>67.650000000000006</v>
      </c>
      <c r="W4116" s="2">
        <f>T4116*50%</f>
        <v>27.5</v>
      </c>
      <c r="X4116" s="5">
        <f t="shared" si="701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2"/>
        <v>27.5</v>
      </c>
      <c r="AL4116" s="5">
        <f t="shared" si="703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4"/>
        <v>4.0250000000000004</v>
      </c>
      <c r="V4117" s="10">
        <f t="shared" si="705"/>
        <v>21.524999999999999</v>
      </c>
      <c r="X4117" s="5">
        <f t="shared" si="701"/>
        <v>1</v>
      </c>
      <c r="AI4117" s="2"/>
      <c r="AK4117" s="2">
        <f t="shared" si="702"/>
        <v>17.5</v>
      </c>
      <c r="AL4117" s="5">
        <f t="shared" si="703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4"/>
        <v>1.84</v>
      </c>
      <c r="V4118" s="10">
        <f t="shared" si="705"/>
        <v>9.84</v>
      </c>
      <c r="W4118" s="2">
        <v>6</v>
      </c>
      <c r="X4118" s="5">
        <f t="shared" si="701"/>
        <v>0.25</v>
      </c>
      <c r="Z4118" s="2" t="s">
        <v>169</v>
      </c>
      <c r="AA4118" s="2" t="s">
        <v>169</v>
      </c>
      <c r="AI4118" s="2"/>
      <c r="AK4118" s="2">
        <f t="shared" si="702"/>
        <v>2</v>
      </c>
      <c r="AL4118" s="5">
        <f t="shared" si="703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4"/>
        <v>565.80000000000007</v>
      </c>
      <c r="V4119" s="10">
        <f t="shared" si="705"/>
        <v>3025.8</v>
      </c>
      <c r="W4119" s="2">
        <v>1296.2</v>
      </c>
      <c r="X4119" s="5">
        <f t="shared" si="701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2"/>
        <v>1163.8</v>
      </c>
      <c r="AL4119" s="5">
        <f t="shared" si="703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4"/>
        <v>4.0940000000000003</v>
      </c>
      <c r="V4120" s="10">
        <f t="shared" si="705"/>
        <v>21.894000000000002</v>
      </c>
      <c r="W4120" s="2">
        <f>6.23*2</f>
        <v>12.46</v>
      </c>
      <c r="X4120" s="5">
        <f t="shared" si="701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6">T4120-W4120</f>
        <v>5.34</v>
      </c>
      <c r="AL4120" s="5">
        <f t="shared" ref="AL4120:AL4125" si="707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4"/>
        <v>494.5</v>
      </c>
      <c r="V4121" s="10">
        <f t="shared" si="705"/>
        <v>2644.5</v>
      </c>
      <c r="W4121" s="2">
        <v>1492.7</v>
      </c>
      <c r="X4121" s="5">
        <f t="shared" si="701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6"/>
        <v>657.3</v>
      </c>
      <c r="AL4121" s="5">
        <f t="shared" si="707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4"/>
        <v>503.70000000000005</v>
      </c>
      <c r="V4122" s="10">
        <f t="shared" si="705"/>
        <v>2693.7</v>
      </c>
      <c r="W4122" s="2">
        <v>1578</v>
      </c>
      <c r="X4122" s="5">
        <f t="shared" si="701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6"/>
        <v>612</v>
      </c>
      <c r="AL4122" s="5">
        <f t="shared" si="707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4"/>
        <v>161.31050000000002</v>
      </c>
      <c r="V4123" s="10">
        <f t="shared" si="705"/>
        <v>862.66050000000007</v>
      </c>
      <c r="W4123" s="2">
        <f>T4123*70%</f>
        <v>490.94499999999999</v>
      </c>
      <c r="X4123" s="5">
        <f t="shared" si="701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6"/>
        <v>210.40500000000003</v>
      </c>
      <c r="AL4123" s="5">
        <f t="shared" si="707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4"/>
        <v>52.900000000000006</v>
      </c>
      <c r="V4124" s="10">
        <f t="shared" si="705"/>
        <v>282.89999999999998</v>
      </c>
      <c r="W4124" s="2">
        <v>122.25</v>
      </c>
      <c r="X4124" s="5">
        <f t="shared" si="701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6"/>
        <v>107.75</v>
      </c>
      <c r="AL4124" s="5">
        <f t="shared" si="707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4"/>
        <v>0.34040000000000004</v>
      </c>
      <c r="V4125" s="10">
        <f t="shared" si="705"/>
        <v>1.8204</v>
      </c>
      <c r="W4125" s="2">
        <f>1.48*S4125</f>
        <v>1.48</v>
      </c>
      <c r="X4125" s="5">
        <f t="shared" si="701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6"/>
        <v>0</v>
      </c>
      <c r="AL4125" s="5">
        <f t="shared" si="707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4"/>
        <v>2053.9</v>
      </c>
      <c r="V4126" s="10">
        <f t="shared" si="705"/>
        <v>10983.9</v>
      </c>
      <c r="W4126" s="2">
        <f>6348.73+221.85</f>
        <v>6570.58</v>
      </c>
      <c r="X4126" s="5">
        <f t="shared" si="701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8">T4126-W4126</f>
        <v>2359.42</v>
      </c>
      <c r="AL4126" s="5">
        <f t="shared" ref="AL4126" si="709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4"/>
        <v>1722.7</v>
      </c>
      <c r="V4127" s="10">
        <f t="shared" si="705"/>
        <v>9212.7000000000007</v>
      </c>
      <c r="W4127" s="2">
        <f>4893.23+171</f>
        <v>5064.2299999999996</v>
      </c>
      <c r="X4127" s="5">
        <f t="shared" si="701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4"/>
        <v>2.3000000000000003</v>
      </c>
      <c r="V4128" s="10">
        <f t="shared" si="705"/>
        <v>12.3</v>
      </c>
      <c r="W4128" s="2">
        <v>13.965</v>
      </c>
      <c r="X4128" s="5">
        <f t="shared" si="701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10">T4128-W4128</f>
        <v>-3.9649999999999999</v>
      </c>
      <c r="AL4128" s="5">
        <f t="shared" ref="AL4128:AL4139" si="711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4"/>
        <v>2.7600000000000002</v>
      </c>
      <c r="V4129" s="10">
        <f t="shared" si="705"/>
        <v>14.76</v>
      </c>
      <c r="W4129" s="2">
        <f>2.2*S4129</f>
        <v>8.8000000000000007</v>
      </c>
      <c r="X4129" s="5">
        <f t="shared" ref="X4129:X4149" si="712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10"/>
        <v>3.1999999999999993</v>
      </c>
      <c r="AL4129" s="5">
        <f t="shared" si="711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4"/>
        <v>0.92</v>
      </c>
      <c r="V4130" s="10">
        <f t="shared" si="705"/>
        <v>4.92</v>
      </c>
      <c r="W4130" s="2">
        <f>1.34*S4130</f>
        <v>2.68</v>
      </c>
      <c r="X4130" s="5">
        <f t="shared" si="712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10"/>
        <v>1.3199999999999998</v>
      </c>
      <c r="AL4130" s="5">
        <f t="shared" si="711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4"/>
        <v>1.1500000000000001</v>
      </c>
      <c r="V4131" s="10">
        <f t="shared" si="705"/>
        <v>6.15</v>
      </c>
      <c r="W4131" s="2">
        <v>6</v>
      </c>
      <c r="X4131" s="5">
        <f t="shared" si="712"/>
        <v>-0.2</v>
      </c>
      <c r="Z4131" s="2" t="s">
        <v>169</v>
      </c>
      <c r="AA4131" s="2" t="s">
        <v>169</v>
      </c>
      <c r="AI4131" s="2"/>
      <c r="AK4131" s="2">
        <f t="shared" si="710"/>
        <v>-1</v>
      </c>
      <c r="AL4131" s="5">
        <f t="shared" si="711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4"/>
        <v>11.695500000000001</v>
      </c>
      <c r="V4132" s="2">
        <f t="shared" si="705"/>
        <v>62.545500000000004</v>
      </c>
      <c r="W4132" s="2">
        <v>35</v>
      </c>
      <c r="X4132" s="5">
        <f t="shared" si="712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10"/>
        <v>15.850000000000001</v>
      </c>
      <c r="AL4132" s="5">
        <f t="shared" si="711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4"/>
        <v>50.473500000000001</v>
      </c>
      <c r="V4133" s="10">
        <f t="shared" si="705"/>
        <v>269.92349999999999</v>
      </c>
      <c r="X4133" s="5">
        <f t="shared" si="712"/>
        <v>1</v>
      </c>
      <c r="AI4133" s="2"/>
      <c r="AK4133" s="2">
        <f t="shared" si="710"/>
        <v>219.45</v>
      </c>
      <c r="AL4133" s="5">
        <f t="shared" si="71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4"/>
        <v>13.8</v>
      </c>
      <c r="V4134" s="2">
        <f t="shared" si="705"/>
        <v>73.8</v>
      </c>
      <c r="W4134" s="2">
        <f>T4134*40%</f>
        <v>24</v>
      </c>
      <c r="X4134" s="5">
        <f t="shared" si="712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10"/>
        <v>36</v>
      </c>
      <c r="AL4134" s="5">
        <f t="shared" si="711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4"/>
        <v>12.65</v>
      </c>
      <c r="V4135" s="2">
        <f t="shared" si="705"/>
        <v>67.650000000000006</v>
      </c>
      <c r="W4135" s="2">
        <f>T4135*50%</f>
        <v>27.5</v>
      </c>
      <c r="X4135" s="5">
        <f t="shared" si="712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10"/>
        <v>27.5</v>
      </c>
      <c r="AL4135" s="5">
        <f t="shared" si="711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4"/>
        <v>51.313000000000002</v>
      </c>
      <c r="V4136" s="2">
        <f t="shared" si="705"/>
        <v>274.41300000000001</v>
      </c>
      <c r="W4136" s="2">
        <v>141.18</v>
      </c>
      <c r="X4136" s="5">
        <f t="shared" si="712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10"/>
        <v>81.919999999999987</v>
      </c>
      <c r="AL4136" s="5">
        <f t="shared" si="711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4"/>
        <v>0.34040000000000004</v>
      </c>
      <c r="V4137" s="10">
        <f t="shared" si="705"/>
        <v>1.8204</v>
      </c>
      <c r="W4137" s="2">
        <f>1.48*S4137</f>
        <v>1.48</v>
      </c>
      <c r="X4137" s="5">
        <f t="shared" si="712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10"/>
        <v>0</v>
      </c>
      <c r="AL4137" s="5">
        <f t="shared" si="711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4"/>
        <v>4.1400000000000006</v>
      </c>
      <c r="V4138" s="10">
        <f t="shared" si="705"/>
        <v>22.14</v>
      </c>
      <c r="W4138" s="2">
        <v>10.6</v>
      </c>
      <c r="X4138" s="5">
        <f t="shared" si="712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10"/>
        <v>7.4</v>
      </c>
      <c r="AL4138" s="5">
        <f t="shared" si="711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4"/>
        <v>4.83</v>
      </c>
      <c r="V4139" s="10">
        <f t="shared" si="705"/>
        <v>25.83</v>
      </c>
      <c r="W4139" s="2">
        <f>10.67*S4139</f>
        <v>10.67</v>
      </c>
      <c r="X4139" s="5">
        <f t="shared" si="712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10"/>
        <v>10.33</v>
      </c>
      <c r="AL4139" s="5">
        <f t="shared" si="711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3">T4140*23%</f>
        <v>52.900000000000006</v>
      </c>
      <c r="V4140" s="10">
        <f t="shared" ref="V4140:V4171" si="714">T4140+U4140</f>
        <v>282.89999999999998</v>
      </c>
      <c r="W4140" s="2">
        <f>115.92+6.06</f>
        <v>121.98</v>
      </c>
      <c r="X4140" s="5">
        <f t="shared" si="712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5">T4140-W4140</f>
        <v>108.02</v>
      </c>
      <c r="AL4140" s="5">
        <f t="shared" ref="AL4140:AL4149" si="716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3"/>
        <v>0.34040000000000004</v>
      </c>
      <c r="V4141" s="10">
        <f t="shared" si="714"/>
        <v>1.8204</v>
      </c>
      <c r="W4141" s="2">
        <f>1.48*S4141</f>
        <v>1.48</v>
      </c>
      <c r="X4141" s="5">
        <f t="shared" si="712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5"/>
        <v>0</v>
      </c>
      <c r="AL4141" s="5">
        <f t="shared" si="716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3"/>
        <v>92</v>
      </c>
      <c r="V4142" s="10">
        <f t="shared" si="714"/>
        <v>492</v>
      </c>
      <c r="W4142" s="2">
        <f>271.66+19.93</f>
        <v>291.59000000000003</v>
      </c>
      <c r="X4142" s="5">
        <f t="shared" si="712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5"/>
        <v>108.40999999999997</v>
      </c>
      <c r="AL4142" s="5">
        <f t="shared" si="716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3"/>
        <v>0.34040000000000004</v>
      </c>
      <c r="V4143" s="10">
        <f t="shared" si="714"/>
        <v>1.8204</v>
      </c>
      <c r="W4143" s="2">
        <f>1.48*S4143</f>
        <v>1.48</v>
      </c>
      <c r="X4143" s="5">
        <f t="shared" si="712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5"/>
        <v>0</v>
      </c>
      <c r="AL4143" s="5">
        <f t="shared" si="716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3"/>
        <v>92</v>
      </c>
      <c r="V4144" s="10">
        <f t="shared" si="714"/>
        <v>492</v>
      </c>
      <c r="W4144" s="2">
        <v>290</v>
      </c>
      <c r="X4144" s="5">
        <f t="shared" si="712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5"/>
        <v>110</v>
      </c>
      <c r="AL4144" s="5">
        <f t="shared" si="716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3"/>
        <v>1285.7</v>
      </c>
      <c r="V4145" s="10">
        <f t="shared" si="714"/>
        <v>6875.7</v>
      </c>
      <c r="W4145" s="2">
        <v>4275.9799999999996</v>
      </c>
      <c r="X4145" s="5">
        <f t="shared" si="712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5"/>
        <v>1314.0200000000004</v>
      </c>
      <c r="AL4145" s="5">
        <f t="shared" si="716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3"/>
        <v>1021.2</v>
      </c>
      <c r="V4146" s="10">
        <f t="shared" si="714"/>
        <v>5461.2</v>
      </c>
      <c r="W4146" s="2">
        <v>3345.125</v>
      </c>
      <c r="X4146" s="5">
        <f t="shared" si="712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5"/>
        <v>1094.875</v>
      </c>
      <c r="AL4146" s="5">
        <f t="shared" si="716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3"/>
        <v>2300</v>
      </c>
      <c r="V4147" s="10">
        <f t="shared" si="714"/>
        <v>12300</v>
      </c>
      <c r="W4147" s="2">
        <f>3681.98*2</f>
        <v>7363.96</v>
      </c>
      <c r="X4147" s="5">
        <f t="shared" si="712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5"/>
        <v>2636.04</v>
      </c>
      <c r="AL4147" s="5">
        <f t="shared" si="716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3"/>
        <v>602.6</v>
      </c>
      <c r="V4148" s="10">
        <f t="shared" si="714"/>
        <v>3222.6</v>
      </c>
      <c r="W4148" s="2">
        <v>1978.46</v>
      </c>
      <c r="X4148" s="5">
        <f t="shared" si="712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5"/>
        <v>641.54</v>
      </c>
      <c r="AL4148" s="5">
        <f t="shared" si="716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3"/>
        <v>114.77000000000001</v>
      </c>
      <c r="V4149" s="10">
        <f t="shared" si="714"/>
        <v>613.77</v>
      </c>
      <c r="W4149" s="2">
        <v>297</v>
      </c>
      <c r="X4149" s="5">
        <f t="shared" si="712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5"/>
        <v>202</v>
      </c>
      <c r="AL4149" s="5">
        <f t="shared" si="716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3"/>
        <v>0</v>
      </c>
      <c r="V4150" s="10">
        <f t="shared" si="714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3"/>
        <v>0</v>
      </c>
      <c r="V4151" s="10">
        <f t="shared" si="714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3"/>
        <v>8.2800000000000011</v>
      </c>
      <c r="V4152" s="10">
        <f t="shared" si="714"/>
        <v>44.28</v>
      </c>
      <c r="W4152" s="2">
        <f>10.6*S4152</f>
        <v>21.2</v>
      </c>
      <c r="X4152" s="5">
        <f t="shared" ref="X4152:X4188" si="717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8">T4152-W4152</f>
        <v>14.8</v>
      </c>
      <c r="AL4152" s="5">
        <f t="shared" ref="AL4152" si="719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3"/>
        <v>1.84</v>
      </c>
      <c r="V4153" s="10">
        <f t="shared" si="714"/>
        <v>9.84</v>
      </c>
      <c r="W4153" s="2">
        <v>6</v>
      </c>
      <c r="X4153" s="5">
        <f t="shared" si="717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3"/>
        <v>14.49</v>
      </c>
      <c r="V4154" s="10">
        <f t="shared" si="714"/>
        <v>77.489999999999995</v>
      </c>
      <c r="W4154" s="2">
        <f>10.67*S4154</f>
        <v>32.01</v>
      </c>
      <c r="X4154" s="5">
        <f t="shared" si="717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20">T4154-W4154</f>
        <v>30.990000000000002</v>
      </c>
      <c r="AL4154" s="5">
        <f t="shared" ref="AL4154:AL4171" si="721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3"/>
        <v>6.21</v>
      </c>
      <c r="V4155" s="10">
        <f t="shared" si="714"/>
        <v>33.21</v>
      </c>
      <c r="W4155" s="2">
        <f>3.7358*S4155</f>
        <v>11.2074</v>
      </c>
      <c r="X4155" s="5">
        <f t="shared" si="717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20"/>
        <v>15.7926</v>
      </c>
      <c r="AL4155" s="5">
        <f t="shared" si="721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3"/>
        <v>9.6508000000000003</v>
      </c>
      <c r="V4156" s="10">
        <f t="shared" si="714"/>
        <v>51.610799999999998</v>
      </c>
      <c r="W4156" s="2">
        <f>23.042*S4156</f>
        <v>23.042000000000002</v>
      </c>
      <c r="X4156" s="5">
        <f t="shared" si="717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20"/>
        <v>18.917999999999999</v>
      </c>
      <c r="AL4156" s="5">
        <f t="shared" si="721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3"/>
        <v>92</v>
      </c>
      <c r="V4157" s="10">
        <f t="shared" si="714"/>
        <v>492</v>
      </c>
      <c r="W4157" s="2">
        <f>14.5099*S4157</f>
        <v>290.19799999999998</v>
      </c>
      <c r="X4157" s="5">
        <f t="shared" si="717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20"/>
        <v>109.80200000000002</v>
      </c>
      <c r="AL4157" s="5">
        <f t="shared" si="721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3"/>
        <v>92</v>
      </c>
      <c r="V4158" s="10">
        <f t="shared" si="714"/>
        <v>492</v>
      </c>
      <c r="W4158" s="2">
        <f>14.5099*S4158</f>
        <v>290.19799999999998</v>
      </c>
      <c r="X4158" s="5">
        <f t="shared" si="717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20"/>
        <v>109.80200000000002</v>
      </c>
      <c r="AL4158" s="5">
        <f t="shared" si="72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3"/>
        <v>46</v>
      </c>
      <c r="V4159" s="10">
        <f t="shared" si="714"/>
        <v>246</v>
      </c>
      <c r="W4159" s="2">
        <f>110.125+11.77</f>
        <v>121.895</v>
      </c>
      <c r="X4159" s="5">
        <f t="shared" si="717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2">AI4159*T4159</f>
        <v>0</v>
      </c>
      <c r="AK4159" s="2">
        <f t="shared" si="720"/>
        <v>78.105000000000004</v>
      </c>
      <c r="AL4159" s="5">
        <f t="shared" si="721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3"/>
        <v>0.34040000000000004</v>
      </c>
      <c r="V4160" s="10">
        <f t="shared" si="714"/>
        <v>1.8204</v>
      </c>
      <c r="W4160" s="2">
        <f>1.48*S4160</f>
        <v>1.48</v>
      </c>
      <c r="X4160" s="5">
        <f t="shared" si="717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2"/>
        <v>0</v>
      </c>
      <c r="AK4160" s="2">
        <f t="shared" si="720"/>
        <v>0</v>
      </c>
      <c r="AL4160" s="5">
        <f t="shared" si="721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3"/>
        <v>31.51</v>
      </c>
      <c r="V4161" s="2">
        <f t="shared" si="714"/>
        <v>168.51</v>
      </c>
      <c r="W4161" s="2">
        <f>T4161*40%</f>
        <v>54.800000000000004</v>
      </c>
      <c r="X4161" s="5">
        <f t="shared" si="717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2"/>
        <v>0</v>
      </c>
      <c r="AK4161" s="2">
        <f t="shared" si="720"/>
        <v>82.199999999999989</v>
      </c>
      <c r="AL4161" s="5">
        <f t="shared" si="721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3"/>
        <v>18.975000000000001</v>
      </c>
      <c r="V4162" s="2">
        <f t="shared" si="714"/>
        <v>101.47499999999999</v>
      </c>
      <c r="W4162" s="2">
        <f>T4162*50%</f>
        <v>41.25</v>
      </c>
      <c r="X4162" s="5">
        <f t="shared" si="717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2"/>
        <v>0</v>
      </c>
      <c r="AK4162" s="2">
        <f t="shared" si="720"/>
        <v>41.25</v>
      </c>
      <c r="AL4162" s="5">
        <f t="shared" si="721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3"/>
        <v>62.1</v>
      </c>
      <c r="V4163" s="10">
        <f t="shared" si="714"/>
        <v>332.1</v>
      </c>
      <c r="W4163" s="2">
        <v>139.46</v>
      </c>
      <c r="X4163" s="5">
        <f t="shared" si="717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2"/>
        <v>0</v>
      </c>
      <c r="AK4163" s="2">
        <f t="shared" si="720"/>
        <v>130.54</v>
      </c>
      <c r="AL4163" s="5">
        <f t="shared" si="721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3"/>
        <v>0.34040000000000004</v>
      </c>
      <c r="V4164" s="10">
        <f t="shared" si="714"/>
        <v>1.8204</v>
      </c>
      <c r="W4164" s="2">
        <f>1.48*S4164</f>
        <v>1.48</v>
      </c>
      <c r="X4164" s="5">
        <f t="shared" si="717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2"/>
        <v>0</v>
      </c>
      <c r="AK4164" s="2">
        <f t="shared" si="720"/>
        <v>0</v>
      </c>
      <c r="AL4164" s="5">
        <f t="shared" si="721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3"/>
        <v>30.985600000000002</v>
      </c>
      <c r="V4165" s="10">
        <f t="shared" si="714"/>
        <v>165.7056</v>
      </c>
      <c r="W4165" s="2">
        <f>36.2258*S4165</f>
        <v>72.451599999999999</v>
      </c>
      <c r="X4165" s="5">
        <f t="shared" si="717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20"/>
        <v>62.2684</v>
      </c>
      <c r="AL4165" s="5">
        <f t="shared" si="721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3"/>
        <v>138.345</v>
      </c>
      <c r="V4166" s="2">
        <f t="shared" si="714"/>
        <v>739.84500000000003</v>
      </c>
      <c r="W4166" s="2">
        <f>T4166*40%</f>
        <v>240.60000000000002</v>
      </c>
      <c r="X4166" s="5">
        <f t="shared" si="717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20"/>
        <v>360.9</v>
      </c>
      <c r="AL4166" s="5">
        <f t="shared" si="721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3"/>
        <v>85.387500000000003</v>
      </c>
      <c r="V4167" s="2">
        <f t="shared" si="714"/>
        <v>456.63749999999999</v>
      </c>
      <c r="W4167" s="2">
        <f>T4167*50%</f>
        <v>185.625</v>
      </c>
      <c r="X4167" s="5">
        <f t="shared" si="717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20"/>
        <v>185.625</v>
      </c>
      <c r="AL4167" s="5">
        <f t="shared" si="721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3"/>
        <v>6.21</v>
      </c>
      <c r="V4168" s="10">
        <f t="shared" si="714"/>
        <v>33.21</v>
      </c>
      <c r="W4168" s="2">
        <f>T4168*70%</f>
        <v>18.899999999999999</v>
      </c>
      <c r="X4168" s="5">
        <f t="shared" si="717"/>
        <v>0.30000000000000004</v>
      </c>
      <c r="Z4168" s="2" t="s">
        <v>119</v>
      </c>
      <c r="AA4168" s="2" t="s">
        <v>3378</v>
      </c>
      <c r="AI4168" s="2"/>
      <c r="AK4168" s="2">
        <f t="shared" si="720"/>
        <v>8.1000000000000014</v>
      </c>
      <c r="AL4168" s="5">
        <f t="shared" si="721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3"/>
        <v>44.160000000000004</v>
      </c>
      <c r="V4169" s="10">
        <f t="shared" si="714"/>
        <v>236.16</v>
      </c>
      <c r="W4169" s="2">
        <f>14.5099*S4169</f>
        <v>116.0792</v>
      </c>
      <c r="X4169" s="5">
        <f t="shared" si="717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20"/>
        <v>75.9208</v>
      </c>
      <c r="AL4169" s="5">
        <f t="shared" si="721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3"/>
        <v>16.100000000000001</v>
      </c>
      <c r="V4170" s="10">
        <f t="shared" si="714"/>
        <v>86.1</v>
      </c>
      <c r="W4170" s="2">
        <f>0.0914*S4170</f>
        <v>45.699999999999996</v>
      </c>
      <c r="X4170" s="5">
        <f t="shared" si="717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20"/>
        <v>24.300000000000004</v>
      </c>
      <c r="AL4170" s="5">
        <f t="shared" si="721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3"/>
        <v>46</v>
      </c>
      <c r="V4171" s="10">
        <f t="shared" si="714"/>
        <v>246</v>
      </c>
      <c r="W4171" s="2">
        <v>120.636</v>
      </c>
      <c r="X4171" s="5">
        <f t="shared" si="717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20"/>
        <v>79.364000000000004</v>
      </c>
      <c r="AL4171" s="5">
        <f t="shared" si="721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3">T4172*23%</f>
        <v>6.9</v>
      </c>
      <c r="V4172" s="10">
        <f t="shared" ref="V4172:V4173" si="724">T4172+U4172</f>
        <v>36.9</v>
      </c>
      <c r="W4172" s="2">
        <v>0</v>
      </c>
      <c r="X4172" s="5">
        <f t="shared" si="717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3"/>
        <v>0.34040000000000004</v>
      </c>
      <c r="V4173" s="10">
        <f t="shared" si="724"/>
        <v>1.8204</v>
      </c>
      <c r="W4173" s="2">
        <f>1.48*S4173</f>
        <v>1.48</v>
      </c>
      <c r="X4173" s="5">
        <f t="shared" si="717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5">T4173-W4173</f>
        <v>0</v>
      </c>
      <c r="AL4173" s="5">
        <f t="shared" ref="AL4173:AL4188" si="726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3"/>
        <v>1377.7</v>
      </c>
      <c r="V4174" s="10">
        <f>U4174+T4174</f>
        <v>7367.7</v>
      </c>
      <c r="W4174" s="2">
        <v>4214</v>
      </c>
      <c r="X4174" s="5">
        <f t="shared" si="717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5"/>
        <v>1776</v>
      </c>
      <c r="AL4174" s="5">
        <f t="shared" si="726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3"/>
        <v>13.8</v>
      </c>
      <c r="V4175" s="2">
        <f t="shared" ref="V4175:V4206" si="727">T4175+U4175</f>
        <v>73.8</v>
      </c>
      <c r="W4175" s="2">
        <f>T4175*40%</f>
        <v>24</v>
      </c>
      <c r="X4175" s="5">
        <f t="shared" si="717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5"/>
        <v>36</v>
      </c>
      <c r="AL4175" s="5">
        <f t="shared" si="726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3"/>
        <v>25.3</v>
      </c>
      <c r="V4176" s="2">
        <f t="shared" si="727"/>
        <v>135.30000000000001</v>
      </c>
      <c r="W4176" s="2">
        <f>T4176*50%</f>
        <v>55</v>
      </c>
      <c r="X4176" s="5">
        <f t="shared" si="717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5"/>
        <v>55</v>
      </c>
      <c r="AL4176" s="5">
        <f t="shared" si="726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3"/>
        <v>21.16</v>
      </c>
      <c r="V4177" s="2">
        <f t="shared" si="727"/>
        <v>113.16</v>
      </c>
      <c r="W4177" s="2">
        <f>T4177*40%</f>
        <v>36.800000000000004</v>
      </c>
      <c r="X4177" s="5">
        <f t="shared" si="717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5"/>
        <v>55.199999999999996</v>
      </c>
      <c r="AL4177" s="5">
        <f t="shared" si="726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3"/>
        <v>12.65</v>
      </c>
      <c r="V4178" s="2">
        <f t="shared" si="727"/>
        <v>67.650000000000006</v>
      </c>
      <c r="W4178" s="2">
        <f>T4178*50%</f>
        <v>27.5</v>
      </c>
      <c r="X4178" s="5">
        <f t="shared" si="717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5"/>
        <v>27.5</v>
      </c>
      <c r="AL4178" s="5">
        <f t="shared" si="726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3"/>
        <v>22.983900000000002</v>
      </c>
      <c r="V4179" s="10">
        <f t="shared" si="727"/>
        <v>122.91390000000001</v>
      </c>
      <c r="W4179" s="2">
        <f>T4179*70%</f>
        <v>69.950999999999993</v>
      </c>
      <c r="X4179" s="5">
        <f t="shared" si="717"/>
        <v>0.3000000000000001</v>
      </c>
      <c r="Z4179" s="2" t="s">
        <v>119</v>
      </c>
      <c r="AA4179" s="2" t="s">
        <v>3378</v>
      </c>
      <c r="AI4179" s="2"/>
      <c r="AK4179" s="2">
        <f t="shared" si="725"/>
        <v>29.979000000000013</v>
      </c>
      <c r="AL4179" s="5">
        <f t="shared" si="726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3"/>
        <v>23</v>
      </c>
      <c r="V4180" s="10">
        <f t="shared" si="727"/>
        <v>123</v>
      </c>
      <c r="W4180" s="2">
        <f>14.5099*S4180</f>
        <v>58.0396</v>
      </c>
      <c r="X4180" s="5">
        <f t="shared" si="717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5"/>
        <v>41.9604</v>
      </c>
      <c r="AL4180" s="5">
        <f t="shared" si="726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3"/>
        <v>23</v>
      </c>
      <c r="V4181" s="10">
        <f t="shared" si="727"/>
        <v>123</v>
      </c>
      <c r="W4181" s="2">
        <f>14.5099*S4181</f>
        <v>58.0396</v>
      </c>
      <c r="X4181" s="5">
        <f t="shared" si="717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5"/>
        <v>41.9604</v>
      </c>
      <c r="AL4181" s="5">
        <f t="shared" si="72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3"/>
        <v>156.14930000000001</v>
      </c>
      <c r="V4182" s="10">
        <f t="shared" si="727"/>
        <v>835.05930000000001</v>
      </c>
      <c r="X4182" s="5">
        <f t="shared" si="717"/>
        <v>1</v>
      </c>
      <c r="Z4182" s="2" t="s">
        <v>119</v>
      </c>
      <c r="AA4182" s="2" t="s">
        <v>492</v>
      </c>
      <c r="AI4182" s="2"/>
      <c r="AK4182" s="2">
        <f t="shared" si="725"/>
        <v>678.91</v>
      </c>
      <c r="AL4182" s="5">
        <f t="shared" si="726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3"/>
        <v>13.8</v>
      </c>
      <c r="V4183" s="2">
        <f t="shared" si="727"/>
        <v>73.8</v>
      </c>
      <c r="W4183" s="2">
        <f>T4183*40%</f>
        <v>24</v>
      </c>
      <c r="X4183" s="5">
        <f t="shared" si="717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5"/>
        <v>36</v>
      </c>
      <c r="AL4183" s="5">
        <f t="shared" si="726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3"/>
        <v>50.6</v>
      </c>
      <c r="V4184" s="2">
        <f t="shared" si="727"/>
        <v>270.60000000000002</v>
      </c>
      <c r="W4184" s="2">
        <f>T4184*50%</f>
        <v>110</v>
      </c>
      <c r="X4184" s="5">
        <f t="shared" si="717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5"/>
        <v>110</v>
      </c>
      <c r="AL4184" s="5">
        <f t="shared" si="726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3"/>
        <v>12.42</v>
      </c>
      <c r="V4185" s="10">
        <f t="shared" si="727"/>
        <v>66.42</v>
      </c>
      <c r="W4185" s="2">
        <f>10.6*S4185</f>
        <v>31.799999999999997</v>
      </c>
      <c r="X4185" s="5">
        <f t="shared" si="717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5"/>
        <v>22.200000000000003</v>
      </c>
      <c r="AL4185" s="5">
        <f t="shared" si="726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3"/>
        <v>1.84</v>
      </c>
      <c r="V4186" s="10">
        <f t="shared" si="727"/>
        <v>9.84</v>
      </c>
      <c r="W4186" s="2">
        <v>6</v>
      </c>
      <c r="X4186" s="5">
        <f t="shared" si="717"/>
        <v>0.25</v>
      </c>
      <c r="Z4186" s="2" t="s">
        <v>169</v>
      </c>
      <c r="AA4186" s="2" t="s">
        <v>169</v>
      </c>
      <c r="AI4186" s="2"/>
      <c r="AK4186" s="2">
        <f t="shared" si="725"/>
        <v>2</v>
      </c>
      <c r="AL4186" s="5">
        <f t="shared" si="726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3"/>
        <v>23</v>
      </c>
      <c r="V4187" s="10">
        <f t="shared" si="727"/>
        <v>123</v>
      </c>
      <c r="W4187" s="2">
        <f>W3922*S4187</f>
        <v>71.56</v>
      </c>
      <c r="X4187" s="5">
        <f t="shared" si="717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5"/>
        <v>28.439999999999998</v>
      </c>
      <c r="AL4187" s="5">
        <f t="shared" si="726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3"/>
        <v>1.84</v>
      </c>
      <c r="V4188" s="10">
        <f t="shared" si="727"/>
        <v>9.84</v>
      </c>
      <c r="W4188" s="2">
        <v>6</v>
      </c>
      <c r="X4188" s="5">
        <f t="shared" si="717"/>
        <v>0.25</v>
      </c>
      <c r="Z4188" s="2" t="s">
        <v>169</v>
      </c>
      <c r="AA4188" s="2" t="s">
        <v>169</v>
      </c>
      <c r="AI4188" s="2"/>
      <c r="AK4188" s="2">
        <f t="shared" si="725"/>
        <v>2</v>
      </c>
      <c r="AL4188" s="5">
        <f t="shared" si="726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3"/>
        <v>-43.221600000000002</v>
      </c>
      <c r="V4189" s="10">
        <f t="shared" si="727"/>
        <v>-231.14159999999998</v>
      </c>
      <c r="W4189" s="2">
        <f>92.63+1.2</f>
        <v>93.83</v>
      </c>
      <c r="X4189" s="18">
        <f t="shared" ref="X4189:X4190" si="728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5"/>
        <v>-281.75</v>
      </c>
      <c r="AL4189" s="18">
        <f t="shared" ref="AL4189:AL4193" si="729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3"/>
        <v>-6.5274000000000001</v>
      </c>
      <c r="V4190" s="10">
        <f t="shared" si="727"/>
        <v>-34.907399999999996</v>
      </c>
      <c r="W4190" s="2">
        <f>13.715</f>
        <v>13.715</v>
      </c>
      <c r="X4190" s="18">
        <f t="shared" si="728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5"/>
        <v>-42.094999999999999</v>
      </c>
      <c r="AL4190" s="18">
        <f t="shared" si="729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3"/>
        <v>-21.62</v>
      </c>
      <c r="V4191" s="2">
        <f t="shared" si="727"/>
        <v>-115.62</v>
      </c>
      <c r="W4191" s="2">
        <f>94*40%</f>
        <v>37.6</v>
      </c>
      <c r="X4191" s="18">
        <f t="shared" ref="X4191:X4193" si="730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5"/>
        <v>-131.6</v>
      </c>
      <c r="AL4191" s="18">
        <f t="shared" si="729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3"/>
        <v>-12.65</v>
      </c>
      <c r="V4192" s="2">
        <f t="shared" si="727"/>
        <v>-67.650000000000006</v>
      </c>
      <c r="W4192" s="2">
        <f>55*50%</f>
        <v>27.5</v>
      </c>
      <c r="X4192" s="18">
        <f t="shared" si="730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5"/>
        <v>-82.5</v>
      </c>
      <c r="AL4192" s="18">
        <f t="shared" si="729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3"/>
        <v>-20.125</v>
      </c>
      <c r="V4193" s="10">
        <f t="shared" si="727"/>
        <v>-107.625</v>
      </c>
      <c r="W4193" s="2">
        <v>61.25</v>
      </c>
      <c r="X4193" s="18">
        <f t="shared" si="730"/>
        <v>-0.3</v>
      </c>
      <c r="Z4193" s="2" t="s">
        <v>119</v>
      </c>
      <c r="AA4193" s="2" t="s">
        <v>3378</v>
      </c>
      <c r="AI4193" s="2"/>
      <c r="AK4193" s="2">
        <f t="shared" ref="AK4193" si="731">T4193-W4193</f>
        <v>-148.75</v>
      </c>
      <c r="AL4193" s="18">
        <f t="shared" si="729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3"/>
        <v>11.040000000000001</v>
      </c>
      <c r="V4194" s="10">
        <f t="shared" si="727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3"/>
        <v>50.6</v>
      </c>
      <c r="V4195" s="10">
        <f t="shared" si="727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3"/>
        <v>0.34040000000000004</v>
      </c>
      <c r="V4196" s="10">
        <f t="shared" si="727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3"/>
        <v>-73.160699999999991</v>
      </c>
      <c r="V4197" s="10">
        <f t="shared" si="727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2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3"/>
        <v>15.019</v>
      </c>
      <c r="V4198" s="10">
        <f t="shared" si="727"/>
        <v>80.319000000000003</v>
      </c>
      <c r="W4198" s="2">
        <f>T4198*70%</f>
        <v>45.709999999999994</v>
      </c>
      <c r="X4198" s="5">
        <f t="shared" ref="X4198:X4203" si="733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2"/>
        <v>19.590000000000003</v>
      </c>
      <c r="AL4198" s="5">
        <f t="shared" ref="AL4198" si="734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3"/>
        <v>482.56070000000005</v>
      </c>
      <c r="V4199" s="10">
        <f t="shared" si="727"/>
        <v>2580.6507000000001</v>
      </c>
      <c r="X4199" s="5">
        <f t="shared" si="733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3"/>
        <v>42.398200000000003</v>
      </c>
      <c r="V4200" s="10">
        <f t="shared" si="727"/>
        <v>226.73820000000001</v>
      </c>
      <c r="W4200" s="2">
        <v>69.67</v>
      </c>
      <c r="X4200" s="5">
        <f t="shared" si="733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3"/>
        <v>5.98</v>
      </c>
      <c r="V4201" s="10">
        <f t="shared" si="727"/>
        <v>31.98</v>
      </c>
      <c r="W4201" s="2">
        <f>6.6267*S4201</f>
        <v>13.253399999999999</v>
      </c>
      <c r="X4201" s="5">
        <f t="shared" si="733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5">AI4201*T4201</f>
        <v>0</v>
      </c>
      <c r="AK4201" s="2">
        <f t="shared" ref="AK4201:AK4228" si="736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3"/>
        <v>2.0286</v>
      </c>
      <c r="V4202" s="10">
        <f t="shared" si="727"/>
        <v>10.848600000000001</v>
      </c>
      <c r="W4202" s="2">
        <f>1.32*S4202</f>
        <v>7.92</v>
      </c>
      <c r="X4202" s="5">
        <f t="shared" si="733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5"/>
        <v>0</v>
      </c>
      <c r="AK4202" s="2">
        <f t="shared" si="736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3"/>
        <v>3.3809999999999998</v>
      </c>
      <c r="V4203" s="10">
        <f t="shared" si="727"/>
        <v>18.081</v>
      </c>
      <c r="W4203" s="2">
        <f>1.7*S4203</f>
        <v>10.199999999999999</v>
      </c>
      <c r="X4203" s="5">
        <f t="shared" si="733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5"/>
        <v>0</v>
      </c>
      <c r="AK4203" s="2">
        <f t="shared" si="736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7">T4204*23%</f>
        <v>0</v>
      </c>
      <c r="V4204" s="2">
        <f t="shared" si="727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5"/>
        <v>0</v>
      </c>
      <c r="AK4204" s="2">
        <f t="shared" si="736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7"/>
        <v>12.65</v>
      </c>
      <c r="V4205" s="2">
        <f t="shared" si="727"/>
        <v>67.650000000000006</v>
      </c>
      <c r="W4205" s="2">
        <f>T4205*50%</f>
        <v>27.5</v>
      </c>
      <c r="X4205" s="5">
        <f t="shared" ref="X4205:X4227" si="738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5"/>
        <v>0</v>
      </c>
      <c r="AK4205" s="2">
        <f t="shared" si="736"/>
        <v>27.5</v>
      </c>
      <c r="AL4205" s="5">
        <f t="shared" ref="AL4205:AL4227" si="739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7"/>
        <v>28.75</v>
      </c>
      <c r="V4206" s="2">
        <f t="shared" si="727"/>
        <v>153.75</v>
      </c>
      <c r="W4206" s="2">
        <f>T4206*40%</f>
        <v>50</v>
      </c>
      <c r="X4206" s="5">
        <f t="shared" si="738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5"/>
        <v>0</v>
      </c>
      <c r="AK4206" s="2">
        <f t="shared" si="736"/>
        <v>75</v>
      </c>
      <c r="AL4206" s="5">
        <f t="shared" si="739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7"/>
        <v>12.65</v>
      </c>
      <c r="V4207" s="2">
        <f t="shared" ref="V4207:V4234" si="740">T4207+U4207</f>
        <v>67.650000000000006</v>
      </c>
      <c r="W4207" s="2">
        <f>T4207*50%</f>
        <v>27.5</v>
      </c>
      <c r="X4207" s="5">
        <f t="shared" si="738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5"/>
        <v>0</v>
      </c>
      <c r="AK4207" s="2">
        <f t="shared" si="736"/>
        <v>27.5</v>
      </c>
      <c r="AL4207" s="5">
        <f t="shared" si="739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7"/>
        <v>1.5870000000000002</v>
      </c>
      <c r="V4208" s="2">
        <f t="shared" si="740"/>
        <v>8.4870000000000001</v>
      </c>
      <c r="W4208" s="2">
        <f>5.135*S4208</f>
        <v>5.1349999999999998</v>
      </c>
      <c r="X4208" s="5">
        <f t="shared" si="738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6"/>
        <v>1.7650000000000006</v>
      </c>
      <c r="AL4208" s="5">
        <f t="shared" si="739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7"/>
        <v>1.6652</v>
      </c>
      <c r="V4209" s="2">
        <f t="shared" si="740"/>
        <v>8.9052000000000007</v>
      </c>
      <c r="W4209" s="2">
        <v>5.07</v>
      </c>
      <c r="X4209" s="5">
        <f t="shared" si="738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6"/>
        <v>2.17</v>
      </c>
      <c r="AL4209" s="5">
        <f t="shared" si="739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7"/>
        <v>1.6652</v>
      </c>
      <c r="V4210" s="2">
        <f t="shared" si="740"/>
        <v>8.9052000000000007</v>
      </c>
      <c r="W4210" s="2">
        <v>5.07</v>
      </c>
      <c r="X4210" s="5">
        <f t="shared" si="738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6"/>
        <v>2.17</v>
      </c>
      <c r="AL4210" s="5">
        <f t="shared" si="739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7"/>
        <v>1.6652</v>
      </c>
      <c r="V4211" s="2">
        <f t="shared" si="740"/>
        <v>8.9052000000000007</v>
      </c>
      <c r="W4211" s="2">
        <f>5.07</f>
        <v>5.07</v>
      </c>
      <c r="X4211" s="5">
        <f t="shared" si="738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6"/>
        <v>2.17</v>
      </c>
      <c r="AL4211" s="5">
        <f t="shared" si="739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7"/>
        <v>3.887</v>
      </c>
      <c r="V4212" s="2">
        <f t="shared" si="740"/>
        <v>20.786999999999999</v>
      </c>
      <c r="W4212" s="2">
        <f>12.68</f>
        <v>12.68</v>
      </c>
      <c r="X4212" s="5">
        <f t="shared" si="738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6"/>
        <v>4.2199999999999989</v>
      </c>
      <c r="AL4212" s="5">
        <f t="shared" si="739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7"/>
        <v>4.37</v>
      </c>
      <c r="V4213" s="2">
        <f t="shared" si="740"/>
        <v>23.37</v>
      </c>
      <c r="W4213" s="2">
        <f>14.25</f>
        <v>14.25</v>
      </c>
      <c r="X4213" s="5">
        <f t="shared" si="738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6"/>
        <v>4.75</v>
      </c>
      <c r="AL4213" s="5">
        <f t="shared" si="739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7"/>
        <v>10.005000000000001</v>
      </c>
      <c r="V4214" s="2">
        <f t="shared" si="740"/>
        <v>53.505000000000003</v>
      </c>
      <c r="W4214" s="2">
        <f>32.63</f>
        <v>32.630000000000003</v>
      </c>
      <c r="X4214" s="5">
        <f t="shared" si="738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6"/>
        <v>10.869999999999997</v>
      </c>
      <c r="AL4214" s="5">
        <f t="shared" si="739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7"/>
        <v>3.1280000000000001</v>
      </c>
      <c r="V4215" s="2">
        <f t="shared" si="740"/>
        <v>16.728000000000002</v>
      </c>
      <c r="W4215" s="2">
        <f>10.2</f>
        <v>10.199999999999999</v>
      </c>
      <c r="X4215" s="5">
        <f t="shared" si="738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6"/>
        <v>3.4000000000000004</v>
      </c>
      <c r="AL4215" s="5">
        <f t="shared" si="739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7"/>
        <v>9.89</v>
      </c>
      <c r="V4216" s="2">
        <f t="shared" si="740"/>
        <v>52.89</v>
      </c>
      <c r="W4216" s="2">
        <v>35.49</v>
      </c>
      <c r="X4216" s="5">
        <f t="shared" si="738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6"/>
        <v>7.509999999999998</v>
      </c>
      <c r="AL4216" s="5">
        <f t="shared" si="739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7"/>
        <v>45.54</v>
      </c>
      <c r="V4217" s="2">
        <f t="shared" si="740"/>
        <v>243.54</v>
      </c>
      <c r="W4217" s="2">
        <v>148.5</v>
      </c>
      <c r="X4217" s="5">
        <f t="shared" si="738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6"/>
        <v>49.5</v>
      </c>
      <c r="AL4217" s="5">
        <f t="shared" si="739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7"/>
        <v>690</v>
      </c>
      <c r="V4218" s="10">
        <f t="shared" si="740"/>
        <v>3690</v>
      </c>
      <c r="W4218" s="2">
        <f>T4218*75%</f>
        <v>2250</v>
      </c>
      <c r="X4218" s="5">
        <f t="shared" si="738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6"/>
        <v>750</v>
      </c>
      <c r="AL4218" s="5">
        <f t="shared" si="739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7"/>
        <v>55.2</v>
      </c>
      <c r="V4219" s="2">
        <f t="shared" si="740"/>
        <v>295.2</v>
      </c>
      <c r="W4219" s="2">
        <v>128.99</v>
      </c>
      <c r="X4219" s="5">
        <f t="shared" si="738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6"/>
        <v>111.00999999999999</v>
      </c>
      <c r="AL4219" s="5">
        <f t="shared" si="739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7"/>
        <v>6.9</v>
      </c>
      <c r="V4220" s="10">
        <f t="shared" si="740"/>
        <v>36.9</v>
      </c>
      <c r="W4220" s="2">
        <v>28</v>
      </c>
      <c r="X4220" s="5">
        <f t="shared" si="738"/>
        <v>6.6666666666666666E-2</v>
      </c>
      <c r="Z4220" s="2" t="s">
        <v>169</v>
      </c>
      <c r="AA4220" s="2" t="s">
        <v>169</v>
      </c>
      <c r="AI4220" s="2"/>
      <c r="AK4220" s="2">
        <f t="shared" si="736"/>
        <v>2</v>
      </c>
      <c r="AL4220" s="5">
        <f t="shared" si="739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7"/>
        <v>0.34040000000000004</v>
      </c>
      <c r="V4221" s="10">
        <f t="shared" si="740"/>
        <v>1.8204</v>
      </c>
      <c r="W4221" s="2">
        <f>1.48*S4221</f>
        <v>1.48</v>
      </c>
      <c r="X4221" s="5">
        <f t="shared" si="738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6"/>
        <v>0</v>
      </c>
      <c r="AL4221" s="5">
        <f t="shared" si="739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7"/>
        <v>64.094100000000012</v>
      </c>
      <c r="V4222" s="2">
        <f t="shared" si="740"/>
        <v>342.76410000000004</v>
      </c>
      <c r="W4222" s="2">
        <f>134.41</f>
        <v>134.41</v>
      </c>
      <c r="X4222" s="5">
        <f t="shared" si="738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6"/>
        <v>144.26000000000002</v>
      </c>
      <c r="AL4222" s="5">
        <f t="shared" si="739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7"/>
        <v>33.81</v>
      </c>
      <c r="V4223" s="2">
        <f t="shared" si="740"/>
        <v>180.81</v>
      </c>
      <c r="W4223" s="2">
        <f>T4223*40%</f>
        <v>58.800000000000004</v>
      </c>
      <c r="X4223" s="5">
        <f t="shared" si="738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6"/>
        <v>88.199999999999989</v>
      </c>
      <c r="AL4223" s="5">
        <f t="shared" si="739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7"/>
        <v>25.3</v>
      </c>
      <c r="V4224" s="2">
        <f t="shared" si="740"/>
        <v>135.30000000000001</v>
      </c>
      <c r="W4224" s="2">
        <f>T4224*50%</f>
        <v>55</v>
      </c>
      <c r="X4224" s="5">
        <f t="shared" si="738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6"/>
        <v>55</v>
      </c>
      <c r="AL4224" s="5">
        <f t="shared" si="739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7"/>
        <v>13.34</v>
      </c>
      <c r="V4225" s="2">
        <f t="shared" si="740"/>
        <v>71.34</v>
      </c>
      <c r="W4225" s="2">
        <f>14.5099*S4225</f>
        <v>29.0198</v>
      </c>
      <c r="X4225" s="5">
        <f t="shared" si="738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6"/>
        <v>28.9802</v>
      </c>
      <c r="AL4225" s="5">
        <f t="shared" si="739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7"/>
        <v>50.572400000000002</v>
      </c>
      <c r="V4226" s="10">
        <f t="shared" si="740"/>
        <v>270.45240000000001</v>
      </c>
      <c r="W4226" s="2">
        <v>125.51600000000001</v>
      </c>
      <c r="X4226" s="5">
        <f t="shared" si="738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6"/>
        <v>94.36399999999999</v>
      </c>
      <c r="AL4226" s="5">
        <f t="shared" si="739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7"/>
        <v>61.998800000000003</v>
      </c>
      <c r="V4227" s="2">
        <f t="shared" si="740"/>
        <v>331.55880000000002</v>
      </c>
      <c r="W4227" s="2">
        <v>157.85</v>
      </c>
      <c r="X4227" s="5">
        <f t="shared" si="738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6"/>
        <v>111.71000000000001</v>
      </c>
      <c r="AL4227" s="5">
        <f t="shared" si="739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7"/>
        <v>-4.7495000000000003</v>
      </c>
      <c r="V4228" s="10">
        <f t="shared" si="740"/>
        <v>-25.3995</v>
      </c>
      <c r="X4228" s="18"/>
      <c r="Z4228" s="2" t="s">
        <v>119</v>
      </c>
      <c r="AA4228" s="2" t="s">
        <v>142</v>
      </c>
      <c r="AI4228" s="2"/>
      <c r="AK4228" s="2">
        <f t="shared" si="736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7"/>
        <v>0.68080000000000007</v>
      </c>
      <c r="V4229" s="10">
        <f t="shared" si="740"/>
        <v>3.6408</v>
      </c>
      <c r="W4229" s="2">
        <f>1.48*S4229</f>
        <v>2.96</v>
      </c>
      <c r="X4229" s="5">
        <f t="shared" ref="X4229:X4234" si="741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7"/>
        <v>5.3819999999999997</v>
      </c>
      <c r="V4230" s="10">
        <f t="shared" si="740"/>
        <v>28.781999999999996</v>
      </c>
      <c r="W4230" s="2">
        <v>12.4434</v>
      </c>
      <c r="X4230" s="5">
        <f t="shared" si="741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7"/>
        <v>6.9</v>
      </c>
      <c r="V4231" s="10">
        <f t="shared" si="740"/>
        <v>36.9</v>
      </c>
      <c r="W4231" s="2">
        <f>16*S4231</f>
        <v>16</v>
      </c>
      <c r="X4231" s="5">
        <f t="shared" si="741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2">T4231-W4231</f>
        <v>14</v>
      </c>
      <c r="AL4231" s="5">
        <f t="shared" ref="AL4231:AL4232" si="743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7"/>
        <v>4.83</v>
      </c>
      <c r="V4232" s="10">
        <f t="shared" si="740"/>
        <v>25.83</v>
      </c>
      <c r="W4232" s="2">
        <f>11.045*S4232</f>
        <v>11.045</v>
      </c>
      <c r="X4232" s="5">
        <f t="shared" si="741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2"/>
        <v>9.9550000000000001</v>
      </c>
      <c r="AL4232" s="5">
        <f t="shared" si="743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7"/>
        <v>8.9700000000000006</v>
      </c>
      <c r="V4233" s="10">
        <f t="shared" si="740"/>
        <v>47.97</v>
      </c>
      <c r="W4233" s="2">
        <f>0.082*S4233</f>
        <v>24.6</v>
      </c>
      <c r="X4233" s="5">
        <f t="shared" si="741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7"/>
        <v>8.2800000000000011</v>
      </c>
      <c r="V4234" s="10">
        <f t="shared" si="740"/>
        <v>44.28</v>
      </c>
      <c r="W4234" s="2">
        <f>11.525*S4234</f>
        <v>23.05</v>
      </c>
      <c r="X4234" s="5">
        <f t="shared" si="741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4">T4236*23%</f>
        <v>62.1</v>
      </c>
      <c r="V4236" s="2">
        <f t="shared" ref="V4236:V4257" si="745">T4236+U4236</f>
        <v>332.1</v>
      </c>
      <c r="W4236" s="2">
        <v>141.16</v>
      </c>
      <c r="X4236" s="5">
        <f t="shared" ref="X4236:X4273" si="746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4"/>
        <v>0.34040000000000004</v>
      </c>
      <c r="V4237" s="10">
        <f t="shared" si="745"/>
        <v>1.8204</v>
      </c>
      <c r="W4237" s="2">
        <f>1.48*S4237</f>
        <v>1.48</v>
      </c>
      <c r="X4237" s="5">
        <f t="shared" si="746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4"/>
        <v>572.70000000000005</v>
      </c>
      <c r="V4238" s="10">
        <f t="shared" si="745"/>
        <v>3062.7</v>
      </c>
      <c r="W4238" s="2">
        <f>1970.05+49</f>
        <v>2019.05</v>
      </c>
      <c r="X4238" s="5">
        <f t="shared" si="746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4"/>
        <v>572.70000000000005</v>
      </c>
      <c r="V4239" s="10">
        <f t="shared" si="745"/>
        <v>3062.7</v>
      </c>
      <c r="W4239" s="2">
        <f>1995.2+43.97</f>
        <v>2039.17</v>
      </c>
      <c r="X4239" s="5">
        <f t="shared" si="746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4"/>
        <v>36.151400000000002</v>
      </c>
      <c r="V4240" s="10">
        <f t="shared" si="745"/>
        <v>193.3314</v>
      </c>
      <c r="W4240" s="2">
        <f>36.2258*S4240</f>
        <v>72.451599999999999</v>
      </c>
      <c r="X4240" s="5">
        <f t="shared" si="746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4"/>
        <v>6.5711000000000004</v>
      </c>
      <c r="V4241" s="10">
        <f t="shared" si="745"/>
        <v>35.141100000000002</v>
      </c>
      <c r="W4241" s="2">
        <f>5.33*S4241</f>
        <v>10.66</v>
      </c>
      <c r="X4241" s="5">
        <f t="shared" si="746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7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4"/>
        <v>25.3</v>
      </c>
      <c r="V4242" s="10">
        <f t="shared" si="745"/>
        <v>135.30000000000001</v>
      </c>
      <c r="W4242" s="2">
        <f>0.082*S4242</f>
        <v>82</v>
      </c>
      <c r="X4242" s="5">
        <f t="shared" si="746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4"/>
        <v>43.221600000000002</v>
      </c>
      <c r="V4243" s="2">
        <f t="shared" si="745"/>
        <v>231.14159999999998</v>
      </c>
      <c r="W4243" s="2">
        <f>92.63+1.2</f>
        <v>93.83</v>
      </c>
      <c r="X4243" s="5">
        <f t="shared" si="746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4"/>
        <v>6.5274000000000001</v>
      </c>
      <c r="V4244" s="2">
        <f t="shared" si="745"/>
        <v>34.907399999999996</v>
      </c>
      <c r="W4244" s="2">
        <f>13.715*S4244</f>
        <v>13.715</v>
      </c>
      <c r="X4244" s="5">
        <f t="shared" si="746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8">T4244-W4244</f>
        <v>14.664999999999999</v>
      </c>
      <c r="AL4244" s="5">
        <f t="shared" ref="AL4244" si="749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4"/>
        <v>21.62</v>
      </c>
      <c r="V4245" s="2">
        <f t="shared" si="745"/>
        <v>115.62</v>
      </c>
      <c r="W4245" s="2">
        <f>T4245*40%</f>
        <v>37.6</v>
      </c>
      <c r="X4245" s="5">
        <f t="shared" si="746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4"/>
        <v>12.65</v>
      </c>
      <c r="V4246" s="2">
        <f t="shared" si="745"/>
        <v>67.650000000000006</v>
      </c>
      <c r="W4246" s="2">
        <f>T4246*50%</f>
        <v>27.5</v>
      </c>
      <c r="X4246" s="5">
        <f t="shared" si="746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4"/>
        <v>20.125</v>
      </c>
      <c r="V4247" s="10">
        <f t="shared" si="745"/>
        <v>107.625</v>
      </c>
      <c r="W4247" s="2">
        <f>T4247*70%</f>
        <v>61.249999999999993</v>
      </c>
      <c r="X4247" s="5">
        <f t="shared" si="746"/>
        <v>0.3000000000000001</v>
      </c>
      <c r="Z4247" s="2" t="s">
        <v>119</v>
      </c>
      <c r="AA4247" s="2" t="s">
        <v>3378</v>
      </c>
      <c r="AI4247" s="2"/>
      <c r="AK4247" s="2">
        <f t="shared" ref="AK4247" si="750">T4247-W4247</f>
        <v>26.250000000000007</v>
      </c>
      <c r="AL4247" s="5">
        <f t="shared" ref="AL4247" si="751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4"/>
        <v>59.248000000000005</v>
      </c>
      <c r="V4248" s="10">
        <f t="shared" si="745"/>
        <v>316.84800000000001</v>
      </c>
      <c r="W4248" s="2">
        <f>130.03+6.8</f>
        <v>136.83000000000001</v>
      </c>
      <c r="X4248" s="5">
        <f t="shared" si="746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2">T4248-W4248</f>
        <v>120.77000000000001</v>
      </c>
      <c r="AL4248" s="5">
        <f t="shared" ref="AL4248:AL4259" si="753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4"/>
        <v>95.22</v>
      </c>
      <c r="V4249" s="2">
        <f t="shared" si="745"/>
        <v>509.22</v>
      </c>
      <c r="W4249" s="2">
        <v>270.60000000000002</v>
      </c>
      <c r="X4249" s="5">
        <f t="shared" si="746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2"/>
        <v>143.39999999999998</v>
      </c>
      <c r="AL4249" s="5">
        <f t="shared" si="753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4"/>
        <v>0.68080000000000007</v>
      </c>
      <c r="V4250" s="10">
        <f t="shared" si="745"/>
        <v>3.6408</v>
      </c>
      <c r="W4250" s="2">
        <f>1.48*S4250</f>
        <v>2.96</v>
      </c>
      <c r="X4250" s="5">
        <f t="shared" si="746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2"/>
        <v>0</v>
      </c>
      <c r="AL4250" s="5">
        <f t="shared" si="753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4"/>
        <v>2.0700000000000003</v>
      </c>
      <c r="V4251" s="10">
        <f t="shared" si="745"/>
        <v>11.07</v>
      </c>
      <c r="W4251" s="2">
        <f>3.7358*S4251</f>
        <v>3.7357999999999998</v>
      </c>
      <c r="X4251" s="5">
        <f t="shared" si="746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2"/>
        <v>5.2642000000000007</v>
      </c>
      <c r="AL4251" s="5">
        <f t="shared" si="753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4"/>
        <v>48.667999999999999</v>
      </c>
      <c r="V4252" s="10">
        <f t="shared" si="745"/>
        <v>260.26799999999997</v>
      </c>
      <c r="W4252" s="2">
        <f>115.92+6.06</f>
        <v>121.98</v>
      </c>
      <c r="X4252" s="5">
        <f t="shared" si="746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2"/>
        <v>89.61999999999999</v>
      </c>
      <c r="AL4252" s="5">
        <f t="shared" si="753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4"/>
        <v>0.34040000000000004</v>
      </c>
      <c r="V4253" s="10">
        <f t="shared" si="745"/>
        <v>1.8204</v>
      </c>
      <c r="W4253" s="2">
        <f>1.48*S4253</f>
        <v>1.48</v>
      </c>
      <c r="X4253" s="5">
        <f t="shared" si="746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2"/>
        <v>0</v>
      </c>
      <c r="AL4253" s="5">
        <f t="shared" si="753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4"/>
        <v>2.99</v>
      </c>
      <c r="V4254" s="10">
        <f t="shared" si="745"/>
        <v>15.99</v>
      </c>
      <c r="W4254" s="2">
        <f>0.082*S4254</f>
        <v>8.2000000000000011</v>
      </c>
      <c r="X4254" s="5">
        <f t="shared" si="746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2"/>
        <v>4.7999999999999989</v>
      </c>
      <c r="AL4254" s="5">
        <f t="shared" si="753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4"/>
        <v>29.900000000000002</v>
      </c>
      <c r="V4255" s="10">
        <f t="shared" si="745"/>
        <v>159.9</v>
      </c>
      <c r="W4255" s="2">
        <f>0.0914*S4255</f>
        <v>91.399999999999991</v>
      </c>
      <c r="X4255" s="5">
        <f t="shared" si="746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2"/>
        <v>38.600000000000009</v>
      </c>
      <c r="AL4255" s="5">
        <f t="shared" si="753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4"/>
        <v>46.850999999999999</v>
      </c>
      <c r="V4256" s="10">
        <f t="shared" si="745"/>
        <v>250.55099999999999</v>
      </c>
      <c r="W4256" s="2">
        <f>110.125+11.77</f>
        <v>121.895</v>
      </c>
      <c r="X4256" s="5">
        <f t="shared" si="746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2"/>
        <v>81.804999999999993</v>
      </c>
      <c r="AL4256" s="5">
        <f t="shared" si="753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4"/>
        <v>0.34040000000000004</v>
      </c>
      <c r="V4257" s="10">
        <f t="shared" si="745"/>
        <v>1.8204</v>
      </c>
      <c r="W4257" s="2">
        <f>1.48*S4257</f>
        <v>1.48</v>
      </c>
      <c r="X4257" s="5">
        <f t="shared" si="746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2"/>
        <v>0</v>
      </c>
      <c r="AL4257" s="5">
        <f t="shared" si="753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6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2"/>
        <v>120.4966</v>
      </c>
      <c r="AL4258" s="5">
        <f t="shared" si="753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4">T4259*23%</f>
        <v>5485.5</v>
      </c>
      <c r="V4259" s="2">
        <f t="shared" ref="V4259:V4275" si="755">T4259+U4259</f>
        <v>29335.5</v>
      </c>
      <c r="W4259" s="2">
        <f>16602.97+398</f>
        <v>17000.97</v>
      </c>
      <c r="X4259" s="5">
        <f t="shared" si="746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2"/>
        <v>6849.0299999999988</v>
      </c>
      <c r="AL4259" s="5">
        <f t="shared" si="753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4"/>
        <v>172.62879999999998</v>
      </c>
      <c r="V4260" s="2">
        <f t="shared" si="755"/>
        <v>923.1887999999999</v>
      </c>
      <c r="W4260" s="2">
        <f>376.4</f>
        <v>376.4</v>
      </c>
      <c r="X4260" s="5">
        <f t="shared" si="746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4"/>
        <v>12.65</v>
      </c>
      <c r="V4261" s="2">
        <f t="shared" si="755"/>
        <v>67.650000000000006</v>
      </c>
      <c r="W4261" s="2">
        <f>T4261*40%</f>
        <v>22</v>
      </c>
      <c r="X4261" s="5">
        <f t="shared" si="746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6">T4261-W4261</f>
        <v>33</v>
      </c>
      <c r="AL4261" s="5">
        <f t="shared" ref="AL4261:AL4273" si="757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4"/>
        <v>12.65</v>
      </c>
      <c r="V4262" s="2">
        <f t="shared" si="755"/>
        <v>67.650000000000006</v>
      </c>
      <c r="W4262" s="2">
        <f>T4262*50%</f>
        <v>27.5</v>
      </c>
      <c r="X4262" s="5">
        <f t="shared" si="746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6"/>
        <v>27.5</v>
      </c>
      <c r="AL4262" s="5">
        <f t="shared" si="757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4"/>
        <v>26.220000000000002</v>
      </c>
      <c r="V4263" s="2">
        <f t="shared" si="755"/>
        <v>140.22</v>
      </c>
      <c r="W4263" s="2">
        <f>T4263*40%</f>
        <v>45.6</v>
      </c>
      <c r="X4263" s="5">
        <f t="shared" si="746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6"/>
        <v>68.400000000000006</v>
      </c>
      <c r="AL4263" s="5">
        <f t="shared" si="757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4"/>
        <v>11.385</v>
      </c>
      <c r="V4264" s="2">
        <f t="shared" si="755"/>
        <v>60.884999999999998</v>
      </c>
      <c r="W4264" s="2">
        <f>T4264*50%</f>
        <v>24.75</v>
      </c>
      <c r="X4264" s="5">
        <f t="shared" si="746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6"/>
        <v>24.75</v>
      </c>
      <c r="AL4264" s="5">
        <f t="shared" si="757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4"/>
        <v>137.86199999999999</v>
      </c>
      <c r="V4265" s="2">
        <f t="shared" si="755"/>
        <v>737.26199999999994</v>
      </c>
      <c r="W4265" s="2">
        <v>346.57</v>
      </c>
      <c r="X4265" s="5">
        <f t="shared" si="746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6"/>
        <v>252.82999999999998</v>
      </c>
      <c r="AL4265" s="5">
        <f t="shared" si="757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4"/>
        <v>1607.7</v>
      </c>
      <c r="V4266" s="2">
        <f t="shared" si="755"/>
        <v>8597.7000000000007</v>
      </c>
      <c r="W4266" s="2">
        <f>4893.23+171</f>
        <v>5064.2299999999996</v>
      </c>
      <c r="X4266" s="5">
        <f t="shared" si="746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6"/>
        <v>1925.7700000000004</v>
      </c>
      <c r="AL4266" s="5">
        <f t="shared" si="757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4"/>
        <v>160.839</v>
      </c>
      <c r="V4267" s="2">
        <f t="shared" si="755"/>
        <v>860.1389999999999</v>
      </c>
      <c r="W4267" s="2">
        <v>345.20339999999999</v>
      </c>
      <c r="X4267" s="5">
        <f t="shared" si="746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6"/>
        <v>354.09659999999997</v>
      </c>
      <c r="AL4267" s="5">
        <f t="shared" si="757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4"/>
        <v>34.96</v>
      </c>
      <c r="V4268" s="2">
        <f t="shared" si="755"/>
        <v>186.96</v>
      </c>
      <c r="W4268" s="2">
        <f>T4268*40%</f>
        <v>60.800000000000004</v>
      </c>
      <c r="X4268" s="5">
        <f t="shared" si="746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6"/>
        <v>91.199999999999989</v>
      </c>
      <c r="AL4268" s="5">
        <f t="shared" si="757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4"/>
        <v>12.65</v>
      </c>
      <c r="V4269" s="2">
        <f t="shared" si="755"/>
        <v>67.650000000000006</v>
      </c>
      <c r="W4269" s="2">
        <f>T4269*50%</f>
        <v>27.5</v>
      </c>
      <c r="X4269" s="5">
        <f t="shared" si="746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6"/>
        <v>27.5</v>
      </c>
      <c r="AL4269" s="5">
        <f t="shared" si="757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4"/>
        <v>457.70000000000005</v>
      </c>
      <c r="V4270" s="10">
        <f t="shared" si="755"/>
        <v>2447.6999999999998</v>
      </c>
      <c r="W4270" s="2">
        <v>1492.7</v>
      </c>
      <c r="X4270" s="5">
        <f t="shared" si="746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6"/>
        <v>497.29999999999995</v>
      </c>
      <c r="AL4270" s="5">
        <f t="shared" si="757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4"/>
        <v>457.70000000000005</v>
      </c>
      <c r="V4271" s="10">
        <f t="shared" si="755"/>
        <v>2447.6999999999998</v>
      </c>
      <c r="W4271" s="2">
        <v>1578</v>
      </c>
      <c r="X4271" s="5">
        <f t="shared" si="746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6"/>
        <v>412</v>
      </c>
      <c r="AL4271" s="5">
        <f t="shared" si="757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4"/>
        <v>966</v>
      </c>
      <c r="V4272" s="10">
        <f t="shared" si="755"/>
        <v>5166</v>
      </c>
      <c r="W4272" s="2">
        <f>3203.85+43</f>
        <v>3246.85</v>
      </c>
      <c r="X4272" s="5">
        <f t="shared" si="746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6"/>
        <v>953.15000000000009</v>
      </c>
      <c r="AL4272" s="5">
        <f t="shared" si="757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4"/>
        <v>494.5</v>
      </c>
      <c r="V4273" s="10">
        <f t="shared" si="755"/>
        <v>2644.5</v>
      </c>
      <c r="W4273" s="2">
        <v>1578</v>
      </c>
      <c r="X4273" s="5">
        <f t="shared" si="746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6"/>
        <v>572</v>
      </c>
      <c r="AL4273" s="5">
        <f t="shared" si="757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4"/>
        <v>-184</v>
      </c>
      <c r="V4274" s="10">
        <f t="shared" si="755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6"/>
        <v>-1296</v>
      </c>
      <c r="AL4274" s="18">
        <f t="shared" ref="AL4274:AL4275" si="758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4"/>
        <v>-164.31200000000001</v>
      </c>
      <c r="V4275" s="10">
        <f t="shared" si="755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6"/>
        <v>-1214.4000000000001</v>
      </c>
      <c r="AL4275" s="18">
        <f t="shared" si="758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4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9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9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60">T4278*23%</f>
        <v>5.7960000000000003</v>
      </c>
      <c r="V4278" s="12">
        <f t="shared" ref="V4278:V4309" si="761">T4278+U4278</f>
        <v>30.995999999999999</v>
      </c>
      <c r="W4278" s="2">
        <v>14.535</v>
      </c>
      <c r="X4278" s="5">
        <f t="shared" ref="X4278:X4309" si="762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9"/>
        <v>10.664999999999999</v>
      </c>
      <c r="AL4278" s="5">
        <f t="shared" ref="AL4278:AL4309" si="763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60"/>
        <v>4.83</v>
      </c>
      <c r="V4279" s="12">
        <f t="shared" si="761"/>
        <v>25.83</v>
      </c>
      <c r="W4279" s="2">
        <f>9.3*S4279</f>
        <v>9.3000000000000007</v>
      </c>
      <c r="X4279" s="5">
        <f t="shared" si="762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9"/>
        <v>11.7</v>
      </c>
      <c r="AL4279" s="5">
        <f t="shared" si="763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60"/>
        <v>2.99</v>
      </c>
      <c r="V4280" s="12">
        <f t="shared" si="761"/>
        <v>15.99</v>
      </c>
      <c r="W4280" s="2">
        <f>6.6267*S4280</f>
        <v>6.6266999999999996</v>
      </c>
      <c r="X4280" s="5">
        <f t="shared" si="762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9"/>
        <v>6.3733000000000004</v>
      </c>
      <c r="AL4280" s="5">
        <f t="shared" si="763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60"/>
        <v>4.1400000000000006</v>
      </c>
      <c r="V4281" s="12">
        <f t="shared" si="761"/>
        <v>22.14</v>
      </c>
      <c r="W4281" s="2">
        <f>14.4*S4281</f>
        <v>14.4</v>
      </c>
      <c r="X4281" s="5">
        <f t="shared" si="762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9"/>
        <v>3.5999999999999996</v>
      </c>
      <c r="AL4281" s="5">
        <f t="shared" si="763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60"/>
        <v>6.9</v>
      </c>
      <c r="V4282" s="12">
        <f t="shared" si="761"/>
        <v>36.9</v>
      </c>
      <c r="W4282" s="2">
        <f>10.6*S4282</f>
        <v>21.2</v>
      </c>
      <c r="X4282" s="5">
        <f t="shared" si="762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9"/>
        <v>8.8000000000000007</v>
      </c>
      <c r="AL4282" s="5">
        <f t="shared" si="763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60"/>
        <v>5.5200000000000005</v>
      </c>
      <c r="V4283" s="12">
        <f t="shared" si="761"/>
        <v>29.52</v>
      </c>
      <c r="W4283" s="2">
        <f>8*S4283</f>
        <v>16</v>
      </c>
      <c r="X4283" s="5">
        <f t="shared" si="762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9"/>
        <v>8</v>
      </c>
      <c r="AL4283" s="5">
        <f t="shared" si="763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60"/>
        <v>43.010000000000005</v>
      </c>
      <c r="V4284" s="12">
        <f t="shared" si="761"/>
        <v>230.01</v>
      </c>
      <c r="W4284" s="2">
        <v>141.16</v>
      </c>
      <c r="X4284" s="5">
        <f t="shared" si="762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9"/>
        <v>45.84</v>
      </c>
      <c r="AL4284" s="5">
        <f t="shared" si="763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60"/>
        <v>0.34040000000000004</v>
      </c>
      <c r="V4285" s="12">
        <f t="shared" si="761"/>
        <v>1.8204</v>
      </c>
      <c r="W4285" s="2">
        <v>1.48</v>
      </c>
      <c r="X4285" s="5">
        <f t="shared" si="762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9"/>
        <v>0</v>
      </c>
      <c r="AL4285" s="5">
        <f t="shared" si="763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60"/>
        <v>50.6</v>
      </c>
      <c r="V4286" s="12">
        <f t="shared" si="761"/>
        <v>270.60000000000002</v>
      </c>
      <c r="W4286" s="2">
        <v>113.4</v>
      </c>
      <c r="X4286" s="5">
        <f t="shared" si="762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9"/>
        <v>106.6</v>
      </c>
      <c r="AL4286" s="5">
        <f t="shared" si="763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60"/>
        <v>0.34040000000000004</v>
      </c>
      <c r="V4287" s="12">
        <f t="shared" si="761"/>
        <v>1.8204</v>
      </c>
      <c r="W4287" s="2">
        <v>1.48</v>
      </c>
      <c r="X4287" s="5">
        <f t="shared" si="762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9"/>
        <v>0</v>
      </c>
      <c r="AL4287" s="5">
        <f t="shared" si="763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60"/>
        <v>273.7</v>
      </c>
      <c r="V4288" s="12">
        <f t="shared" si="761"/>
        <v>1463.7</v>
      </c>
      <c r="W4288" s="2">
        <v>773.5</v>
      </c>
      <c r="X4288" s="5">
        <f t="shared" si="762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9"/>
        <v>416.5</v>
      </c>
      <c r="AL4288" s="5">
        <f t="shared" si="763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60"/>
        <v>52.9529</v>
      </c>
      <c r="V4289" s="12">
        <f t="shared" si="761"/>
        <v>283.18290000000002</v>
      </c>
      <c r="W4289" s="2">
        <f>115.92+6.06</f>
        <v>121.98</v>
      </c>
      <c r="X4289" s="5">
        <f t="shared" si="762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9"/>
        <v>108.24999999999999</v>
      </c>
      <c r="AL4289" s="5">
        <f t="shared" si="763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60"/>
        <v>0.34040000000000004</v>
      </c>
      <c r="V4290" s="12">
        <f t="shared" si="761"/>
        <v>1.8204</v>
      </c>
      <c r="W4290" s="2">
        <v>1.48</v>
      </c>
      <c r="X4290" s="5">
        <f t="shared" si="762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9"/>
        <v>0</v>
      </c>
      <c r="AL4290" s="5">
        <f t="shared" si="763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60"/>
        <v>160.839</v>
      </c>
      <c r="V4291" s="12">
        <f t="shared" si="761"/>
        <v>860.1389999999999</v>
      </c>
      <c r="W4291" s="2">
        <v>345.20339999999999</v>
      </c>
      <c r="X4291" s="5">
        <f t="shared" si="762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9"/>
        <v>354.09659999999997</v>
      </c>
      <c r="AL4291" s="5">
        <f t="shared" si="763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60"/>
        <v>12.65</v>
      </c>
      <c r="V4292" s="12">
        <f t="shared" si="761"/>
        <v>67.650000000000006</v>
      </c>
      <c r="W4292" s="2">
        <f>T4292*40%</f>
        <v>22</v>
      </c>
      <c r="X4292" s="5">
        <f t="shared" si="762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9"/>
        <v>33</v>
      </c>
      <c r="AL4292" s="5">
        <f t="shared" si="763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60"/>
        <v>6.3250000000000002</v>
      </c>
      <c r="V4293" s="12">
        <f t="shared" si="761"/>
        <v>33.825000000000003</v>
      </c>
      <c r="W4293" s="2">
        <f>T4293*50%</f>
        <v>13.75</v>
      </c>
      <c r="X4293" s="5">
        <f t="shared" si="762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9"/>
        <v>13.75</v>
      </c>
      <c r="AL4293" s="5">
        <f t="shared" si="763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60"/>
        <v>50.6</v>
      </c>
      <c r="V4294" s="12">
        <f t="shared" si="761"/>
        <v>270.60000000000002</v>
      </c>
      <c r="W4294" s="2">
        <v>119.95</v>
      </c>
      <c r="X4294" s="5">
        <f t="shared" si="762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9"/>
        <v>100.05</v>
      </c>
      <c r="AL4294" s="5">
        <f t="shared" si="763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60"/>
        <v>0.34040000000000004</v>
      </c>
      <c r="V4295" s="12">
        <f t="shared" si="761"/>
        <v>1.8204</v>
      </c>
      <c r="W4295" s="2">
        <v>1.48</v>
      </c>
      <c r="X4295" s="5">
        <f t="shared" si="762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9"/>
        <v>0</v>
      </c>
      <c r="AL4295" s="5">
        <f t="shared" si="763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60"/>
        <v>2990</v>
      </c>
      <c r="V4296" s="12">
        <f t="shared" si="761"/>
        <v>15990</v>
      </c>
      <c r="W4296" s="2">
        <v>8765.42</v>
      </c>
      <c r="X4296" s="5">
        <f t="shared" si="762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9"/>
        <v>4234.58</v>
      </c>
      <c r="AL4296" s="5">
        <f t="shared" si="763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60"/>
        <v>1380</v>
      </c>
      <c r="V4297" s="12">
        <f t="shared" si="761"/>
        <v>7380</v>
      </c>
      <c r="W4297" s="2">
        <v>4221.5600000000004</v>
      </c>
      <c r="X4297" s="5">
        <f t="shared" si="762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9"/>
        <v>1778.4399999999996</v>
      </c>
      <c r="AL4297" s="5">
        <f t="shared" si="763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60"/>
        <v>230</v>
      </c>
      <c r="V4298" s="12">
        <f t="shared" si="761"/>
        <v>1230</v>
      </c>
      <c r="W4298" s="2">
        <v>802.73</v>
      </c>
      <c r="X4298" s="5">
        <f t="shared" si="762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9"/>
        <v>197.26999999999998</v>
      </c>
      <c r="AL4298" s="5">
        <f t="shared" si="763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60"/>
        <v>13.8</v>
      </c>
      <c r="V4299" s="12">
        <f t="shared" si="761"/>
        <v>73.8</v>
      </c>
      <c r="W4299" s="2">
        <f>T4299*40%</f>
        <v>24</v>
      </c>
      <c r="X4299" s="5">
        <f t="shared" si="762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9"/>
        <v>36</v>
      </c>
      <c r="AL4299" s="5">
        <f t="shared" si="763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60"/>
        <v>12.65</v>
      </c>
      <c r="V4300" s="12">
        <f t="shared" si="761"/>
        <v>67.650000000000006</v>
      </c>
      <c r="W4300" s="2">
        <f>T4300*50%</f>
        <v>27.5</v>
      </c>
      <c r="X4300" s="5">
        <f t="shared" si="762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9"/>
        <v>27.5</v>
      </c>
      <c r="AL4300" s="5">
        <f t="shared" si="763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60"/>
        <v>160.839</v>
      </c>
      <c r="V4301" s="2">
        <f t="shared" si="761"/>
        <v>860.1389999999999</v>
      </c>
      <c r="W4301" s="2">
        <v>345.20339999999999</v>
      </c>
      <c r="X4301" s="5">
        <f t="shared" si="762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9"/>
        <v>354.09659999999997</v>
      </c>
      <c r="AL4301" s="5">
        <f t="shared" si="763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60"/>
        <v>72.22</v>
      </c>
      <c r="V4302" s="2">
        <f t="shared" si="761"/>
        <v>386.22</v>
      </c>
      <c r="W4302" s="2">
        <f>T4302*40%</f>
        <v>125.60000000000001</v>
      </c>
      <c r="X4302" s="5">
        <f t="shared" si="762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9"/>
        <v>188.39999999999998</v>
      </c>
      <c r="AL4302" s="5">
        <f t="shared" si="763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60"/>
        <v>12.65</v>
      </c>
      <c r="V4303" s="2">
        <f t="shared" si="761"/>
        <v>67.650000000000006</v>
      </c>
      <c r="W4303" s="2">
        <f>T4303*50%</f>
        <v>27.5</v>
      </c>
      <c r="X4303" s="5">
        <f t="shared" si="762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9"/>
        <v>27.5</v>
      </c>
      <c r="AL4303" s="5">
        <f t="shared" si="763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60"/>
        <v>13.8</v>
      </c>
      <c r="V4304" s="2">
        <f t="shared" si="761"/>
        <v>73.8</v>
      </c>
      <c r="W4304" s="2">
        <f>T4304*40%</f>
        <v>24</v>
      </c>
      <c r="X4304" s="5">
        <f t="shared" si="762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9"/>
        <v>36</v>
      </c>
      <c r="AL4304" s="5">
        <f t="shared" si="763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60"/>
        <v>12.65</v>
      </c>
      <c r="V4305" s="2">
        <f t="shared" si="761"/>
        <v>67.650000000000006</v>
      </c>
      <c r="W4305" s="2">
        <f>T4305*50%</f>
        <v>27.5</v>
      </c>
      <c r="X4305" s="5">
        <f t="shared" si="762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9"/>
        <v>27.5</v>
      </c>
      <c r="AL4305" s="5">
        <f t="shared" si="763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60"/>
        <v>50.6</v>
      </c>
      <c r="V4306" s="2">
        <f t="shared" si="761"/>
        <v>270.60000000000002</v>
      </c>
      <c r="W4306" s="2">
        <f>113.905+11.25</f>
        <v>125.155</v>
      </c>
      <c r="X4306" s="5">
        <f t="shared" si="762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9"/>
        <v>94.844999999999999</v>
      </c>
      <c r="AL4306" s="5">
        <f t="shared" si="763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60"/>
        <v>0.34040000000000004</v>
      </c>
      <c r="V4307" s="2">
        <f t="shared" si="761"/>
        <v>1.8204</v>
      </c>
      <c r="W4307" s="2">
        <v>1.48</v>
      </c>
      <c r="X4307" s="5">
        <f t="shared" si="762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9"/>
        <v>0</v>
      </c>
      <c r="AL4307" s="5">
        <f t="shared" si="763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60"/>
        <v>145.82</v>
      </c>
      <c r="V4308" s="2">
        <f t="shared" si="761"/>
        <v>779.81999999999994</v>
      </c>
      <c r="W4308" s="2">
        <f>T4308*40%</f>
        <v>253.60000000000002</v>
      </c>
      <c r="X4308" s="5">
        <f t="shared" si="762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9"/>
        <v>380.4</v>
      </c>
      <c r="AL4308" s="5">
        <f t="shared" si="763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60"/>
        <v>44.274999999999999</v>
      </c>
      <c r="V4309" s="2">
        <f t="shared" si="761"/>
        <v>236.77500000000001</v>
      </c>
      <c r="W4309" s="2">
        <f>T4309*50%</f>
        <v>96.25</v>
      </c>
      <c r="X4309" s="5">
        <f t="shared" si="762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9"/>
        <v>96.25</v>
      </c>
      <c r="AL4309" s="5">
        <f t="shared" si="763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4">T4310*23%</f>
        <v>13.8</v>
      </c>
      <c r="V4310" s="2">
        <f t="shared" ref="V4310:V4341" si="765">T4310+U4310</f>
        <v>73.8</v>
      </c>
      <c r="W4310" s="2">
        <f>T4310*40%</f>
        <v>24</v>
      </c>
      <c r="X4310" s="5">
        <f t="shared" ref="X4310:X4328" si="766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9"/>
        <v>36</v>
      </c>
      <c r="AL4310" s="5">
        <f t="shared" ref="AL4310:AL4328" si="767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4"/>
        <v>18.975000000000001</v>
      </c>
      <c r="V4311" s="2">
        <f t="shared" si="765"/>
        <v>101.47499999999999</v>
      </c>
      <c r="W4311" s="2">
        <f>T4311*50%</f>
        <v>41.25</v>
      </c>
      <c r="X4311" s="5">
        <f t="shared" si="766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9"/>
        <v>41.25</v>
      </c>
      <c r="AL4311" s="5">
        <f t="shared" si="767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4"/>
        <v>18.278100000000002</v>
      </c>
      <c r="V4312" s="2">
        <f t="shared" si="765"/>
        <v>97.748099999999994</v>
      </c>
      <c r="W4312" s="2">
        <v>25.2</v>
      </c>
      <c r="X4312" s="5">
        <f t="shared" si="766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9"/>
        <v>54.269999999999996</v>
      </c>
      <c r="AL4312" s="5">
        <f t="shared" si="767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4"/>
        <v>64.400000000000006</v>
      </c>
      <c r="V4313" s="2">
        <f t="shared" si="765"/>
        <v>344.4</v>
      </c>
      <c r="W4313" s="2">
        <f>144.32+16.82</f>
        <v>161.13999999999999</v>
      </c>
      <c r="X4313" s="5">
        <f t="shared" si="766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9"/>
        <v>118.86000000000001</v>
      </c>
      <c r="AL4313" s="5">
        <f t="shared" si="767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4"/>
        <v>0.34040000000000004</v>
      </c>
      <c r="V4314" s="2">
        <f t="shared" si="765"/>
        <v>1.8204</v>
      </c>
      <c r="W4314" s="2">
        <v>1.48</v>
      </c>
      <c r="X4314" s="5">
        <f t="shared" si="766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9"/>
        <v>0</v>
      </c>
      <c r="AL4314" s="5">
        <f t="shared" si="767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4"/>
        <v>273.7</v>
      </c>
      <c r="V4315" s="2">
        <f t="shared" si="765"/>
        <v>1463.7</v>
      </c>
      <c r="W4315" s="2">
        <v>773.5</v>
      </c>
      <c r="X4315" s="5">
        <f t="shared" si="766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9"/>
        <v>416.5</v>
      </c>
      <c r="AL4315" s="5">
        <f t="shared" si="767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4"/>
        <v>41.4</v>
      </c>
      <c r="V4316" s="2">
        <f t="shared" si="765"/>
        <v>221.4</v>
      </c>
      <c r="W4316" s="2">
        <v>125.51600000000001</v>
      </c>
      <c r="X4316" s="5">
        <f t="shared" si="766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9"/>
        <v>54.483999999999995</v>
      </c>
      <c r="AL4316" s="5">
        <f t="shared" si="767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4"/>
        <v>0.34040000000000004</v>
      </c>
      <c r="V4317" s="2">
        <f t="shared" si="765"/>
        <v>1.8204</v>
      </c>
      <c r="W4317" s="2">
        <v>1.48</v>
      </c>
      <c r="X4317" s="5">
        <f t="shared" si="766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9"/>
        <v>0</v>
      </c>
      <c r="AL4317" s="5">
        <f t="shared" si="767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G4318" s="2">
        <v>500228264</v>
      </c>
      <c r="H4318" s="2" t="s">
        <v>109</v>
      </c>
      <c r="I4318" s="2" t="s">
        <v>2937</v>
      </c>
      <c r="J4318" s="2" t="s">
        <v>2938</v>
      </c>
      <c r="K4318" s="2">
        <v>962004672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4"/>
        <v>52.900000000000006</v>
      </c>
      <c r="V4318" s="2">
        <f t="shared" si="765"/>
        <v>282.89999999999998</v>
      </c>
      <c r="W4318" s="2">
        <v>135.68</v>
      </c>
      <c r="X4318" s="5">
        <f t="shared" si="766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9"/>
        <v>94.32</v>
      </c>
      <c r="AL4318" s="5">
        <f t="shared" si="767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G4319" s="2">
        <v>500228264</v>
      </c>
      <c r="H4319" s="2" t="s">
        <v>109</v>
      </c>
      <c r="I4319" s="2" t="s">
        <v>2937</v>
      </c>
      <c r="J4319" s="2" t="s">
        <v>2938</v>
      </c>
      <c r="K4319" s="2">
        <v>962004672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4"/>
        <v>0.34040000000000004</v>
      </c>
      <c r="V4319" s="2">
        <f t="shared" si="765"/>
        <v>1.8204</v>
      </c>
      <c r="W4319" s="2">
        <v>1.48</v>
      </c>
      <c r="X4319" s="5">
        <f t="shared" si="766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9"/>
        <v>0</v>
      </c>
      <c r="AL4319" s="5">
        <f t="shared" si="767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4"/>
        <v>8.6480000000000015</v>
      </c>
      <c r="V4320" s="2">
        <f t="shared" si="765"/>
        <v>46.248000000000005</v>
      </c>
      <c r="W4320" s="2">
        <v>21.71</v>
      </c>
      <c r="X4320" s="5">
        <f t="shared" si="766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9"/>
        <v>15.89</v>
      </c>
      <c r="AL4320" s="5">
        <f t="shared" si="767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4"/>
        <v>13.8</v>
      </c>
      <c r="V4321" s="2">
        <f t="shared" si="765"/>
        <v>73.8</v>
      </c>
      <c r="W4321" s="2">
        <f>T4321*40%</f>
        <v>24</v>
      </c>
      <c r="X4321" s="5">
        <f t="shared" si="766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9"/>
        <v>36</v>
      </c>
      <c r="AL4321" s="5">
        <f t="shared" si="767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4"/>
        <v>12.65</v>
      </c>
      <c r="V4322" s="2">
        <f t="shared" si="765"/>
        <v>67.650000000000006</v>
      </c>
      <c r="W4322" s="2">
        <f>T4322*50%</f>
        <v>27.5</v>
      </c>
      <c r="X4322" s="5">
        <f t="shared" si="766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9"/>
        <v>27.5</v>
      </c>
      <c r="AL4322" s="5">
        <f t="shared" si="767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4"/>
        <v>1.84</v>
      </c>
      <c r="V4323" s="2">
        <f t="shared" si="765"/>
        <v>9.84</v>
      </c>
      <c r="W4323" s="2">
        <v>6</v>
      </c>
      <c r="X4323" s="5">
        <f t="shared" si="766"/>
        <v>0.25</v>
      </c>
      <c r="Z4323" s="2" t="s">
        <v>169</v>
      </c>
      <c r="AA4323" s="2" t="s">
        <v>169</v>
      </c>
      <c r="AK4323" s="2">
        <f t="shared" si="759"/>
        <v>2</v>
      </c>
      <c r="AL4323" s="5">
        <f t="shared" si="767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4"/>
        <v>55.2</v>
      </c>
      <c r="V4324" s="2">
        <f t="shared" si="765"/>
        <v>295.2</v>
      </c>
      <c r="W4324" s="2">
        <v>119.95</v>
      </c>
      <c r="X4324" s="5">
        <f t="shared" si="766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9"/>
        <v>120.05</v>
      </c>
      <c r="AL4324" s="5">
        <f t="shared" si="767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4"/>
        <v>0.34040000000000004</v>
      </c>
      <c r="V4325" s="2">
        <f t="shared" si="765"/>
        <v>1.8204</v>
      </c>
      <c r="W4325" s="2">
        <v>1.48</v>
      </c>
      <c r="X4325" s="5">
        <f t="shared" si="766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9"/>
        <v>0</v>
      </c>
      <c r="AL4325" s="5">
        <f t="shared" si="767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4"/>
        <v>46</v>
      </c>
      <c r="V4326" s="2">
        <f t="shared" si="765"/>
        <v>246</v>
      </c>
      <c r="W4326" s="2">
        <v>124.6</v>
      </c>
      <c r="X4326" s="5">
        <f t="shared" si="766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9"/>
        <v>75.400000000000006</v>
      </c>
      <c r="AL4326" s="5">
        <f t="shared" si="767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4"/>
        <v>0.34040000000000004</v>
      </c>
      <c r="V4327" s="2">
        <f t="shared" si="765"/>
        <v>1.8204</v>
      </c>
      <c r="W4327" s="2">
        <v>1.48</v>
      </c>
      <c r="X4327" s="5">
        <f t="shared" si="766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9"/>
        <v>0</v>
      </c>
      <c r="AL4327" s="5">
        <f t="shared" si="767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4"/>
        <v>460</v>
      </c>
      <c r="V4328" s="2">
        <f t="shared" si="765"/>
        <v>2460</v>
      </c>
      <c r="W4328" s="2">
        <v>1150</v>
      </c>
      <c r="X4328" s="5">
        <f t="shared" si="766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9"/>
        <v>850</v>
      </c>
      <c r="AL4328" s="5">
        <f t="shared" si="767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4"/>
        <v>0</v>
      </c>
      <c r="V4329" s="2">
        <f t="shared" si="765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9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4"/>
        <v>0</v>
      </c>
      <c r="V4330" s="2">
        <f t="shared" si="765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9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4"/>
        <v>62.1</v>
      </c>
      <c r="V4331" s="2">
        <f t="shared" si="765"/>
        <v>332.1</v>
      </c>
      <c r="W4331" s="2">
        <f>118.44+11.7</f>
        <v>130.13999999999999</v>
      </c>
      <c r="X4331" s="5">
        <f t="shared" ref="X4331:X4355" si="768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9"/>
        <v>139.86000000000001</v>
      </c>
      <c r="AL4331" s="5">
        <f t="shared" ref="AL4331:AL4355" si="769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4"/>
        <v>0.34040000000000004</v>
      </c>
      <c r="V4332" s="2">
        <f t="shared" si="765"/>
        <v>1.8204</v>
      </c>
      <c r="W4332" s="2">
        <v>1.48</v>
      </c>
      <c r="X4332" s="5">
        <f t="shared" si="768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9"/>
        <v>0</v>
      </c>
      <c r="AL4332" s="5">
        <f t="shared" si="769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4"/>
        <v>16.79</v>
      </c>
      <c r="V4333" s="2">
        <f t="shared" si="765"/>
        <v>89.789999999999992</v>
      </c>
      <c r="W4333" s="2">
        <f>T4333*40%</f>
        <v>29.200000000000003</v>
      </c>
      <c r="X4333" s="5">
        <f t="shared" si="768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9"/>
        <v>43.8</v>
      </c>
      <c r="AL4333" s="5">
        <f t="shared" si="769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4"/>
        <v>12.65</v>
      </c>
      <c r="V4334" s="2">
        <f t="shared" si="765"/>
        <v>67.650000000000006</v>
      </c>
      <c r="W4334" s="2">
        <f>T4334*50%</f>
        <v>27.5</v>
      </c>
      <c r="X4334" s="5">
        <f t="shared" si="768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9"/>
        <v>27.5</v>
      </c>
      <c r="AL4334" s="5">
        <f t="shared" si="769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4"/>
        <v>50.6</v>
      </c>
      <c r="V4335" s="2">
        <f t="shared" si="765"/>
        <v>270.60000000000002</v>
      </c>
      <c r="W4335" s="2">
        <f>118.44+11.7</f>
        <v>130.13999999999999</v>
      </c>
      <c r="X4335" s="5">
        <f t="shared" si="768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9"/>
        <v>89.860000000000014</v>
      </c>
      <c r="AL4335" s="5">
        <f t="shared" si="769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4"/>
        <v>0.34040000000000004</v>
      </c>
      <c r="V4336" s="2">
        <f t="shared" si="765"/>
        <v>1.8204</v>
      </c>
      <c r="W4336" s="2">
        <v>1.48</v>
      </c>
      <c r="X4336" s="5">
        <f t="shared" si="768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9"/>
        <v>0</v>
      </c>
      <c r="AL4336" s="5">
        <f t="shared" si="769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4"/>
        <v>13.609100000000002</v>
      </c>
      <c r="V4337" s="2">
        <f t="shared" si="765"/>
        <v>72.7791</v>
      </c>
      <c r="W4337" s="2">
        <v>28.25</v>
      </c>
      <c r="X4337" s="5">
        <f t="shared" si="768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9"/>
        <v>30.92</v>
      </c>
      <c r="AL4337" s="5">
        <f t="shared" si="769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4"/>
        <v>13.8</v>
      </c>
      <c r="V4338" s="2">
        <f t="shared" si="765"/>
        <v>73.8</v>
      </c>
      <c r="W4338" s="2">
        <f>T4338*40%</f>
        <v>24</v>
      </c>
      <c r="X4338" s="5">
        <f t="shared" si="768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9"/>
        <v>36</v>
      </c>
      <c r="AL4338" s="5">
        <f t="shared" si="769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4"/>
        <v>12.65</v>
      </c>
      <c r="V4339" s="2">
        <f t="shared" si="765"/>
        <v>67.650000000000006</v>
      </c>
      <c r="W4339" s="2">
        <f>T4339*50%</f>
        <v>27.5</v>
      </c>
      <c r="X4339" s="5">
        <f t="shared" si="768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9"/>
        <v>27.5</v>
      </c>
      <c r="AL4339" s="5">
        <f t="shared" si="769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4"/>
        <v>50.6</v>
      </c>
      <c r="V4340" s="2">
        <f t="shared" si="765"/>
        <v>270.60000000000002</v>
      </c>
      <c r="W4340" s="2">
        <v>125.51600000000001</v>
      </c>
      <c r="X4340" s="5">
        <f t="shared" si="768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70">T4340-W4340</f>
        <v>94.483999999999995</v>
      </c>
      <c r="AL4340" s="5">
        <f t="shared" si="769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4"/>
        <v>0.34040000000000004</v>
      </c>
      <c r="V4341" s="2">
        <f t="shared" si="765"/>
        <v>1.8204</v>
      </c>
      <c r="W4341" s="2">
        <v>1.48</v>
      </c>
      <c r="X4341" s="5">
        <f t="shared" si="768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70"/>
        <v>0</v>
      </c>
      <c r="AL4341" s="5">
        <f t="shared" si="769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1">T4342*23%</f>
        <v>50.6</v>
      </c>
      <c r="V4342" s="2">
        <f t="shared" ref="V4342:V4373" si="772">T4342+U4342</f>
        <v>270.60000000000002</v>
      </c>
      <c r="W4342" s="2">
        <v>125.51600000000001</v>
      </c>
      <c r="X4342" s="5">
        <f t="shared" si="768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70"/>
        <v>94.483999999999995</v>
      </c>
      <c r="AL4342" s="5">
        <f t="shared" si="769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1"/>
        <v>0.34040000000000004</v>
      </c>
      <c r="V4343" s="2">
        <f t="shared" si="772"/>
        <v>1.8204</v>
      </c>
      <c r="W4343" s="2">
        <v>1.48</v>
      </c>
      <c r="X4343" s="5">
        <f t="shared" si="768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70"/>
        <v>0</v>
      </c>
      <c r="AL4343" s="5">
        <f t="shared" si="769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1"/>
        <v>116.99640000000001</v>
      </c>
      <c r="V4344" s="2">
        <f t="shared" si="772"/>
        <v>625.67640000000006</v>
      </c>
      <c r="W4344" s="2">
        <v>178.3383</v>
      </c>
      <c r="X4344" s="5">
        <f t="shared" si="768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70"/>
        <v>330.3417</v>
      </c>
      <c r="AL4344" s="5">
        <f t="shared" si="769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1"/>
        <v>20.851800000000001</v>
      </c>
      <c r="V4345" s="2">
        <f t="shared" si="772"/>
        <v>111.51179999999999</v>
      </c>
      <c r="W4345" s="2">
        <v>30.61</v>
      </c>
      <c r="X4345" s="5">
        <f t="shared" si="768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70"/>
        <v>60.05</v>
      </c>
      <c r="AL4345" s="5">
        <f t="shared" si="769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1"/>
        <v>84.64</v>
      </c>
      <c r="V4346" s="2">
        <f t="shared" si="772"/>
        <v>452.64</v>
      </c>
      <c r="W4346" s="2">
        <f>T4346*40%</f>
        <v>147.20000000000002</v>
      </c>
      <c r="X4346" s="5">
        <f t="shared" si="768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70"/>
        <v>220.79999999999998</v>
      </c>
      <c r="AL4346" s="5">
        <f t="shared" si="769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1"/>
        <v>50.6</v>
      </c>
      <c r="V4347" s="2">
        <f t="shared" si="772"/>
        <v>270.60000000000002</v>
      </c>
      <c r="W4347" s="2">
        <f>T4347*50%</f>
        <v>110</v>
      </c>
      <c r="X4347" s="5">
        <f t="shared" si="768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70"/>
        <v>110</v>
      </c>
      <c r="AL4347" s="5">
        <f t="shared" si="769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1"/>
        <v>17.25</v>
      </c>
      <c r="V4348" s="2">
        <f t="shared" si="772"/>
        <v>92.25</v>
      </c>
      <c r="W4348" s="2">
        <f>T4348*40%</f>
        <v>30</v>
      </c>
      <c r="X4348" s="5">
        <f t="shared" si="768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70"/>
        <v>45</v>
      </c>
      <c r="AL4348" s="5">
        <f t="shared" si="769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1"/>
        <v>22.137499999999999</v>
      </c>
      <c r="V4349" s="2">
        <f t="shared" si="772"/>
        <v>118.3875</v>
      </c>
      <c r="W4349" s="2">
        <f>T4349*50%</f>
        <v>48.125</v>
      </c>
      <c r="X4349" s="5">
        <f t="shared" si="768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70"/>
        <v>48.125</v>
      </c>
      <c r="AL4349" s="5">
        <f t="shared" si="769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1"/>
        <v>68.424999999999997</v>
      </c>
      <c r="V4350" s="2">
        <f t="shared" si="772"/>
        <v>365.92500000000001</v>
      </c>
      <c r="W4350" s="2">
        <f t="shared" ref="W4350:W4351" si="773">T4350*70%</f>
        <v>208.25</v>
      </c>
      <c r="X4350" s="5">
        <f t="shared" si="768"/>
        <v>0.3</v>
      </c>
      <c r="Z4350" s="2" t="s">
        <v>119</v>
      </c>
      <c r="AA4350" s="2" t="s">
        <v>3378</v>
      </c>
      <c r="AK4350" s="2">
        <f t="shared" si="770"/>
        <v>89.25</v>
      </c>
      <c r="AL4350" s="5">
        <f t="shared" si="769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1"/>
        <v>115</v>
      </c>
      <c r="V4351" s="2">
        <f t="shared" si="772"/>
        <v>615</v>
      </c>
      <c r="W4351" s="2">
        <f t="shared" si="773"/>
        <v>350</v>
      </c>
      <c r="X4351" s="5">
        <f t="shared" si="768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70"/>
        <v>150</v>
      </c>
      <c r="AL4351" s="5">
        <f t="shared" si="769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1"/>
        <v>13.34</v>
      </c>
      <c r="V4352" s="2">
        <f t="shared" si="772"/>
        <v>71.34</v>
      </c>
      <c r="W4352" s="2">
        <f>14.5099*S4352</f>
        <v>29.0198</v>
      </c>
      <c r="X4352" s="5">
        <f t="shared" si="768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70"/>
        <v>28.9802</v>
      </c>
      <c r="AL4352" s="5">
        <f t="shared" si="769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1"/>
        <v>22.080000000000002</v>
      </c>
      <c r="V4353" s="2">
        <f t="shared" si="772"/>
        <v>118.08</v>
      </c>
      <c r="W4353" s="2">
        <f>14.5099*S4353</f>
        <v>58.0396</v>
      </c>
      <c r="X4353" s="5">
        <f t="shared" si="768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70"/>
        <v>37.9604</v>
      </c>
      <c r="AL4353" s="5">
        <f t="shared" si="769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1"/>
        <v>40.71</v>
      </c>
      <c r="V4354" s="2">
        <f t="shared" si="772"/>
        <v>217.71</v>
      </c>
      <c r="W4354" s="2">
        <f>T4354*40%</f>
        <v>70.8</v>
      </c>
      <c r="X4354" s="5">
        <f t="shared" si="768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70"/>
        <v>106.2</v>
      </c>
      <c r="AL4354" s="5">
        <f t="shared" si="769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1"/>
        <v>12.65</v>
      </c>
      <c r="V4355" s="2">
        <f t="shared" si="772"/>
        <v>67.650000000000006</v>
      </c>
      <c r="W4355" s="2">
        <f>T4355*50%</f>
        <v>27.5</v>
      </c>
      <c r="X4355" s="5">
        <f t="shared" si="768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70"/>
        <v>27.5</v>
      </c>
      <c r="AL4355" s="5">
        <f t="shared" si="769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1"/>
        <v>0</v>
      </c>
      <c r="V4356" s="2">
        <f t="shared" si="772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70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1"/>
        <v>0</v>
      </c>
      <c r="V4357" s="2">
        <f t="shared" si="772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70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1"/>
        <v>2760</v>
      </c>
      <c r="V4358" s="2">
        <f t="shared" si="772"/>
        <v>14760</v>
      </c>
      <c r="W4358" s="2">
        <f>10440+150</f>
        <v>10590</v>
      </c>
      <c r="X4358" s="5">
        <f t="shared" ref="X4358:X4389" si="774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70"/>
        <v>1410</v>
      </c>
      <c r="AL4358" s="5">
        <f t="shared" ref="AL4358:AL4389" si="775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1"/>
        <v>43.7</v>
      </c>
      <c r="V4359" s="2">
        <f t="shared" si="772"/>
        <v>233.7</v>
      </c>
      <c r="W4359" s="2">
        <v>125.51600000000001</v>
      </c>
      <c r="X4359" s="5">
        <f t="shared" si="774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70"/>
        <v>64.483999999999995</v>
      </c>
      <c r="AL4359" s="5">
        <f t="shared" si="775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1"/>
        <v>0.34040000000000004</v>
      </c>
      <c r="V4360" s="2">
        <f t="shared" si="772"/>
        <v>1.8204</v>
      </c>
      <c r="W4360" s="2">
        <v>1.48</v>
      </c>
      <c r="X4360" s="5">
        <f t="shared" si="774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70"/>
        <v>0</v>
      </c>
      <c r="AL4360" s="5">
        <f t="shared" si="775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1"/>
        <v>18.075700000000001</v>
      </c>
      <c r="V4361" s="2">
        <f t="shared" si="772"/>
        <v>96.665700000000001</v>
      </c>
      <c r="W4361" s="2">
        <f>36.2258</f>
        <v>36.2258</v>
      </c>
      <c r="X4361" s="5">
        <f t="shared" si="774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70"/>
        <v>42.364200000000004</v>
      </c>
      <c r="AL4361" s="5">
        <f t="shared" si="775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1"/>
        <v>1.61</v>
      </c>
      <c r="V4362" s="2">
        <f t="shared" si="772"/>
        <v>8.61</v>
      </c>
      <c r="W4362" s="2">
        <v>6</v>
      </c>
      <c r="X4362" s="5">
        <f t="shared" si="774"/>
        <v>0.14285714285714285</v>
      </c>
      <c r="Z4362" s="2" t="s">
        <v>169</v>
      </c>
      <c r="AA4362" s="2" t="s">
        <v>169</v>
      </c>
      <c r="AK4362" s="2">
        <f t="shared" si="770"/>
        <v>1</v>
      </c>
      <c r="AL4362" s="5">
        <f t="shared" si="775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1"/>
        <v>368</v>
      </c>
      <c r="V4363" s="2">
        <f t="shared" si="772"/>
        <v>1968</v>
      </c>
      <c r="W4363" s="2">
        <v>1244.2445</v>
      </c>
      <c r="X4363" s="5">
        <f t="shared" si="774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70"/>
        <v>355.75549999999998</v>
      </c>
      <c r="AL4363" s="5">
        <f t="shared" si="775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1"/>
        <v>1012</v>
      </c>
      <c r="V4364" s="2">
        <f t="shared" si="772"/>
        <v>5412</v>
      </c>
      <c r="W4364" s="2">
        <f>3229.76+112.87</f>
        <v>3342.63</v>
      </c>
      <c r="X4364" s="5">
        <f t="shared" si="774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70"/>
        <v>1057.3699999999999</v>
      </c>
      <c r="AL4364" s="5">
        <f t="shared" si="775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1"/>
        <v>13.510200000000001</v>
      </c>
      <c r="V4365" s="2">
        <f t="shared" si="772"/>
        <v>72.250200000000007</v>
      </c>
      <c r="W4365" s="2">
        <v>27.86</v>
      </c>
      <c r="X4365" s="5">
        <f t="shared" si="774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70"/>
        <v>30.880000000000003</v>
      </c>
      <c r="AL4365" s="5">
        <f t="shared" si="775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1"/>
        <v>12.65</v>
      </c>
      <c r="V4366" s="2">
        <f t="shared" si="772"/>
        <v>67.650000000000006</v>
      </c>
      <c r="W4366" s="2">
        <f>T4366*40%</f>
        <v>22</v>
      </c>
      <c r="X4366" s="5">
        <f t="shared" si="774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70"/>
        <v>33</v>
      </c>
      <c r="AL4366" s="5">
        <f t="shared" si="775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1"/>
        <v>18.975000000000001</v>
      </c>
      <c r="V4367" s="2">
        <f t="shared" si="772"/>
        <v>101.47499999999999</v>
      </c>
      <c r="W4367" s="2">
        <f>T4367*50%</f>
        <v>41.25</v>
      </c>
      <c r="X4367" s="5">
        <f t="shared" si="774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70"/>
        <v>41.25</v>
      </c>
      <c r="AL4367" s="5">
        <f t="shared" si="775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1"/>
        <v>2.1482000000000001</v>
      </c>
      <c r="V4368" s="2">
        <f t="shared" si="772"/>
        <v>11.488199999999999</v>
      </c>
      <c r="W4368" s="2">
        <f>T4368*70%</f>
        <v>6.5379999999999994</v>
      </c>
      <c r="X4368" s="5">
        <f t="shared" si="774"/>
        <v>0.30000000000000004</v>
      </c>
      <c r="Z4368" s="2" t="s">
        <v>119</v>
      </c>
      <c r="AA4368" s="2" t="s">
        <v>3378</v>
      </c>
      <c r="AK4368" s="2">
        <f t="shared" si="770"/>
        <v>2.8020000000000005</v>
      </c>
      <c r="AL4368" s="5">
        <f t="shared" si="775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1"/>
        <v>160.839</v>
      </c>
      <c r="V4369" s="2">
        <f t="shared" si="772"/>
        <v>860.1389999999999</v>
      </c>
      <c r="W4369" s="2">
        <v>343.38580000000002</v>
      </c>
      <c r="X4369" s="5">
        <f t="shared" si="774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70"/>
        <v>355.91419999999994</v>
      </c>
      <c r="AL4369" s="5">
        <f t="shared" si="775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1"/>
        <v>40.25</v>
      </c>
      <c r="V4370" s="2">
        <f t="shared" si="772"/>
        <v>215.25</v>
      </c>
      <c r="W4370" s="2">
        <f>T4370*40%</f>
        <v>70</v>
      </c>
      <c r="X4370" s="5">
        <f t="shared" si="774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70"/>
        <v>105</v>
      </c>
      <c r="AL4370" s="5">
        <f t="shared" si="775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1"/>
        <v>12.65</v>
      </c>
      <c r="V4371" s="2">
        <f t="shared" si="772"/>
        <v>67.650000000000006</v>
      </c>
      <c r="W4371" s="2">
        <f>T4371*50%</f>
        <v>27.5</v>
      </c>
      <c r="X4371" s="5">
        <f t="shared" si="774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70"/>
        <v>27.5</v>
      </c>
      <c r="AL4371" s="5">
        <f t="shared" si="775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1"/>
        <v>2.99</v>
      </c>
      <c r="V4372" s="2">
        <f t="shared" si="772"/>
        <v>15.99</v>
      </c>
      <c r="W4372" s="2">
        <f>6.6267*S4372</f>
        <v>6.6266999999999996</v>
      </c>
      <c r="X4372" s="5">
        <f t="shared" si="774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70"/>
        <v>6.3733000000000004</v>
      </c>
      <c r="AL4372" s="5">
        <f t="shared" si="775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1"/>
        <v>8.2800000000000011</v>
      </c>
      <c r="V4373" s="2">
        <f t="shared" si="772"/>
        <v>44.28</v>
      </c>
      <c r="W4373" s="2">
        <f>10.6*S4373</f>
        <v>21.2</v>
      </c>
      <c r="X4373" s="5">
        <f t="shared" si="774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70"/>
        <v>14.8</v>
      </c>
      <c r="AL4373" s="5">
        <f t="shared" si="775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6">T4374*23%</f>
        <v>2.99</v>
      </c>
      <c r="V4374" s="2">
        <f t="shared" ref="V4374:V4405" si="777">T4374+U4374</f>
        <v>15.99</v>
      </c>
      <c r="W4374" s="2">
        <f>0.0914*S4374</f>
        <v>9.1399999999999988</v>
      </c>
      <c r="X4374" s="5">
        <f t="shared" si="774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70"/>
        <v>3.8600000000000012</v>
      </c>
      <c r="AL4374" s="5">
        <f t="shared" si="775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6"/>
        <v>1.84</v>
      </c>
      <c r="V4375" s="2">
        <f t="shared" si="777"/>
        <v>9.84</v>
      </c>
      <c r="W4375" s="2">
        <v>6</v>
      </c>
      <c r="X4375" s="5">
        <f t="shared" si="774"/>
        <v>0.25</v>
      </c>
      <c r="Z4375" s="2" t="s">
        <v>169</v>
      </c>
      <c r="AA4375" s="2" t="s">
        <v>169</v>
      </c>
      <c r="AK4375" s="2">
        <f t="shared" si="770"/>
        <v>2</v>
      </c>
      <c r="AL4375" s="5">
        <f t="shared" si="775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6"/>
        <v>9.66</v>
      </c>
      <c r="V4376" s="2">
        <f t="shared" si="777"/>
        <v>51.66</v>
      </c>
      <c r="W4376" s="2">
        <f>14.4*S4376</f>
        <v>28.8</v>
      </c>
      <c r="X4376" s="5">
        <f t="shared" si="774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70"/>
        <v>13.2</v>
      </c>
      <c r="AL4376" s="5">
        <f t="shared" si="775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6"/>
        <v>19.55</v>
      </c>
      <c r="V4377" s="2">
        <f t="shared" si="777"/>
        <v>104.55</v>
      </c>
      <c r="W4377" s="2">
        <f>10.6*S4377</f>
        <v>53</v>
      </c>
      <c r="X4377" s="5">
        <f t="shared" si="774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70"/>
        <v>32</v>
      </c>
      <c r="AL4377" s="5">
        <f t="shared" si="775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6"/>
        <v>10.58</v>
      </c>
      <c r="V4378" s="2">
        <f t="shared" si="777"/>
        <v>56.58</v>
      </c>
      <c r="W4378" s="2">
        <f>0.082*S4378</f>
        <v>32.800000000000004</v>
      </c>
      <c r="X4378" s="5">
        <f t="shared" si="774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70"/>
        <v>13.199999999999996</v>
      </c>
      <c r="AL4378" s="5">
        <f t="shared" si="775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6"/>
        <v>156.14930000000001</v>
      </c>
      <c r="V4379" s="2">
        <f t="shared" si="777"/>
        <v>835.05930000000001</v>
      </c>
      <c r="X4379" s="5">
        <f t="shared" si="774"/>
        <v>1</v>
      </c>
      <c r="Z4379" s="2" t="s">
        <v>119</v>
      </c>
      <c r="AA4379" s="2" t="s">
        <v>492</v>
      </c>
      <c r="AK4379" s="2">
        <f t="shared" si="770"/>
        <v>678.91</v>
      </c>
      <c r="AL4379" s="5">
        <f t="shared" si="775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6"/>
        <v>160.839</v>
      </c>
      <c r="V4380" s="2">
        <f t="shared" si="777"/>
        <v>860.1389999999999</v>
      </c>
      <c r="W4380" s="2">
        <v>343.38580000000002</v>
      </c>
      <c r="X4380" s="5">
        <f t="shared" si="774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70"/>
        <v>355.91419999999994</v>
      </c>
      <c r="AL4380" s="5">
        <f t="shared" si="775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6"/>
        <v>13.8</v>
      </c>
      <c r="V4381" s="2">
        <f t="shared" si="777"/>
        <v>73.8</v>
      </c>
      <c r="W4381" s="2">
        <f>T4381*40%</f>
        <v>24</v>
      </c>
      <c r="X4381" s="5">
        <f t="shared" si="774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70"/>
        <v>36</v>
      </c>
      <c r="AL4381" s="5">
        <f t="shared" si="775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6"/>
        <v>12.65</v>
      </c>
      <c r="V4382" s="2">
        <f t="shared" si="777"/>
        <v>67.650000000000006</v>
      </c>
      <c r="W4382" s="2">
        <f>T4382*50%</f>
        <v>27.5</v>
      </c>
      <c r="X4382" s="5">
        <f t="shared" si="774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70"/>
        <v>27.5</v>
      </c>
      <c r="AL4382" s="5">
        <f t="shared" si="775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6"/>
        <v>92.69</v>
      </c>
      <c r="V4383" s="2">
        <f t="shared" si="777"/>
        <v>495.69</v>
      </c>
      <c r="W4383" s="2">
        <f>T4383*40%</f>
        <v>161.20000000000002</v>
      </c>
      <c r="X4383" s="5">
        <f t="shared" si="774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70"/>
        <v>241.79999999999998</v>
      </c>
      <c r="AL4383" s="5">
        <f t="shared" si="775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6"/>
        <v>12.65</v>
      </c>
      <c r="V4384" s="2">
        <f t="shared" si="777"/>
        <v>67.650000000000006</v>
      </c>
      <c r="W4384" s="2">
        <f>T4384*50%</f>
        <v>27.5</v>
      </c>
      <c r="X4384" s="5">
        <f t="shared" si="774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70"/>
        <v>27.5</v>
      </c>
      <c r="AL4384" s="5">
        <f t="shared" si="775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6"/>
        <v>7.4864999999999995</v>
      </c>
      <c r="V4385" s="2">
        <f t="shared" si="777"/>
        <v>40.036499999999997</v>
      </c>
      <c r="W4385" s="2">
        <f>(7.38+0.13)*S4385</f>
        <v>15.02</v>
      </c>
      <c r="X4385" s="5">
        <f t="shared" si="774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70"/>
        <v>17.529999999999998</v>
      </c>
      <c r="AL4385" s="5">
        <f t="shared" si="775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6"/>
        <v>6.67</v>
      </c>
      <c r="V4386" s="2">
        <f t="shared" si="777"/>
        <v>35.67</v>
      </c>
      <c r="W4386" s="2">
        <f>14.5099*S4386</f>
        <v>14.5099</v>
      </c>
      <c r="X4386" s="5">
        <f t="shared" si="774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70"/>
        <v>14.4901</v>
      </c>
      <c r="AL4386" s="5">
        <f t="shared" si="775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6"/>
        <v>50.6</v>
      </c>
      <c r="V4387" s="2">
        <f t="shared" si="777"/>
        <v>270.60000000000002</v>
      </c>
      <c r="W4387" s="2">
        <v>125.15</v>
      </c>
      <c r="X4387" s="5">
        <f t="shared" si="774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70"/>
        <v>94.85</v>
      </c>
      <c r="AL4387" s="5">
        <f t="shared" si="775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6"/>
        <v>0.34040000000000004</v>
      </c>
      <c r="V4388" s="2">
        <f t="shared" si="777"/>
        <v>1.8204</v>
      </c>
      <c r="W4388" s="2">
        <v>1.48</v>
      </c>
      <c r="X4388" s="5">
        <f t="shared" si="774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70"/>
        <v>0</v>
      </c>
      <c r="AL4388" s="5">
        <f t="shared" si="775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6"/>
        <v>68.08</v>
      </c>
      <c r="V4389" s="2">
        <f t="shared" si="777"/>
        <v>364.08</v>
      </c>
      <c r="W4389" s="2">
        <f>T4389*40%</f>
        <v>118.4</v>
      </c>
      <c r="X4389" s="5">
        <f t="shared" si="774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70"/>
        <v>177.6</v>
      </c>
      <c r="AL4389" s="5">
        <f t="shared" si="775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6"/>
        <v>12.65</v>
      </c>
      <c r="V4390" s="2">
        <f t="shared" si="777"/>
        <v>67.650000000000006</v>
      </c>
      <c r="W4390" s="2">
        <f>T4390*50%</f>
        <v>27.5</v>
      </c>
      <c r="X4390" s="5">
        <f t="shared" ref="X4390:X4421" si="778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70"/>
        <v>27.5</v>
      </c>
      <c r="AL4390" s="5">
        <f t="shared" ref="AL4390:AL4421" si="779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6"/>
        <v>51.75</v>
      </c>
      <c r="V4391" s="2">
        <f t="shared" si="777"/>
        <v>276.75</v>
      </c>
      <c r="W4391" s="2">
        <v>125.51600000000001</v>
      </c>
      <c r="X4391" s="5">
        <f t="shared" si="778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70"/>
        <v>99.483999999999995</v>
      </c>
      <c r="AL4391" s="5">
        <f t="shared" si="779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6"/>
        <v>0.34040000000000004</v>
      </c>
      <c r="V4392" s="2">
        <f t="shared" si="777"/>
        <v>1.8204</v>
      </c>
      <c r="W4392" s="2">
        <v>1.48</v>
      </c>
      <c r="X4392" s="5">
        <f t="shared" si="778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70"/>
        <v>0</v>
      </c>
      <c r="AL4392" s="5">
        <f t="shared" si="779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6"/>
        <v>86.25</v>
      </c>
      <c r="V4393" s="2">
        <f t="shared" si="777"/>
        <v>461.25</v>
      </c>
      <c r="W4393" s="2">
        <v>227.14</v>
      </c>
      <c r="X4393" s="5">
        <f t="shared" si="778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70"/>
        <v>147.86000000000001</v>
      </c>
      <c r="AL4393" s="5">
        <f t="shared" si="779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6"/>
        <v>0.34040000000000004</v>
      </c>
      <c r="V4394" s="2">
        <f t="shared" si="777"/>
        <v>1.8204</v>
      </c>
      <c r="W4394" s="2">
        <v>1.48</v>
      </c>
      <c r="X4394" s="5">
        <f t="shared" si="778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70"/>
        <v>0</v>
      </c>
      <c r="AL4394" s="5">
        <f t="shared" si="779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6"/>
        <v>51.75</v>
      </c>
      <c r="V4395" s="2">
        <f t="shared" si="777"/>
        <v>276.75</v>
      </c>
      <c r="W4395" s="2">
        <v>132.35499999999999</v>
      </c>
      <c r="X4395" s="5">
        <f t="shared" si="778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70"/>
        <v>92.64500000000001</v>
      </c>
      <c r="AL4395" s="5">
        <f t="shared" si="779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6"/>
        <v>0.34040000000000004</v>
      </c>
      <c r="V4396" s="2">
        <f t="shared" si="777"/>
        <v>1.8204</v>
      </c>
      <c r="W4396" s="2">
        <v>1.48</v>
      </c>
      <c r="X4396" s="5">
        <f t="shared" si="778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70"/>
        <v>0</v>
      </c>
      <c r="AL4396" s="5">
        <f t="shared" si="779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6"/>
        <v>8.2800000000000011</v>
      </c>
      <c r="V4397" s="2">
        <f t="shared" si="777"/>
        <v>44.28</v>
      </c>
      <c r="W4397" s="2">
        <f>0.8561*S4397</f>
        <v>17.122</v>
      </c>
      <c r="X4397" s="5">
        <f t="shared" si="778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70"/>
        <v>18.878</v>
      </c>
      <c r="AL4397" s="5">
        <f t="shared" si="779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6"/>
        <v>13.8</v>
      </c>
      <c r="V4398" s="2">
        <f t="shared" si="777"/>
        <v>73.8</v>
      </c>
      <c r="W4398" s="2">
        <f>1.4114*S4398</f>
        <v>28.228000000000002</v>
      </c>
      <c r="X4398" s="5">
        <f t="shared" si="778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70"/>
        <v>31.771999999999998</v>
      </c>
      <c r="AL4398" s="5">
        <f t="shared" si="779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6"/>
        <v>43.221600000000002</v>
      </c>
      <c r="V4399" s="2">
        <f t="shared" si="777"/>
        <v>231.14159999999998</v>
      </c>
      <c r="W4399" s="2">
        <v>49.96</v>
      </c>
      <c r="X4399" s="5">
        <f t="shared" si="778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70"/>
        <v>137.95999999999998</v>
      </c>
      <c r="AL4399" s="5">
        <f t="shared" si="779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6"/>
        <v>124.00909999999999</v>
      </c>
      <c r="V4400" s="2">
        <f t="shared" si="777"/>
        <v>663.17909999999995</v>
      </c>
      <c r="W4400" s="2">
        <v>257.3</v>
      </c>
      <c r="X4400" s="5">
        <f t="shared" si="778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70"/>
        <v>281.86999999999995</v>
      </c>
      <c r="AL4400" s="5">
        <f t="shared" si="779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6"/>
        <v>34.270000000000003</v>
      </c>
      <c r="V4401" s="2">
        <f t="shared" si="777"/>
        <v>183.27</v>
      </c>
      <c r="W4401" s="2">
        <f>T4401*40%</f>
        <v>59.6</v>
      </c>
      <c r="X4401" s="5">
        <f t="shared" si="778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70"/>
        <v>89.4</v>
      </c>
      <c r="AL4401" s="5">
        <f t="shared" si="779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6"/>
        <v>25.3</v>
      </c>
      <c r="V4402" s="2">
        <f t="shared" si="777"/>
        <v>135.30000000000001</v>
      </c>
      <c r="W4402" s="2">
        <f>T4402*50%</f>
        <v>55</v>
      </c>
      <c r="X4402" s="5">
        <f t="shared" si="778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70"/>
        <v>55</v>
      </c>
      <c r="AL4402" s="5">
        <f t="shared" si="779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6"/>
        <v>23.184000000000001</v>
      </c>
      <c r="V4403" s="2">
        <f t="shared" si="777"/>
        <v>123.98399999999999</v>
      </c>
      <c r="W4403" s="2">
        <f>3*S4403</f>
        <v>24</v>
      </c>
      <c r="X4403" s="5">
        <f t="shared" si="778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70"/>
        <v>76.8</v>
      </c>
      <c r="AL4403" s="5">
        <f t="shared" si="779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6"/>
        <v>11.258500000000002</v>
      </c>
      <c r="V4404" s="2">
        <f t="shared" si="777"/>
        <v>60.208500000000001</v>
      </c>
      <c r="W4404" s="2">
        <f>23.042*S4404</f>
        <v>23.042000000000002</v>
      </c>
      <c r="X4404" s="5">
        <f t="shared" si="778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80">T4404-W4404</f>
        <v>25.908000000000001</v>
      </c>
      <c r="AL4404" s="5">
        <f t="shared" si="779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6"/>
        <v>8.9700000000000006</v>
      </c>
      <c r="V4405" s="2">
        <f t="shared" si="777"/>
        <v>47.97</v>
      </c>
      <c r="W4405" s="2">
        <f>6.6267*S4405</f>
        <v>19.880099999999999</v>
      </c>
      <c r="X4405" s="5">
        <f t="shared" si="778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80"/>
        <v>19.119900000000001</v>
      </c>
      <c r="AL4405" s="5">
        <f t="shared" si="779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1">T4406*23%</f>
        <v>34.5</v>
      </c>
      <c r="V4406" s="2">
        <f t="shared" ref="V4406:V4413" si="782">T4406+U4406</f>
        <v>184.5</v>
      </c>
      <c r="W4406" s="2">
        <f>10.6*S4406</f>
        <v>106</v>
      </c>
      <c r="X4406" s="5">
        <f t="shared" si="778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80"/>
        <v>44</v>
      </c>
      <c r="AL4406" s="5">
        <f t="shared" si="779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1"/>
        <v>3.22</v>
      </c>
      <c r="V4407" s="2">
        <f t="shared" si="782"/>
        <v>17.22</v>
      </c>
      <c r="W4407" s="2">
        <f>0.0914*S4407</f>
        <v>9.1399999999999988</v>
      </c>
      <c r="X4407" s="5">
        <f t="shared" si="778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80"/>
        <v>4.8600000000000012</v>
      </c>
      <c r="AL4407" s="5">
        <f t="shared" si="779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1"/>
        <v>17.48</v>
      </c>
      <c r="V4408" s="2">
        <f t="shared" si="782"/>
        <v>93.48</v>
      </c>
      <c r="W4408" s="2">
        <f>T4408*40%</f>
        <v>30.400000000000002</v>
      </c>
      <c r="X4408" s="5">
        <f t="shared" si="778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80"/>
        <v>45.599999999999994</v>
      </c>
      <c r="AL4408" s="5">
        <f t="shared" si="779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1"/>
        <v>12.65</v>
      </c>
      <c r="V4409" s="2">
        <f t="shared" si="782"/>
        <v>67.650000000000006</v>
      </c>
      <c r="W4409" s="2">
        <f>T4409*50%</f>
        <v>27.5</v>
      </c>
      <c r="X4409" s="5">
        <f t="shared" si="778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80"/>
        <v>27.5</v>
      </c>
      <c r="AL4409" s="5">
        <f t="shared" si="779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1"/>
        <v>10.143000000000001</v>
      </c>
      <c r="V4410" s="2">
        <f t="shared" si="782"/>
        <v>54.243000000000002</v>
      </c>
      <c r="W4410" s="2">
        <f>10.38*S4410</f>
        <v>20.76</v>
      </c>
      <c r="X4410" s="5">
        <f t="shared" si="778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80"/>
        <v>23.34</v>
      </c>
      <c r="AL4410" s="5">
        <f t="shared" si="779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1"/>
        <v>1.84</v>
      </c>
      <c r="V4411" s="2">
        <f t="shared" si="782"/>
        <v>9.84</v>
      </c>
      <c r="W4411" s="2">
        <v>6</v>
      </c>
      <c r="X4411" s="5">
        <f t="shared" si="778"/>
        <v>0.25</v>
      </c>
      <c r="Z4411" s="2" t="s">
        <v>169</v>
      </c>
      <c r="AA4411" s="2" t="s">
        <v>169</v>
      </c>
      <c r="AK4411" s="2">
        <f t="shared" si="780"/>
        <v>2</v>
      </c>
      <c r="AL4411" s="5">
        <f t="shared" si="779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1"/>
        <v>13.144500000000001</v>
      </c>
      <c r="V4412" s="2">
        <f t="shared" si="782"/>
        <v>70.294499999999999</v>
      </c>
      <c r="W4412" s="2">
        <f>5.33*S4412</f>
        <v>21.32</v>
      </c>
      <c r="X4412" s="5">
        <f t="shared" si="778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80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1"/>
        <v>1.84</v>
      </c>
      <c r="V4413" s="2">
        <f t="shared" si="782"/>
        <v>9.84</v>
      </c>
      <c r="W4413" s="2">
        <v>6</v>
      </c>
      <c r="X4413" s="5">
        <f t="shared" si="778"/>
        <v>0.25</v>
      </c>
      <c r="Z4413" s="2" t="s">
        <v>169</v>
      </c>
      <c r="AA4413" s="2" t="s">
        <v>169</v>
      </c>
      <c r="AK4413" s="2">
        <f t="shared" si="780"/>
        <v>2</v>
      </c>
      <c r="AL4413" s="5">
        <f t="shared" si="779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8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80"/>
        <v>233.02659999999997</v>
      </c>
      <c r="AL4414" s="5">
        <f t="shared" si="779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3">T4415*23%</f>
        <v>3220</v>
      </c>
      <c r="V4415" s="2">
        <f t="shared" ref="V4415:V4446" si="784">T4415+U4415</f>
        <v>17220</v>
      </c>
      <c r="W4415" s="2">
        <f>10699.41+285.74</f>
        <v>10985.15</v>
      </c>
      <c r="X4415" s="5">
        <f t="shared" si="778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80"/>
        <v>3014.8500000000004</v>
      </c>
      <c r="AL4415" s="5">
        <f t="shared" si="779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3"/>
        <v>48.300000000000004</v>
      </c>
      <c r="V4416" s="2">
        <f t="shared" si="784"/>
        <v>258.3</v>
      </c>
      <c r="W4416" s="2">
        <f>113.905+11.25</f>
        <v>125.155</v>
      </c>
      <c r="X4416" s="5">
        <f t="shared" si="778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80"/>
        <v>84.844999999999999</v>
      </c>
      <c r="AL4416" s="5">
        <f t="shared" si="779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3"/>
        <v>0.34040000000000004</v>
      </c>
      <c r="V4417" s="2">
        <f t="shared" si="784"/>
        <v>1.8204</v>
      </c>
      <c r="W4417" s="2">
        <v>1.48</v>
      </c>
      <c r="X4417" s="5">
        <f t="shared" si="778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80"/>
        <v>0</v>
      </c>
      <c r="AL4417" s="5">
        <f t="shared" si="779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3"/>
        <v>23.816500000000001</v>
      </c>
      <c r="V4418" s="2">
        <f t="shared" si="784"/>
        <v>127.3665</v>
      </c>
      <c r="W4418" s="2">
        <f>57.53+1</f>
        <v>58.53</v>
      </c>
      <c r="X4418" s="5">
        <f t="shared" si="778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80"/>
        <v>45.019999999999996</v>
      </c>
      <c r="AL4418" s="5">
        <f t="shared" si="779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3"/>
        <v>572.70000000000005</v>
      </c>
      <c r="V4419" s="2">
        <f t="shared" si="784"/>
        <v>3062.7</v>
      </c>
      <c r="W4419" s="2">
        <f>1907.5+49</f>
        <v>1956.5</v>
      </c>
      <c r="X4419" s="5">
        <f t="shared" si="778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80"/>
        <v>533.5</v>
      </c>
      <c r="AL4419" s="5">
        <f t="shared" si="779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3"/>
        <v>160.839</v>
      </c>
      <c r="V4420" s="2">
        <f t="shared" si="784"/>
        <v>860.1389999999999</v>
      </c>
      <c r="W4420" s="2">
        <v>343.38580000000002</v>
      </c>
      <c r="X4420" s="5">
        <f t="shared" si="778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80"/>
        <v>355.91419999999994</v>
      </c>
      <c r="AL4420" s="5">
        <f t="shared" si="779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3"/>
        <v>56.580000000000005</v>
      </c>
      <c r="V4421" s="2">
        <f t="shared" si="784"/>
        <v>302.58</v>
      </c>
      <c r="W4421" s="2">
        <f>T4421*40%</f>
        <v>98.4</v>
      </c>
      <c r="X4421" s="5">
        <f t="shared" si="778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80"/>
        <v>147.6</v>
      </c>
      <c r="AL4421" s="5">
        <f t="shared" si="779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3"/>
        <v>18.975000000000001</v>
      </c>
      <c r="V4422" s="2">
        <f t="shared" si="784"/>
        <v>101.47499999999999</v>
      </c>
      <c r="W4422" s="2">
        <f>T4422*50%</f>
        <v>41.25</v>
      </c>
      <c r="X4422" s="5">
        <f t="shared" ref="X4422:X4453" si="785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80"/>
        <v>41.25</v>
      </c>
      <c r="AL4422" s="5">
        <f t="shared" ref="AL4422:AL4453" si="786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3"/>
        <v>52.900000000000006</v>
      </c>
      <c r="V4423" s="2">
        <f t="shared" si="784"/>
        <v>282.89999999999998</v>
      </c>
      <c r="W4423" s="2">
        <v>125.51600000000001</v>
      </c>
      <c r="X4423" s="5">
        <f t="shared" si="785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80"/>
        <v>104.48399999999999</v>
      </c>
      <c r="AL4423" s="5">
        <f t="shared" si="786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3"/>
        <v>0.34040000000000004</v>
      </c>
      <c r="V4424" s="2">
        <f t="shared" si="784"/>
        <v>1.8204</v>
      </c>
      <c r="W4424" s="2">
        <v>1.48</v>
      </c>
      <c r="X4424" s="5">
        <f t="shared" si="785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80"/>
        <v>0</v>
      </c>
      <c r="AL4424" s="5">
        <f t="shared" si="786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3"/>
        <v>4.83</v>
      </c>
      <c r="V4425" s="2">
        <f t="shared" si="784"/>
        <v>25.83</v>
      </c>
      <c r="W4425" s="2">
        <f>9.3*S4425</f>
        <v>9.3000000000000007</v>
      </c>
      <c r="X4425" s="5">
        <f t="shared" si="785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80"/>
        <v>11.7</v>
      </c>
      <c r="AL4425" s="5">
        <f t="shared" si="786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3"/>
        <v>8.2800000000000011</v>
      </c>
      <c r="V4426" s="2">
        <f t="shared" si="784"/>
        <v>44.28</v>
      </c>
      <c r="W4426" s="2">
        <f>10.6*S4426</f>
        <v>21.2</v>
      </c>
      <c r="X4426" s="5">
        <f t="shared" si="785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80"/>
        <v>14.8</v>
      </c>
      <c r="AL4426" s="5">
        <f t="shared" si="786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3"/>
        <v>3.22</v>
      </c>
      <c r="V4427" s="2">
        <f t="shared" si="784"/>
        <v>17.22</v>
      </c>
      <c r="W4427" s="2">
        <f>0.0914*S4427</f>
        <v>9.1399999999999988</v>
      </c>
      <c r="X4427" s="5">
        <f t="shared" si="785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80"/>
        <v>4.8600000000000012</v>
      </c>
      <c r="AL4427" s="5">
        <f t="shared" si="786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3"/>
        <v>36.282499999999999</v>
      </c>
      <c r="V4428" s="2">
        <f t="shared" si="784"/>
        <v>194.0325</v>
      </c>
      <c r="W4428" s="2">
        <f>6.26*S4428</f>
        <v>75.12</v>
      </c>
      <c r="X4428" s="5">
        <f t="shared" si="785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80"/>
        <v>82.63</v>
      </c>
      <c r="AL4428" s="5">
        <f t="shared" si="786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3"/>
        <v>131.35760000000002</v>
      </c>
      <c r="V4429" s="2">
        <f t="shared" si="784"/>
        <v>702.47760000000005</v>
      </c>
      <c r="W4429" s="2">
        <f>135.98+1.76*S4429</f>
        <v>139.5</v>
      </c>
      <c r="X4429" s="5">
        <f t="shared" si="785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80"/>
        <v>431.62</v>
      </c>
      <c r="AL4429" s="5">
        <f t="shared" si="786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3"/>
        <v>27.047999999999998</v>
      </c>
      <c r="V4430" s="2">
        <f t="shared" si="784"/>
        <v>144.648</v>
      </c>
      <c r="W4430" s="2">
        <f>3.5+5*S4430</f>
        <v>83.5</v>
      </c>
      <c r="X4430" s="5">
        <f t="shared" si="785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80"/>
        <v>34.099999999999994</v>
      </c>
      <c r="AL4430" s="5">
        <f t="shared" si="786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3"/>
        <v>11.040000000000001</v>
      </c>
      <c r="V4431" s="2">
        <f t="shared" si="784"/>
        <v>59.04</v>
      </c>
      <c r="W4431" s="2">
        <f>10.6*S4431</f>
        <v>31.799999999999997</v>
      </c>
      <c r="X4431" s="5">
        <f t="shared" si="785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80"/>
        <v>16.200000000000003</v>
      </c>
      <c r="AL4431" s="5">
        <f t="shared" si="786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3"/>
        <v>16.100000000000001</v>
      </c>
      <c r="V4432" s="2">
        <f t="shared" si="784"/>
        <v>86.1</v>
      </c>
      <c r="W4432" s="2">
        <f>0.082*S4432</f>
        <v>57.400000000000006</v>
      </c>
      <c r="X4432" s="5">
        <f t="shared" si="785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80"/>
        <v>12.599999999999994</v>
      </c>
      <c r="AL4432" s="5">
        <f t="shared" si="786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3"/>
        <v>3.2866999999999997</v>
      </c>
      <c r="V4433" s="2">
        <f t="shared" si="784"/>
        <v>17.576699999999999</v>
      </c>
      <c r="W4433" s="2">
        <f>5.33*S4433</f>
        <v>5.33</v>
      </c>
      <c r="X4433" s="5">
        <f t="shared" si="785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80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3"/>
        <v>96.367699999999999</v>
      </c>
      <c r="V4434" s="2">
        <f t="shared" si="784"/>
        <v>515.35770000000002</v>
      </c>
      <c r="W4434" s="2">
        <v>237.8466</v>
      </c>
      <c r="X4434" s="5">
        <f t="shared" si="785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80"/>
        <v>181.14340000000001</v>
      </c>
      <c r="AL4434" s="5">
        <f t="shared" si="786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3"/>
        <v>22.77</v>
      </c>
      <c r="V4435" s="2">
        <f t="shared" si="784"/>
        <v>121.77</v>
      </c>
      <c r="W4435" s="2">
        <f>T4435*40%</f>
        <v>39.6</v>
      </c>
      <c r="X4435" s="5">
        <f t="shared" si="785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80"/>
        <v>59.4</v>
      </c>
      <c r="AL4435" s="5">
        <f t="shared" si="786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3"/>
        <v>11.385</v>
      </c>
      <c r="V4436" s="2">
        <f t="shared" si="784"/>
        <v>60.884999999999998</v>
      </c>
      <c r="W4436" s="2">
        <f>T4436*50%</f>
        <v>24.75</v>
      </c>
      <c r="X4436" s="5">
        <f t="shared" si="785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80"/>
        <v>24.75</v>
      </c>
      <c r="AL4436" s="5">
        <f t="shared" si="786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3"/>
        <v>260.01499999999999</v>
      </c>
      <c r="V4437" s="2">
        <f t="shared" si="784"/>
        <v>1390.5149999999999</v>
      </c>
      <c r="W4437" s="2">
        <v>773.5</v>
      </c>
      <c r="X4437" s="5">
        <f t="shared" si="785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80"/>
        <v>357</v>
      </c>
      <c r="AL4437" s="5">
        <f t="shared" si="786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3"/>
        <v>13.8</v>
      </c>
      <c r="V4438" s="2">
        <f t="shared" si="784"/>
        <v>73.8</v>
      </c>
      <c r="W4438" s="2">
        <f>T4438*40%</f>
        <v>24</v>
      </c>
      <c r="X4438" s="5">
        <f t="shared" si="785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80"/>
        <v>36</v>
      </c>
      <c r="AL4438" s="5">
        <f t="shared" si="786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3"/>
        <v>25.3</v>
      </c>
      <c r="V4439" s="2">
        <f t="shared" si="784"/>
        <v>135.30000000000001</v>
      </c>
      <c r="W4439" s="2">
        <f>T4439*50%</f>
        <v>55</v>
      </c>
      <c r="X4439" s="5">
        <f t="shared" si="785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80"/>
        <v>55</v>
      </c>
      <c r="AL4439" s="5">
        <f t="shared" si="786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3"/>
        <v>52.900000000000006</v>
      </c>
      <c r="V4440" s="2">
        <f t="shared" si="784"/>
        <v>282.89999999999998</v>
      </c>
      <c r="W4440" s="2">
        <v>134.57</v>
      </c>
      <c r="X4440" s="5">
        <f t="shared" si="785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80"/>
        <v>95.43</v>
      </c>
      <c r="AL4440" s="5">
        <f t="shared" si="786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3"/>
        <v>0.34040000000000004</v>
      </c>
      <c r="V4441" s="2">
        <f t="shared" si="784"/>
        <v>1.8204</v>
      </c>
      <c r="W4441" s="2">
        <v>1.48</v>
      </c>
      <c r="X4441" s="5">
        <f t="shared" si="785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80"/>
        <v>0</v>
      </c>
      <c r="AL4441" s="5">
        <f t="shared" si="786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3"/>
        <v>52.900000000000006</v>
      </c>
      <c r="V4442" s="2">
        <f t="shared" si="784"/>
        <v>282.89999999999998</v>
      </c>
      <c r="W4442" s="2">
        <v>133.4614</v>
      </c>
      <c r="X4442" s="5">
        <f t="shared" si="785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80"/>
        <v>96.538600000000002</v>
      </c>
      <c r="AL4442" s="5">
        <f t="shared" si="786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3"/>
        <v>0.34040000000000004</v>
      </c>
      <c r="V4443" s="2">
        <f t="shared" si="784"/>
        <v>1.8204</v>
      </c>
      <c r="W4443" s="2">
        <v>1.48</v>
      </c>
      <c r="X4443" s="5">
        <f t="shared" si="785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80"/>
        <v>0</v>
      </c>
      <c r="AL4443" s="5">
        <f t="shared" si="786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3"/>
        <v>51.313000000000002</v>
      </c>
      <c r="V4444" s="2">
        <f t="shared" si="784"/>
        <v>274.41300000000001</v>
      </c>
      <c r="W4444" s="2">
        <v>141.16</v>
      </c>
      <c r="X4444" s="5">
        <f t="shared" si="785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80"/>
        <v>81.94</v>
      </c>
      <c r="AL4444" s="5">
        <f t="shared" si="786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3"/>
        <v>0.34040000000000004</v>
      </c>
      <c r="V4445" s="2">
        <f t="shared" si="784"/>
        <v>1.8204</v>
      </c>
      <c r="W4445" s="2">
        <v>1.48</v>
      </c>
      <c r="X4445" s="5">
        <f t="shared" si="785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80"/>
        <v>0</v>
      </c>
      <c r="AL4445" s="5">
        <f t="shared" si="786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3"/>
        <v>4.83</v>
      </c>
      <c r="V4446" s="2">
        <f t="shared" si="784"/>
        <v>25.83</v>
      </c>
      <c r="W4446" s="2">
        <f>14.4*S4446</f>
        <v>14.4</v>
      </c>
      <c r="X4446" s="5">
        <f t="shared" si="785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80"/>
        <v>6.6</v>
      </c>
      <c r="AL4446" s="5">
        <f t="shared" si="786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7">T4447*23%</f>
        <v>8.2800000000000011</v>
      </c>
      <c r="V4447" s="2">
        <f t="shared" ref="V4447:V4478" si="788">T4447+U4447</f>
        <v>44.28</v>
      </c>
      <c r="W4447" s="2">
        <f>10.6*S4447</f>
        <v>21.2</v>
      </c>
      <c r="X4447" s="5">
        <f t="shared" si="785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80"/>
        <v>14.8</v>
      </c>
      <c r="AL4447" s="5">
        <f t="shared" si="786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7"/>
        <v>1.84</v>
      </c>
      <c r="V4448" s="2">
        <f t="shared" si="788"/>
        <v>9.84</v>
      </c>
      <c r="W4448" s="2">
        <v>6</v>
      </c>
      <c r="X4448" s="5">
        <f t="shared" si="785"/>
        <v>0.25</v>
      </c>
      <c r="Z4448" s="2" t="s">
        <v>169</v>
      </c>
      <c r="AA4448" s="2" t="s">
        <v>169</v>
      </c>
      <c r="AK4448" s="2">
        <f t="shared" si="780"/>
        <v>2</v>
      </c>
      <c r="AL4448" s="5">
        <f t="shared" si="786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7"/>
        <v>92</v>
      </c>
      <c r="V4449" s="2">
        <f t="shared" si="788"/>
        <v>492</v>
      </c>
      <c r="W4449" s="2">
        <f>14.5099*S4449</f>
        <v>290.19799999999998</v>
      </c>
      <c r="X4449" s="5">
        <f t="shared" si="785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80"/>
        <v>109.80200000000002</v>
      </c>
      <c r="AL4449" s="5">
        <f t="shared" si="786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7"/>
        <v>11.96</v>
      </c>
      <c r="V4450" s="2">
        <f t="shared" si="788"/>
        <v>63.96</v>
      </c>
      <c r="W4450" s="2">
        <f>6.6267*S4450</f>
        <v>26.506799999999998</v>
      </c>
      <c r="X4450" s="5">
        <f t="shared" si="785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80"/>
        <v>25.493200000000002</v>
      </c>
      <c r="AL4450" s="5">
        <f t="shared" si="786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7"/>
        <v>4.83</v>
      </c>
      <c r="V4451" s="2">
        <f t="shared" si="788"/>
        <v>25.83</v>
      </c>
      <c r="W4451" s="2">
        <f>14.4*S4451</f>
        <v>14.4</v>
      </c>
      <c r="X4451" s="5">
        <f t="shared" si="785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80"/>
        <v>6.6</v>
      </c>
      <c r="AL4451" s="5">
        <f t="shared" si="786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7"/>
        <v>66.010000000000005</v>
      </c>
      <c r="V4452" s="2">
        <f t="shared" si="788"/>
        <v>353.01</v>
      </c>
      <c r="W4452" s="2">
        <v>157.85</v>
      </c>
      <c r="X4452" s="5">
        <f t="shared" si="785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80"/>
        <v>129.15</v>
      </c>
      <c r="AL4452" s="5">
        <f t="shared" si="786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7"/>
        <v>0.34040000000000004</v>
      </c>
      <c r="V4453" s="2">
        <f t="shared" si="788"/>
        <v>1.8204</v>
      </c>
      <c r="W4453" s="2">
        <v>1.48</v>
      </c>
      <c r="X4453" s="5">
        <f t="shared" si="785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80"/>
        <v>0</v>
      </c>
      <c r="AL4453" s="5">
        <f t="shared" si="786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7"/>
        <v>89.7</v>
      </c>
      <c r="V4454" s="2">
        <f t="shared" si="788"/>
        <v>479.7</v>
      </c>
      <c r="W4454" s="2">
        <v>217</v>
      </c>
      <c r="X4454" s="5">
        <f t="shared" ref="X4454:X4470" si="789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80"/>
        <v>173</v>
      </c>
      <c r="AL4454" s="5">
        <f t="shared" ref="AL4454:AL4470" si="790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7"/>
        <v>3.45</v>
      </c>
      <c r="V4455" s="2">
        <f t="shared" si="788"/>
        <v>18.45</v>
      </c>
      <c r="W4455" s="2">
        <v>28</v>
      </c>
      <c r="X4455" s="5">
        <f t="shared" si="789"/>
        <v>-0.8666666666666667</v>
      </c>
      <c r="Z4455" s="2" t="s">
        <v>169</v>
      </c>
      <c r="AA4455" s="2" t="s">
        <v>169</v>
      </c>
      <c r="AK4455" s="2">
        <f t="shared" si="780"/>
        <v>-13</v>
      </c>
      <c r="AL4455" s="5">
        <f t="shared" si="790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7"/>
        <v>0.34040000000000004</v>
      </c>
      <c r="V4456" s="2">
        <f t="shared" si="788"/>
        <v>1.8204</v>
      </c>
      <c r="W4456" s="2">
        <v>1.48</v>
      </c>
      <c r="X4456" s="5">
        <f t="shared" si="789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80"/>
        <v>0</v>
      </c>
      <c r="AL4456" s="5">
        <f t="shared" si="790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7"/>
        <v>130.893</v>
      </c>
      <c r="V4457" s="2">
        <f t="shared" si="788"/>
        <v>699.99300000000005</v>
      </c>
      <c r="W4457" s="2">
        <f>86.81*S4457</f>
        <v>347.24</v>
      </c>
      <c r="X4457" s="5">
        <f t="shared" si="789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80"/>
        <v>221.86</v>
      </c>
      <c r="AL4457" s="5">
        <f t="shared" si="790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7"/>
        <v>111.55000000000001</v>
      </c>
      <c r="V4458" s="2">
        <f t="shared" si="788"/>
        <v>596.54999999999995</v>
      </c>
      <c r="W4458" s="2">
        <f>150.9766*S4458</f>
        <v>301.95319999999998</v>
      </c>
      <c r="X4458" s="5">
        <f t="shared" si="789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80"/>
        <v>183.04680000000002</v>
      </c>
      <c r="AL4458" s="5">
        <f t="shared" si="790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7"/>
        <v>53.544000000000004</v>
      </c>
      <c r="V4459" s="2">
        <f t="shared" si="788"/>
        <v>286.34399999999999</v>
      </c>
      <c r="W4459" s="2">
        <v>128.99</v>
      </c>
      <c r="X4459" s="5">
        <f t="shared" si="789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80"/>
        <v>103.81</v>
      </c>
      <c r="AL4459" s="5">
        <f t="shared" si="790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7"/>
        <v>1.0212000000000001</v>
      </c>
      <c r="V4460" s="2">
        <f t="shared" si="788"/>
        <v>5.4612000000000007</v>
      </c>
      <c r="W4460" s="2">
        <f>1.48*S4460</f>
        <v>4.4399999999999995</v>
      </c>
      <c r="X4460" s="5">
        <f t="shared" si="789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80"/>
        <v>0</v>
      </c>
      <c r="AL4460" s="5">
        <f t="shared" si="790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7"/>
        <v>11.96</v>
      </c>
      <c r="V4461" s="2">
        <f t="shared" si="788"/>
        <v>63.96</v>
      </c>
      <c r="W4461" s="2">
        <f>6.6267*S4461</f>
        <v>26.506799999999998</v>
      </c>
      <c r="X4461" s="5">
        <f t="shared" si="789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80"/>
        <v>25.493200000000002</v>
      </c>
      <c r="AL4461" s="5">
        <f t="shared" si="790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7"/>
        <v>4.1400000000000006</v>
      </c>
      <c r="V4462" s="12">
        <f t="shared" si="788"/>
        <v>22.14</v>
      </c>
      <c r="W4462" s="2">
        <f>10.6*S4462</f>
        <v>10.6</v>
      </c>
      <c r="X4462" s="5">
        <f t="shared" si="789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80"/>
        <v>7.4</v>
      </c>
      <c r="AL4462" s="5">
        <f t="shared" si="790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7"/>
        <v>3.22</v>
      </c>
      <c r="V4463" s="12">
        <f t="shared" si="788"/>
        <v>17.22</v>
      </c>
      <c r="W4463" s="2">
        <f>0.0914*S4463</f>
        <v>9.1399999999999988</v>
      </c>
      <c r="X4463" s="5">
        <f t="shared" si="789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80"/>
        <v>4.8600000000000012</v>
      </c>
      <c r="AL4463" s="5">
        <f t="shared" si="790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7"/>
        <v>33.35</v>
      </c>
      <c r="V4464" s="12">
        <f t="shared" si="788"/>
        <v>178.35</v>
      </c>
      <c r="W4464" s="2">
        <f>14.5099*S4464</f>
        <v>72.549499999999995</v>
      </c>
      <c r="X4464" s="5">
        <f t="shared" si="789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80"/>
        <v>72.450500000000005</v>
      </c>
      <c r="AL4464" s="5">
        <f t="shared" si="790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7"/>
        <v>5.6097000000000001</v>
      </c>
      <c r="V4465" s="12">
        <f t="shared" si="788"/>
        <v>29.999700000000001</v>
      </c>
      <c r="W4465" s="2">
        <f>11.2466</f>
        <v>11.246600000000001</v>
      </c>
      <c r="X4465" s="5">
        <f t="shared" si="789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80"/>
        <v>13.1434</v>
      </c>
      <c r="AL4465" s="5">
        <f t="shared" si="790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7"/>
        <v>1.84</v>
      </c>
      <c r="V4466" s="12">
        <f t="shared" si="788"/>
        <v>9.84</v>
      </c>
      <c r="W4466" s="2">
        <v>6</v>
      </c>
      <c r="X4466" s="5">
        <f t="shared" si="789"/>
        <v>0.25</v>
      </c>
      <c r="Z4466" s="2" t="s">
        <v>169</v>
      </c>
      <c r="AA4466" s="2" t="s">
        <v>169</v>
      </c>
      <c r="AK4466" s="2">
        <f t="shared" si="780"/>
        <v>2</v>
      </c>
      <c r="AL4466" s="5">
        <f t="shared" si="790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7"/>
        <v>56.695</v>
      </c>
      <c r="V4467" s="12">
        <f t="shared" si="788"/>
        <v>303.19499999999999</v>
      </c>
      <c r="W4467" s="2">
        <v>133.4614</v>
      </c>
      <c r="X4467" s="5">
        <f t="shared" si="789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80"/>
        <v>113.0386</v>
      </c>
      <c r="AL4467" s="5">
        <f t="shared" si="790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7"/>
        <v>0.34040000000000004</v>
      </c>
      <c r="V4468" s="12">
        <f t="shared" si="788"/>
        <v>1.8204</v>
      </c>
      <c r="W4468" s="2">
        <v>1.48</v>
      </c>
      <c r="X4468" s="5">
        <f t="shared" si="789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1">T4468-W4468</f>
        <v>0</v>
      </c>
      <c r="AL4468" s="5">
        <f t="shared" si="790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7"/>
        <v>8.2800000000000011</v>
      </c>
      <c r="V4469" s="12">
        <f t="shared" si="788"/>
        <v>44.28</v>
      </c>
      <c r="W4469" s="2">
        <f>0.8561*S4469</f>
        <v>17.122</v>
      </c>
      <c r="X4469" s="5">
        <f t="shared" si="789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1"/>
        <v>18.878</v>
      </c>
      <c r="AL4469" s="5">
        <f t="shared" si="790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7"/>
        <v>136.85</v>
      </c>
      <c r="V4470" s="12">
        <f t="shared" si="788"/>
        <v>731.85</v>
      </c>
      <c r="W4470" s="2">
        <v>297</v>
      </c>
      <c r="X4470" s="5">
        <f t="shared" si="789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1"/>
        <v>298</v>
      </c>
      <c r="AL4470" s="5">
        <f t="shared" si="790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7"/>
        <v>0</v>
      </c>
      <c r="V4471" s="12">
        <f t="shared" si="788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1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7"/>
        <v>52.900000000000006</v>
      </c>
      <c r="V4472" s="12">
        <f t="shared" si="788"/>
        <v>282.89999999999998</v>
      </c>
      <c r="W4472" s="2">
        <v>122.446</v>
      </c>
      <c r="X4472" s="5">
        <f t="shared" ref="X4472:X4482" si="792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1"/>
        <v>107.554</v>
      </c>
      <c r="AL4472" s="5">
        <f t="shared" ref="AL4472:AL4482" si="793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7"/>
        <v>0.34040000000000004</v>
      </c>
      <c r="V4473" s="12">
        <f t="shared" si="788"/>
        <v>1.8204</v>
      </c>
      <c r="W4473" s="2">
        <v>1.48</v>
      </c>
      <c r="X4473" s="5">
        <f t="shared" si="792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1"/>
        <v>0</v>
      </c>
      <c r="AL4473" s="5">
        <f t="shared" si="793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7"/>
        <v>3447.7000000000003</v>
      </c>
      <c r="V4474" s="12">
        <f t="shared" si="788"/>
        <v>18437.7</v>
      </c>
      <c r="W4474" s="2">
        <f>10699.41+285.74</f>
        <v>10985.15</v>
      </c>
      <c r="X4474" s="5">
        <f t="shared" si="792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1"/>
        <v>4004.8500000000004</v>
      </c>
      <c r="AL4474" s="5">
        <f t="shared" si="793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7"/>
        <v>345</v>
      </c>
      <c r="V4475" s="12">
        <f t="shared" si="788"/>
        <v>1845</v>
      </c>
      <c r="W4475" s="2">
        <f>T4475*75%</f>
        <v>1125</v>
      </c>
      <c r="X4475" s="5">
        <f t="shared" si="792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1"/>
        <v>375</v>
      </c>
      <c r="AL4475" s="5">
        <f t="shared" si="793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7"/>
        <v>4.1400000000000006</v>
      </c>
      <c r="V4476" s="2">
        <f t="shared" si="788"/>
        <v>22.14</v>
      </c>
      <c r="W4476" s="2">
        <f>6.6267*S4476</f>
        <v>13.253399999999999</v>
      </c>
      <c r="X4476" s="5">
        <f t="shared" si="792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1"/>
        <v>4.7466000000000008</v>
      </c>
      <c r="AL4476" s="5">
        <f t="shared" si="793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7"/>
        <v>8.7975000000000012</v>
      </c>
      <c r="V4477" s="2">
        <f t="shared" si="788"/>
        <v>47.047499999999999</v>
      </c>
      <c r="W4477" s="2">
        <f>10.6*S4477</f>
        <v>31.799999999999997</v>
      </c>
      <c r="X4477" s="5">
        <f t="shared" si="792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1"/>
        <v>6.4500000000000028</v>
      </c>
      <c r="AL4477" s="5">
        <f t="shared" si="793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7"/>
        <v>1.3800000000000001</v>
      </c>
      <c r="V4478" s="2">
        <f t="shared" si="788"/>
        <v>7.38</v>
      </c>
      <c r="W4478" s="2">
        <v>2.5051000000000001</v>
      </c>
      <c r="X4478" s="5">
        <f t="shared" si="792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1"/>
        <v>3.4948999999999999</v>
      </c>
      <c r="AL4478" s="5">
        <f t="shared" si="793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4">T4479*23%</f>
        <v>3450</v>
      </c>
      <c r="V4479" s="2">
        <f t="shared" ref="V4479:V4482" si="795">T4479+U4479</f>
        <v>18450</v>
      </c>
      <c r="W4479" s="2">
        <v>10985.15</v>
      </c>
      <c r="X4479" s="5">
        <f t="shared" si="792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1"/>
        <v>4014.8500000000004</v>
      </c>
      <c r="AL4479" s="5">
        <f t="shared" si="793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4"/>
        <v>1.3800000000000001</v>
      </c>
      <c r="V4480" s="2">
        <f t="shared" si="795"/>
        <v>7.38</v>
      </c>
      <c r="W4480" s="2">
        <v>2.94</v>
      </c>
      <c r="X4480" s="5">
        <f t="shared" si="792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1"/>
        <v>3.06</v>
      </c>
      <c r="AL4480" s="5">
        <f t="shared" si="793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4"/>
        <v>1.6560000000000001</v>
      </c>
      <c r="V4481" s="2">
        <f t="shared" si="795"/>
        <v>8.8559999999999999</v>
      </c>
      <c r="W4481" s="2">
        <v>2.5051000000000001</v>
      </c>
      <c r="X4481" s="5">
        <f t="shared" si="792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1"/>
        <v>4.6949000000000005</v>
      </c>
      <c r="AL4481" s="5">
        <f t="shared" si="793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4"/>
        <v>14.628</v>
      </c>
      <c r="V4482" s="2">
        <f t="shared" si="795"/>
        <v>78.228000000000009</v>
      </c>
      <c r="W4482" s="2">
        <v>35.78</v>
      </c>
      <c r="X4482" s="5">
        <f t="shared" si="792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1"/>
        <v>27.82</v>
      </c>
      <c r="AL4482" s="5">
        <f t="shared" si="793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6">T4483*23%</f>
        <v>2.7600000000000002</v>
      </c>
      <c r="V4483" s="2">
        <f t="shared" ref="V4483:V4485" si="797">T4483+U4483</f>
        <v>14.76</v>
      </c>
      <c r="W4483" s="2">
        <v>6.86</v>
      </c>
      <c r="X4483" s="5">
        <f t="shared" ref="X4483:X4546" si="798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9">T4483-W4483</f>
        <v>5.14</v>
      </c>
      <c r="AL4483" s="5">
        <f t="shared" ref="AL4483" si="800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7"/>
        <v>12.3</v>
      </c>
      <c r="W4484" s="2">
        <v>8</v>
      </c>
      <c r="X4484" s="5">
        <f t="shared" si="798"/>
        <v>0.2</v>
      </c>
      <c r="Z4484" s="2" t="s">
        <v>169</v>
      </c>
      <c r="AA4484" s="2" t="s">
        <v>169</v>
      </c>
      <c r="AK4484" s="2">
        <f t="shared" ref="AK4484:AK4485" si="801">T4484-W4484</f>
        <v>2</v>
      </c>
      <c r="AL4484" s="5">
        <f t="shared" ref="AL4484:AL4485" si="802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7"/>
        <v>163.59</v>
      </c>
      <c r="X4485" s="5">
        <f t="shared" si="798"/>
        <v>1</v>
      </c>
      <c r="Z4485" s="2" t="s">
        <v>117</v>
      </c>
      <c r="AA4485" s="2" t="s">
        <v>1310</v>
      </c>
      <c r="AK4485" s="2">
        <f t="shared" si="801"/>
        <v>133</v>
      </c>
      <c r="AL4485" s="5">
        <f t="shared" si="802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3">T4486*23%</f>
        <v>5.98</v>
      </c>
      <c r="V4486" s="2">
        <f t="shared" ref="V4486:V4492" si="804">T4486+U4486</f>
        <v>31.98</v>
      </c>
      <c r="W4486" s="2">
        <f>6.6267*S4486</f>
        <v>13.253399999999999</v>
      </c>
      <c r="X4486" s="5">
        <f t="shared" si="798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5">T4486-W4486</f>
        <v>12.746600000000001</v>
      </c>
      <c r="AL4486" s="5">
        <f t="shared" ref="AL4486:AL4515" si="806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3"/>
        <v>572.70000000000005</v>
      </c>
      <c r="V4487" s="2">
        <f t="shared" si="804"/>
        <v>3062.7</v>
      </c>
      <c r="W4487" s="2">
        <f>1907.5+49</f>
        <v>1956.5</v>
      </c>
      <c r="X4487" s="5">
        <f t="shared" si="798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5"/>
        <v>533.5</v>
      </c>
      <c r="AL4487" s="5">
        <f t="shared" si="806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3"/>
        <v>0</v>
      </c>
      <c r="V4488" s="2">
        <f t="shared" si="804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5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3"/>
        <v>157.07390000000001</v>
      </c>
      <c r="V4489" s="2">
        <f t="shared" si="804"/>
        <v>840.00389999999993</v>
      </c>
      <c r="W4489" s="2">
        <f>119.81*S4489</f>
        <v>479.24</v>
      </c>
      <c r="X4489" s="5">
        <f t="shared" si="798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5"/>
        <v>203.68999999999994</v>
      </c>
      <c r="AL4489" s="5">
        <f t="shared" si="806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3"/>
        <v>6.9</v>
      </c>
      <c r="V4490" s="2">
        <f t="shared" si="804"/>
        <v>36.9</v>
      </c>
      <c r="W4490" s="2">
        <v>43</v>
      </c>
      <c r="X4490" s="18">
        <f t="shared" si="798"/>
        <v>-0.43333333333333335</v>
      </c>
      <c r="Z4490" s="2" t="s">
        <v>169</v>
      </c>
      <c r="AA4490" s="2" t="s">
        <v>169</v>
      </c>
      <c r="AK4490" s="2">
        <f t="shared" si="805"/>
        <v>-13</v>
      </c>
      <c r="AL4490" s="18">
        <f t="shared" si="806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3"/>
        <v>33.81</v>
      </c>
      <c r="V4491" s="2">
        <f t="shared" si="804"/>
        <v>180.81</v>
      </c>
      <c r="W4491" s="2">
        <f>T4491*40%</f>
        <v>58.800000000000004</v>
      </c>
      <c r="X4491" s="5">
        <f t="shared" si="798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5"/>
        <v>88.199999999999989</v>
      </c>
      <c r="AL4491" s="5">
        <f t="shared" si="806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3"/>
        <v>50.6</v>
      </c>
      <c r="V4492" s="2">
        <f t="shared" si="804"/>
        <v>270.60000000000002</v>
      </c>
      <c r="W4492" s="2">
        <f>T4492*50%</f>
        <v>110</v>
      </c>
      <c r="X4492" s="5">
        <f t="shared" si="798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5"/>
        <v>110</v>
      </c>
      <c r="AL4492" s="5">
        <f t="shared" si="806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3"/>
        <v>68.424999999999997</v>
      </c>
      <c r="V4493" s="2">
        <f t="shared" ref="V4493:V4496" si="807">T4493+U4493</f>
        <v>365.92500000000001</v>
      </c>
      <c r="W4493" s="2">
        <f>T4493*70%</f>
        <v>208.25</v>
      </c>
      <c r="X4493" s="5">
        <f t="shared" si="798"/>
        <v>0.3</v>
      </c>
      <c r="Y4493" s="2" t="s">
        <v>3491</v>
      </c>
      <c r="Z4493" s="2" t="s">
        <v>117</v>
      </c>
      <c r="AA4493" s="2" t="s">
        <v>1310</v>
      </c>
      <c r="AK4493" s="2">
        <f t="shared" si="805"/>
        <v>89.25</v>
      </c>
      <c r="AL4493" s="5">
        <f t="shared" si="806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3"/>
        <v>46</v>
      </c>
      <c r="V4494" s="2">
        <f t="shared" si="807"/>
        <v>246</v>
      </c>
      <c r="W4494" s="2">
        <f t="shared" ref="W4494:W4497" si="808">14.5099*S4494</f>
        <v>145.09899999999999</v>
      </c>
      <c r="X4494" s="5">
        <f t="shared" si="798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5"/>
        <v>54.90100000000001</v>
      </c>
      <c r="AL4494" s="5">
        <f t="shared" si="806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3"/>
        <v>46</v>
      </c>
      <c r="V4495" s="2">
        <f t="shared" si="807"/>
        <v>246</v>
      </c>
      <c r="W4495" s="2">
        <f t="shared" si="808"/>
        <v>145.09899999999999</v>
      </c>
      <c r="X4495" s="5">
        <f t="shared" si="79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5"/>
        <v>54.90100000000001</v>
      </c>
      <c r="AL4495" s="5">
        <f t="shared" si="806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3"/>
        <v>46</v>
      </c>
      <c r="V4496" s="2">
        <f t="shared" si="807"/>
        <v>246</v>
      </c>
      <c r="W4496" s="2">
        <f t="shared" si="808"/>
        <v>145.09899999999999</v>
      </c>
      <c r="X4496" s="5">
        <f t="shared" si="79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5"/>
        <v>54.90100000000001</v>
      </c>
      <c r="AL4496" s="5">
        <f t="shared" si="806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3"/>
        <v>46</v>
      </c>
      <c r="V4497" s="2">
        <f t="shared" ref="V4497:V4504" si="809">T4497+U4497</f>
        <v>246</v>
      </c>
      <c r="W4497" s="2">
        <f t="shared" si="808"/>
        <v>145.09899999999999</v>
      </c>
      <c r="X4497" s="5">
        <f t="shared" si="79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5"/>
        <v>54.90100000000001</v>
      </c>
      <c r="AL4497" s="5">
        <f t="shared" si="806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3"/>
        <v>147.7244</v>
      </c>
      <c r="V4498" s="2">
        <f t="shared" si="809"/>
        <v>790.00440000000003</v>
      </c>
      <c r="W4498" s="2">
        <f>112.4*S4498</f>
        <v>449.6</v>
      </c>
      <c r="X4498" s="5">
        <f t="shared" si="798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5"/>
        <v>192.67999999999995</v>
      </c>
      <c r="AL4498" s="5">
        <f t="shared" si="806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3"/>
        <v>21.39</v>
      </c>
      <c r="V4499" s="2">
        <f t="shared" si="809"/>
        <v>114.39</v>
      </c>
      <c r="W4499" s="2">
        <f>T4499*40%</f>
        <v>37.200000000000003</v>
      </c>
      <c r="X4499" s="5">
        <f t="shared" si="798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5"/>
        <v>55.8</v>
      </c>
      <c r="AL4499" s="5">
        <f t="shared" si="806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3"/>
        <v>11.385</v>
      </c>
      <c r="V4500" s="2">
        <f t="shared" si="809"/>
        <v>60.884999999999998</v>
      </c>
      <c r="W4500" s="2">
        <f>T4500*50%</f>
        <v>24.75</v>
      </c>
      <c r="X4500" s="5">
        <f t="shared" si="798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5"/>
        <v>24.75</v>
      </c>
      <c r="AL4500" s="5">
        <f t="shared" si="806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3"/>
        <v>37.616500000000002</v>
      </c>
      <c r="V4501" s="2">
        <f t="shared" si="809"/>
        <v>201.16650000000001</v>
      </c>
      <c r="W4501" s="2">
        <v>70.135000000000005</v>
      </c>
      <c r="X4501" s="5">
        <f t="shared" si="798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5"/>
        <v>93.415000000000006</v>
      </c>
      <c r="AL4501" s="5">
        <f t="shared" si="806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3"/>
        <v>606.18110000000001</v>
      </c>
      <c r="V4502" s="2">
        <f t="shared" si="809"/>
        <v>3241.7511000000004</v>
      </c>
      <c r="W4502" s="2">
        <f>543.6775</f>
        <v>543.67750000000001</v>
      </c>
      <c r="X4502" s="5">
        <f t="shared" si="798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5"/>
        <v>2091.8924999999999</v>
      </c>
      <c r="AL4502" s="5">
        <f t="shared" si="806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3"/>
        <v>80.5</v>
      </c>
      <c r="V4503" s="2">
        <f t="shared" si="809"/>
        <v>430.5</v>
      </c>
      <c r="W4503" s="2">
        <f>T4503*40%</f>
        <v>140</v>
      </c>
      <c r="X4503" s="5">
        <f t="shared" si="798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5"/>
        <v>210</v>
      </c>
      <c r="AL4503" s="5">
        <f t="shared" si="806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3"/>
        <v>50.6</v>
      </c>
      <c r="V4504" s="2">
        <f t="shared" si="809"/>
        <v>270.60000000000002</v>
      </c>
      <c r="W4504" s="2">
        <f>T4504*50%</f>
        <v>110</v>
      </c>
      <c r="X4504" s="5">
        <f t="shared" si="798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5"/>
        <v>110</v>
      </c>
      <c r="AL4504" s="5">
        <f t="shared" si="806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3"/>
        <v>82.8</v>
      </c>
      <c r="V4505" s="2">
        <f t="shared" ref="V4505:V4511" si="810">T4505+U4505</f>
        <v>442.8</v>
      </c>
      <c r="W4505" s="2">
        <f>129.99*4</f>
        <v>519.96</v>
      </c>
      <c r="X4505" s="18">
        <f t="shared" si="798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5"/>
        <v>-159.96000000000004</v>
      </c>
      <c r="AL4505" s="18">
        <f t="shared" si="806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3"/>
        <v>115</v>
      </c>
      <c r="V4506" s="2">
        <f t="shared" si="810"/>
        <v>615</v>
      </c>
      <c r="W4506" s="2">
        <v>417</v>
      </c>
      <c r="X4506" s="5">
        <f t="shared" si="798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5"/>
        <v>83</v>
      </c>
      <c r="AL4506" s="5">
        <f t="shared" si="806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3"/>
        <v>22.551500000000001</v>
      </c>
      <c r="V4507" s="2">
        <f t="shared" si="810"/>
        <v>120.6015</v>
      </c>
      <c r="W4507" s="2">
        <v>47.295000000000002</v>
      </c>
      <c r="X4507" s="5">
        <f t="shared" si="798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5"/>
        <v>50.754999999999995</v>
      </c>
      <c r="AL4507" s="5">
        <f t="shared" si="806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3"/>
        <v>81.898399999999995</v>
      </c>
      <c r="V4508" s="2">
        <f t="shared" si="810"/>
        <v>437.97839999999997</v>
      </c>
      <c r="W4508" s="2">
        <v>178.33840000000001</v>
      </c>
      <c r="X4508" s="5">
        <f t="shared" si="798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5"/>
        <v>177.74159999999998</v>
      </c>
      <c r="AL4508" s="5">
        <f t="shared" si="806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3"/>
        <v>2.6358000000000001</v>
      </c>
      <c r="V4509" s="2">
        <f t="shared" si="810"/>
        <v>14.095800000000001</v>
      </c>
      <c r="W4509" s="2">
        <v>5.4833999999999996</v>
      </c>
      <c r="X4509" s="5">
        <f t="shared" si="798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5"/>
        <v>5.9766000000000012</v>
      </c>
      <c r="AL4509" s="5">
        <f t="shared" si="806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3"/>
        <v>41.4</v>
      </c>
      <c r="V4510" s="2">
        <f t="shared" si="810"/>
        <v>221.4</v>
      </c>
      <c r="W4510" s="2">
        <f>T4510*40%</f>
        <v>72</v>
      </c>
      <c r="X4510" s="5">
        <f t="shared" si="798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5"/>
        <v>108</v>
      </c>
      <c r="AL4510" s="5">
        <f t="shared" si="806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3"/>
        <v>25.3</v>
      </c>
      <c r="V4511" s="2">
        <f t="shared" si="810"/>
        <v>135.30000000000001</v>
      </c>
      <c r="W4511" s="2">
        <f>T4511*50%</f>
        <v>55</v>
      </c>
      <c r="X4511" s="5">
        <f t="shared" si="798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5"/>
        <v>55</v>
      </c>
      <c r="AL4511" s="5">
        <f t="shared" si="806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8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5"/>
        <v>109.80200000000002</v>
      </c>
      <c r="AL4512" s="5">
        <f t="shared" si="806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5"/>
        <v>109.80200000000002</v>
      </c>
      <c r="AL4513" s="5">
        <f t="shared" si="806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8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5"/>
        <v>32.85</v>
      </c>
      <c r="AL4514" s="5">
        <f t="shared" si="806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8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5"/>
        <v>50.909099999999995</v>
      </c>
      <c r="AL4515" s="5">
        <f t="shared" si="806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1">T4516*23%</f>
        <v>184.37030000000001</v>
      </c>
      <c r="V4516" s="12">
        <f t="shared" ref="V4516:V4519" si="812">T4516+U4516</f>
        <v>985.98030000000006</v>
      </c>
      <c r="W4516" s="2">
        <v>386</v>
      </c>
      <c r="X4516" s="5">
        <f t="shared" si="798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3">T4516-W4516</f>
        <v>415.61</v>
      </c>
      <c r="AL4516" s="5">
        <f t="shared" ref="AL4516:AL4518" si="814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1"/>
        <v>8.9700000000000006</v>
      </c>
      <c r="V4517" s="12">
        <f t="shared" si="812"/>
        <v>47.97</v>
      </c>
      <c r="W4517" s="2">
        <f>0.0914*S4517</f>
        <v>27.419999999999998</v>
      </c>
      <c r="X4517" s="5">
        <f t="shared" si="798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3"/>
        <v>11.580000000000002</v>
      </c>
      <c r="AL4517" s="5">
        <f t="shared" si="814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1"/>
        <v>6.6240000000000006</v>
      </c>
      <c r="V4518" s="12">
        <f t="shared" si="812"/>
        <v>35.423999999999999</v>
      </c>
      <c r="W4518" s="2">
        <f>3.747*S4518</f>
        <v>14.988</v>
      </c>
      <c r="X4518" s="5">
        <f t="shared" si="798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3"/>
        <v>13.812000000000001</v>
      </c>
      <c r="AL4518" s="5">
        <f t="shared" si="814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2"/>
        <v>1660.5</v>
      </c>
      <c r="W4519" s="2">
        <v>773</v>
      </c>
      <c r="X4519" s="5">
        <f t="shared" si="798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5">T4519-W4519</f>
        <v>577</v>
      </c>
      <c r="AL4519" s="5">
        <f t="shared" ref="AL4519:AL4528" si="816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7">T4520*23%</f>
        <v>74.98</v>
      </c>
      <c r="V4520" s="2">
        <f t="shared" ref="V4520:V4524" si="818">T4520+U4520</f>
        <v>400.98</v>
      </c>
      <c r="W4520" s="2">
        <f>T4520*40%</f>
        <v>130.4</v>
      </c>
      <c r="X4520" s="5">
        <f t="shared" si="798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5"/>
        <v>195.6</v>
      </c>
      <c r="AL4520" s="5">
        <f t="shared" si="816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7"/>
        <v>25.3</v>
      </c>
      <c r="V4521" s="2">
        <f t="shared" si="818"/>
        <v>135.30000000000001</v>
      </c>
      <c r="W4521" s="2">
        <f>T4521*50%</f>
        <v>55</v>
      </c>
      <c r="X4521" s="5">
        <f t="shared" si="798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5"/>
        <v>55</v>
      </c>
      <c r="AL4521" s="5">
        <f t="shared" si="816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7"/>
        <v>13.8</v>
      </c>
      <c r="V4522" s="2">
        <f t="shared" si="818"/>
        <v>73.8</v>
      </c>
      <c r="W4522" s="2">
        <f>T4522*40%</f>
        <v>24</v>
      </c>
      <c r="X4522" s="5">
        <f t="shared" si="798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5"/>
        <v>36</v>
      </c>
      <c r="AL4522" s="5">
        <f t="shared" si="816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7"/>
        <v>6.3250000000000002</v>
      </c>
      <c r="V4523" s="2">
        <f t="shared" si="818"/>
        <v>33.825000000000003</v>
      </c>
      <c r="W4523" s="2">
        <f>T4523*50%</f>
        <v>13.75</v>
      </c>
      <c r="X4523" s="5">
        <f t="shared" si="798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5"/>
        <v>13.75</v>
      </c>
      <c r="AL4523" s="5">
        <f t="shared" si="816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7"/>
        <v>19.271700000000003</v>
      </c>
      <c r="V4524" s="2">
        <f t="shared" si="818"/>
        <v>103.0617</v>
      </c>
      <c r="W4524" s="2">
        <v>40.357500000000002</v>
      </c>
      <c r="X4524" s="5">
        <f t="shared" si="798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5"/>
        <v>43.432500000000005</v>
      </c>
      <c r="AL4524" s="5">
        <f t="shared" si="816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8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5"/>
        <v>15.719999999999997</v>
      </c>
      <c r="AL4525" s="5">
        <f t="shared" si="816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8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5"/>
        <v>43.432500000000005</v>
      </c>
      <c r="AL4526" s="5">
        <f t="shared" si="816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9">T4527*23%</f>
        <v>13.8</v>
      </c>
      <c r="V4527" s="12">
        <f t="shared" ref="V4527:V4528" si="820">T4527+U4527</f>
        <v>73.8</v>
      </c>
      <c r="W4527" s="2">
        <f>T4527*40%</f>
        <v>24</v>
      </c>
      <c r="X4527" s="5">
        <f t="shared" si="798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5"/>
        <v>36</v>
      </c>
      <c r="AL4527" s="5">
        <f t="shared" si="816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9"/>
        <v>25.3</v>
      </c>
      <c r="V4528" s="12">
        <f t="shared" si="820"/>
        <v>135.30000000000001</v>
      </c>
      <c r="W4528" s="2">
        <f>T4528*50%</f>
        <v>55</v>
      </c>
      <c r="X4528" s="5">
        <f t="shared" si="798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5"/>
        <v>55</v>
      </c>
      <c r="AL4528" s="5">
        <f t="shared" si="816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8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1">T4529-W4529</f>
        <v>8.7653999999999996</v>
      </c>
      <c r="AL4529" s="5">
        <f t="shared" ref="AL4529:AL4570" si="822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3">T4530*23%</f>
        <v>5.2440000000000007</v>
      </c>
      <c r="V4530" s="12">
        <f t="shared" ref="V4530:V4541" si="824">T4530+U4530</f>
        <v>28.044</v>
      </c>
      <c r="W4530" s="2">
        <f>12.2604*S4530</f>
        <v>12.260400000000001</v>
      </c>
      <c r="X4530" s="5">
        <f t="shared" si="798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1"/>
        <v>10.5396</v>
      </c>
      <c r="AL4530" s="5">
        <f t="shared" si="822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3"/>
        <v>5.5200000000000005</v>
      </c>
      <c r="V4531" s="12">
        <f t="shared" si="824"/>
        <v>29.52</v>
      </c>
      <c r="W4531" s="2">
        <f>12.71*S4531</f>
        <v>12.71</v>
      </c>
      <c r="X4531" s="5">
        <f t="shared" si="798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1"/>
        <v>11.29</v>
      </c>
      <c r="AL4531" s="5">
        <f t="shared" si="822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3"/>
        <v>16.560000000000002</v>
      </c>
      <c r="V4532" s="12">
        <f t="shared" si="824"/>
        <v>88.56</v>
      </c>
      <c r="W4532" s="2">
        <f>10.6*S4532</f>
        <v>42.4</v>
      </c>
      <c r="X4532" s="5">
        <f t="shared" si="798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1"/>
        <v>29.6</v>
      </c>
      <c r="AL4532" s="5">
        <f t="shared" si="822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3"/>
        <v>3.68</v>
      </c>
      <c r="V4533" s="12">
        <f t="shared" si="824"/>
        <v>19.68</v>
      </c>
      <c r="W4533" s="2">
        <f>0.0914*S4533</f>
        <v>9.1399999999999988</v>
      </c>
      <c r="X4533" s="5">
        <f t="shared" si="798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1"/>
        <v>6.8600000000000012</v>
      </c>
      <c r="AL4533" s="5">
        <f t="shared" si="822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3"/>
        <v>62.56</v>
      </c>
      <c r="V4534" s="12">
        <f t="shared" si="824"/>
        <v>334.56</v>
      </c>
      <c r="W4534" s="2">
        <v>153.34</v>
      </c>
      <c r="X4534" s="5">
        <f t="shared" si="798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1"/>
        <v>118.66</v>
      </c>
      <c r="AL4534" s="5">
        <f t="shared" si="822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3"/>
        <v>0.34040000000000004</v>
      </c>
      <c r="V4535" s="12">
        <f t="shared" si="824"/>
        <v>1.8204</v>
      </c>
      <c r="W4535" s="2">
        <v>1.48</v>
      </c>
      <c r="X4535" s="5">
        <f t="shared" si="798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1"/>
        <v>0</v>
      </c>
      <c r="AL4535" s="5">
        <f t="shared" si="822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3"/>
        <v>87.009</v>
      </c>
      <c r="V4536" s="12">
        <f t="shared" si="824"/>
        <v>465.30900000000003</v>
      </c>
      <c r="W4536" s="2">
        <v>220.9</v>
      </c>
      <c r="X4536" s="5">
        <f t="shared" si="798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1"/>
        <v>157.4</v>
      </c>
      <c r="AL4536" s="5">
        <f t="shared" si="822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3"/>
        <v>4.0250000000000004</v>
      </c>
      <c r="V4537" s="12">
        <f t="shared" si="824"/>
        <v>21.524999999999999</v>
      </c>
      <c r="W4537" s="2">
        <v>23</v>
      </c>
      <c r="X4537" s="18">
        <f t="shared" si="798"/>
        <v>-0.31428571428571428</v>
      </c>
      <c r="Z4537" s="2" t="s">
        <v>169</v>
      </c>
      <c r="AA4537" s="2" t="s">
        <v>169</v>
      </c>
      <c r="AK4537" s="2">
        <f t="shared" si="821"/>
        <v>-5.5</v>
      </c>
      <c r="AL4537" s="18">
        <f t="shared" si="822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3"/>
        <v>0.34040000000000004</v>
      </c>
      <c r="V4538" s="12">
        <f t="shared" si="824"/>
        <v>1.8204</v>
      </c>
      <c r="W4538" s="2">
        <v>1.48</v>
      </c>
      <c r="X4538" s="5">
        <f t="shared" si="798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1"/>
        <v>0</v>
      </c>
      <c r="AL4538" s="18">
        <f t="shared" si="822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3"/>
        <v>52.900000000000006</v>
      </c>
      <c r="V4539" s="12">
        <f t="shared" si="824"/>
        <v>282.89999999999998</v>
      </c>
      <c r="W4539" s="2">
        <v>133.4614</v>
      </c>
      <c r="X4539" s="5">
        <f t="shared" si="798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1"/>
        <v>96.538600000000002</v>
      </c>
      <c r="AL4539" s="18">
        <f t="shared" si="822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3"/>
        <v>0.34040000000000004</v>
      </c>
      <c r="V4540" s="12">
        <f t="shared" si="824"/>
        <v>1.8204</v>
      </c>
      <c r="W4540" s="2">
        <v>1.48</v>
      </c>
      <c r="X4540" s="5">
        <f t="shared" si="798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1"/>
        <v>0</v>
      </c>
      <c r="AL4540" s="18">
        <f t="shared" si="822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4"/>
        <v>282.89999999999998</v>
      </c>
      <c r="W4541" s="2">
        <f>110.628+11.82</f>
        <v>122.44800000000001</v>
      </c>
      <c r="X4541" s="5">
        <f t="shared" si="798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5">T4541-W4541</f>
        <v>107.55199999999999</v>
      </c>
      <c r="AL4541" s="18">
        <f t="shared" si="822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6">T4542+U4542</f>
        <v>1.8204</v>
      </c>
      <c r="W4542" s="2">
        <v>1.48</v>
      </c>
      <c r="X4542" s="5">
        <f t="shared" si="798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5"/>
        <v>0</v>
      </c>
      <c r="AL4542" s="18">
        <f t="shared" si="822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6"/>
        <v>187.46429999999998</v>
      </c>
      <c r="W4543" s="2">
        <f>71.381</f>
        <v>71.381</v>
      </c>
      <c r="X4543" s="5">
        <f t="shared" si="798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5"/>
        <v>81.028999999999996</v>
      </c>
      <c r="AL4543" s="18">
        <f t="shared" si="822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7">T4544*23%</f>
        <v>107.3134</v>
      </c>
      <c r="V4544" s="2">
        <f t="shared" ref="V4544:V4571" si="828">T4544+U4544</f>
        <v>573.89339999999993</v>
      </c>
      <c r="W4544" s="2">
        <v>222.18</v>
      </c>
      <c r="X4544" s="5">
        <f t="shared" si="798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9">T4544-W4544</f>
        <v>244.39999999999998</v>
      </c>
      <c r="AL4544" s="18">
        <f t="shared" si="822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7"/>
        <v>17.820400000000003</v>
      </c>
      <c r="V4545" s="2">
        <f t="shared" si="828"/>
        <v>95.30040000000001</v>
      </c>
      <c r="W4545" s="2">
        <f>30.7997</f>
        <v>30.799700000000001</v>
      </c>
      <c r="X4545" s="5">
        <f t="shared" si="798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30">T4545-W4545</f>
        <v>46.680300000000003</v>
      </c>
      <c r="AL4545" s="18">
        <f t="shared" si="822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7"/>
        <v>33.120000000000005</v>
      </c>
      <c r="V4546" s="2">
        <f t="shared" si="828"/>
        <v>177.12</v>
      </c>
      <c r="W4546" s="2">
        <f>T4546*40%</f>
        <v>57.6</v>
      </c>
      <c r="X4546" s="5">
        <f t="shared" si="798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30"/>
        <v>86.4</v>
      </c>
      <c r="AL4546" s="18">
        <f t="shared" si="822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7"/>
        <v>37.950000000000003</v>
      </c>
      <c r="V4547" s="2">
        <f t="shared" si="828"/>
        <v>202.95</v>
      </c>
      <c r="W4547" s="2">
        <f>T4547*50%</f>
        <v>82.5</v>
      </c>
      <c r="X4547" s="5">
        <f t="shared" ref="X4547:X4590" si="831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30"/>
        <v>82.5</v>
      </c>
      <c r="AL4547" s="18">
        <f t="shared" si="822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7"/>
        <v>5.0715000000000003</v>
      </c>
      <c r="V4548" s="2">
        <f t="shared" si="828"/>
        <v>27.121500000000001</v>
      </c>
      <c r="W4548" s="2">
        <f>10.38*S4548</f>
        <v>10.38</v>
      </c>
      <c r="X4548" s="5">
        <f t="shared" si="831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30"/>
        <v>11.67</v>
      </c>
      <c r="AL4548" s="18">
        <f t="shared" si="822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7"/>
        <v>18.6921</v>
      </c>
      <c r="V4549" s="2">
        <f t="shared" si="828"/>
        <v>99.962099999999992</v>
      </c>
      <c r="W4549" s="2">
        <f>T4549*70%</f>
        <v>56.888999999999996</v>
      </c>
      <c r="X4549" s="5">
        <f t="shared" si="831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30"/>
        <v>24.381</v>
      </c>
      <c r="AL4549" s="5">
        <f t="shared" si="822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7"/>
        <v>177.15520000000001</v>
      </c>
      <c r="V4550" s="2">
        <f t="shared" si="828"/>
        <v>947.39520000000005</v>
      </c>
      <c r="W4550" s="2">
        <v>257.3</v>
      </c>
      <c r="X4550" s="5">
        <f t="shared" si="831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30"/>
        <v>512.94000000000005</v>
      </c>
      <c r="AL4550" s="18">
        <f t="shared" si="822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7"/>
        <v>9.3241999999999994</v>
      </c>
      <c r="V4551" s="2">
        <f t="shared" si="828"/>
        <v>49.864199999999997</v>
      </c>
      <c r="W4551" s="2">
        <f>13.715*S4551</f>
        <v>13.715</v>
      </c>
      <c r="X4551" s="5">
        <f t="shared" si="831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30"/>
        <v>26.824999999999999</v>
      </c>
      <c r="AL4551" s="18">
        <f t="shared" si="822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7"/>
        <v>91.08</v>
      </c>
      <c r="V4552" s="2">
        <f t="shared" si="828"/>
        <v>487.08</v>
      </c>
      <c r="W4552" s="2">
        <f>T4552*40%</f>
        <v>158.4</v>
      </c>
      <c r="X4552" s="5">
        <f t="shared" si="831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30"/>
        <v>237.6</v>
      </c>
      <c r="AL4552" s="18">
        <f t="shared" si="822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7"/>
        <v>50.6</v>
      </c>
      <c r="V4553" s="2">
        <f t="shared" si="828"/>
        <v>270.60000000000002</v>
      </c>
      <c r="W4553" s="2">
        <f>T4553*50%</f>
        <v>110</v>
      </c>
      <c r="X4553" s="5">
        <f t="shared" si="831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30"/>
        <v>110</v>
      </c>
      <c r="AL4553" s="18">
        <f t="shared" si="822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7"/>
        <v>67.109399999999994</v>
      </c>
      <c r="V4554" s="2">
        <f t="shared" si="828"/>
        <v>358.88939999999997</v>
      </c>
      <c r="W4554" s="2">
        <f>T4554*70%</f>
        <v>204.24599999999998</v>
      </c>
      <c r="X4554" s="5">
        <f t="shared" si="831"/>
        <v>0.3</v>
      </c>
      <c r="Z4554" s="2" t="s">
        <v>119</v>
      </c>
      <c r="AA4554" s="2" t="s">
        <v>3378</v>
      </c>
      <c r="AK4554" s="2">
        <f t="shared" si="830"/>
        <v>87.533999999999992</v>
      </c>
      <c r="AL4554" s="5">
        <f t="shared" si="822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7"/>
        <v>57.5</v>
      </c>
      <c r="V4555" s="2">
        <f t="shared" si="828"/>
        <v>307.5</v>
      </c>
      <c r="W4555" s="2">
        <v>212.5</v>
      </c>
      <c r="X4555" s="5">
        <f t="shared" si="831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30"/>
        <v>37.5</v>
      </c>
      <c r="AL4555" s="18">
        <f t="shared" si="822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7"/>
        <v>3.2866999999999997</v>
      </c>
      <c r="V4556" s="2">
        <f t="shared" si="828"/>
        <v>17.576699999999999</v>
      </c>
      <c r="W4556" s="2">
        <f>5.33*S4556</f>
        <v>5.33</v>
      </c>
      <c r="X4556" s="5">
        <f t="shared" si="831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30"/>
        <v>8.9599999999999991</v>
      </c>
      <c r="AL4556" s="18">
        <f t="shared" si="822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7"/>
        <v>160.839</v>
      </c>
      <c r="V4557" s="2">
        <f t="shared" si="828"/>
        <v>860.1389999999999</v>
      </c>
      <c r="W4557" s="2">
        <v>345.20339999999999</v>
      </c>
      <c r="X4557" s="5">
        <f t="shared" si="831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30"/>
        <v>354.09659999999997</v>
      </c>
      <c r="AL4557" s="18">
        <f t="shared" si="822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7"/>
        <v>13.8</v>
      </c>
      <c r="V4558" s="2">
        <f t="shared" si="828"/>
        <v>73.8</v>
      </c>
      <c r="W4558" s="2">
        <f>T4558*40%</f>
        <v>24</v>
      </c>
      <c r="X4558" s="5">
        <f t="shared" si="831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30"/>
        <v>36</v>
      </c>
      <c r="AL4558" s="18">
        <f t="shared" si="822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7"/>
        <v>12.65</v>
      </c>
      <c r="V4559" s="2">
        <f t="shared" si="828"/>
        <v>67.650000000000006</v>
      </c>
      <c r="W4559" s="2">
        <f>T4559*50%</f>
        <v>27.5</v>
      </c>
      <c r="X4559" s="5">
        <f t="shared" si="831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30"/>
        <v>27.5</v>
      </c>
      <c r="AL4559" s="18">
        <f t="shared" si="822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7"/>
        <v>182.82240000000002</v>
      </c>
      <c r="V4560" s="2">
        <f t="shared" si="828"/>
        <v>977.70240000000001</v>
      </c>
      <c r="W4560" s="2">
        <f>143.9*S4560</f>
        <v>575.6</v>
      </c>
      <c r="X4560" s="5">
        <f t="shared" si="831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30"/>
        <v>219.27999999999997</v>
      </c>
      <c r="AL4560" s="18">
        <f t="shared" si="822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7"/>
        <v>45.264000000000003</v>
      </c>
      <c r="V4561" s="2">
        <f t="shared" si="828"/>
        <v>242.06400000000002</v>
      </c>
      <c r="W4561" s="2">
        <f>T4561*40%</f>
        <v>78.720000000000013</v>
      </c>
      <c r="X4561" s="5">
        <f t="shared" si="831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30"/>
        <v>118.08</v>
      </c>
      <c r="AL4561" s="18">
        <f t="shared" si="822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7"/>
        <v>9.4875000000000007</v>
      </c>
      <c r="V4562" s="2">
        <f t="shared" si="828"/>
        <v>50.737499999999997</v>
      </c>
      <c r="W4562" s="2">
        <f>T4562*50%</f>
        <v>20.625</v>
      </c>
      <c r="X4562" s="5">
        <f t="shared" si="831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30"/>
        <v>20.625</v>
      </c>
      <c r="AL4562" s="18">
        <f t="shared" si="822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7"/>
        <v>17.25</v>
      </c>
      <c r="V4563" s="2">
        <f t="shared" si="828"/>
        <v>92.25</v>
      </c>
      <c r="W4563" s="2">
        <f>T4563*40%</f>
        <v>30</v>
      </c>
      <c r="X4563" s="5">
        <f t="shared" si="831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30"/>
        <v>45</v>
      </c>
      <c r="AL4563" s="18">
        <f t="shared" si="822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7"/>
        <v>12.65</v>
      </c>
      <c r="V4564" s="2">
        <f t="shared" si="828"/>
        <v>67.650000000000006</v>
      </c>
      <c r="W4564" s="2">
        <f>T4564*50%</f>
        <v>27.5</v>
      </c>
      <c r="X4564" s="5">
        <f t="shared" si="831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30"/>
        <v>27.5</v>
      </c>
      <c r="AL4564" s="18">
        <f t="shared" si="822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7"/>
        <v>20.125</v>
      </c>
      <c r="V4565" s="2">
        <f t="shared" si="828"/>
        <v>107.625</v>
      </c>
      <c r="W4565" s="2">
        <f>T4565*70%</f>
        <v>61.249999999999993</v>
      </c>
      <c r="X4565" s="5">
        <f t="shared" si="831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30"/>
        <v>26.250000000000007</v>
      </c>
      <c r="AL4565" s="5">
        <f t="shared" si="822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7"/>
        <v>46.46</v>
      </c>
      <c r="V4566" s="2">
        <f t="shared" si="828"/>
        <v>248.46</v>
      </c>
      <c r="W4566" s="2">
        <f>T4566*40%</f>
        <v>80.800000000000011</v>
      </c>
      <c r="X4566" s="5">
        <f t="shared" si="831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30"/>
        <v>121.19999999999999</v>
      </c>
      <c r="AL4566" s="18">
        <f t="shared" si="822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7"/>
        <v>50.6</v>
      </c>
      <c r="V4567" s="2">
        <f t="shared" si="828"/>
        <v>270.60000000000002</v>
      </c>
      <c r="W4567" s="2">
        <f>T4567*50%</f>
        <v>110</v>
      </c>
      <c r="X4567" s="5">
        <f t="shared" si="831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30"/>
        <v>110</v>
      </c>
      <c r="AL4567" s="18">
        <f t="shared" si="822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7"/>
        <v>11.258500000000002</v>
      </c>
      <c r="V4568" s="2">
        <f t="shared" si="828"/>
        <v>60.208500000000001</v>
      </c>
      <c r="W4568" s="2">
        <f>23.042*S4568</f>
        <v>23.042000000000002</v>
      </c>
      <c r="X4568" s="5">
        <f t="shared" si="831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30"/>
        <v>25.908000000000001</v>
      </c>
      <c r="AL4568" s="18">
        <f t="shared" si="822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7"/>
        <v>5750</v>
      </c>
      <c r="V4569" s="2">
        <f t="shared" si="828"/>
        <v>30750</v>
      </c>
      <c r="W4569" s="2">
        <f>19591.14+492.45</f>
        <v>20083.59</v>
      </c>
      <c r="X4569" s="5">
        <f t="shared" si="831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2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7"/>
        <v>43.7</v>
      </c>
      <c r="V4570" s="2">
        <f t="shared" si="828"/>
        <v>233.7</v>
      </c>
      <c r="W4570" s="2">
        <f>T4570*70%</f>
        <v>133</v>
      </c>
      <c r="X4570" s="5">
        <f t="shared" si="831"/>
        <v>0.3</v>
      </c>
      <c r="Z4570" s="2" t="s">
        <v>117</v>
      </c>
      <c r="AA4570" s="2" t="s">
        <v>3378</v>
      </c>
      <c r="AK4570" s="2">
        <f t="shared" ref="AK4570" si="832">T4570-W4570</f>
        <v>57</v>
      </c>
      <c r="AL4570" s="5">
        <f t="shared" si="822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8"/>
        <v>-1385.3366999999998</v>
      </c>
      <c r="X4571" s="18"/>
      <c r="Z4571" s="2" t="s">
        <v>119</v>
      </c>
      <c r="AA4571" s="2" t="s">
        <v>142</v>
      </c>
      <c r="AK4571" s="2">
        <f t="shared" ref="AK4571:AK4575" si="833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4">T4572*23%</f>
        <v>-58.190000000000005</v>
      </c>
      <c r="V4572" s="2">
        <f t="shared" ref="V4572:V4593" si="835">T4572+U4572</f>
        <v>-311.19</v>
      </c>
      <c r="W4572" s="2">
        <f>253*50%</f>
        <v>126.5</v>
      </c>
      <c r="X4572" s="18">
        <f t="shared" ref="X4572" si="836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3"/>
        <v>-379.5</v>
      </c>
      <c r="AL4572" s="18">
        <f t="shared" ref="AL4572:AL4575" si="837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4"/>
        <v>-76.067900000000009</v>
      </c>
      <c r="V4573" s="2">
        <f t="shared" si="835"/>
        <v>-406.79790000000003</v>
      </c>
      <c r="X4573" s="18"/>
      <c r="Z4573" s="2" t="s">
        <v>119</v>
      </c>
      <c r="AA4573" s="2" t="s">
        <v>142</v>
      </c>
      <c r="AK4573" s="2">
        <f t="shared" si="833"/>
        <v>-330.73</v>
      </c>
      <c r="AL4573" s="18">
        <f t="shared" si="837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4"/>
        <v>-44.85</v>
      </c>
      <c r="V4574" s="2">
        <f t="shared" si="835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3"/>
        <v>-306.98</v>
      </c>
      <c r="AL4574" s="18">
        <f t="shared" si="837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4"/>
        <v>-0.34040000000000004</v>
      </c>
      <c r="V4575" s="2">
        <f t="shared" si="835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3"/>
        <v>-2.96</v>
      </c>
      <c r="AL4575" s="18">
        <f t="shared" si="837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4"/>
        <v>52.900000000000006</v>
      </c>
      <c r="V4576" s="2">
        <f t="shared" si="835"/>
        <v>282.89999999999998</v>
      </c>
      <c r="W4576" s="2">
        <v>133.4616</v>
      </c>
      <c r="X4576" s="5">
        <f t="shared" si="831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8">T4576-W4576</f>
        <v>96.538399999999996</v>
      </c>
      <c r="AL4576" s="34">
        <f t="shared" ref="AL4576:AL4602" si="839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4"/>
        <v>0.34040000000000004</v>
      </c>
      <c r="V4577" s="2">
        <f t="shared" si="835"/>
        <v>1.8204</v>
      </c>
      <c r="W4577" s="2">
        <v>1.48</v>
      </c>
      <c r="X4577" s="5">
        <f t="shared" si="831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8"/>
        <v>0</v>
      </c>
      <c r="AL4577" s="34">
        <f t="shared" si="839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4"/>
        <v>-135.24</v>
      </c>
      <c r="V4578" s="2">
        <f t="shared" si="835"/>
        <v>-723.24</v>
      </c>
      <c r="W4578" s="2">
        <f>588*50%</f>
        <v>294</v>
      </c>
      <c r="X4578" s="18">
        <f t="shared" ref="X4578" si="840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8"/>
        <v>-882</v>
      </c>
      <c r="AL4578" s="18">
        <f t="shared" ref="AL4578" si="841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4"/>
        <v>-41.354000000000006</v>
      </c>
      <c r="V4579" s="2">
        <f t="shared" si="835"/>
        <v>-221.15400000000002</v>
      </c>
      <c r="X4579" s="18"/>
      <c r="Z4579" s="2" t="s">
        <v>119</v>
      </c>
      <c r="AA4579" s="2" t="s">
        <v>142</v>
      </c>
      <c r="AK4579" s="2">
        <f t="shared" si="838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4"/>
        <v>52.900000000000006</v>
      </c>
      <c r="V4580" s="2">
        <f t="shared" si="835"/>
        <v>282.89999999999998</v>
      </c>
      <c r="W4580" s="2">
        <v>122.446</v>
      </c>
      <c r="X4580" s="5">
        <f t="shared" si="831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8"/>
        <v>107.554</v>
      </c>
      <c r="AL4580" s="34">
        <f t="shared" si="839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4"/>
        <v>0.34040000000000004</v>
      </c>
      <c r="V4581" s="2">
        <f t="shared" si="835"/>
        <v>1.8204</v>
      </c>
      <c r="W4581" s="2">
        <v>1.48</v>
      </c>
      <c r="X4581" s="5">
        <f t="shared" si="831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8"/>
        <v>0</v>
      </c>
      <c r="AL4581" s="34">
        <f t="shared" si="839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4"/>
        <v>-258.6902</v>
      </c>
      <c r="V4582" s="2">
        <f t="shared" si="835"/>
        <v>-1383.4302</v>
      </c>
      <c r="X4582" s="18"/>
      <c r="Z4582" s="2" t="s">
        <v>119</v>
      </c>
      <c r="AA4582" s="2" t="s">
        <v>142</v>
      </c>
      <c r="AK4582" s="2">
        <f t="shared" si="838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4"/>
        <v>52.900000000000006</v>
      </c>
      <c r="V4583" s="2">
        <f t="shared" si="835"/>
        <v>282.89999999999998</v>
      </c>
      <c r="W4583" s="2">
        <f>123.48+12.2</f>
        <v>135.68</v>
      </c>
      <c r="X4583" s="5">
        <f t="shared" si="831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8"/>
        <v>94.32</v>
      </c>
      <c r="AL4583" s="34">
        <f t="shared" si="839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4"/>
        <v>0.34040000000000004</v>
      </c>
      <c r="V4584" s="2">
        <f t="shared" si="835"/>
        <v>1.8204</v>
      </c>
      <c r="W4584" s="2">
        <v>1.48</v>
      </c>
      <c r="X4584" s="5">
        <f t="shared" si="831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8"/>
        <v>0</v>
      </c>
      <c r="AL4584" s="34">
        <f t="shared" si="839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4"/>
        <v>-5.9087000000000005</v>
      </c>
      <c r="V4585" s="2">
        <f t="shared" si="835"/>
        <v>-31.598700000000001</v>
      </c>
      <c r="X4585" s="18"/>
      <c r="Z4585" s="2" t="s">
        <v>119</v>
      </c>
      <c r="AA4585" s="2" t="s">
        <v>142</v>
      </c>
      <c r="AK4585" s="2">
        <f t="shared" si="838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4"/>
        <v>-52.900000000000006</v>
      </c>
      <c r="V4586" s="2">
        <f t="shared" si="835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8"/>
        <v>-364.57</v>
      </c>
      <c r="AL4586" s="18">
        <f t="shared" ref="AL4586:AL4587" si="842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4"/>
        <v>-0.34040000000000004</v>
      </c>
      <c r="V4587" s="2">
        <f t="shared" si="835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8"/>
        <v>-2.96</v>
      </c>
      <c r="AL4587" s="18">
        <f t="shared" si="842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4"/>
        <v>51.913300000000007</v>
      </c>
      <c r="V4588" s="2">
        <f t="shared" si="835"/>
        <v>277.62330000000003</v>
      </c>
      <c r="W4588" s="2">
        <v>102.88249999999999</v>
      </c>
      <c r="X4588" s="5">
        <f t="shared" si="831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8"/>
        <v>122.82750000000001</v>
      </c>
      <c r="AL4588" s="34">
        <f t="shared" si="839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4"/>
        <v>6.8471000000000002</v>
      </c>
      <c r="V4589" s="2">
        <f t="shared" si="835"/>
        <v>36.617100000000001</v>
      </c>
      <c r="W4589" s="2">
        <v>15</v>
      </c>
      <c r="X4589" s="5">
        <f t="shared" si="831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8"/>
        <v>14.77</v>
      </c>
      <c r="AL4589" s="34">
        <f t="shared" si="839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4"/>
        <v>24.246600000000001</v>
      </c>
      <c r="V4590" s="2">
        <f t="shared" si="835"/>
        <v>129.66660000000002</v>
      </c>
      <c r="W4590" s="2">
        <f>49.96+0.65</f>
        <v>50.61</v>
      </c>
      <c r="X4590" s="5">
        <f t="shared" si="831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8"/>
        <v>54.81</v>
      </c>
      <c r="AL4590" s="34">
        <f t="shared" si="839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4"/>
        <v>-11.96</v>
      </c>
      <c r="V4591" s="2">
        <f t="shared" si="835"/>
        <v>-63.96</v>
      </c>
      <c r="W4591" s="2">
        <f>52*40%</f>
        <v>20.8</v>
      </c>
      <c r="X4591" s="18">
        <f t="shared" ref="X4591:X4654" si="843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8"/>
        <v>-72.8</v>
      </c>
      <c r="AL4591" s="18">
        <f t="shared" ref="AL4591:AL4592" si="844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4"/>
        <v>-11.5</v>
      </c>
      <c r="V4592" s="2">
        <f t="shared" si="835"/>
        <v>-61.5</v>
      </c>
      <c r="W4592" s="2">
        <f>50*50%</f>
        <v>25</v>
      </c>
      <c r="X4592" s="18">
        <f t="shared" si="843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8"/>
        <v>-75</v>
      </c>
      <c r="AL4592" s="18">
        <f t="shared" si="844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5"/>
        <v>282.89999999999998</v>
      </c>
      <c r="W4593" s="2">
        <v>153.34</v>
      </c>
      <c r="X4593" s="18">
        <f t="shared" si="843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5">T4593-W4593</f>
        <v>76.66</v>
      </c>
      <c r="AL4593" s="34">
        <f t="shared" si="839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6">T4594*23%</f>
        <v>8.0500000000000007</v>
      </c>
      <c r="V4594" s="2">
        <f t="shared" ref="V4594:V4610" si="847">T4594+U4594</f>
        <v>43.05</v>
      </c>
      <c r="W4594" s="2">
        <v>28</v>
      </c>
      <c r="X4594" s="18">
        <f t="shared" si="843"/>
        <v>0.2</v>
      </c>
      <c r="Z4594" s="2" t="s">
        <v>169</v>
      </c>
      <c r="AA4594" s="2" t="s">
        <v>169</v>
      </c>
      <c r="AK4594" s="2">
        <f t="shared" si="845"/>
        <v>7</v>
      </c>
      <c r="AL4594" s="34">
        <f t="shared" si="839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6"/>
        <v>0.34040000000000004</v>
      </c>
      <c r="V4595" s="2">
        <f t="shared" si="847"/>
        <v>1.8204</v>
      </c>
      <c r="W4595" s="2">
        <v>1.48</v>
      </c>
      <c r="X4595" s="18">
        <f t="shared" si="843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5"/>
        <v>0</v>
      </c>
      <c r="AL4595" s="34">
        <f t="shared" si="839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6"/>
        <v>14.72</v>
      </c>
      <c r="V4596" s="2">
        <f t="shared" si="847"/>
        <v>78.72</v>
      </c>
      <c r="W4596" s="2">
        <f>11.34*S4596</f>
        <v>22.68</v>
      </c>
      <c r="X4596" s="18">
        <f t="shared" si="843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5"/>
        <v>41.32</v>
      </c>
      <c r="AL4596" s="34">
        <f t="shared" si="839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6"/>
        <v>52.900000000000006</v>
      </c>
      <c r="V4597" s="2">
        <f t="shared" si="847"/>
        <v>282.89999999999998</v>
      </c>
      <c r="W4597" s="2">
        <v>133.4616</v>
      </c>
      <c r="X4597" s="18">
        <f t="shared" si="843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5"/>
        <v>96.538399999999996</v>
      </c>
      <c r="AL4597" s="34">
        <f t="shared" si="839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6"/>
        <v>0.34040000000000004</v>
      </c>
      <c r="V4598" s="2">
        <f t="shared" si="847"/>
        <v>1.8204</v>
      </c>
      <c r="W4598" s="2">
        <v>1.48</v>
      </c>
      <c r="X4598" s="18">
        <f t="shared" si="843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5"/>
        <v>0</v>
      </c>
      <c r="AL4598" s="34">
        <f t="shared" si="839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6"/>
        <v>53.544000000000004</v>
      </c>
      <c r="V4599" s="2">
        <f t="shared" si="847"/>
        <v>286.34399999999999</v>
      </c>
      <c r="W4599" s="2">
        <v>128.99</v>
      </c>
      <c r="X4599" s="18">
        <f t="shared" si="843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5"/>
        <v>103.81</v>
      </c>
      <c r="AL4599" s="34">
        <f t="shared" si="839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6"/>
        <v>0.34040000000000004</v>
      </c>
      <c r="V4600" s="2">
        <f t="shared" si="847"/>
        <v>1.8204</v>
      </c>
      <c r="W4600" s="2">
        <v>1.48</v>
      </c>
      <c r="X4600" s="18">
        <f t="shared" si="843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5"/>
        <v>0</v>
      </c>
      <c r="AL4600" s="34">
        <f t="shared" si="839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6"/>
        <v>17.940000000000001</v>
      </c>
      <c r="V4601" s="2">
        <f t="shared" si="847"/>
        <v>95.94</v>
      </c>
      <c r="W4601" s="2">
        <f>T4601*50%</f>
        <v>39</v>
      </c>
      <c r="X4601" s="18">
        <f t="shared" si="843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5"/>
        <v>39</v>
      </c>
      <c r="AL4601" s="34">
        <f t="shared" si="839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6"/>
        <v>52.900000000000006</v>
      </c>
      <c r="V4602" s="2">
        <f t="shared" si="847"/>
        <v>282.89999999999998</v>
      </c>
      <c r="W4602" s="2">
        <v>119.06</v>
      </c>
      <c r="X4602" s="18">
        <f t="shared" si="843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5"/>
        <v>110.94</v>
      </c>
      <c r="AL4602" s="34">
        <f t="shared" si="839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6"/>
        <v>4.0250000000000004</v>
      </c>
      <c r="V4603" s="2">
        <f t="shared" si="847"/>
        <v>21.524999999999999</v>
      </c>
      <c r="W4603" s="2">
        <v>28</v>
      </c>
      <c r="X4603" s="18">
        <f t="shared" si="843"/>
        <v>-0.6</v>
      </c>
      <c r="Z4603" s="2" t="s">
        <v>169</v>
      </c>
      <c r="AA4603" s="2" t="s">
        <v>169</v>
      </c>
      <c r="AK4603" s="2">
        <f t="shared" si="845"/>
        <v>-10.5</v>
      </c>
      <c r="AL4603" s="34">
        <f t="shared" ref="AL4603:AL4609" si="848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6"/>
        <v>0.34040000000000004</v>
      </c>
      <c r="V4604" s="2">
        <f t="shared" si="847"/>
        <v>1.8204</v>
      </c>
      <c r="W4604" s="2">
        <v>1.48</v>
      </c>
      <c r="X4604" s="18">
        <f t="shared" si="843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5"/>
        <v>0</v>
      </c>
      <c r="AL4604" s="5">
        <f t="shared" si="848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6"/>
        <v>34.5</v>
      </c>
      <c r="V4605" s="2">
        <f t="shared" si="847"/>
        <v>184.5</v>
      </c>
      <c r="W4605" s="2">
        <f>10.6*S4605</f>
        <v>106</v>
      </c>
      <c r="X4605" s="18">
        <f t="shared" si="843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5"/>
        <v>44</v>
      </c>
      <c r="AL4605" s="5">
        <f t="shared" si="848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6"/>
        <v>34.5</v>
      </c>
      <c r="V4606" s="2">
        <f t="shared" si="847"/>
        <v>184.5</v>
      </c>
      <c r="W4606" s="2">
        <f>10.6*S4606</f>
        <v>106</v>
      </c>
      <c r="X4606" s="18">
        <f t="shared" si="843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5"/>
        <v>44</v>
      </c>
      <c r="AL4606" s="5">
        <f t="shared" si="848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6"/>
        <v>50.6</v>
      </c>
      <c r="V4607" s="2">
        <f t="shared" si="847"/>
        <v>270.60000000000002</v>
      </c>
      <c r="W4607" s="2">
        <f>112.39+12.01</f>
        <v>124.4</v>
      </c>
      <c r="X4607" s="18">
        <f t="shared" si="843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5"/>
        <v>95.6</v>
      </c>
      <c r="AL4607" s="5">
        <f t="shared" si="848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6"/>
        <v>8.0500000000000007</v>
      </c>
      <c r="V4608" s="2">
        <f t="shared" si="847"/>
        <v>43.05</v>
      </c>
      <c r="W4608" s="2">
        <v>0</v>
      </c>
      <c r="X4608" s="18">
        <f t="shared" si="843"/>
        <v>1</v>
      </c>
      <c r="Z4608" s="2" t="s">
        <v>169</v>
      </c>
      <c r="AA4608" s="2" t="s">
        <v>169</v>
      </c>
      <c r="AK4608" s="2">
        <f t="shared" si="845"/>
        <v>35</v>
      </c>
      <c r="AL4608" s="5">
        <f t="shared" si="848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6"/>
        <v>0.34040000000000004</v>
      </c>
      <c r="V4609" s="2">
        <f t="shared" si="847"/>
        <v>1.8204</v>
      </c>
      <c r="W4609" s="2">
        <v>1.48</v>
      </c>
      <c r="X4609" s="18">
        <f t="shared" si="843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5"/>
        <v>0</v>
      </c>
      <c r="AL4609" s="5">
        <f t="shared" si="848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7"/>
        <v>17.712</v>
      </c>
      <c r="W4610" s="2">
        <f>0.826*S4610</f>
        <v>6.6079999999999997</v>
      </c>
      <c r="X4610" s="18">
        <f t="shared" si="843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9">T4610-W4610</f>
        <v>7.7920000000000007</v>
      </c>
      <c r="AL4610" s="5">
        <f t="shared" ref="AL4610:AL4619" si="850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1">T4611*23%</f>
        <v>63.434000000000005</v>
      </c>
      <c r="V4611" s="2">
        <f t="shared" ref="V4611:V4620" si="852">T4611+U4611</f>
        <v>339.23400000000004</v>
      </c>
      <c r="W4611" s="2">
        <v>137.1</v>
      </c>
      <c r="X4611" s="18">
        <f t="shared" si="843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9"/>
        <v>138.70000000000002</v>
      </c>
      <c r="AL4611" s="5">
        <f t="shared" si="850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1"/>
        <v>8.0500000000000007</v>
      </c>
      <c r="V4612" s="2">
        <f t="shared" si="852"/>
        <v>43.05</v>
      </c>
      <c r="W4612" s="2">
        <v>28</v>
      </c>
      <c r="X4612" s="18">
        <f t="shared" si="843"/>
        <v>0.2</v>
      </c>
      <c r="Z4612" s="2" t="s">
        <v>169</v>
      </c>
      <c r="AA4612" s="2" t="s">
        <v>169</v>
      </c>
      <c r="AK4612" s="2">
        <f t="shared" si="849"/>
        <v>7</v>
      </c>
      <c r="AL4612" s="5">
        <f t="shared" si="850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1"/>
        <v>0.34040000000000004</v>
      </c>
      <c r="V4613" s="2">
        <f t="shared" si="852"/>
        <v>1.8204</v>
      </c>
      <c r="W4613" s="2">
        <v>1.48</v>
      </c>
      <c r="X4613" s="18">
        <f t="shared" si="843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9"/>
        <v>0</v>
      </c>
      <c r="AL4613" s="5">
        <f t="shared" si="850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1"/>
        <v>52.900000000000006</v>
      </c>
      <c r="V4614" s="2">
        <f t="shared" si="852"/>
        <v>282.89999999999998</v>
      </c>
      <c r="W4614" s="2">
        <v>133.4616</v>
      </c>
      <c r="X4614" s="18">
        <f t="shared" si="843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9"/>
        <v>96.538399999999996</v>
      </c>
      <c r="AL4614" s="5">
        <f t="shared" si="850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1"/>
        <v>0.34040000000000004</v>
      </c>
      <c r="V4615" s="2">
        <f t="shared" si="852"/>
        <v>1.8204</v>
      </c>
      <c r="W4615" s="2">
        <v>1.48</v>
      </c>
      <c r="X4615" s="18">
        <f t="shared" si="843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9"/>
        <v>0</v>
      </c>
      <c r="AL4615" s="5">
        <f t="shared" si="850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1"/>
        <v>-51.913300000000007</v>
      </c>
      <c r="V4616" s="2">
        <f t="shared" si="852"/>
        <v>-277.62330000000003</v>
      </c>
      <c r="W4616" s="2">
        <v>102.88249999999999</v>
      </c>
      <c r="X4616" s="18">
        <f t="shared" si="843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9"/>
        <v>-328.59249999999997</v>
      </c>
      <c r="AL4616" s="18">
        <f t="shared" ref="AL4616" si="853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1"/>
        <v>19.271700000000003</v>
      </c>
      <c r="V4617" s="2">
        <f t="shared" si="852"/>
        <v>103.0617</v>
      </c>
      <c r="W4617" s="2">
        <v>40.357500000000002</v>
      </c>
      <c r="X4617" s="18">
        <f t="shared" si="843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9"/>
        <v>43.432500000000005</v>
      </c>
      <c r="AL4617" s="5">
        <f t="shared" si="850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1"/>
        <v>40.71</v>
      </c>
      <c r="V4618" s="2">
        <f t="shared" si="852"/>
        <v>217.71</v>
      </c>
      <c r="W4618" s="2">
        <f>T4618*40%</f>
        <v>70.8</v>
      </c>
      <c r="X4618" s="18">
        <f t="shared" si="843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9"/>
        <v>106.2</v>
      </c>
      <c r="AL4618" s="5">
        <f t="shared" si="850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1"/>
        <v>25.3</v>
      </c>
      <c r="V4619" s="2">
        <f t="shared" si="852"/>
        <v>135.30000000000001</v>
      </c>
      <c r="W4619" s="2">
        <f>T4619*50%</f>
        <v>55</v>
      </c>
      <c r="X4619" s="18">
        <f t="shared" si="843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9"/>
        <v>55</v>
      </c>
      <c r="AL4619" s="5">
        <f t="shared" si="850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2"/>
        <v>24.6</v>
      </c>
      <c r="W4620" s="2">
        <v>14.5099</v>
      </c>
      <c r="X4620" s="18">
        <f t="shared" si="843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4">T4620-W4620</f>
        <v>5.4901</v>
      </c>
      <c r="AL4620" s="5">
        <f t="shared" ref="AL4620:AL4640" si="855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6">T4621*23%</f>
        <v>2.875</v>
      </c>
      <c r="V4621" s="2">
        <f t="shared" ref="V4621:V4638" si="857">T4621+U4621</f>
        <v>15.375</v>
      </c>
      <c r="W4621" s="2">
        <v>9.5</v>
      </c>
      <c r="X4621" s="18">
        <f t="shared" si="843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4"/>
        <v>3</v>
      </c>
      <c r="AL4621" s="5">
        <f t="shared" si="855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6"/>
        <v>0.82800000000000007</v>
      </c>
      <c r="V4622" s="2">
        <f t="shared" si="857"/>
        <v>4.4279999999999999</v>
      </c>
      <c r="W4622" s="2">
        <f>0.826*S4622</f>
        <v>1.6519999999999999</v>
      </c>
      <c r="X4622" s="18">
        <f t="shared" si="843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4"/>
        <v>1.9480000000000002</v>
      </c>
      <c r="AL4622" s="5">
        <f t="shared" si="855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6"/>
        <v>2.875</v>
      </c>
      <c r="V4623" s="2">
        <f t="shared" si="857"/>
        <v>15.375</v>
      </c>
      <c r="W4623" s="2">
        <v>8.3146000000000004</v>
      </c>
      <c r="X4623" s="18">
        <f t="shared" si="843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4"/>
        <v>4.1853999999999996</v>
      </c>
      <c r="AL4623" s="5">
        <f t="shared" si="855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6"/>
        <v>1.2420000000000002</v>
      </c>
      <c r="V4624" s="2">
        <f t="shared" si="857"/>
        <v>6.6420000000000003</v>
      </c>
      <c r="W4624" s="2">
        <f>0.78*S4624</f>
        <v>4.68</v>
      </c>
      <c r="X4624" s="18">
        <f t="shared" si="843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4"/>
        <v>0.72000000000000064</v>
      </c>
      <c r="AL4624" s="5">
        <f t="shared" si="855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6"/>
        <v>20.010000000000002</v>
      </c>
      <c r="V4625" s="2">
        <f t="shared" si="857"/>
        <v>107.01</v>
      </c>
      <c r="W4625" s="2">
        <f>T4625*40%</f>
        <v>34.800000000000004</v>
      </c>
      <c r="X4625" s="18">
        <f t="shared" si="843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4"/>
        <v>52.199999999999996</v>
      </c>
      <c r="AL4625" s="5">
        <f t="shared" si="855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6"/>
        <v>22.137499999999999</v>
      </c>
      <c r="V4626" s="2">
        <f t="shared" si="857"/>
        <v>118.3875</v>
      </c>
      <c r="W4626" s="2">
        <f>T4626*50%</f>
        <v>48.125</v>
      </c>
      <c r="X4626" s="18">
        <f t="shared" si="843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4"/>
        <v>48.125</v>
      </c>
      <c r="AL4626" s="5">
        <f t="shared" si="855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6"/>
        <v>46</v>
      </c>
      <c r="V4627" s="2">
        <f t="shared" si="857"/>
        <v>246</v>
      </c>
      <c r="W4627" s="2">
        <v>111.98</v>
      </c>
      <c r="X4627" s="18">
        <f t="shared" si="843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4"/>
        <v>88.02</v>
      </c>
      <c r="AL4627" s="5">
        <f t="shared" si="855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6"/>
        <v>0.34040000000000004</v>
      </c>
      <c r="V4628" s="2">
        <f t="shared" si="857"/>
        <v>1.8204</v>
      </c>
      <c r="W4628" s="2">
        <v>1.48</v>
      </c>
      <c r="X4628" s="18">
        <f t="shared" si="843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4"/>
        <v>0</v>
      </c>
      <c r="AL4628" s="5">
        <f t="shared" si="855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6"/>
        <v>211.14000000000001</v>
      </c>
      <c r="V4629" s="2">
        <f t="shared" si="857"/>
        <v>1129.1400000000001</v>
      </c>
      <c r="W4629" s="2">
        <v>674.24</v>
      </c>
      <c r="X4629" s="18">
        <f t="shared" si="843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4"/>
        <v>243.76</v>
      </c>
      <c r="AL4629" s="5">
        <f t="shared" si="855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6"/>
        <v>77.740000000000009</v>
      </c>
      <c r="V4630" s="2">
        <f t="shared" si="857"/>
        <v>415.74</v>
      </c>
      <c r="W4630" s="2">
        <f>T4630*40%</f>
        <v>135.20000000000002</v>
      </c>
      <c r="X4630" s="18">
        <f t="shared" si="843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4"/>
        <v>202.79999999999998</v>
      </c>
      <c r="AL4630" s="5">
        <f t="shared" si="855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6"/>
        <v>44.274999999999999</v>
      </c>
      <c r="V4631" s="2">
        <f t="shared" si="857"/>
        <v>236.77500000000001</v>
      </c>
      <c r="W4631" s="2">
        <f>T4631*50%</f>
        <v>96.25</v>
      </c>
      <c r="X4631" s="18">
        <f t="shared" si="843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4"/>
        <v>96.25</v>
      </c>
      <c r="AL4631" s="5">
        <f t="shared" si="855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6"/>
        <v>11.891000000000002</v>
      </c>
      <c r="V4632" s="2">
        <f t="shared" si="857"/>
        <v>63.591000000000008</v>
      </c>
      <c r="X4632" s="18">
        <f t="shared" si="843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4"/>
        <v>51.7</v>
      </c>
      <c r="AL4632" s="5">
        <f t="shared" si="855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6"/>
        <v>420.32500000000005</v>
      </c>
      <c r="V4633" s="2">
        <f t="shared" si="857"/>
        <v>2247.8249999999998</v>
      </c>
      <c r="W4633" s="2">
        <v>1036.96</v>
      </c>
      <c r="X4633" s="18">
        <f t="shared" si="843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4"/>
        <v>790.54</v>
      </c>
      <c r="AL4633" s="5">
        <f t="shared" si="855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6"/>
        <v>-43.221600000000002</v>
      </c>
      <c r="V4634" s="2">
        <f t="shared" si="857"/>
        <v>-231.14159999999998</v>
      </c>
      <c r="W4634" s="2">
        <v>93.83</v>
      </c>
      <c r="X4634" s="18">
        <f t="shared" si="843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4"/>
        <v>-281.75</v>
      </c>
      <c r="AL4634" s="5">
        <f t="shared" si="855"/>
        <v>1.4993082162622393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6"/>
        <v>-6.5274000000000001</v>
      </c>
      <c r="V4635" s="2">
        <f t="shared" si="857"/>
        <v>-34.907399999999996</v>
      </c>
      <c r="W4635" s="2">
        <v>13.715</v>
      </c>
      <c r="X4635" s="18">
        <f t="shared" si="843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4"/>
        <v>-42.094999999999999</v>
      </c>
      <c r="AL4635" s="5">
        <f t="shared" si="855"/>
        <v>1.483262861169838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6"/>
        <v>-21.62</v>
      </c>
      <c r="V4636" s="2">
        <f t="shared" si="857"/>
        <v>-115.62</v>
      </c>
      <c r="W4636" s="2">
        <f>94*40%</f>
        <v>37.6</v>
      </c>
      <c r="X4636" s="18">
        <f t="shared" si="843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4"/>
        <v>-131.6</v>
      </c>
      <c r="AL4636" s="5">
        <f t="shared" si="855"/>
        <v>1.4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6"/>
        <v>-12.65</v>
      </c>
      <c r="V4637" s="2">
        <f t="shared" si="857"/>
        <v>-67.650000000000006</v>
      </c>
      <c r="W4637" s="2">
        <f>55*50%</f>
        <v>27.5</v>
      </c>
      <c r="X4637" s="18">
        <f t="shared" si="843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4"/>
        <v>-82.5</v>
      </c>
      <c r="AL4637" s="5">
        <f t="shared" si="855"/>
        <v>1.5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6"/>
        <v>-20.125</v>
      </c>
      <c r="V4638" s="2">
        <f t="shared" si="857"/>
        <v>-107.625</v>
      </c>
      <c r="W4638" s="2">
        <v>61.25</v>
      </c>
      <c r="X4638" s="18">
        <f t="shared" si="843"/>
        <v>-0.3</v>
      </c>
      <c r="Z4638" s="2" t="s">
        <v>119</v>
      </c>
      <c r="AA4638" s="2" t="s">
        <v>3378</v>
      </c>
      <c r="AK4638" s="2">
        <f t="shared" si="854"/>
        <v>-148.75</v>
      </c>
      <c r="AL4638" s="5">
        <f t="shared" si="855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3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4"/>
        <v>87</v>
      </c>
      <c r="AL4639" s="5">
        <f t="shared" si="855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3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4"/>
        <v>0</v>
      </c>
      <c r="AL4640" s="5">
        <f t="shared" si="855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3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8">T4641-W4641</f>
        <v>96.538399999999996</v>
      </c>
      <c r="AL4641" s="5">
        <f t="shared" ref="AL4641:AL4652" si="859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60">T4642*23%</f>
        <v>0.34040000000000004</v>
      </c>
      <c r="V4642" s="2">
        <f t="shared" ref="V4642:V4653" si="861">T4642+U4642</f>
        <v>1.8204</v>
      </c>
      <c r="W4642" s="2">
        <v>1.48</v>
      </c>
      <c r="X4642" s="18">
        <f t="shared" si="843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8"/>
        <v>0</v>
      </c>
      <c r="AL4642" s="5">
        <f t="shared" si="859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60"/>
        <v>6.7804000000000002</v>
      </c>
      <c r="V4643" s="2">
        <f t="shared" si="861"/>
        <v>36.260400000000004</v>
      </c>
      <c r="W4643" s="2">
        <f>(2.79+0.04)*S4643</f>
        <v>11.32</v>
      </c>
      <c r="X4643" s="18">
        <f t="shared" si="843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8"/>
        <v>18.16</v>
      </c>
      <c r="AL4643" s="5">
        <f t="shared" si="859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60"/>
        <v>1.84</v>
      </c>
      <c r="V4644" s="2">
        <f t="shared" si="861"/>
        <v>9.84</v>
      </c>
      <c r="W4644" s="2">
        <v>6</v>
      </c>
      <c r="X4644" s="18">
        <f t="shared" si="843"/>
        <v>0.25</v>
      </c>
      <c r="Z4644" s="2" t="s">
        <v>169</v>
      </c>
      <c r="AA4644" s="2" t="s">
        <v>169</v>
      </c>
      <c r="AK4644" s="2">
        <f t="shared" si="858"/>
        <v>2</v>
      </c>
      <c r="AL4644" s="5">
        <f t="shared" si="859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60"/>
        <v>50.6</v>
      </c>
      <c r="V4645" s="2">
        <f t="shared" si="861"/>
        <v>270.60000000000002</v>
      </c>
      <c r="W4645" s="2">
        <v>122</v>
      </c>
      <c r="X4645" s="18">
        <f t="shared" si="843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8"/>
        <v>98</v>
      </c>
      <c r="AL4645" s="5">
        <f t="shared" si="859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60"/>
        <v>8.0500000000000007</v>
      </c>
      <c r="V4646" s="2">
        <f t="shared" si="861"/>
        <v>43.05</v>
      </c>
      <c r="W4646" s="2">
        <v>28</v>
      </c>
      <c r="X4646" s="18">
        <f t="shared" si="843"/>
        <v>0.2</v>
      </c>
      <c r="Z4646" s="2" t="s">
        <v>169</v>
      </c>
      <c r="AA4646" s="2" t="s">
        <v>169</v>
      </c>
      <c r="AK4646" s="2">
        <f t="shared" si="858"/>
        <v>7</v>
      </c>
      <c r="AL4646" s="5">
        <f t="shared" si="859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60"/>
        <v>0.34040000000000004</v>
      </c>
      <c r="V4647" s="2">
        <f t="shared" si="861"/>
        <v>1.8204</v>
      </c>
      <c r="W4647" s="2">
        <v>1.48</v>
      </c>
      <c r="X4647" s="18">
        <f t="shared" si="843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8"/>
        <v>0</v>
      </c>
      <c r="AL4647" s="5">
        <f t="shared" si="859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60"/>
        <v>136.85</v>
      </c>
      <c r="V4648" s="2">
        <f t="shared" si="861"/>
        <v>731.85</v>
      </c>
      <c r="W4648" s="2">
        <v>297</v>
      </c>
      <c r="X4648" s="18">
        <f t="shared" si="843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8"/>
        <v>298</v>
      </c>
      <c r="AL4648" s="5">
        <f t="shared" si="859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60"/>
        <v>0</v>
      </c>
      <c r="V4649" s="2">
        <f t="shared" si="861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8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60"/>
        <v>0</v>
      </c>
      <c r="V4650" s="2">
        <f t="shared" si="861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8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60"/>
        <v>-12.42</v>
      </c>
      <c r="V4651" s="2">
        <f t="shared" si="861"/>
        <v>-66.42</v>
      </c>
      <c r="W4651" s="2">
        <v>6.3</v>
      </c>
      <c r="X4651" s="18">
        <f t="shared" si="843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8"/>
        <v>-60.3</v>
      </c>
      <c r="AL4651" s="5">
        <f t="shared" si="859"/>
        <v>1.1166666666666667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60"/>
        <v>-7.36</v>
      </c>
      <c r="V4652" s="2">
        <f t="shared" si="861"/>
        <v>-39.36</v>
      </c>
      <c r="W4652" s="2">
        <v>6.3</v>
      </c>
      <c r="X4652" s="18">
        <f t="shared" si="843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8"/>
        <v>-38.299999999999997</v>
      </c>
      <c r="AL4652" s="5">
        <f t="shared" si="859"/>
        <v>1.1968749999999999</v>
      </c>
    </row>
    <row r="4653" spans="1:38" x14ac:dyDescent="0.2">
      <c r="A4653" s="2">
        <v>2026</v>
      </c>
      <c r="B4653" s="2">
        <v>8</v>
      </c>
      <c r="C4653" s="2" t="s">
        <v>3532</v>
      </c>
      <c r="D4653" s="38" t="s">
        <v>3533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2273</v>
      </c>
      <c r="R4653" s="38" t="s">
        <v>2274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1"/>
        <v>36.1374</v>
      </c>
      <c r="W4653" s="2">
        <f>4.6858*S4653</f>
        <v>14.057400000000001</v>
      </c>
      <c r="X4653" s="18">
        <f t="shared" si="843"/>
        <v>0.52153165418652137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5" si="862">T4653-W4653</f>
        <v>15.322599999999998</v>
      </c>
      <c r="AL4653" s="5">
        <f t="shared" ref="AL4653:AL4665" si="863">(T4653-W4653)/T4653</f>
        <v>0.52153165418652137</v>
      </c>
    </row>
    <row r="4654" spans="1:38" x14ac:dyDescent="0.2">
      <c r="A4654" s="2">
        <v>2026</v>
      </c>
      <c r="B4654" s="2">
        <v>8</v>
      </c>
      <c r="C4654" s="2" t="s">
        <v>3532</v>
      </c>
      <c r="D4654" s="38" t="s">
        <v>3533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4">T4654*23%</f>
        <v>44.948900000000002</v>
      </c>
      <c r="V4654" s="2">
        <f t="shared" ref="V4654:V4666" si="865">T4654+U4654</f>
        <v>240.37890000000002</v>
      </c>
      <c r="W4654" s="2">
        <f>46.7951*S4654</f>
        <v>93.590199999999996</v>
      </c>
      <c r="X4654" s="18">
        <f t="shared" si="843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2"/>
        <v>101.83980000000001</v>
      </c>
      <c r="AL4654" s="5">
        <f t="shared" si="863"/>
        <v>0.52110627846287683</v>
      </c>
    </row>
    <row r="4655" spans="1:38" x14ac:dyDescent="0.2">
      <c r="A4655" s="2">
        <v>2026</v>
      </c>
      <c r="B4655" s="2">
        <v>8</v>
      </c>
      <c r="C4655" s="2" t="s">
        <v>3532</v>
      </c>
      <c r="D4655" s="38" t="s">
        <v>3533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1689</v>
      </c>
      <c r="R4655" s="38" t="s">
        <v>1690</v>
      </c>
      <c r="S4655" s="37">
        <v>1</v>
      </c>
      <c r="T4655" s="36">
        <v>78.17</v>
      </c>
      <c r="U4655" s="2">
        <f t="shared" si="864"/>
        <v>17.979100000000003</v>
      </c>
      <c r="V4655" s="2">
        <f t="shared" si="865"/>
        <v>96.149100000000004</v>
      </c>
      <c r="W4655" s="2">
        <v>37.886600000000001</v>
      </c>
      <c r="X4655" s="18">
        <f t="shared" ref="X4655:X4707" si="866">SIGN(T4655)*((ABS(T4655)-W4655)/ABS(T4655))</f>
        <v>0.51533068952283489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2"/>
        <v>40.2834</v>
      </c>
      <c r="AL4655" s="5">
        <f t="shared" si="863"/>
        <v>0.51533068952283489</v>
      </c>
    </row>
    <row r="4656" spans="1:38" x14ac:dyDescent="0.2">
      <c r="A4656" s="2">
        <v>2026</v>
      </c>
      <c r="B4656" s="2">
        <v>8</v>
      </c>
      <c r="C4656" s="2" t="s">
        <v>3532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3114</v>
      </c>
      <c r="J4656" s="2" t="s">
        <v>3115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4"/>
        <v>16.560000000000002</v>
      </c>
      <c r="V4656" s="2">
        <f t="shared" si="865"/>
        <v>88.56</v>
      </c>
      <c r="W4656" s="2">
        <f>10.6*S4656</f>
        <v>42.4</v>
      </c>
      <c r="X4656" s="18">
        <f t="shared" si="866"/>
        <v>0.41111111111111115</v>
      </c>
      <c r="Z4656" s="2" t="s">
        <v>3226</v>
      </c>
      <c r="AA4656" s="2" t="s">
        <v>46</v>
      </c>
      <c r="AB4656" s="2" t="s">
        <v>56</v>
      </c>
      <c r="AC4656" s="2" t="s">
        <v>57</v>
      </c>
      <c r="AK4656" s="2">
        <f t="shared" si="862"/>
        <v>29.6</v>
      </c>
      <c r="AL4656" s="5">
        <f t="shared" si="863"/>
        <v>0.41111111111111115</v>
      </c>
    </row>
    <row r="4657" spans="1:38" x14ac:dyDescent="0.2">
      <c r="A4657" s="2">
        <v>2026</v>
      </c>
      <c r="B4657" s="2">
        <v>8</v>
      </c>
      <c r="C4657" s="2" t="s">
        <v>3532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3114</v>
      </c>
      <c r="J4657" s="2" t="s">
        <v>3115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4"/>
        <v>1.84</v>
      </c>
      <c r="V4657" s="2">
        <f t="shared" si="865"/>
        <v>9.84</v>
      </c>
      <c r="W4657" s="2">
        <v>6</v>
      </c>
      <c r="X4657" s="18">
        <f t="shared" si="866"/>
        <v>0.25</v>
      </c>
      <c r="Z4657" s="2" t="s">
        <v>169</v>
      </c>
      <c r="AA4657" s="2" t="s">
        <v>169</v>
      </c>
      <c r="AK4657" s="2">
        <f t="shared" si="862"/>
        <v>2</v>
      </c>
      <c r="AL4657" s="5">
        <f t="shared" si="863"/>
        <v>0.25</v>
      </c>
    </row>
    <row r="4658" spans="1:38" x14ac:dyDescent="0.2">
      <c r="A4658" s="2">
        <v>2026</v>
      </c>
      <c r="B4658" s="2">
        <v>8</v>
      </c>
      <c r="C4658" s="2" t="s">
        <v>3532</v>
      </c>
      <c r="D4658" s="38" t="s">
        <v>3534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4"/>
        <v>50.6</v>
      </c>
      <c r="V4658" s="2">
        <f t="shared" si="865"/>
        <v>270.60000000000002</v>
      </c>
      <c r="W4658" s="2">
        <v>133.4616</v>
      </c>
      <c r="X4658" s="18">
        <f t="shared" si="866"/>
        <v>0.39335636363636362</v>
      </c>
      <c r="Z4658" s="2" t="s">
        <v>3226</v>
      </c>
      <c r="AA4658" s="2" t="s">
        <v>75</v>
      </c>
      <c r="AB4658" s="2" t="s">
        <v>76</v>
      </c>
      <c r="AC4658" s="2" t="s">
        <v>77</v>
      </c>
      <c r="AK4658" s="2">
        <f t="shared" si="862"/>
        <v>86.538399999999996</v>
      </c>
      <c r="AL4658" s="5">
        <f t="shared" si="863"/>
        <v>0.39335636363636362</v>
      </c>
    </row>
    <row r="4659" spans="1:38" x14ac:dyDescent="0.2">
      <c r="A4659" s="2">
        <v>2026</v>
      </c>
      <c r="B4659" s="2">
        <v>8</v>
      </c>
      <c r="C4659" s="2" t="s">
        <v>3532</v>
      </c>
      <c r="D4659" s="38" t="s">
        <v>3534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4"/>
        <v>0.34040000000000004</v>
      </c>
      <c r="V4659" s="2">
        <f t="shared" si="865"/>
        <v>1.8204</v>
      </c>
      <c r="W4659" s="2">
        <v>1.48</v>
      </c>
      <c r="X4659" s="18">
        <f t="shared" si="866"/>
        <v>0</v>
      </c>
      <c r="Z4659" s="2" t="s">
        <v>3226</v>
      </c>
      <c r="AA4659" s="2" t="s">
        <v>96</v>
      </c>
      <c r="AB4659" s="2" t="s">
        <v>76</v>
      </c>
      <c r="AC4659" s="2" t="s">
        <v>93</v>
      </c>
      <c r="AK4659" s="2">
        <f t="shared" si="862"/>
        <v>0</v>
      </c>
      <c r="AL4659" s="5">
        <f t="shared" si="863"/>
        <v>0</v>
      </c>
    </row>
    <row r="4660" spans="1:38" x14ac:dyDescent="0.2">
      <c r="A4660" s="2">
        <v>2026</v>
      </c>
      <c r="B4660" s="2">
        <v>8</v>
      </c>
      <c r="C4660" s="2" t="s">
        <v>3532</v>
      </c>
      <c r="D4660" s="38" t="s">
        <v>1718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1436</v>
      </c>
      <c r="R4660" s="38" t="s">
        <v>1437</v>
      </c>
      <c r="S4660" s="37">
        <v>6</v>
      </c>
      <c r="T4660" s="36">
        <v>41.4</v>
      </c>
      <c r="U4660" s="2">
        <f t="shared" si="864"/>
        <v>9.5220000000000002</v>
      </c>
      <c r="V4660" s="2">
        <f t="shared" si="865"/>
        <v>50.921999999999997</v>
      </c>
      <c r="W4660" s="2">
        <f>5.135*S4660</f>
        <v>30.81</v>
      </c>
      <c r="X4660" s="18">
        <f t="shared" si="866"/>
        <v>0.25579710144927537</v>
      </c>
      <c r="Z4660" s="2" t="s">
        <v>3226</v>
      </c>
      <c r="AA4660" s="2" t="s">
        <v>71</v>
      </c>
      <c r="AB4660" s="2" t="s">
        <v>119</v>
      </c>
      <c r="AC4660" s="2" t="s">
        <v>119</v>
      </c>
      <c r="AK4660" s="2">
        <f t="shared" si="862"/>
        <v>10.59</v>
      </c>
      <c r="AL4660" s="5">
        <f t="shared" si="863"/>
        <v>0.25579710144927537</v>
      </c>
    </row>
    <row r="4661" spans="1:38" x14ac:dyDescent="0.2">
      <c r="A4661" s="2">
        <v>2026</v>
      </c>
      <c r="B4661" s="2">
        <v>8</v>
      </c>
      <c r="C4661" s="2" t="s">
        <v>3532</v>
      </c>
      <c r="D4661" s="38" t="s">
        <v>3108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3049</v>
      </c>
      <c r="R4661" s="38" t="s">
        <v>3050</v>
      </c>
      <c r="S4661" s="37">
        <v>2</v>
      </c>
      <c r="T4661" s="36">
        <v>17.8</v>
      </c>
      <c r="U4661" s="2">
        <f t="shared" si="864"/>
        <v>4.0940000000000003</v>
      </c>
      <c r="V4661" s="2">
        <f t="shared" si="865"/>
        <v>21.894000000000002</v>
      </c>
      <c r="W4661" s="2">
        <f>6.23*2</f>
        <v>12.46</v>
      </c>
      <c r="X4661" s="18">
        <f t="shared" si="866"/>
        <v>0.3</v>
      </c>
      <c r="Z4661" s="2" t="s">
        <v>3226</v>
      </c>
      <c r="AA4661" s="2" t="s">
        <v>155</v>
      </c>
      <c r="AB4661" s="2" t="s">
        <v>3401</v>
      </c>
      <c r="AC4661" s="2" t="s">
        <v>1327</v>
      </c>
      <c r="AK4661" s="2">
        <f t="shared" si="862"/>
        <v>5.34</v>
      </c>
      <c r="AL4661" s="5">
        <f t="shared" si="863"/>
        <v>0.3</v>
      </c>
    </row>
    <row r="4662" spans="1:38" x14ac:dyDescent="0.2">
      <c r="A4662" s="2">
        <v>2026</v>
      </c>
      <c r="B4662" s="2">
        <v>8</v>
      </c>
      <c r="C4662" s="2" t="s">
        <v>3532</v>
      </c>
      <c r="D4662" s="38" t="s">
        <v>3108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3088</v>
      </c>
      <c r="R4662" s="38" t="s">
        <v>3089</v>
      </c>
      <c r="S4662" s="37">
        <v>1</v>
      </c>
      <c r="T4662" s="36">
        <v>2490</v>
      </c>
      <c r="U4662" s="2">
        <f t="shared" si="864"/>
        <v>572.70000000000005</v>
      </c>
      <c r="V4662" s="2">
        <f t="shared" si="865"/>
        <v>3062.7</v>
      </c>
      <c r="W4662" s="2">
        <f>1907.5+49</f>
        <v>1956.5</v>
      </c>
      <c r="X4662" s="18">
        <f t="shared" si="866"/>
        <v>0.21425702811244979</v>
      </c>
      <c r="Z4662" s="2" t="s">
        <v>104</v>
      </c>
      <c r="AA4662" s="2" t="s">
        <v>387</v>
      </c>
      <c r="AB4662" s="2" t="s">
        <v>1330</v>
      </c>
      <c r="AC4662" s="2" t="s">
        <v>1327</v>
      </c>
      <c r="AK4662" s="2">
        <f t="shared" si="862"/>
        <v>533.5</v>
      </c>
      <c r="AL4662" s="5">
        <f t="shared" si="863"/>
        <v>0.21425702811244979</v>
      </c>
    </row>
    <row r="4663" spans="1:38" x14ac:dyDescent="0.2">
      <c r="A4663" s="2">
        <v>2026</v>
      </c>
      <c r="B4663" s="2">
        <v>8</v>
      </c>
      <c r="C4663" s="2" t="s">
        <v>3532</v>
      </c>
      <c r="D4663" s="38" t="s">
        <v>3108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3090</v>
      </c>
      <c r="R4663" s="38" t="s">
        <v>3091</v>
      </c>
      <c r="S4663" s="37">
        <v>1</v>
      </c>
      <c r="T4663" s="36">
        <v>2490</v>
      </c>
      <c r="U4663" s="2">
        <f t="shared" si="864"/>
        <v>572.70000000000005</v>
      </c>
      <c r="V4663" s="2">
        <f t="shared" si="865"/>
        <v>3062.7</v>
      </c>
      <c r="W4663" s="2">
        <f>1995.2+43.97</f>
        <v>2039.17</v>
      </c>
      <c r="X4663" s="18">
        <f t="shared" si="866"/>
        <v>0.18105622489959836</v>
      </c>
      <c r="Z4663" s="2" t="s">
        <v>104</v>
      </c>
      <c r="AA4663" s="2" t="s">
        <v>387</v>
      </c>
      <c r="AB4663" s="2" t="s">
        <v>1330</v>
      </c>
      <c r="AC4663" s="2" t="s">
        <v>1327</v>
      </c>
      <c r="AK4663" s="2">
        <f t="shared" si="862"/>
        <v>450.82999999999993</v>
      </c>
      <c r="AL4663" s="5">
        <f t="shared" si="863"/>
        <v>0.18105622489959836</v>
      </c>
    </row>
    <row r="4664" spans="1:38" x14ac:dyDescent="0.2">
      <c r="A4664" s="2">
        <v>2026</v>
      </c>
      <c r="B4664" s="2">
        <v>8</v>
      </c>
      <c r="C4664" s="2" t="s">
        <v>3532</v>
      </c>
      <c r="D4664" s="38" t="s">
        <v>3108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4"/>
        <v>16.100000000000001</v>
      </c>
      <c r="V4664" s="2">
        <f t="shared" si="865"/>
        <v>86.1</v>
      </c>
      <c r="W4664" s="2">
        <v>47.4</v>
      </c>
      <c r="X4664" s="18">
        <f t="shared" si="866"/>
        <v>0.3228571428571429</v>
      </c>
      <c r="Z4664" s="2" t="s">
        <v>3226</v>
      </c>
      <c r="AA4664" s="2" t="s">
        <v>71</v>
      </c>
      <c r="AB4664" s="2" t="s">
        <v>68</v>
      </c>
      <c r="AC4664" s="2" t="s">
        <v>3230</v>
      </c>
      <c r="AK4664" s="2">
        <f t="shared" si="862"/>
        <v>22.6</v>
      </c>
      <c r="AL4664" s="5">
        <f t="shared" si="863"/>
        <v>0.3228571428571429</v>
      </c>
    </row>
    <row r="4665" spans="1:38" x14ac:dyDescent="0.2">
      <c r="A4665" s="2">
        <v>2026</v>
      </c>
      <c r="B4665" s="2">
        <v>8</v>
      </c>
      <c r="C4665" s="2" t="s">
        <v>3532</v>
      </c>
      <c r="D4665" s="38" t="s">
        <v>3108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3516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4"/>
        <v>190.68379999999999</v>
      </c>
      <c r="V4665" s="2">
        <f t="shared" si="865"/>
        <v>1019.7438</v>
      </c>
      <c r="W4665" s="17">
        <f>T4665*75%</f>
        <v>621.79499999999996</v>
      </c>
      <c r="X4665" s="18">
        <f t="shared" si="866"/>
        <v>0.25</v>
      </c>
      <c r="Z4665" s="2" t="s">
        <v>119</v>
      </c>
      <c r="AA4665" s="2" t="s">
        <v>3378</v>
      </c>
      <c r="AB4665" s="2" t="s">
        <v>3516</v>
      </c>
      <c r="AK4665" s="2">
        <f t="shared" si="862"/>
        <v>207.26499999999999</v>
      </c>
      <c r="AL4665" s="5">
        <f t="shared" si="863"/>
        <v>0.25</v>
      </c>
    </row>
    <row r="4666" spans="1:38" x14ac:dyDescent="0.2">
      <c r="A4666" s="2">
        <v>2026</v>
      </c>
      <c r="B4666" s="2">
        <v>8</v>
      </c>
      <c r="C4666" s="2" t="s">
        <v>3532</v>
      </c>
      <c r="D4666" s="2" t="s">
        <v>1543</v>
      </c>
      <c r="E4666" s="2" t="s">
        <v>108</v>
      </c>
      <c r="F4666" s="2" t="s">
        <v>39</v>
      </c>
      <c r="L4666" s="2" t="s">
        <v>177</v>
      </c>
      <c r="M4666" s="2" t="s">
        <v>40</v>
      </c>
      <c r="P4666" s="2" t="s">
        <v>2346</v>
      </c>
      <c r="Q4666" s="2" t="s">
        <v>3535</v>
      </c>
      <c r="R4666" s="2" t="s">
        <v>3536</v>
      </c>
      <c r="S4666" s="13">
        <v>1</v>
      </c>
      <c r="T4666" s="14">
        <v>87.35</v>
      </c>
      <c r="U4666" s="2">
        <f>T4666*23%</f>
        <v>20.090499999999999</v>
      </c>
      <c r="V4666" s="2">
        <f t="shared" si="865"/>
        <v>107.44049999999999</v>
      </c>
      <c r="W4666" s="2">
        <v>38.659999999999997</v>
      </c>
      <c r="X4666" s="18">
        <f t="shared" si="866"/>
        <v>0.55741270749856897</v>
      </c>
      <c r="Y4666" s="2" t="s">
        <v>2540</v>
      </c>
      <c r="Z4666" s="2" t="s">
        <v>117</v>
      </c>
      <c r="AA4666" s="2" t="s">
        <v>118</v>
      </c>
      <c r="AB4666" s="2" t="s">
        <v>119</v>
      </c>
      <c r="AC4666" s="2" t="s">
        <v>2346</v>
      </c>
      <c r="AK4666" s="2">
        <f t="shared" ref="AK4666:AK4674" si="867">T4666-W4666</f>
        <v>48.69</v>
      </c>
      <c r="AL4666" s="5">
        <f t="shared" ref="AL4666:AL4674" si="868">(T4666-W4666)/T4666</f>
        <v>0.55741270749856897</v>
      </c>
    </row>
    <row r="4667" spans="1:38" x14ac:dyDescent="0.2">
      <c r="A4667" s="2">
        <v>2026</v>
      </c>
      <c r="B4667" s="2">
        <v>8</v>
      </c>
      <c r="C4667" s="2" t="s">
        <v>3532</v>
      </c>
      <c r="D4667" s="2" t="s">
        <v>1543</v>
      </c>
      <c r="E4667" s="2" t="s">
        <v>108</v>
      </c>
      <c r="F4667" s="2" t="s">
        <v>39</v>
      </c>
      <c r="L4667" s="2" t="s">
        <v>177</v>
      </c>
      <c r="M4667" s="2" t="s">
        <v>40</v>
      </c>
      <c r="P4667" s="2" t="s">
        <v>187</v>
      </c>
      <c r="Q4667" s="2" t="s">
        <v>188</v>
      </c>
      <c r="R4667" s="2" t="s">
        <v>189</v>
      </c>
      <c r="S4667" s="13">
        <v>1</v>
      </c>
      <c r="T4667" s="14">
        <v>75</v>
      </c>
      <c r="U4667" s="2">
        <f t="shared" ref="U4667:U4674" si="869">T4667*23%</f>
        <v>17.25</v>
      </c>
      <c r="V4667" s="2">
        <f t="shared" ref="V4667:V4675" si="870">T4667+U4667</f>
        <v>92.25</v>
      </c>
      <c r="W4667" s="2">
        <f>T4667*40%</f>
        <v>30</v>
      </c>
      <c r="X4667" s="18">
        <f t="shared" si="866"/>
        <v>0.6</v>
      </c>
      <c r="Y4667" s="2" t="s">
        <v>2540</v>
      </c>
      <c r="Z4667" s="2" t="s">
        <v>117</v>
      </c>
      <c r="AA4667" s="2" t="s">
        <v>190</v>
      </c>
      <c r="AB4667" s="2" t="s">
        <v>189</v>
      </c>
      <c r="AC4667" s="2" t="s">
        <v>40</v>
      </c>
      <c r="AK4667" s="2">
        <f t="shared" si="867"/>
        <v>45</v>
      </c>
      <c r="AL4667" s="5">
        <f t="shared" si="868"/>
        <v>0.6</v>
      </c>
    </row>
    <row r="4668" spans="1:38" x14ac:dyDescent="0.2">
      <c r="A4668" s="2">
        <v>2026</v>
      </c>
      <c r="B4668" s="2">
        <v>8</v>
      </c>
      <c r="C4668" s="2" t="s">
        <v>3532</v>
      </c>
      <c r="D4668" s="2" t="s">
        <v>1543</v>
      </c>
      <c r="E4668" s="2" t="s">
        <v>108</v>
      </c>
      <c r="F4668" s="2" t="s">
        <v>39</v>
      </c>
      <c r="L4668" s="2" t="s">
        <v>177</v>
      </c>
      <c r="M4668" s="2" t="s">
        <v>40</v>
      </c>
      <c r="P4668" s="2" t="s">
        <v>187</v>
      </c>
      <c r="Q4668" s="2" t="s">
        <v>191</v>
      </c>
      <c r="R4668" s="2" t="s">
        <v>190</v>
      </c>
      <c r="S4668" s="13">
        <v>1</v>
      </c>
      <c r="T4668" s="14">
        <v>55</v>
      </c>
      <c r="U4668" s="2">
        <f t="shared" si="869"/>
        <v>12.65</v>
      </c>
      <c r="V4668" s="2">
        <f t="shared" si="870"/>
        <v>67.650000000000006</v>
      </c>
      <c r="W4668" s="2">
        <f>T4668*50%</f>
        <v>27.5</v>
      </c>
      <c r="X4668" s="18">
        <f t="shared" si="866"/>
        <v>0.5</v>
      </c>
      <c r="Y4668" s="2" t="s">
        <v>2540</v>
      </c>
      <c r="Z4668" s="2" t="s">
        <v>117</v>
      </c>
      <c r="AA4668" s="2" t="s">
        <v>190</v>
      </c>
      <c r="AB4668" s="2" t="s">
        <v>190</v>
      </c>
      <c r="AC4668" s="2" t="s">
        <v>40</v>
      </c>
      <c r="AK4668" s="2">
        <f t="shared" si="867"/>
        <v>27.5</v>
      </c>
      <c r="AL4668" s="5">
        <f t="shared" si="868"/>
        <v>0.5</v>
      </c>
    </row>
    <row r="4669" spans="1:38" x14ac:dyDescent="0.2">
      <c r="A4669" s="2">
        <v>2026</v>
      </c>
      <c r="B4669" s="2">
        <v>8</v>
      </c>
      <c r="C4669" s="2" t="s">
        <v>3532</v>
      </c>
      <c r="D4669" s="2" t="s">
        <v>415</v>
      </c>
      <c r="E4669" s="2" t="s">
        <v>38</v>
      </c>
      <c r="F4669" s="2" t="s">
        <v>39</v>
      </c>
      <c r="G4669" s="2">
        <v>219908800</v>
      </c>
      <c r="H4669" s="2" t="s">
        <v>41</v>
      </c>
      <c r="I4669" s="2" t="s">
        <v>416</v>
      </c>
      <c r="J4669" s="2" t="s">
        <v>417</v>
      </c>
      <c r="L4669" s="2" t="s">
        <v>418</v>
      </c>
      <c r="M4669" s="2" t="s">
        <v>41</v>
      </c>
      <c r="P4669" s="2" t="s">
        <v>43</v>
      </c>
      <c r="Q4669" s="2" t="s">
        <v>48</v>
      </c>
      <c r="R4669" s="2" t="s">
        <v>49</v>
      </c>
      <c r="S4669" s="13">
        <v>3</v>
      </c>
      <c r="T4669" s="14">
        <v>39</v>
      </c>
      <c r="U4669" s="2">
        <f t="shared" si="869"/>
        <v>8.9700000000000006</v>
      </c>
      <c r="V4669" s="2">
        <f t="shared" si="870"/>
        <v>47.97</v>
      </c>
      <c r="W4669" s="2">
        <f>6.6267*S4669</f>
        <v>19.880099999999999</v>
      </c>
      <c r="X4669" s="18">
        <f t="shared" si="866"/>
        <v>0.49025384615384621</v>
      </c>
      <c r="Z4669" s="2" t="s">
        <v>3226</v>
      </c>
      <c r="AA4669" s="2" t="s">
        <v>46</v>
      </c>
      <c r="AB4669" s="2" t="s">
        <v>47</v>
      </c>
      <c r="AC4669" s="2" t="s">
        <v>57</v>
      </c>
      <c r="AK4669" s="2">
        <f t="shared" si="867"/>
        <v>19.119900000000001</v>
      </c>
      <c r="AL4669" s="5">
        <f t="shared" si="868"/>
        <v>0.49025384615384621</v>
      </c>
    </row>
    <row r="4670" spans="1:38" x14ac:dyDescent="0.2">
      <c r="A4670" s="2">
        <v>2026</v>
      </c>
      <c r="B4670" s="2">
        <v>8</v>
      </c>
      <c r="C4670" s="2" t="s">
        <v>3532</v>
      </c>
      <c r="D4670" s="2" t="s">
        <v>415</v>
      </c>
      <c r="E4670" s="2" t="s">
        <v>38</v>
      </c>
      <c r="F4670" s="2" t="s">
        <v>39</v>
      </c>
      <c r="G4670" s="2">
        <v>219908800</v>
      </c>
      <c r="H4670" s="2" t="s">
        <v>41</v>
      </c>
      <c r="I4670" s="2" t="s">
        <v>416</v>
      </c>
      <c r="J4670" s="2" t="s">
        <v>417</v>
      </c>
      <c r="L4670" s="2" t="s">
        <v>418</v>
      </c>
      <c r="M4670" s="2" t="s">
        <v>41</v>
      </c>
      <c r="P4670" s="2" t="s">
        <v>169</v>
      </c>
      <c r="Q4670" s="2" t="s">
        <v>170</v>
      </c>
      <c r="R4670" s="2" t="s">
        <v>170</v>
      </c>
      <c r="S4670" s="13">
        <v>1</v>
      </c>
      <c r="T4670" s="14">
        <v>5</v>
      </c>
      <c r="U4670" s="2">
        <f t="shared" si="869"/>
        <v>1.1500000000000001</v>
      </c>
      <c r="V4670" s="2">
        <f t="shared" si="870"/>
        <v>6.15</v>
      </c>
      <c r="W4670" s="2">
        <v>5</v>
      </c>
      <c r="X4670" s="18">
        <f t="shared" si="866"/>
        <v>0</v>
      </c>
      <c r="Z4670" s="2" t="s">
        <v>169</v>
      </c>
      <c r="AA4670" s="2" t="s">
        <v>169</v>
      </c>
      <c r="AK4670" s="2">
        <f t="shared" si="867"/>
        <v>0</v>
      </c>
      <c r="AL4670" s="5">
        <f t="shared" si="868"/>
        <v>0</v>
      </c>
    </row>
    <row r="4671" spans="1:38" x14ac:dyDescent="0.2">
      <c r="A4671" s="2">
        <v>2026</v>
      </c>
      <c r="B4671" s="2">
        <v>8</v>
      </c>
      <c r="C4671" s="2" t="s">
        <v>3532</v>
      </c>
      <c r="D4671" s="2" t="s">
        <v>1590</v>
      </c>
      <c r="E4671" s="2" t="s">
        <v>38</v>
      </c>
      <c r="F4671" s="2" t="s">
        <v>39</v>
      </c>
      <c r="L4671" s="2" t="s">
        <v>571</v>
      </c>
      <c r="M4671" s="2" t="s">
        <v>80</v>
      </c>
      <c r="P4671" s="2" t="s">
        <v>72</v>
      </c>
      <c r="Q4671" s="2" t="s">
        <v>1075</v>
      </c>
      <c r="R4671" s="2" t="s">
        <v>83</v>
      </c>
      <c r="S4671" s="13">
        <v>1</v>
      </c>
      <c r="T4671" s="14">
        <v>285</v>
      </c>
      <c r="U4671" s="2">
        <f t="shared" si="869"/>
        <v>65.55</v>
      </c>
      <c r="V4671" s="2">
        <f t="shared" si="870"/>
        <v>350.55</v>
      </c>
      <c r="W4671" s="2">
        <v>171.67500000000001</v>
      </c>
      <c r="X4671" s="18">
        <f t="shared" si="866"/>
        <v>0.39763157894736839</v>
      </c>
      <c r="Z4671" s="2" t="s">
        <v>3226</v>
      </c>
      <c r="AA4671" s="2" t="s">
        <v>75</v>
      </c>
      <c r="AB4671" s="2" t="s">
        <v>76</v>
      </c>
      <c r="AC4671" s="2" t="s">
        <v>77</v>
      </c>
      <c r="AK4671" s="2">
        <f t="shared" si="867"/>
        <v>113.32499999999999</v>
      </c>
      <c r="AL4671" s="5">
        <f t="shared" si="868"/>
        <v>0.39763157894736839</v>
      </c>
    </row>
    <row r="4672" spans="1:38" x14ac:dyDescent="0.2">
      <c r="A4672" s="2">
        <v>2026</v>
      </c>
      <c r="B4672" s="2">
        <v>8</v>
      </c>
      <c r="C4672" s="2" t="s">
        <v>3532</v>
      </c>
      <c r="D4672" s="2" t="s">
        <v>1590</v>
      </c>
      <c r="E4672" s="2" t="s">
        <v>38</v>
      </c>
      <c r="F4672" s="2" t="s">
        <v>39</v>
      </c>
      <c r="L4672" s="2" t="s">
        <v>571</v>
      </c>
      <c r="M4672" s="2" t="s">
        <v>80</v>
      </c>
      <c r="P4672" s="2" t="s">
        <v>93</v>
      </c>
      <c r="Q4672" s="2" t="s">
        <v>94</v>
      </c>
      <c r="R4672" s="2" t="s">
        <v>95</v>
      </c>
      <c r="S4672" s="13">
        <v>1</v>
      </c>
      <c r="T4672" s="14">
        <v>1.48</v>
      </c>
      <c r="U4672" s="2">
        <f t="shared" si="869"/>
        <v>0.34040000000000004</v>
      </c>
      <c r="V4672" s="2">
        <f t="shared" si="870"/>
        <v>1.8204</v>
      </c>
      <c r="W4672" s="2">
        <v>1.48</v>
      </c>
      <c r="X4672" s="18">
        <f t="shared" si="866"/>
        <v>0</v>
      </c>
      <c r="Z4672" s="2" t="s">
        <v>3226</v>
      </c>
      <c r="AA4672" s="2" t="s">
        <v>96</v>
      </c>
      <c r="AB4672" s="2" t="s">
        <v>76</v>
      </c>
      <c r="AC4672" s="2" t="s">
        <v>93</v>
      </c>
      <c r="AK4672" s="2">
        <f t="shared" si="867"/>
        <v>0</v>
      </c>
      <c r="AL4672" s="5">
        <f t="shared" si="868"/>
        <v>0</v>
      </c>
    </row>
    <row r="4673" spans="1:38" x14ac:dyDescent="0.2">
      <c r="A4673" s="2">
        <v>2026</v>
      </c>
      <c r="B4673" s="2">
        <v>8</v>
      </c>
      <c r="C4673" s="2" t="s">
        <v>3532</v>
      </c>
      <c r="D4673" s="2" t="s">
        <v>549</v>
      </c>
      <c r="E4673" s="2" t="s">
        <v>108</v>
      </c>
      <c r="F4673" s="2" t="s">
        <v>395</v>
      </c>
      <c r="G4673" s="2">
        <v>503641790</v>
      </c>
      <c r="H4673" s="2" t="s">
        <v>40</v>
      </c>
      <c r="I4673" s="2" t="s">
        <v>550</v>
      </c>
      <c r="J4673" s="2" t="s">
        <v>551</v>
      </c>
      <c r="K4673" s="2">
        <v>917753665</v>
      </c>
      <c r="L4673" s="2" t="s">
        <v>99</v>
      </c>
      <c r="M4673" s="2" t="s">
        <v>40</v>
      </c>
      <c r="P4673" s="2" t="s">
        <v>187</v>
      </c>
      <c r="Q4673" s="2" t="s">
        <v>188</v>
      </c>
      <c r="R4673" s="2" t="s">
        <v>189</v>
      </c>
      <c r="S4673" s="13">
        <v>1</v>
      </c>
      <c r="T4673" s="14">
        <v>45</v>
      </c>
      <c r="U4673" s="2">
        <f t="shared" si="869"/>
        <v>10.35</v>
      </c>
      <c r="V4673" s="2">
        <f t="shared" si="870"/>
        <v>55.35</v>
      </c>
      <c r="W4673" s="2">
        <f>T4673*40%</f>
        <v>18</v>
      </c>
      <c r="X4673" s="18">
        <f t="shared" si="866"/>
        <v>0.6</v>
      </c>
      <c r="Y4673" s="2" t="s">
        <v>2540</v>
      </c>
      <c r="Z4673" s="2" t="s">
        <v>117</v>
      </c>
      <c r="AA4673" s="2" t="s">
        <v>190</v>
      </c>
      <c r="AB4673" s="2" t="s">
        <v>189</v>
      </c>
      <c r="AC4673" s="2" t="s">
        <v>40</v>
      </c>
      <c r="AK4673" s="2">
        <f t="shared" si="867"/>
        <v>27</v>
      </c>
      <c r="AL4673" s="5">
        <f t="shared" si="868"/>
        <v>0.6</v>
      </c>
    </row>
    <row r="4674" spans="1:38" x14ac:dyDescent="0.2">
      <c r="A4674" s="2">
        <v>2026</v>
      </c>
      <c r="B4674" s="2">
        <v>8</v>
      </c>
      <c r="C4674" s="2" t="s">
        <v>3532</v>
      </c>
      <c r="D4674" s="2" t="s">
        <v>549</v>
      </c>
      <c r="E4674" s="2" t="s">
        <v>108</v>
      </c>
      <c r="F4674" s="2" t="s">
        <v>395</v>
      </c>
      <c r="G4674" s="2">
        <v>503641790</v>
      </c>
      <c r="H4674" s="2" t="s">
        <v>40</v>
      </c>
      <c r="I4674" s="2" t="s">
        <v>550</v>
      </c>
      <c r="J4674" s="2" t="s">
        <v>551</v>
      </c>
      <c r="K4674" s="2">
        <v>917753665</v>
      </c>
      <c r="L4674" s="2" t="s">
        <v>99</v>
      </c>
      <c r="M4674" s="2" t="s">
        <v>40</v>
      </c>
      <c r="P4674" s="2" t="s">
        <v>187</v>
      </c>
      <c r="Q4674" s="2" t="s">
        <v>191</v>
      </c>
      <c r="R4674" s="2" t="s">
        <v>190</v>
      </c>
      <c r="S4674" s="13">
        <v>3</v>
      </c>
      <c r="T4674" s="14">
        <v>49.5</v>
      </c>
      <c r="U4674" s="2">
        <f t="shared" si="869"/>
        <v>11.385</v>
      </c>
      <c r="V4674" s="2">
        <f t="shared" si="870"/>
        <v>60.884999999999998</v>
      </c>
      <c r="W4674" s="2">
        <f>T4674*50%</f>
        <v>24.75</v>
      </c>
      <c r="X4674" s="18">
        <f t="shared" si="866"/>
        <v>0.5</v>
      </c>
      <c r="Y4674" s="2" t="s">
        <v>2540</v>
      </c>
      <c r="Z4674" s="2" t="s">
        <v>117</v>
      </c>
      <c r="AA4674" s="2" t="s">
        <v>190</v>
      </c>
      <c r="AB4674" s="2" t="s">
        <v>190</v>
      </c>
      <c r="AC4674" s="2" t="s">
        <v>40</v>
      </c>
      <c r="AK4674" s="2">
        <f t="shared" si="867"/>
        <v>24.75</v>
      </c>
      <c r="AL4674" s="5">
        <f t="shared" si="868"/>
        <v>0.5</v>
      </c>
    </row>
    <row r="4675" spans="1:38" x14ac:dyDescent="0.2">
      <c r="A4675" s="2">
        <v>2026</v>
      </c>
      <c r="B4675" s="2">
        <v>8</v>
      </c>
      <c r="C4675" s="2" t="s">
        <v>3532</v>
      </c>
      <c r="D4675" s="2" t="s">
        <v>3552</v>
      </c>
      <c r="E4675" s="2" t="s">
        <v>108</v>
      </c>
      <c r="F4675" s="2" t="s">
        <v>39</v>
      </c>
      <c r="L4675" s="2" t="s">
        <v>133</v>
      </c>
      <c r="M4675" s="2" t="s">
        <v>80</v>
      </c>
      <c r="P4675" s="2" t="s">
        <v>1038</v>
      </c>
      <c r="Q4675" s="2" t="s">
        <v>3537</v>
      </c>
      <c r="R4675" s="2" t="s">
        <v>3538</v>
      </c>
      <c r="S4675" s="13">
        <v>2</v>
      </c>
      <c r="T4675" s="14">
        <v>589.42999999999995</v>
      </c>
      <c r="U4675" s="2">
        <f>T4675*23%</f>
        <v>135.56889999999999</v>
      </c>
      <c r="V4675" s="2">
        <f t="shared" si="870"/>
        <v>724.99889999999994</v>
      </c>
      <c r="W4675" s="2">
        <f>186.43*S4675</f>
        <v>372.86</v>
      </c>
      <c r="X4675" s="18">
        <f t="shared" si="866"/>
        <v>0.36742276436557342</v>
      </c>
      <c r="Z4675" s="2" t="s">
        <v>3226</v>
      </c>
      <c r="AA4675" s="2" t="s">
        <v>1041</v>
      </c>
      <c r="AB4675" s="2" t="s">
        <v>2031</v>
      </c>
      <c r="AC4675" s="2" t="s">
        <v>1038</v>
      </c>
      <c r="AK4675" s="2">
        <f t="shared" ref="AK4675:AK4706" si="871">T4675-W4675</f>
        <v>216.56999999999994</v>
      </c>
      <c r="AL4675" s="5">
        <f t="shared" ref="AL4675:AL4706" si="872">(T4675-W4675)/T4675</f>
        <v>0.36742276436557342</v>
      </c>
    </row>
    <row r="4676" spans="1:38" x14ac:dyDescent="0.2">
      <c r="A4676" s="2">
        <v>2026</v>
      </c>
      <c r="B4676" s="2">
        <v>8</v>
      </c>
      <c r="C4676" s="2" t="s">
        <v>3532</v>
      </c>
      <c r="D4676" s="2" t="s">
        <v>3552</v>
      </c>
      <c r="E4676" s="2" t="s">
        <v>108</v>
      </c>
      <c r="F4676" s="2" t="s">
        <v>39</v>
      </c>
      <c r="L4676" s="2" t="s">
        <v>133</v>
      </c>
      <c r="M4676" s="2" t="s">
        <v>80</v>
      </c>
      <c r="P4676" s="2" t="s">
        <v>1038</v>
      </c>
      <c r="Q4676" s="2" t="s">
        <v>3539</v>
      </c>
      <c r="R4676" s="2" t="s">
        <v>3540</v>
      </c>
      <c r="S4676" s="13">
        <v>2</v>
      </c>
      <c r="T4676" s="14">
        <v>589.42999999999995</v>
      </c>
      <c r="U4676" s="2">
        <f t="shared" ref="U4676:U4707" si="873">T4676*23%</f>
        <v>135.56889999999999</v>
      </c>
      <c r="V4676" s="2">
        <f t="shared" ref="V4676:V4707" si="874">T4676+U4676</f>
        <v>724.99889999999994</v>
      </c>
      <c r="W4676" s="2">
        <f>192.07*S4676</f>
        <v>384.14</v>
      </c>
      <c r="X4676" s="18">
        <f t="shared" si="866"/>
        <v>0.34828563188164835</v>
      </c>
      <c r="Z4676" s="2" t="s">
        <v>3226</v>
      </c>
      <c r="AA4676" s="2" t="s">
        <v>1041</v>
      </c>
      <c r="AB4676" s="2" t="s">
        <v>2031</v>
      </c>
      <c r="AC4676" s="2" t="s">
        <v>1038</v>
      </c>
      <c r="AK4676" s="2">
        <f t="shared" si="871"/>
        <v>205.28999999999996</v>
      </c>
      <c r="AL4676" s="5">
        <f t="shared" si="872"/>
        <v>0.34828563188164835</v>
      </c>
    </row>
    <row r="4677" spans="1:38" x14ac:dyDescent="0.2">
      <c r="A4677" s="2">
        <v>2026</v>
      </c>
      <c r="B4677" s="2">
        <v>8</v>
      </c>
      <c r="C4677" s="2" t="s">
        <v>3532</v>
      </c>
      <c r="D4677" s="2" t="s">
        <v>319</v>
      </c>
      <c r="E4677" s="2" t="s">
        <v>38</v>
      </c>
      <c r="F4677" s="2" t="s">
        <v>39</v>
      </c>
      <c r="G4677" s="2">
        <v>500883262</v>
      </c>
      <c r="H4677" s="2" t="s">
        <v>40</v>
      </c>
      <c r="I4677" s="2" t="s">
        <v>99</v>
      </c>
      <c r="J4677" s="2" t="s">
        <v>320</v>
      </c>
      <c r="L4677" s="2" t="s">
        <v>99</v>
      </c>
      <c r="M4677" s="2" t="s">
        <v>80</v>
      </c>
      <c r="P4677" s="2" t="s">
        <v>72</v>
      </c>
      <c r="Q4677" s="2" t="s">
        <v>484</v>
      </c>
      <c r="R4677" s="2" t="s">
        <v>74</v>
      </c>
      <c r="S4677" s="13">
        <v>1</v>
      </c>
      <c r="T4677" s="14">
        <v>230</v>
      </c>
      <c r="U4677" s="2">
        <f t="shared" si="873"/>
        <v>52.900000000000006</v>
      </c>
      <c r="V4677" s="2">
        <f t="shared" si="874"/>
        <v>282.89999999999998</v>
      </c>
      <c r="W4677" s="2">
        <v>131.93</v>
      </c>
      <c r="X4677" s="18">
        <f t="shared" si="866"/>
        <v>0.42639130434782607</v>
      </c>
      <c r="Z4677" s="2" t="s">
        <v>3226</v>
      </c>
      <c r="AA4677" s="2" t="s">
        <v>75</v>
      </c>
      <c r="AB4677" s="2" t="s">
        <v>76</v>
      </c>
      <c r="AC4677" s="2" t="s">
        <v>77</v>
      </c>
      <c r="AF4677" s="2">
        <f>AJ4677</f>
        <v>0</v>
      </c>
      <c r="AG4677" s="2">
        <v>131.93</v>
      </c>
      <c r="AH4677" s="2">
        <v>220</v>
      </c>
      <c r="AK4677" s="2">
        <f t="shared" si="871"/>
        <v>98.07</v>
      </c>
      <c r="AL4677" s="5">
        <f t="shared" si="872"/>
        <v>0.42639130434782607</v>
      </c>
    </row>
    <row r="4678" spans="1:38" x14ac:dyDescent="0.2">
      <c r="A4678" s="2">
        <v>2026</v>
      </c>
      <c r="B4678" s="2">
        <v>8</v>
      </c>
      <c r="C4678" s="2" t="s">
        <v>3532</v>
      </c>
      <c r="D4678" s="2" t="s">
        <v>319</v>
      </c>
      <c r="E4678" s="2" t="s">
        <v>38</v>
      </c>
      <c r="F4678" s="2" t="s">
        <v>39</v>
      </c>
      <c r="G4678" s="2">
        <v>500883262</v>
      </c>
      <c r="H4678" s="2" t="s">
        <v>40</v>
      </c>
      <c r="I4678" s="2" t="s">
        <v>99</v>
      </c>
      <c r="J4678" s="2" t="s">
        <v>320</v>
      </c>
      <c r="L4678" s="2" t="s">
        <v>99</v>
      </c>
      <c r="M4678" s="2" t="s">
        <v>80</v>
      </c>
      <c r="P4678" s="2" t="s">
        <v>93</v>
      </c>
      <c r="Q4678" s="2" t="s">
        <v>94</v>
      </c>
      <c r="R4678" s="2" t="s">
        <v>95</v>
      </c>
      <c r="S4678" s="13">
        <v>1</v>
      </c>
      <c r="T4678" s="14">
        <v>1.48</v>
      </c>
      <c r="U4678" s="2">
        <f t="shared" si="873"/>
        <v>0.34040000000000004</v>
      </c>
      <c r="V4678" s="2">
        <f t="shared" si="874"/>
        <v>1.8204</v>
      </c>
      <c r="W4678" s="2">
        <v>1.48</v>
      </c>
      <c r="X4678" s="18">
        <f t="shared" si="866"/>
        <v>0</v>
      </c>
      <c r="Z4678" s="2" t="s">
        <v>3226</v>
      </c>
      <c r="AA4678" s="2" t="s">
        <v>96</v>
      </c>
      <c r="AB4678" s="2" t="s">
        <v>76</v>
      </c>
      <c r="AC4678" s="2" t="s">
        <v>93</v>
      </c>
      <c r="AK4678" s="2">
        <f t="shared" si="871"/>
        <v>0</v>
      </c>
      <c r="AL4678" s="5">
        <f t="shared" si="872"/>
        <v>0</v>
      </c>
    </row>
    <row r="4679" spans="1:38" x14ac:dyDescent="0.2">
      <c r="A4679" s="2">
        <v>2026</v>
      </c>
      <c r="B4679" s="2">
        <v>8</v>
      </c>
      <c r="C4679" s="2" t="s">
        <v>3532</v>
      </c>
      <c r="D4679" s="2" t="s">
        <v>2557</v>
      </c>
      <c r="E4679" s="2" t="s">
        <v>108</v>
      </c>
      <c r="F4679" s="2" t="s">
        <v>717</v>
      </c>
      <c r="G4679" s="2">
        <v>500228264</v>
      </c>
      <c r="H4679" s="2" t="s">
        <v>109</v>
      </c>
      <c r="I4679" s="2" t="s">
        <v>2937</v>
      </c>
      <c r="J4679" s="2" t="s">
        <v>2938</v>
      </c>
      <c r="K4679" s="2">
        <v>962004672</v>
      </c>
      <c r="L4679" s="2" t="s">
        <v>398</v>
      </c>
      <c r="M4679" s="2" t="s">
        <v>80</v>
      </c>
      <c r="P4679" s="2" t="s">
        <v>72</v>
      </c>
      <c r="Q4679" s="2" t="s">
        <v>3027</v>
      </c>
      <c r="R4679" s="2" t="s">
        <v>331</v>
      </c>
      <c r="S4679" s="13">
        <v>1</v>
      </c>
      <c r="T4679" s="14">
        <v>210</v>
      </c>
      <c r="U4679" s="2">
        <f t="shared" si="873"/>
        <v>48.300000000000004</v>
      </c>
      <c r="V4679" s="2">
        <f t="shared" si="874"/>
        <v>258.3</v>
      </c>
      <c r="W4679" s="2">
        <v>113.4</v>
      </c>
      <c r="X4679" s="18">
        <f t="shared" si="866"/>
        <v>0.45999999999999996</v>
      </c>
      <c r="Z4679" s="2" t="s">
        <v>3226</v>
      </c>
      <c r="AA4679" s="2" t="s">
        <v>75</v>
      </c>
      <c r="AB4679" s="2" t="s">
        <v>76</v>
      </c>
      <c r="AC4679" s="2" t="s">
        <v>77</v>
      </c>
      <c r="AK4679" s="2">
        <f t="shared" si="871"/>
        <v>96.6</v>
      </c>
      <c r="AL4679" s="5">
        <f t="shared" si="872"/>
        <v>0.45999999999999996</v>
      </c>
    </row>
    <row r="4680" spans="1:38" x14ac:dyDescent="0.2">
      <c r="A4680" s="2">
        <v>2026</v>
      </c>
      <c r="B4680" s="2">
        <v>8</v>
      </c>
      <c r="C4680" s="2" t="s">
        <v>3532</v>
      </c>
      <c r="D4680" s="2" t="s">
        <v>2557</v>
      </c>
      <c r="E4680" s="2" t="s">
        <v>108</v>
      </c>
      <c r="F4680" s="2" t="s">
        <v>717</v>
      </c>
      <c r="G4680" s="2">
        <v>500228264</v>
      </c>
      <c r="H4680" s="2" t="s">
        <v>109</v>
      </c>
      <c r="I4680" s="2" t="s">
        <v>2937</v>
      </c>
      <c r="J4680" s="2" t="s">
        <v>2938</v>
      </c>
      <c r="K4680" s="2">
        <v>962004672</v>
      </c>
      <c r="L4680" s="2" t="s">
        <v>398</v>
      </c>
      <c r="M4680" s="2" t="s">
        <v>80</v>
      </c>
      <c r="P4680" s="2" t="s">
        <v>93</v>
      </c>
      <c r="Q4680" s="2" t="s">
        <v>94</v>
      </c>
      <c r="R4680" s="2" t="s">
        <v>95</v>
      </c>
      <c r="S4680" s="13">
        <v>1</v>
      </c>
      <c r="T4680" s="14">
        <v>1.48</v>
      </c>
      <c r="U4680" s="2">
        <f t="shared" si="873"/>
        <v>0.34040000000000004</v>
      </c>
      <c r="V4680" s="2">
        <f t="shared" si="874"/>
        <v>1.8204</v>
      </c>
      <c r="W4680" s="2">
        <v>1.48</v>
      </c>
      <c r="X4680" s="18">
        <f t="shared" si="866"/>
        <v>0</v>
      </c>
      <c r="Z4680" s="2" t="s">
        <v>3226</v>
      </c>
      <c r="AA4680" s="2" t="s">
        <v>96</v>
      </c>
      <c r="AB4680" s="2" t="s">
        <v>76</v>
      </c>
      <c r="AC4680" s="2" t="s">
        <v>93</v>
      </c>
      <c r="AK4680" s="2">
        <f t="shared" si="871"/>
        <v>0</v>
      </c>
      <c r="AL4680" s="5">
        <f t="shared" si="872"/>
        <v>0</v>
      </c>
    </row>
    <row r="4681" spans="1:38" x14ac:dyDescent="0.2">
      <c r="A4681" s="2">
        <v>2026</v>
      </c>
      <c r="B4681" s="2">
        <v>8</v>
      </c>
      <c r="C4681" s="2" t="s">
        <v>3532</v>
      </c>
      <c r="D4681" s="2" t="s">
        <v>341</v>
      </c>
      <c r="E4681" s="2" t="s">
        <v>98</v>
      </c>
      <c r="F4681" s="2" t="s">
        <v>39</v>
      </c>
      <c r="G4681" s="2">
        <v>515045209</v>
      </c>
      <c r="H4681" s="2" t="s">
        <v>40</v>
      </c>
      <c r="I4681" s="2" t="s">
        <v>342</v>
      </c>
      <c r="J4681" s="2" t="s">
        <v>343</v>
      </c>
      <c r="K4681" s="2">
        <v>910797622</v>
      </c>
      <c r="L4681" s="2" t="s">
        <v>344</v>
      </c>
      <c r="M4681" s="2" t="s">
        <v>80</v>
      </c>
      <c r="P4681" s="2" t="s">
        <v>72</v>
      </c>
      <c r="Q4681" s="2" t="s">
        <v>2407</v>
      </c>
      <c r="R4681" s="2" t="s">
        <v>1416</v>
      </c>
      <c r="S4681" s="13">
        <v>1</v>
      </c>
      <c r="T4681" s="14">
        <v>235</v>
      </c>
      <c r="U4681" s="2">
        <f t="shared" si="873"/>
        <v>54.050000000000004</v>
      </c>
      <c r="V4681" s="2">
        <f t="shared" si="874"/>
        <v>289.05</v>
      </c>
      <c r="W4681" s="2">
        <v>129.02000000000001</v>
      </c>
      <c r="X4681" s="18">
        <f t="shared" si="866"/>
        <v>0.45097872340425527</v>
      </c>
      <c r="Z4681" s="2" t="s">
        <v>3226</v>
      </c>
      <c r="AA4681" s="2" t="s">
        <v>75</v>
      </c>
      <c r="AB4681" s="2" t="s">
        <v>76</v>
      </c>
      <c r="AC4681" s="2" t="s">
        <v>77</v>
      </c>
      <c r="AK4681" s="2">
        <f t="shared" si="871"/>
        <v>105.97999999999999</v>
      </c>
      <c r="AL4681" s="5">
        <f t="shared" si="872"/>
        <v>0.45097872340425527</v>
      </c>
    </row>
    <row r="4682" spans="1:38" x14ac:dyDescent="0.2">
      <c r="A4682" s="2">
        <v>2026</v>
      </c>
      <c r="B4682" s="2">
        <v>8</v>
      </c>
      <c r="C4682" s="2" t="s">
        <v>3532</v>
      </c>
      <c r="D4682" s="2" t="s">
        <v>341</v>
      </c>
      <c r="E4682" s="2" t="s">
        <v>98</v>
      </c>
      <c r="F4682" s="2" t="s">
        <v>39</v>
      </c>
      <c r="G4682" s="2">
        <v>515045209</v>
      </c>
      <c r="H4682" s="2" t="s">
        <v>40</v>
      </c>
      <c r="I4682" s="2" t="s">
        <v>342</v>
      </c>
      <c r="J4682" s="2" t="s">
        <v>343</v>
      </c>
      <c r="K4682" s="2">
        <v>910797622</v>
      </c>
      <c r="L4682" s="2" t="s">
        <v>344</v>
      </c>
      <c r="M4682" s="2" t="s">
        <v>80</v>
      </c>
      <c r="P4682" s="2" t="s">
        <v>93</v>
      </c>
      <c r="Q4682" s="2" t="s">
        <v>94</v>
      </c>
      <c r="R4682" s="2" t="s">
        <v>95</v>
      </c>
      <c r="S4682" s="13">
        <v>1</v>
      </c>
      <c r="T4682" s="14">
        <v>1.48</v>
      </c>
      <c r="U4682" s="2">
        <f t="shared" si="873"/>
        <v>0.34040000000000004</v>
      </c>
      <c r="V4682" s="2">
        <f t="shared" si="874"/>
        <v>1.8204</v>
      </c>
      <c r="W4682" s="2">
        <v>1.48</v>
      </c>
      <c r="X4682" s="18">
        <f t="shared" si="866"/>
        <v>0</v>
      </c>
      <c r="Z4682" s="2" t="s">
        <v>3226</v>
      </c>
      <c r="AA4682" s="2" t="s">
        <v>96</v>
      </c>
      <c r="AB4682" s="2" t="s">
        <v>76</v>
      </c>
      <c r="AC4682" s="2" t="s">
        <v>93</v>
      </c>
      <c r="AK4682" s="2">
        <f t="shared" si="871"/>
        <v>0</v>
      </c>
      <c r="AL4682" s="5">
        <f t="shared" si="872"/>
        <v>0</v>
      </c>
    </row>
    <row r="4683" spans="1:38" x14ac:dyDescent="0.2">
      <c r="A4683" s="2">
        <v>2026</v>
      </c>
      <c r="B4683" s="2">
        <v>8</v>
      </c>
      <c r="C4683" s="2" t="s">
        <v>3532</v>
      </c>
      <c r="D4683" s="2" t="s">
        <v>749</v>
      </c>
      <c r="E4683" s="2" t="s">
        <v>108</v>
      </c>
      <c r="F4683" s="2" t="s">
        <v>39</v>
      </c>
      <c r="G4683" s="2">
        <v>510039537</v>
      </c>
      <c r="H4683" s="2" t="s">
        <v>40</v>
      </c>
      <c r="I4683" s="2" t="s">
        <v>571</v>
      </c>
      <c r="J4683" s="2" t="s">
        <v>750</v>
      </c>
      <c r="K4683" s="2">
        <v>969042927</v>
      </c>
      <c r="L4683" s="2" t="s">
        <v>571</v>
      </c>
      <c r="M4683" s="2" t="s">
        <v>80</v>
      </c>
      <c r="P4683" s="2" t="s">
        <v>72</v>
      </c>
      <c r="Q4683" s="2" t="s">
        <v>3541</v>
      </c>
      <c r="R4683" s="2" t="s">
        <v>1416</v>
      </c>
      <c r="S4683" s="13">
        <v>1</v>
      </c>
      <c r="T4683" s="14">
        <v>250</v>
      </c>
      <c r="U4683" s="2">
        <f t="shared" si="873"/>
        <v>57.5</v>
      </c>
      <c r="V4683" s="2">
        <f t="shared" si="874"/>
        <v>307.5</v>
      </c>
      <c r="W4683" s="2">
        <v>133.05000000000001</v>
      </c>
      <c r="X4683" s="18">
        <f t="shared" si="866"/>
        <v>0.46779999999999994</v>
      </c>
      <c r="Z4683" s="2" t="s">
        <v>3226</v>
      </c>
      <c r="AA4683" s="2" t="s">
        <v>75</v>
      </c>
      <c r="AB4683" s="2" t="s">
        <v>76</v>
      </c>
      <c r="AC4683" s="2" t="s">
        <v>77</v>
      </c>
      <c r="AK4683" s="2">
        <f t="shared" si="871"/>
        <v>116.94999999999999</v>
      </c>
      <c r="AL4683" s="5">
        <f t="shared" si="872"/>
        <v>0.46779999999999994</v>
      </c>
    </row>
    <row r="4684" spans="1:38" x14ac:dyDescent="0.2">
      <c r="A4684" s="2">
        <v>2026</v>
      </c>
      <c r="B4684" s="2">
        <v>8</v>
      </c>
      <c r="C4684" s="2" t="s">
        <v>3532</v>
      </c>
      <c r="D4684" s="2" t="s">
        <v>749</v>
      </c>
      <c r="E4684" s="2" t="s">
        <v>108</v>
      </c>
      <c r="F4684" s="2" t="s">
        <v>39</v>
      </c>
      <c r="G4684" s="2">
        <v>510039537</v>
      </c>
      <c r="H4684" s="2" t="s">
        <v>40</v>
      </c>
      <c r="I4684" s="2" t="s">
        <v>571</v>
      </c>
      <c r="J4684" s="2" t="s">
        <v>750</v>
      </c>
      <c r="K4684" s="2">
        <v>969042927</v>
      </c>
      <c r="L4684" s="2" t="s">
        <v>571</v>
      </c>
      <c r="M4684" s="2" t="s">
        <v>80</v>
      </c>
      <c r="P4684" s="2" t="s">
        <v>93</v>
      </c>
      <c r="Q4684" s="2" t="s">
        <v>94</v>
      </c>
      <c r="R4684" s="2" t="s">
        <v>95</v>
      </c>
      <c r="S4684" s="13">
        <v>1</v>
      </c>
      <c r="T4684" s="14">
        <v>1.48</v>
      </c>
      <c r="U4684" s="2">
        <f t="shared" si="873"/>
        <v>0.34040000000000004</v>
      </c>
      <c r="V4684" s="2">
        <f t="shared" si="874"/>
        <v>1.8204</v>
      </c>
      <c r="W4684" s="2">
        <v>1.48</v>
      </c>
      <c r="X4684" s="18">
        <f t="shared" si="866"/>
        <v>0</v>
      </c>
      <c r="Z4684" s="2" t="s">
        <v>3226</v>
      </c>
      <c r="AA4684" s="2" t="s">
        <v>96</v>
      </c>
      <c r="AB4684" s="2" t="s">
        <v>76</v>
      </c>
      <c r="AC4684" s="2" t="s">
        <v>93</v>
      </c>
      <c r="AK4684" s="2">
        <f t="shared" si="871"/>
        <v>0</v>
      </c>
      <c r="AL4684" s="5">
        <f t="shared" si="872"/>
        <v>0</v>
      </c>
    </row>
    <row r="4685" spans="1:38" x14ac:dyDescent="0.2">
      <c r="A4685" s="2">
        <v>2026</v>
      </c>
      <c r="B4685" s="2">
        <v>8</v>
      </c>
      <c r="C4685" s="2" t="s">
        <v>3532</v>
      </c>
      <c r="D4685" s="2" t="s">
        <v>3553</v>
      </c>
      <c r="E4685" s="2" t="s">
        <v>38</v>
      </c>
      <c r="F4685" s="2" t="s">
        <v>39</v>
      </c>
      <c r="L4685" s="2" t="s">
        <v>293</v>
      </c>
      <c r="M4685" s="2" t="s">
        <v>80</v>
      </c>
      <c r="P4685" s="2" t="s">
        <v>72</v>
      </c>
      <c r="Q4685" s="2" t="s">
        <v>196</v>
      </c>
      <c r="R4685" s="2" t="s">
        <v>197</v>
      </c>
      <c r="S4685" s="13">
        <v>1</v>
      </c>
      <c r="T4685" s="14">
        <v>410</v>
      </c>
      <c r="U4685" s="2">
        <f t="shared" si="873"/>
        <v>94.3</v>
      </c>
      <c r="V4685" s="2">
        <f t="shared" si="874"/>
        <v>504.3</v>
      </c>
      <c r="W4685" s="2">
        <v>206.64</v>
      </c>
      <c r="X4685" s="18">
        <f t="shared" si="866"/>
        <v>0.49600000000000005</v>
      </c>
      <c r="Z4685" s="2" t="s">
        <v>3226</v>
      </c>
      <c r="AA4685" s="2" t="s">
        <v>75</v>
      </c>
      <c r="AB4685" s="2" t="s">
        <v>76</v>
      </c>
      <c r="AC4685" s="2" t="s">
        <v>77</v>
      </c>
      <c r="AK4685" s="2">
        <f t="shared" si="871"/>
        <v>203.36</v>
      </c>
      <c r="AL4685" s="5">
        <f t="shared" si="872"/>
        <v>0.49600000000000005</v>
      </c>
    </row>
    <row r="4686" spans="1:38" x14ac:dyDescent="0.2">
      <c r="A4686" s="2">
        <v>2026</v>
      </c>
      <c r="B4686" s="2">
        <v>8</v>
      </c>
      <c r="C4686" s="2" t="s">
        <v>3532</v>
      </c>
      <c r="D4686" s="2" t="s">
        <v>3553</v>
      </c>
      <c r="E4686" s="2" t="s">
        <v>38</v>
      </c>
      <c r="F4686" s="2" t="s">
        <v>39</v>
      </c>
      <c r="L4686" s="2" t="s">
        <v>293</v>
      </c>
      <c r="M4686" s="2" t="s">
        <v>80</v>
      </c>
      <c r="P4686" s="2" t="s">
        <v>93</v>
      </c>
      <c r="Q4686" s="2" t="s">
        <v>94</v>
      </c>
      <c r="R4686" s="2" t="s">
        <v>95</v>
      </c>
      <c r="S4686" s="13">
        <v>1</v>
      </c>
      <c r="T4686" s="14">
        <v>1.48</v>
      </c>
      <c r="U4686" s="2">
        <f t="shared" si="873"/>
        <v>0.34040000000000004</v>
      </c>
      <c r="V4686" s="2">
        <f t="shared" si="874"/>
        <v>1.8204</v>
      </c>
      <c r="W4686" s="2">
        <v>1.48</v>
      </c>
      <c r="X4686" s="18">
        <f t="shared" si="866"/>
        <v>0</v>
      </c>
      <c r="Z4686" s="2" t="s">
        <v>3226</v>
      </c>
      <c r="AA4686" s="2" t="s">
        <v>96</v>
      </c>
      <c r="AB4686" s="2" t="s">
        <v>76</v>
      </c>
      <c r="AC4686" s="2" t="s">
        <v>93</v>
      </c>
      <c r="AK4686" s="2">
        <f t="shared" si="871"/>
        <v>0</v>
      </c>
      <c r="AL4686" s="5">
        <f t="shared" si="872"/>
        <v>0</v>
      </c>
    </row>
    <row r="4687" spans="1:38" x14ac:dyDescent="0.2">
      <c r="A4687" s="2">
        <v>2026</v>
      </c>
      <c r="B4687" s="2">
        <v>8</v>
      </c>
      <c r="C4687" s="2" t="s">
        <v>3532</v>
      </c>
      <c r="D4687" s="2" t="s">
        <v>3554</v>
      </c>
      <c r="E4687" s="2" t="s">
        <v>108</v>
      </c>
      <c r="F4687" s="2" t="s">
        <v>477</v>
      </c>
      <c r="L4687" s="2" t="s">
        <v>600</v>
      </c>
      <c r="M4687" s="2" t="s">
        <v>80</v>
      </c>
      <c r="P4687" s="2" t="s">
        <v>72</v>
      </c>
      <c r="Q4687" s="2" t="s">
        <v>1449</v>
      </c>
      <c r="R4687" s="2" t="s">
        <v>307</v>
      </c>
      <c r="S4687" s="13">
        <v>1</v>
      </c>
      <c r="T4687" s="14">
        <v>230</v>
      </c>
      <c r="U4687" s="2">
        <f t="shared" si="873"/>
        <v>52.900000000000006</v>
      </c>
      <c r="V4687" s="2">
        <f t="shared" si="874"/>
        <v>282.89999999999998</v>
      </c>
      <c r="W4687" s="2">
        <f>110.628+11.82</f>
        <v>122.44800000000001</v>
      </c>
      <c r="X4687" s="18">
        <f t="shared" si="866"/>
        <v>0.46761739130434782</v>
      </c>
      <c r="Z4687" s="2" t="s">
        <v>3226</v>
      </c>
      <c r="AA4687" s="2" t="s">
        <v>75</v>
      </c>
      <c r="AB4687" s="2" t="s">
        <v>76</v>
      </c>
      <c r="AC4687" s="2" t="s">
        <v>77</v>
      </c>
      <c r="AK4687" s="2">
        <f t="shared" si="871"/>
        <v>107.55199999999999</v>
      </c>
      <c r="AL4687" s="5">
        <f t="shared" si="872"/>
        <v>0.46761739130434782</v>
      </c>
    </row>
    <row r="4688" spans="1:38" x14ac:dyDescent="0.2">
      <c r="A4688" s="2">
        <v>2026</v>
      </c>
      <c r="B4688" s="2">
        <v>8</v>
      </c>
      <c r="C4688" s="2" t="s">
        <v>3532</v>
      </c>
      <c r="D4688" s="2" t="s">
        <v>3554</v>
      </c>
      <c r="E4688" s="2" t="s">
        <v>108</v>
      </c>
      <c r="F4688" s="2" t="s">
        <v>477</v>
      </c>
      <c r="L4688" s="2" t="s">
        <v>600</v>
      </c>
      <c r="M4688" s="2" t="s">
        <v>80</v>
      </c>
      <c r="P4688" s="2" t="s">
        <v>93</v>
      </c>
      <c r="Q4688" s="2" t="s">
        <v>94</v>
      </c>
      <c r="R4688" s="2" t="s">
        <v>95</v>
      </c>
      <c r="S4688" s="13">
        <v>1</v>
      </c>
      <c r="T4688" s="14">
        <v>1.48</v>
      </c>
      <c r="U4688" s="2">
        <f t="shared" si="873"/>
        <v>0.34040000000000004</v>
      </c>
      <c r="V4688" s="2">
        <f t="shared" si="874"/>
        <v>1.8204</v>
      </c>
      <c r="W4688" s="2">
        <v>1.48</v>
      </c>
      <c r="X4688" s="18">
        <f t="shared" si="866"/>
        <v>0</v>
      </c>
      <c r="Z4688" s="2" t="s">
        <v>3226</v>
      </c>
      <c r="AA4688" s="2" t="s">
        <v>96</v>
      </c>
      <c r="AB4688" s="2" t="s">
        <v>76</v>
      </c>
      <c r="AC4688" s="2" t="s">
        <v>93</v>
      </c>
      <c r="AK4688" s="2">
        <f t="shared" si="871"/>
        <v>0</v>
      </c>
      <c r="AL4688" s="5">
        <f t="shared" si="872"/>
        <v>0</v>
      </c>
    </row>
    <row r="4689" spans="1:38" x14ac:dyDescent="0.2">
      <c r="A4689" s="2">
        <v>2026</v>
      </c>
      <c r="B4689" s="2">
        <v>8</v>
      </c>
      <c r="C4689" s="2" t="s">
        <v>3532</v>
      </c>
      <c r="D4689" s="2" t="s">
        <v>1376</v>
      </c>
      <c r="E4689" s="2" t="s">
        <v>183</v>
      </c>
      <c r="F4689" s="2" t="s">
        <v>366</v>
      </c>
      <c r="L4689" s="2" t="s">
        <v>571</v>
      </c>
      <c r="M4689" s="2" t="s">
        <v>80</v>
      </c>
      <c r="P4689" s="2" t="s">
        <v>72</v>
      </c>
      <c r="Q4689" s="2" t="s">
        <v>1122</v>
      </c>
      <c r="R4689" s="2" t="s">
        <v>79</v>
      </c>
      <c r="S4689" s="13">
        <v>1</v>
      </c>
      <c r="T4689" s="14">
        <v>210</v>
      </c>
      <c r="U4689" s="2">
        <f t="shared" si="873"/>
        <v>48.300000000000004</v>
      </c>
      <c r="V4689" s="2">
        <f t="shared" si="874"/>
        <v>258.3</v>
      </c>
      <c r="W4689" s="2">
        <v>113.9</v>
      </c>
      <c r="X4689" s="18">
        <f t="shared" si="866"/>
        <v>0.45761904761904759</v>
      </c>
      <c r="Z4689" s="2" t="s">
        <v>3226</v>
      </c>
      <c r="AA4689" s="2" t="s">
        <v>75</v>
      </c>
      <c r="AB4689" s="2" t="s">
        <v>76</v>
      </c>
      <c r="AC4689" s="2" t="s">
        <v>77</v>
      </c>
      <c r="AK4689" s="2">
        <f t="shared" si="871"/>
        <v>96.1</v>
      </c>
      <c r="AL4689" s="5">
        <f t="shared" si="872"/>
        <v>0.45761904761904759</v>
      </c>
    </row>
    <row r="4690" spans="1:38" x14ac:dyDescent="0.2">
      <c r="A4690" s="2">
        <v>2026</v>
      </c>
      <c r="B4690" s="2">
        <v>8</v>
      </c>
      <c r="C4690" s="2" t="s">
        <v>3532</v>
      </c>
      <c r="D4690" s="2" t="s">
        <v>1376</v>
      </c>
      <c r="E4690" s="2" t="s">
        <v>183</v>
      </c>
      <c r="F4690" s="2" t="s">
        <v>366</v>
      </c>
      <c r="L4690" s="2" t="s">
        <v>571</v>
      </c>
      <c r="M4690" s="2" t="s">
        <v>80</v>
      </c>
      <c r="P4690" s="2" t="s">
        <v>93</v>
      </c>
      <c r="Q4690" s="2" t="s">
        <v>94</v>
      </c>
      <c r="R4690" s="2" t="s">
        <v>95</v>
      </c>
      <c r="S4690" s="13">
        <v>1</v>
      </c>
      <c r="T4690" s="14">
        <v>1.48</v>
      </c>
      <c r="U4690" s="2">
        <f t="shared" si="873"/>
        <v>0.34040000000000004</v>
      </c>
      <c r="V4690" s="2">
        <f t="shared" si="874"/>
        <v>1.8204</v>
      </c>
      <c r="W4690" s="2">
        <v>1.48</v>
      </c>
      <c r="X4690" s="18">
        <f t="shared" si="866"/>
        <v>0</v>
      </c>
      <c r="Z4690" s="2" t="s">
        <v>3226</v>
      </c>
      <c r="AA4690" s="2" t="s">
        <v>96</v>
      </c>
      <c r="AB4690" s="2" t="s">
        <v>76</v>
      </c>
      <c r="AC4690" s="2" t="s">
        <v>93</v>
      </c>
      <c r="AK4690" s="2">
        <f t="shared" si="871"/>
        <v>0</v>
      </c>
      <c r="AL4690" s="5">
        <f t="shared" si="872"/>
        <v>0</v>
      </c>
    </row>
    <row r="4691" spans="1:38" x14ac:dyDescent="0.2">
      <c r="A4691" s="2">
        <v>2026</v>
      </c>
      <c r="B4691" s="2">
        <v>8</v>
      </c>
      <c r="C4691" s="2" t="s">
        <v>3532</v>
      </c>
      <c r="D4691" s="2" t="s">
        <v>1573</v>
      </c>
      <c r="E4691" s="2" t="s">
        <v>752</v>
      </c>
      <c r="F4691" s="2" t="s">
        <v>39</v>
      </c>
      <c r="L4691" s="2" t="s">
        <v>461</v>
      </c>
      <c r="M4691" s="2" t="s">
        <v>109</v>
      </c>
      <c r="P4691" s="2" t="s">
        <v>282</v>
      </c>
      <c r="Q4691" s="2" t="s">
        <v>3542</v>
      </c>
      <c r="R4691" s="2" t="s">
        <v>3543</v>
      </c>
      <c r="S4691" s="13">
        <v>1</v>
      </c>
      <c r="T4691" s="14">
        <v>1171</v>
      </c>
      <c r="U4691" s="2">
        <f t="shared" si="873"/>
        <v>269.33</v>
      </c>
      <c r="V4691" s="2">
        <f t="shared" si="874"/>
        <v>1440.33</v>
      </c>
      <c r="W4691" s="2">
        <f>819.07+25.03</f>
        <v>844.1</v>
      </c>
      <c r="X4691" s="18">
        <f t="shared" si="866"/>
        <v>0.27916310845431253</v>
      </c>
      <c r="Z4691" s="2" t="s">
        <v>104</v>
      </c>
      <c r="AA4691" s="2" t="s">
        <v>578</v>
      </c>
      <c r="AB4691" s="2" t="s">
        <v>119</v>
      </c>
      <c r="AC4691" s="2" t="s">
        <v>1327</v>
      </c>
      <c r="AK4691" s="2">
        <f t="shared" si="871"/>
        <v>326.89999999999998</v>
      </c>
      <c r="AL4691" s="5">
        <f t="shared" si="872"/>
        <v>0.27916310845431253</v>
      </c>
    </row>
    <row r="4692" spans="1:38" x14ac:dyDescent="0.2">
      <c r="A4692" s="2">
        <v>2026</v>
      </c>
      <c r="B4692" s="2">
        <v>8</v>
      </c>
      <c r="C4692" s="2" t="s">
        <v>3532</v>
      </c>
      <c r="D4692" s="2" t="s">
        <v>1573</v>
      </c>
      <c r="E4692" s="2" t="s">
        <v>752</v>
      </c>
      <c r="F4692" s="2" t="s">
        <v>39</v>
      </c>
      <c r="L4692" s="2" t="s">
        <v>461</v>
      </c>
      <c r="M4692" s="2" t="s">
        <v>109</v>
      </c>
      <c r="P4692" s="2" t="s">
        <v>282</v>
      </c>
      <c r="Q4692" s="2" t="s">
        <v>3544</v>
      </c>
      <c r="R4692" s="2" t="s">
        <v>3545</v>
      </c>
      <c r="S4692" s="13">
        <v>1</v>
      </c>
      <c r="T4692" s="14">
        <v>872</v>
      </c>
      <c r="U4692" s="2">
        <f t="shared" si="873"/>
        <v>200.56</v>
      </c>
      <c r="V4692" s="2">
        <f t="shared" si="874"/>
        <v>1072.56</v>
      </c>
      <c r="W4692" s="2">
        <f>610.4+18.64</f>
        <v>629.04</v>
      </c>
      <c r="X4692" s="18">
        <f t="shared" si="866"/>
        <v>0.27862385321100924</v>
      </c>
      <c r="Z4692" s="2" t="s">
        <v>104</v>
      </c>
      <c r="AA4692" s="2" t="s">
        <v>578</v>
      </c>
      <c r="AB4692" s="2" t="s">
        <v>119</v>
      </c>
      <c r="AC4692" s="2" t="s">
        <v>1327</v>
      </c>
      <c r="AK4692" s="2">
        <f t="shared" si="871"/>
        <v>242.96000000000004</v>
      </c>
      <c r="AL4692" s="5">
        <f t="shared" si="872"/>
        <v>0.27862385321100924</v>
      </c>
    </row>
    <row r="4693" spans="1:38" x14ac:dyDescent="0.2">
      <c r="A4693" s="2">
        <v>2026</v>
      </c>
      <c r="B4693" s="2">
        <v>8</v>
      </c>
      <c r="C4693" s="2" t="s">
        <v>3532</v>
      </c>
      <c r="D4693" s="2" t="s">
        <v>1573</v>
      </c>
      <c r="E4693" s="2" t="s">
        <v>752</v>
      </c>
      <c r="F4693" s="2" t="s">
        <v>39</v>
      </c>
      <c r="L4693" s="2" t="s">
        <v>461</v>
      </c>
      <c r="M4693" s="2" t="s">
        <v>109</v>
      </c>
      <c r="P4693" s="2" t="s">
        <v>282</v>
      </c>
      <c r="Q4693" s="2" t="s">
        <v>3546</v>
      </c>
      <c r="R4693" s="2" t="s">
        <v>3547</v>
      </c>
      <c r="S4693" s="13">
        <v>1</v>
      </c>
      <c r="T4693" s="14">
        <v>788</v>
      </c>
      <c r="U4693" s="2">
        <f t="shared" si="873"/>
        <v>181.24</v>
      </c>
      <c r="V4693" s="2">
        <f t="shared" si="874"/>
        <v>969.24</v>
      </c>
      <c r="W4693" s="2">
        <f>551.6+16.84</f>
        <v>568.44000000000005</v>
      </c>
      <c r="X4693" s="18">
        <f t="shared" si="866"/>
        <v>0.27862944162436543</v>
      </c>
      <c r="Z4693" s="2" t="s">
        <v>104</v>
      </c>
      <c r="AA4693" s="2" t="s">
        <v>578</v>
      </c>
      <c r="AB4693" s="2" t="s">
        <v>119</v>
      </c>
      <c r="AC4693" s="2" t="s">
        <v>1327</v>
      </c>
      <c r="AK4693" s="2">
        <f t="shared" si="871"/>
        <v>219.55999999999995</v>
      </c>
      <c r="AL4693" s="5">
        <f t="shared" si="872"/>
        <v>0.27862944162436543</v>
      </c>
    </row>
    <row r="4694" spans="1:38" x14ac:dyDescent="0.2">
      <c r="A4694" s="2">
        <v>2026</v>
      </c>
      <c r="B4694" s="2">
        <v>8</v>
      </c>
      <c r="C4694" s="2" t="s">
        <v>3532</v>
      </c>
      <c r="D4694" s="2" t="s">
        <v>1573</v>
      </c>
      <c r="E4694" s="2" t="s">
        <v>752</v>
      </c>
      <c r="F4694" s="2" t="s">
        <v>39</v>
      </c>
      <c r="L4694" s="2" t="s">
        <v>461</v>
      </c>
      <c r="M4694" s="2" t="s">
        <v>109</v>
      </c>
      <c r="P4694" s="2" t="s">
        <v>282</v>
      </c>
      <c r="Q4694" s="2" t="s">
        <v>3548</v>
      </c>
      <c r="R4694" s="2" t="s">
        <v>3549</v>
      </c>
      <c r="S4694" s="13">
        <v>1</v>
      </c>
      <c r="T4694" s="14">
        <v>2783</v>
      </c>
      <c r="U4694" s="2">
        <f t="shared" si="873"/>
        <v>640.09</v>
      </c>
      <c r="V4694" s="2">
        <f t="shared" si="874"/>
        <v>3423.09</v>
      </c>
      <c r="W4694" s="2">
        <f>1948.1+59.49</f>
        <v>2007.59</v>
      </c>
      <c r="X4694" s="18">
        <f t="shared" si="866"/>
        <v>0.27862378727991377</v>
      </c>
      <c r="Z4694" s="2" t="s">
        <v>104</v>
      </c>
      <c r="AA4694" s="2" t="s">
        <v>578</v>
      </c>
      <c r="AB4694" s="2" t="s">
        <v>119</v>
      </c>
      <c r="AC4694" s="2" t="s">
        <v>1327</v>
      </c>
      <c r="AK4694" s="2">
        <f t="shared" si="871"/>
        <v>775.41000000000008</v>
      </c>
      <c r="AL4694" s="5">
        <f t="shared" si="872"/>
        <v>0.27862378727991377</v>
      </c>
    </row>
    <row r="4695" spans="1:38" x14ac:dyDescent="0.2">
      <c r="A4695" s="2">
        <v>2026</v>
      </c>
      <c r="B4695" s="2">
        <v>8</v>
      </c>
      <c r="C4695" s="2" t="s">
        <v>3532</v>
      </c>
      <c r="D4695" s="2" t="s">
        <v>500</v>
      </c>
      <c r="E4695" s="2" t="s">
        <v>38</v>
      </c>
      <c r="F4695" s="2" t="s">
        <v>39</v>
      </c>
      <c r="G4695" s="2">
        <v>513244468</v>
      </c>
      <c r="H4695" s="2" t="s">
        <v>41</v>
      </c>
      <c r="I4695" s="2" t="s">
        <v>501</v>
      </c>
      <c r="J4695" s="2" t="s">
        <v>502</v>
      </c>
      <c r="K4695" s="2">
        <v>918010109</v>
      </c>
      <c r="L4695" s="2" t="s">
        <v>99</v>
      </c>
      <c r="M4695" s="2" t="s">
        <v>41</v>
      </c>
      <c r="P4695" s="2" t="s">
        <v>282</v>
      </c>
      <c r="Q4695" s="2" t="s">
        <v>3550</v>
      </c>
      <c r="R4695" s="2" t="s">
        <v>3551</v>
      </c>
      <c r="S4695" s="13">
        <v>1</v>
      </c>
      <c r="T4695" s="14">
        <v>1400</v>
      </c>
      <c r="U4695" s="2">
        <f t="shared" si="873"/>
        <v>322</v>
      </c>
      <c r="V4695" s="2">
        <f t="shared" si="874"/>
        <v>1722</v>
      </c>
      <c r="W4695" s="2">
        <v>1400</v>
      </c>
      <c r="X4695" s="18">
        <f t="shared" si="866"/>
        <v>0</v>
      </c>
      <c r="Z4695" s="2" t="s">
        <v>3226</v>
      </c>
      <c r="AA4695" s="2" t="s">
        <v>71</v>
      </c>
      <c r="AB4695" s="2" t="s">
        <v>1600</v>
      </c>
      <c r="AC4695" s="2" t="s">
        <v>1600</v>
      </c>
      <c r="AK4695" s="2">
        <f t="shared" si="871"/>
        <v>0</v>
      </c>
      <c r="AL4695" s="5">
        <f t="shared" si="872"/>
        <v>0</v>
      </c>
    </row>
    <row r="4696" spans="1:38" x14ac:dyDescent="0.2">
      <c r="A4696" s="2">
        <v>2026</v>
      </c>
      <c r="B4696" s="2">
        <v>8</v>
      </c>
      <c r="C4696" s="2" t="s">
        <v>3532</v>
      </c>
      <c r="D4696" s="2" t="s">
        <v>2052</v>
      </c>
      <c r="E4696" s="2" t="s">
        <v>108</v>
      </c>
      <c r="F4696" s="2" t="s">
        <v>39</v>
      </c>
      <c r="L4696" s="2" t="s">
        <v>339</v>
      </c>
      <c r="M4696" s="2" t="s">
        <v>39</v>
      </c>
      <c r="P4696" s="2" t="s">
        <v>72</v>
      </c>
      <c r="Q4696" s="2" t="s">
        <v>1025</v>
      </c>
      <c r="R4696" s="2" t="s">
        <v>197</v>
      </c>
      <c r="S4696" s="13">
        <v>1</v>
      </c>
      <c r="T4696" s="14">
        <v>270</v>
      </c>
      <c r="U4696" s="2">
        <f t="shared" si="873"/>
        <v>62.1</v>
      </c>
      <c r="V4696" s="2">
        <f t="shared" si="874"/>
        <v>332.1</v>
      </c>
      <c r="W4696" s="2">
        <v>152.85</v>
      </c>
      <c r="X4696" s="18">
        <f t="shared" si="866"/>
        <v>0.43388888888888894</v>
      </c>
      <c r="Z4696" s="2" t="s">
        <v>3226</v>
      </c>
      <c r="AA4696" s="2" t="s">
        <v>75</v>
      </c>
      <c r="AB4696" s="2" t="s">
        <v>76</v>
      </c>
      <c r="AC4696" s="2" t="s">
        <v>77</v>
      </c>
      <c r="AK4696" s="2">
        <f t="shared" si="871"/>
        <v>117.15</v>
      </c>
      <c r="AL4696" s="5">
        <f t="shared" si="872"/>
        <v>0.43388888888888894</v>
      </c>
    </row>
    <row r="4697" spans="1:38" x14ac:dyDescent="0.2">
      <c r="A4697" s="2">
        <v>2026</v>
      </c>
      <c r="B4697" s="2">
        <v>8</v>
      </c>
      <c r="C4697" s="2" t="s">
        <v>3532</v>
      </c>
      <c r="D4697" s="2" t="s">
        <v>2052</v>
      </c>
      <c r="E4697" s="2" t="s">
        <v>108</v>
      </c>
      <c r="F4697" s="2" t="s">
        <v>39</v>
      </c>
      <c r="L4697" s="2" t="s">
        <v>339</v>
      </c>
      <c r="M4697" s="2" t="s">
        <v>39</v>
      </c>
      <c r="P4697" s="2" t="s">
        <v>93</v>
      </c>
      <c r="Q4697" s="2" t="s">
        <v>94</v>
      </c>
      <c r="R4697" s="2" t="s">
        <v>95</v>
      </c>
      <c r="S4697" s="13">
        <v>1</v>
      </c>
      <c r="T4697" s="14">
        <v>1.48</v>
      </c>
      <c r="U4697" s="2">
        <f t="shared" si="873"/>
        <v>0.34040000000000004</v>
      </c>
      <c r="V4697" s="2">
        <f t="shared" si="874"/>
        <v>1.8204</v>
      </c>
      <c r="W4697" s="2">
        <v>1.48</v>
      </c>
      <c r="X4697" s="18">
        <f t="shared" si="866"/>
        <v>0</v>
      </c>
      <c r="Z4697" s="2" t="s">
        <v>3226</v>
      </c>
      <c r="AA4697" s="2" t="s">
        <v>96</v>
      </c>
      <c r="AB4697" s="2" t="s">
        <v>76</v>
      </c>
      <c r="AC4697" s="2" t="s">
        <v>93</v>
      </c>
      <c r="AK4697" s="2">
        <f t="shared" si="871"/>
        <v>0</v>
      </c>
      <c r="AL4697" s="5">
        <f t="shared" si="872"/>
        <v>0</v>
      </c>
    </row>
    <row r="4698" spans="1:38" x14ac:dyDescent="0.2">
      <c r="A4698" s="2">
        <v>2026</v>
      </c>
      <c r="B4698" s="2">
        <v>8</v>
      </c>
      <c r="C4698" s="2" t="s">
        <v>3532</v>
      </c>
      <c r="D4698" s="2" t="s">
        <v>2904</v>
      </c>
      <c r="E4698" s="2" t="s">
        <v>38</v>
      </c>
      <c r="F4698" s="2" t="s">
        <v>3443</v>
      </c>
      <c r="L4698" s="2" t="s">
        <v>99</v>
      </c>
      <c r="M4698" s="2" t="s">
        <v>40</v>
      </c>
      <c r="P4698" s="2" t="s">
        <v>187</v>
      </c>
      <c r="Q4698" s="2" t="s">
        <v>191</v>
      </c>
      <c r="R4698" s="2" t="s">
        <v>190</v>
      </c>
      <c r="S4698" s="13">
        <v>1</v>
      </c>
      <c r="T4698" s="14">
        <v>28.4</v>
      </c>
      <c r="U4698" s="2">
        <f t="shared" si="873"/>
        <v>6.532</v>
      </c>
      <c r="V4698" s="2">
        <f t="shared" si="874"/>
        <v>34.932000000000002</v>
      </c>
      <c r="W4698" s="2">
        <f>T4698*50%</f>
        <v>14.2</v>
      </c>
      <c r="X4698" s="18">
        <f t="shared" si="866"/>
        <v>0.5</v>
      </c>
      <c r="Y4698" s="2" t="s">
        <v>3299</v>
      </c>
      <c r="Z4698" s="2" t="s">
        <v>117</v>
      </c>
      <c r="AA4698" s="2" t="s">
        <v>190</v>
      </c>
      <c r="AB4698" s="2" t="s">
        <v>190</v>
      </c>
      <c r="AC4698" s="2" t="s">
        <v>40</v>
      </c>
      <c r="AK4698" s="2">
        <f t="shared" si="871"/>
        <v>14.2</v>
      </c>
      <c r="AL4698" s="5">
        <f t="shared" si="872"/>
        <v>0.5</v>
      </c>
    </row>
    <row r="4699" spans="1:38" x14ac:dyDescent="0.2">
      <c r="A4699" s="2">
        <v>2026</v>
      </c>
      <c r="B4699" s="2">
        <v>8</v>
      </c>
      <c r="C4699" s="2" t="s">
        <v>3532</v>
      </c>
      <c r="D4699" s="2" t="s">
        <v>1418</v>
      </c>
      <c r="E4699" s="2" t="s">
        <v>108</v>
      </c>
      <c r="F4699" s="2" t="s">
        <v>39</v>
      </c>
      <c r="G4699" s="2">
        <v>502696338</v>
      </c>
      <c r="H4699" s="2" t="s">
        <v>40</v>
      </c>
      <c r="I4699" s="2" t="s">
        <v>2411</v>
      </c>
      <c r="J4699" s="2" t="s">
        <v>2412</v>
      </c>
      <c r="L4699" s="2" t="s">
        <v>201</v>
      </c>
      <c r="M4699" s="2" t="s">
        <v>80</v>
      </c>
      <c r="P4699" s="2" t="s">
        <v>72</v>
      </c>
      <c r="Q4699" s="2" t="s">
        <v>202</v>
      </c>
      <c r="R4699" s="2" t="s">
        <v>197</v>
      </c>
      <c r="S4699" s="13">
        <v>1</v>
      </c>
      <c r="T4699" s="14">
        <v>275</v>
      </c>
      <c r="U4699" s="2">
        <f t="shared" si="873"/>
        <v>63.25</v>
      </c>
      <c r="V4699" s="2">
        <f t="shared" si="874"/>
        <v>338.25</v>
      </c>
      <c r="W4699" s="2">
        <v>152.85</v>
      </c>
      <c r="X4699" s="18">
        <f t="shared" si="866"/>
        <v>0.44418181818181818</v>
      </c>
      <c r="Z4699" s="2" t="s">
        <v>3226</v>
      </c>
      <c r="AA4699" s="2" t="s">
        <v>75</v>
      </c>
      <c r="AB4699" s="2" t="s">
        <v>76</v>
      </c>
      <c r="AC4699" s="2" t="s">
        <v>77</v>
      </c>
      <c r="AK4699" s="2">
        <f t="shared" si="871"/>
        <v>122.15</v>
      </c>
      <c r="AL4699" s="5">
        <f t="shared" si="872"/>
        <v>0.44418181818181818</v>
      </c>
    </row>
    <row r="4700" spans="1:38" x14ac:dyDescent="0.2">
      <c r="A4700" s="2">
        <v>2026</v>
      </c>
      <c r="B4700" s="2">
        <v>8</v>
      </c>
      <c r="C4700" s="2" t="s">
        <v>3532</v>
      </c>
      <c r="D4700" s="2" t="s">
        <v>1418</v>
      </c>
      <c r="E4700" s="2" t="s">
        <v>108</v>
      </c>
      <c r="F4700" s="2" t="s">
        <v>39</v>
      </c>
      <c r="G4700" s="2">
        <v>502696338</v>
      </c>
      <c r="H4700" s="2" t="s">
        <v>40</v>
      </c>
      <c r="I4700" s="2" t="s">
        <v>2411</v>
      </c>
      <c r="J4700" s="2" t="s">
        <v>2412</v>
      </c>
      <c r="L4700" s="2" t="s">
        <v>201</v>
      </c>
      <c r="M4700" s="2" t="s">
        <v>80</v>
      </c>
      <c r="P4700" s="2" t="s">
        <v>93</v>
      </c>
      <c r="Q4700" s="2" t="s">
        <v>94</v>
      </c>
      <c r="R4700" s="2" t="s">
        <v>95</v>
      </c>
      <c r="S4700" s="13">
        <v>1</v>
      </c>
      <c r="T4700" s="14">
        <v>1.48</v>
      </c>
      <c r="U4700" s="2">
        <f t="shared" si="873"/>
        <v>0.34040000000000004</v>
      </c>
      <c r="V4700" s="2">
        <f t="shared" si="874"/>
        <v>1.8204</v>
      </c>
      <c r="W4700" s="2">
        <v>1.48</v>
      </c>
      <c r="X4700" s="18">
        <f t="shared" si="866"/>
        <v>0</v>
      </c>
      <c r="Z4700" s="2" t="s">
        <v>3226</v>
      </c>
      <c r="AA4700" s="2" t="s">
        <v>96</v>
      </c>
      <c r="AB4700" s="2" t="s">
        <v>76</v>
      </c>
      <c r="AC4700" s="2" t="s">
        <v>93</v>
      </c>
      <c r="AK4700" s="2">
        <f t="shared" si="871"/>
        <v>0</v>
      </c>
      <c r="AL4700" s="5">
        <f t="shared" si="872"/>
        <v>0</v>
      </c>
    </row>
    <row r="4701" spans="1:38" x14ac:dyDescent="0.2">
      <c r="A4701" s="2">
        <v>2026</v>
      </c>
      <c r="B4701" s="2">
        <v>8</v>
      </c>
      <c r="C4701" s="2" t="s">
        <v>3532</v>
      </c>
      <c r="D4701" s="2" t="s">
        <v>549</v>
      </c>
      <c r="E4701" s="2" t="s">
        <v>108</v>
      </c>
      <c r="F4701" s="2" t="s">
        <v>395</v>
      </c>
      <c r="G4701" s="2">
        <v>503641790</v>
      </c>
      <c r="H4701" s="2" t="s">
        <v>40</v>
      </c>
      <c r="I4701" s="2" t="s">
        <v>550</v>
      </c>
      <c r="J4701" s="2" t="s">
        <v>551</v>
      </c>
      <c r="K4701" s="2">
        <v>917753665</v>
      </c>
      <c r="L4701" s="2" t="s">
        <v>99</v>
      </c>
      <c r="M4701" s="2" t="s">
        <v>80</v>
      </c>
      <c r="P4701" s="2" t="s">
        <v>72</v>
      </c>
      <c r="Q4701" s="2" t="s">
        <v>664</v>
      </c>
      <c r="R4701" s="2" t="s">
        <v>79</v>
      </c>
      <c r="S4701" s="13">
        <v>1</v>
      </c>
      <c r="T4701" s="14">
        <v>210</v>
      </c>
      <c r="U4701" s="2">
        <f t="shared" si="873"/>
        <v>48.300000000000004</v>
      </c>
      <c r="V4701" s="2">
        <f t="shared" si="874"/>
        <v>258.3</v>
      </c>
      <c r="W4701" s="2">
        <f>113.905+11.25</f>
        <v>125.155</v>
      </c>
      <c r="X4701" s="18">
        <f t="shared" si="866"/>
        <v>0.40402380952380951</v>
      </c>
      <c r="Z4701" s="2" t="s">
        <v>3226</v>
      </c>
      <c r="AA4701" s="2" t="s">
        <v>75</v>
      </c>
      <c r="AB4701" s="2" t="s">
        <v>76</v>
      </c>
      <c r="AC4701" s="2" t="s">
        <v>77</v>
      </c>
      <c r="AK4701" s="2">
        <f t="shared" si="871"/>
        <v>84.844999999999999</v>
      </c>
      <c r="AL4701" s="5">
        <f t="shared" si="872"/>
        <v>0.40402380952380951</v>
      </c>
    </row>
    <row r="4702" spans="1:38" x14ac:dyDescent="0.2">
      <c r="A4702" s="2">
        <v>2026</v>
      </c>
      <c r="B4702" s="2">
        <v>8</v>
      </c>
      <c r="C4702" s="2" t="s">
        <v>3532</v>
      </c>
      <c r="D4702" s="2" t="s">
        <v>549</v>
      </c>
      <c r="E4702" s="2" t="s">
        <v>108</v>
      </c>
      <c r="F4702" s="2" t="s">
        <v>395</v>
      </c>
      <c r="G4702" s="2">
        <v>503641790</v>
      </c>
      <c r="H4702" s="2" t="s">
        <v>40</v>
      </c>
      <c r="I4702" s="2" t="s">
        <v>550</v>
      </c>
      <c r="J4702" s="2" t="s">
        <v>551</v>
      </c>
      <c r="K4702" s="2">
        <v>917753665</v>
      </c>
      <c r="L4702" s="2" t="s">
        <v>99</v>
      </c>
      <c r="M4702" s="2" t="s">
        <v>80</v>
      </c>
      <c r="P4702" s="2" t="s">
        <v>72</v>
      </c>
      <c r="Q4702" s="2" t="s">
        <v>202</v>
      </c>
      <c r="R4702" s="2" t="s">
        <v>197</v>
      </c>
      <c r="S4702" s="13">
        <v>1</v>
      </c>
      <c r="T4702" s="14">
        <v>275</v>
      </c>
      <c r="U4702" s="2">
        <f t="shared" si="873"/>
        <v>63.25</v>
      </c>
      <c r="V4702" s="2">
        <f t="shared" si="874"/>
        <v>338.25</v>
      </c>
      <c r="W4702" s="2">
        <v>152.85</v>
      </c>
      <c r="X4702" s="18">
        <f t="shared" si="866"/>
        <v>0.44418181818181818</v>
      </c>
      <c r="Z4702" s="2" t="s">
        <v>3226</v>
      </c>
      <c r="AA4702" s="2" t="s">
        <v>75</v>
      </c>
      <c r="AB4702" s="2" t="s">
        <v>76</v>
      </c>
      <c r="AC4702" s="2" t="s">
        <v>77</v>
      </c>
      <c r="AK4702" s="2">
        <f t="shared" si="871"/>
        <v>122.15</v>
      </c>
      <c r="AL4702" s="5">
        <f t="shared" si="872"/>
        <v>0.44418181818181818</v>
      </c>
    </row>
    <row r="4703" spans="1:38" x14ac:dyDescent="0.2">
      <c r="A4703" s="2">
        <v>2026</v>
      </c>
      <c r="B4703" s="2">
        <v>8</v>
      </c>
      <c r="C4703" s="2" t="s">
        <v>3532</v>
      </c>
      <c r="D4703" s="2" t="s">
        <v>549</v>
      </c>
      <c r="E4703" s="2" t="s">
        <v>108</v>
      </c>
      <c r="F4703" s="2" t="s">
        <v>395</v>
      </c>
      <c r="G4703" s="2">
        <v>503641790</v>
      </c>
      <c r="H4703" s="2" t="s">
        <v>40</v>
      </c>
      <c r="I4703" s="2" t="s">
        <v>550</v>
      </c>
      <c r="J4703" s="2" t="s">
        <v>551</v>
      </c>
      <c r="K4703" s="2">
        <v>917753665</v>
      </c>
      <c r="L4703" s="2" t="s">
        <v>99</v>
      </c>
      <c r="M4703" s="2" t="s">
        <v>80</v>
      </c>
      <c r="P4703" s="2" t="s">
        <v>93</v>
      </c>
      <c r="Q4703" s="2" t="s">
        <v>94</v>
      </c>
      <c r="R4703" s="2" t="s">
        <v>95</v>
      </c>
      <c r="S4703" s="13">
        <v>2</v>
      </c>
      <c r="T4703" s="14">
        <v>2.96</v>
      </c>
      <c r="U4703" s="2">
        <f t="shared" si="873"/>
        <v>0.68080000000000007</v>
      </c>
      <c r="V4703" s="2">
        <f t="shared" si="874"/>
        <v>3.6408</v>
      </c>
      <c r="W4703" s="2">
        <f>1.48*S4703</f>
        <v>2.96</v>
      </c>
      <c r="X4703" s="18">
        <f t="shared" si="866"/>
        <v>0</v>
      </c>
      <c r="Z4703" s="2" t="s">
        <v>3226</v>
      </c>
      <c r="AA4703" s="2" t="s">
        <v>96</v>
      </c>
      <c r="AB4703" s="2" t="s">
        <v>76</v>
      </c>
      <c r="AC4703" s="2" t="s">
        <v>93</v>
      </c>
      <c r="AK4703" s="2">
        <f t="shared" si="871"/>
        <v>0</v>
      </c>
      <c r="AL4703" s="5">
        <f t="shared" si="872"/>
        <v>0</v>
      </c>
    </row>
    <row r="4704" spans="1:38" x14ac:dyDescent="0.2">
      <c r="A4704" s="2">
        <v>2026</v>
      </c>
      <c r="B4704" s="2">
        <v>8</v>
      </c>
      <c r="C4704" s="2" t="s">
        <v>3532</v>
      </c>
      <c r="D4704" s="2" t="s">
        <v>606</v>
      </c>
      <c r="E4704" s="2" t="s">
        <v>108</v>
      </c>
      <c r="F4704" s="2" t="s">
        <v>39</v>
      </c>
      <c r="G4704" s="2">
        <v>504822187</v>
      </c>
      <c r="H4704" s="2" t="s">
        <v>109</v>
      </c>
      <c r="I4704" s="2" t="s">
        <v>607</v>
      </c>
      <c r="J4704" s="2" t="s">
        <v>608</v>
      </c>
      <c r="K4704" s="2">
        <v>966216853</v>
      </c>
      <c r="L4704" s="2" t="s">
        <v>461</v>
      </c>
      <c r="M4704" s="2" t="s">
        <v>41</v>
      </c>
      <c r="P4704" s="2" t="s">
        <v>43</v>
      </c>
      <c r="Q4704" s="2" t="s">
        <v>54</v>
      </c>
      <c r="R4704" s="2" t="s">
        <v>55</v>
      </c>
      <c r="S4704" s="13">
        <v>5</v>
      </c>
      <c r="T4704" s="14">
        <v>80</v>
      </c>
      <c r="U4704" s="2">
        <f t="shared" si="873"/>
        <v>18.400000000000002</v>
      </c>
      <c r="V4704" s="2">
        <f t="shared" si="874"/>
        <v>98.4</v>
      </c>
      <c r="W4704" s="2">
        <f>10.6*S4704</f>
        <v>53</v>
      </c>
      <c r="X4704" s="18">
        <f t="shared" si="866"/>
        <v>0.33750000000000002</v>
      </c>
      <c r="Z4704" s="2" t="s">
        <v>3226</v>
      </c>
      <c r="AA4704" s="2" t="s">
        <v>46</v>
      </c>
      <c r="AB4704" s="2" t="s">
        <v>56</v>
      </c>
      <c r="AC4704" s="2" t="s">
        <v>57</v>
      </c>
      <c r="AK4704" s="2">
        <f t="shared" si="871"/>
        <v>27</v>
      </c>
      <c r="AL4704" s="5">
        <f t="shared" si="872"/>
        <v>0.33750000000000002</v>
      </c>
    </row>
    <row r="4705" spans="1:38" x14ac:dyDescent="0.2">
      <c r="A4705" s="2">
        <v>2026</v>
      </c>
      <c r="B4705" s="2">
        <v>8</v>
      </c>
      <c r="C4705" s="2" t="s">
        <v>3532</v>
      </c>
      <c r="D4705" s="2" t="s">
        <v>606</v>
      </c>
      <c r="E4705" s="2" t="s">
        <v>108</v>
      </c>
      <c r="F4705" s="2" t="s">
        <v>39</v>
      </c>
      <c r="G4705" s="2">
        <v>504822187</v>
      </c>
      <c r="H4705" s="2" t="s">
        <v>109</v>
      </c>
      <c r="I4705" s="2" t="s">
        <v>607</v>
      </c>
      <c r="J4705" s="2" t="s">
        <v>608</v>
      </c>
      <c r="K4705" s="2">
        <v>966216853</v>
      </c>
      <c r="L4705" s="2" t="s">
        <v>461</v>
      </c>
      <c r="M4705" s="2" t="s">
        <v>41</v>
      </c>
      <c r="P4705" s="2" t="s">
        <v>84</v>
      </c>
      <c r="Q4705" s="2" t="s">
        <v>270</v>
      </c>
      <c r="R4705" s="2" t="s">
        <v>271</v>
      </c>
      <c r="S4705" s="13">
        <v>2</v>
      </c>
      <c r="T4705" s="14">
        <v>24</v>
      </c>
      <c r="U4705" s="2">
        <f t="shared" si="873"/>
        <v>5.5200000000000005</v>
      </c>
      <c r="V4705" s="2">
        <f t="shared" si="874"/>
        <v>29.52</v>
      </c>
      <c r="W4705" s="2">
        <f>6.86*S4705</f>
        <v>13.72</v>
      </c>
      <c r="X4705" s="18">
        <f t="shared" si="866"/>
        <v>0.42833333333333329</v>
      </c>
      <c r="Z4705" s="2" t="s">
        <v>3226</v>
      </c>
      <c r="AA4705" s="2" t="s">
        <v>87</v>
      </c>
      <c r="AB4705" s="2" t="s">
        <v>90</v>
      </c>
      <c r="AC4705" s="2" t="s">
        <v>84</v>
      </c>
      <c r="AK4705" s="2">
        <f t="shared" si="871"/>
        <v>10.28</v>
      </c>
      <c r="AL4705" s="5">
        <f t="shared" si="872"/>
        <v>0.42833333333333329</v>
      </c>
    </row>
    <row r="4706" spans="1:38" x14ac:dyDescent="0.2">
      <c r="A4706" s="2">
        <v>2026</v>
      </c>
      <c r="B4706" s="2">
        <v>8</v>
      </c>
      <c r="C4706" s="2" t="s">
        <v>3532</v>
      </c>
      <c r="D4706" s="2" t="s">
        <v>633</v>
      </c>
      <c r="E4706" s="2" t="s">
        <v>183</v>
      </c>
      <c r="F4706" s="2" t="s">
        <v>366</v>
      </c>
      <c r="H4706" s="2" t="s">
        <v>290</v>
      </c>
      <c r="L4706" s="2" t="s">
        <v>339</v>
      </c>
      <c r="M4706" s="2" t="s">
        <v>80</v>
      </c>
      <c r="P4706" s="2" t="s">
        <v>72</v>
      </c>
      <c r="Q4706" s="2" t="s">
        <v>664</v>
      </c>
      <c r="R4706" s="2" t="s">
        <v>79</v>
      </c>
      <c r="S4706" s="13">
        <v>1</v>
      </c>
      <c r="T4706" s="14">
        <v>210</v>
      </c>
      <c r="U4706" s="2">
        <f t="shared" si="873"/>
        <v>48.300000000000004</v>
      </c>
      <c r="V4706" s="2">
        <f t="shared" si="874"/>
        <v>258.3</v>
      </c>
      <c r="W4706" s="2">
        <f>113.905+11.25</f>
        <v>125.155</v>
      </c>
      <c r="X4706" s="18">
        <f t="shared" si="866"/>
        <v>0.40402380952380951</v>
      </c>
      <c r="Z4706" s="2" t="s">
        <v>3226</v>
      </c>
      <c r="AA4706" s="2" t="s">
        <v>75</v>
      </c>
      <c r="AB4706" s="2" t="s">
        <v>76</v>
      </c>
      <c r="AC4706" s="2" t="s">
        <v>77</v>
      </c>
      <c r="AK4706" s="2">
        <f t="shared" si="871"/>
        <v>84.844999999999999</v>
      </c>
      <c r="AL4706" s="5">
        <f t="shared" si="872"/>
        <v>0.40402380952380951</v>
      </c>
    </row>
    <row r="4707" spans="1:38" x14ac:dyDescent="0.2">
      <c r="A4707" s="2">
        <v>2026</v>
      </c>
      <c r="B4707" s="2">
        <v>8</v>
      </c>
      <c r="C4707" s="2" t="s">
        <v>3532</v>
      </c>
      <c r="D4707" s="2" t="s">
        <v>633</v>
      </c>
      <c r="E4707" s="2" t="s">
        <v>183</v>
      </c>
      <c r="F4707" s="2" t="s">
        <v>366</v>
      </c>
      <c r="H4707" s="2" t="s">
        <v>290</v>
      </c>
      <c r="L4707" s="2" t="s">
        <v>339</v>
      </c>
      <c r="M4707" s="2" t="s">
        <v>80</v>
      </c>
      <c r="P4707" s="2" t="s">
        <v>93</v>
      </c>
      <c r="Q4707" s="2" t="s">
        <v>94</v>
      </c>
      <c r="R4707" s="2" t="s">
        <v>95</v>
      </c>
      <c r="S4707" s="13">
        <v>1</v>
      </c>
      <c r="T4707" s="14">
        <v>1.48</v>
      </c>
      <c r="U4707" s="2">
        <f t="shared" si="873"/>
        <v>0.34040000000000004</v>
      </c>
      <c r="V4707" s="2">
        <f t="shared" si="874"/>
        <v>1.8204</v>
      </c>
      <c r="W4707" s="2">
        <v>1.48</v>
      </c>
      <c r="X4707" s="18">
        <f t="shared" si="866"/>
        <v>0</v>
      </c>
      <c r="Z4707" s="2" t="s">
        <v>3226</v>
      </c>
      <c r="AA4707" s="2" t="s">
        <v>96</v>
      </c>
      <c r="AB4707" s="2" t="s">
        <v>76</v>
      </c>
      <c r="AC4707" s="2" t="s">
        <v>93</v>
      </c>
    </row>
  </sheetData>
  <autoFilter ref="A1:AL4707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2026-08-13T08:17:57Z</dcterms:modified>
</cp:coreProperties>
</file>